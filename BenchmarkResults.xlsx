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7bc7daf63cbcbe/Documents/Uni stuff/Dissertation/"/>
    </mc:Choice>
  </mc:AlternateContent>
  <xr:revisionPtr revIDLastSave="318" documentId="6_{93A963AB-7CBB-4580-81DF-9EBF76F4C1B7}" xr6:coauthVersionLast="47" xr6:coauthVersionMax="47" xr10:uidLastSave="{536BE1DC-D7DB-4652-A39D-7AF7AB95DD8B}"/>
  <bookViews>
    <workbookView xWindow="-108" yWindow="-108" windowWidth="23256" windowHeight="12456" xr2:uid="{A9176410-3CC0-429D-A1FF-FACCCFEEEC76}"/>
  </bookViews>
  <sheets>
    <sheet name="Tables" sheetId="4" r:id="rId1"/>
    <sheet name="CalculatedMetrics" sheetId="8" r:id="rId2"/>
    <sheet name="BenchmarkResults" sheetId="1" r:id="rId3"/>
    <sheet name="mysql_hardware_log" sheetId="5" r:id="rId4"/>
    <sheet name="mongodb_hardware_log" sheetId="6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5" i="4" l="1" a="1"/>
  <c r="J25" i="4" a="1"/>
  <c r="K21" i="4" a="1"/>
  <c r="J21" i="4" a="1"/>
  <c r="K17" i="4" a="1"/>
  <c r="J17" i="4" a="1"/>
  <c r="K13" i="4" a="1"/>
  <c r="J13" i="4" a="1"/>
  <c r="K9" i="4" a="1"/>
  <c r="J9" i="4" a="1"/>
  <c r="H25" i="4"/>
  <c r="H26" i="4" s="1"/>
  <c r="H21" i="4"/>
  <c r="H22" i="4" s="1"/>
  <c r="H17" i="4"/>
  <c r="H18" i="4" s="1"/>
  <c r="H13" i="4"/>
  <c r="H14" i="4" s="1"/>
  <c r="H9" i="4"/>
  <c r="H10" i="4" s="1"/>
  <c r="H6" i="4"/>
  <c r="H7" i="4" s="1"/>
  <c r="H5" i="4"/>
  <c r="K5" i="4" a="1"/>
  <c r="J5" i="4" a="1"/>
  <c r="K24" i="4" a="1"/>
  <c r="J24" i="4" a="1"/>
  <c r="K20" i="4" a="1"/>
  <c r="J20" i="4" a="1"/>
  <c r="K16" i="4" a="1"/>
  <c r="J16" i="4" a="1"/>
  <c r="K12" i="4" a="1"/>
  <c r="J12" i="4" a="1"/>
  <c r="K8" i="4" a="1"/>
  <c r="J8" i="4" a="1"/>
  <c r="K6" i="4" a="1"/>
  <c r="J6" i="4" a="1"/>
  <c r="K4" i="4" a="1"/>
  <c r="J4" i="4" a="1"/>
  <c r="AI40" i="8"/>
  <c r="AI39" i="8"/>
  <c r="AI38" i="8"/>
  <c r="AI37" i="8"/>
  <c r="AI36" i="8"/>
  <c r="AI35" i="8"/>
  <c r="AI34" i="8"/>
  <c r="AI33" i="8"/>
  <c r="AI32" i="8"/>
  <c r="AI31" i="8"/>
  <c r="AI30" i="8"/>
  <c r="AI29" i="8"/>
  <c r="AI28" i="8"/>
  <c r="AI27" i="8"/>
  <c r="AI26" i="8"/>
  <c r="AI25" i="8"/>
  <c r="AF40" i="8"/>
  <c r="AF39" i="8"/>
  <c r="AF38" i="8"/>
  <c r="AF37" i="8"/>
  <c r="AF36" i="8"/>
  <c r="AF35" i="8"/>
  <c r="AF34" i="8"/>
  <c r="AF33" i="8"/>
  <c r="AF32" i="8"/>
  <c r="AF31" i="8"/>
  <c r="AF30" i="8"/>
  <c r="AF29" i="8"/>
  <c r="AF28" i="8"/>
  <c r="AF27" i="8"/>
  <c r="AF26" i="8"/>
  <c r="AF25" i="8"/>
  <c r="AC40" i="8"/>
  <c r="AC39" i="8"/>
  <c r="AC38" i="8"/>
  <c r="AC3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Z40" i="8"/>
  <c r="Z39" i="8"/>
  <c r="Z38" i="8"/>
  <c r="Z37" i="8"/>
  <c r="Z36" i="8"/>
  <c r="Z35" i="8"/>
  <c r="Z34" i="8"/>
  <c r="Z33" i="8"/>
  <c r="Z32" i="8"/>
  <c r="Z31" i="8"/>
  <c r="Z30" i="8"/>
  <c r="Z29" i="8"/>
  <c r="Z28" i="8"/>
  <c r="Z27" i="8"/>
  <c r="Z26" i="8"/>
  <c r="Z25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E32" i="8"/>
  <c r="E33" i="8"/>
  <c r="E34" i="8"/>
  <c r="E35" i="8"/>
  <c r="E36" i="8"/>
  <c r="E37" i="8"/>
  <c r="E38" i="8"/>
  <c r="E39" i="8"/>
  <c r="E40" i="8"/>
  <c r="E31" i="8"/>
  <c r="E30" i="8"/>
  <c r="E29" i="8"/>
  <c r="E28" i="8"/>
  <c r="E27" i="8"/>
  <c r="E26" i="8"/>
  <c r="E25" i="8"/>
  <c r="B32" i="8"/>
  <c r="B33" i="8"/>
  <c r="B34" i="8"/>
  <c r="B35" i="8"/>
  <c r="B36" i="8"/>
  <c r="B37" i="8"/>
  <c r="B38" i="8"/>
  <c r="B39" i="8"/>
  <c r="B40" i="8"/>
  <c r="B31" i="8"/>
  <c r="B30" i="8"/>
  <c r="B29" i="8"/>
  <c r="B28" i="8"/>
  <c r="B27" i="8"/>
  <c r="B26" i="8"/>
  <c r="B25" i="8"/>
  <c r="AK16" i="8"/>
  <c r="AJ16" i="8"/>
  <c r="AI16" i="8"/>
  <c r="AK15" i="8"/>
  <c r="AJ15" i="8"/>
  <c r="AI15" i="8"/>
  <c r="AH16" i="8"/>
  <c r="AG16" i="8"/>
  <c r="AF16" i="8"/>
  <c r="AH15" i="8"/>
  <c r="AG15" i="8"/>
  <c r="AF15" i="8"/>
  <c r="AE16" i="8"/>
  <c r="AD16" i="8"/>
  <c r="AC16" i="8"/>
  <c r="AE15" i="8"/>
  <c r="AD15" i="8"/>
  <c r="AC15" i="8"/>
  <c r="AB16" i="8"/>
  <c r="AA16" i="8"/>
  <c r="Z16" i="8"/>
  <c r="AB15" i="8"/>
  <c r="AA15" i="8"/>
  <c r="Z15" i="8"/>
  <c r="Y16" i="8"/>
  <c r="X16" i="8"/>
  <c r="W16" i="8"/>
  <c r="Y15" i="8"/>
  <c r="X15" i="8"/>
  <c r="W15" i="8"/>
  <c r="V16" i="8"/>
  <c r="U16" i="8"/>
  <c r="V15" i="8"/>
  <c r="U15" i="8"/>
  <c r="T16" i="8"/>
  <c r="T15" i="8"/>
  <c r="S16" i="8"/>
  <c r="R16" i="8"/>
  <c r="Q16" i="8"/>
  <c r="S15" i="8"/>
  <c r="R15" i="8"/>
  <c r="Q15" i="8"/>
  <c r="P16" i="8"/>
  <c r="O16" i="8"/>
  <c r="N16" i="8"/>
  <c r="P15" i="8"/>
  <c r="O15" i="8"/>
  <c r="N15" i="8"/>
  <c r="M16" i="8"/>
  <c r="L16" i="8"/>
  <c r="K16" i="8"/>
  <c r="M15" i="8"/>
  <c r="L15" i="8"/>
  <c r="K15" i="8"/>
  <c r="J16" i="8"/>
  <c r="I16" i="8"/>
  <c r="H16" i="8"/>
  <c r="J15" i="8"/>
  <c r="I15" i="8"/>
  <c r="H15" i="8"/>
  <c r="G16" i="8"/>
  <c r="G15" i="8"/>
  <c r="F16" i="8"/>
  <c r="F15" i="8"/>
  <c r="E16" i="8"/>
  <c r="E15" i="8"/>
  <c r="B16" i="8"/>
  <c r="B15" i="8"/>
  <c r="B9" i="8" a="1"/>
  <c r="B10" i="8" a="1"/>
  <c r="B12" i="8" a="1"/>
  <c r="S13" i="8" a="1"/>
  <c r="S14" i="8" s="1"/>
  <c r="R13" i="8" a="1"/>
  <c r="Q13" i="8" a="1"/>
  <c r="P13" i="8" a="1"/>
  <c r="O13" i="8" a="1"/>
  <c r="N13" i="8" a="1"/>
  <c r="M13" i="8" a="1"/>
  <c r="L13" i="8" a="1"/>
  <c r="K13" i="8" a="1"/>
  <c r="J13" i="8" a="1"/>
  <c r="I13" i="8" a="1"/>
  <c r="H13" i="8" a="1"/>
  <c r="S12" i="8" a="1"/>
  <c r="R12" i="8" a="1"/>
  <c r="Q12" i="8" a="1"/>
  <c r="P12" i="8" a="1"/>
  <c r="O12" i="8" a="1"/>
  <c r="N12" i="8" a="1"/>
  <c r="M12" i="8" a="1"/>
  <c r="L12" i="8" a="1"/>
  <c r="K12" i="8" a="1"/>
  <c r="J12" i="8" a="1"/>
  <c r="I12" i="8" a="1"/>
  <c r="H12" i="8" a="1"/>
  <c r="G12" i="8" a="1"/>
  <c r="G13" i="8" a="1"/>
  <c r="F13" i="8" a="1"/>
  <c r="F12" i="8" a="1"/>
  <c r="E13" i="8" a="1"/>
  <c r="E12" i="8" a="1"/>
  <c r="B13" i="8" a="1"/>
  <c r="AK13" i="8" a="1"/>
  <c r="AJ13" i="8" a="1"/>
  <c r="AI13" i="8" a="1"/>
  <c r="AH13" i="8" a="1"/>
  <c r="AG13" i="8" a="1"/>
  <c r="AF13" i="8" a="1"/>
  <c r="AE13" i="8" a="1"/>
  <c r="AD13" i="8" a="1"/>
  <c r="AC13" i="8" a="1"/>
  <c r="AB13" i="8" a="1"/>
  <c r="AA13" i="8" a="1"/>
  <c r="Z13" i="8" a="1"/>
  <c r="Y13" i="8" a="1"/>
  <c r="X13" i="8" a="1"/>
  <c r="W13" i="8" a="1"/>
  <c r="V13" i="8" a="1"/>
  <c r="U13" i="8" a="1"/>
  <c r="T13" i="8" a="1"/>
  <c r="AK12" i="8" a="1"/>
  <c r="AJ12" i="8" a="1"/>
  <c r="AI12" i="8" a="1"/>
  <c r="AH12" i="8" a="1"/>
  <c r="AG12" i="8" a="1"/>
  <c r="AF12" i="8" a="1"/>
  <c r="AE12" i="8" a="1"/>
  <c r="AD12" i="8" a="1"/>
  <c r="AC12" i="8" a="1"/>
  <c r="AB12" i="8" a="1"/>
  <c r="AA12" i="8" a="1"/>
  <c r="Z12" i="8" a="1"/>
  <c r="Y12" i="8" a="1"/>
  <c r="X12" i="8" a="1"/>
  <c r="W12" i="8" a="1"/>
  <c r="V12" i="8" a="1"/>
  <c r="U12" i="8" a="1"/>
  <c r="T12" i="8" a="1"/>
  <c r="S10" i="8" a="1"/>
  <c r="R10" i="8" a="1"/>
  <c r="Q10" i="8" a="1"/>
  <c r="P10" i="8" a="1"/>
  <c r="O10" i="8" a="1"/>
  <c r="N10" i="8" a="1"/>
  <c r="M10" i="8" a="1"/>
  <c r="L10" i="8" a="1"/>
  <c r="K10" i="8" a="1"/>
  <c r="J10" i="8" a="1"/>
  <c r="I10" i="8" a="1"/>
  <c r="H10" i="8" a="1"/>
  <c r="S9" i="8" a="1"/>
  <c r="R9" i="8" a="1"/>
  <c r="Q9" i="8" a="1"/>
  <c r="P9" i="8" a="1"/>
  <c r="O9" i="8" a="1"/>
  <c r="N9" i="8" a="1"/>
  <c r="M9" i="8" a="1"/>
  <c r="L9" i="8" a="1"/>
  <c r="K9" i="8" a="1"/>
  <c r="J9" i="8" a="1"/>
  <c r="I9" i="8" a="1"/>
  <c r="H9" i="8" a="1"/>
  <c r="G10" i="8" a="1"/>
  <c r="F10" i="8" a="1"/>
  <c r="G9" i="8" a="1"/>
  <c r="F9" i="8" a="1"/>
  <c r="E10" i="8" a="1"/>
  <c r="E11" i="8" s="1"/>
  <c r="E9" i="8" a="1"/>
  <c r="AH10" i="8" a="1"/>
  <c r="AG10" i="8" a="1"/>
  <c r="AG11" i="8" s="1"/>
  <c r="AF10" i="8" a="1"/>
  <c r="AE10" i="8" a="1"/>
  <c r="AD10" i="8" a="1"/>
  <c r="AC10" i="8" a="1"/>
  <c r="AB10" i="8" a="1"/>
  <c r="AA10" i="8" a="1"/>
  <c r="Z10" i="8" a="1"/>
  <c r="Y10" i="8" a="1"/>
  <c r="X10" i="8" a="1"/>
  <c r="W10" i="8" a="1"/>
  <c r="V10" i="8" a="1"/>
  <c r="U10" i="8" a="1"/>
  <c r="T10" i="8" a="1"/>
  <c r="AI10" i="8" a="1"/>
  <c r="AJ10" i="8" a="1"/>
  <c r="AK10" i="8" a="1"/>
  <c r="AK11" i="8" s="1"/>
  <c r="AK9" i="8" a="1"/>
  <c r="AJ9" i="8" a="1"/>
  <c r="AI9" i="8" a="1"/>
  <c r="AH9" i="8" a="1"/>
  <c r="AG9" i="8" a="1"/>
  <c r="AF9" i="8" a="1"/>
  <c r="AE9" i="8" a="1"/>
  <c r="AD9" i="8" a="1"/>
  <c r="AC9" i="8" a="1"/>
  <c r="AB9" i="8" a="1"/>
  <c r="AA9" i="8" a="1"/>
  <c r="Z9" i="8" a="1"/>
  <c r="Y9" i="8" a="1"/>
  <c r="X9" i="8" a="1"/>
  <c r="W9" i="8" a="1"/>
  <c r="V9" i="8" a="1"/>
  <c r="U9" i="8" a="1"/>
  <c r="T9" i="8" a="1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B7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B23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B21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B19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B20" i="8"/>
  <c r="B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V1002" i="6"/>
  <c r="V1003" i="6"/>
  <c r="V1004" i="6"/>
  <c r="V1005" i="6"/>
  <c r="V1006" i="6"/>
  <c r="V1007" i="6"/>
  <c r="V1008" i="6"/>
  <c r="V1009" i="6"/>
  <c r="V1010" i="6"/>
  <c r="V1011" i="6"/>
  <c r="V1012" i="6"/>
  <c r="V1013" i="6"/>
  <c r="V1014" i="6"/>
  <c r="V1015" i="6"/>
  <c r="V1016" i="6"/>
  <c r="V1017" i="6"/>
  <c r="V1018" i="6"/>
  <c r="V1019" i="6"/>
  <c r="V1020" i="6"/>
  <c r="V1021" i="6"/>
  <c r="V1022" i="6"/>
  <c r="V1023" i="6"/>
  <c r="V1024" i="6"/>
  <c r="V1025" i="6"/>
  <c r="V1026" i="6"/>
  <c r="V1027" i="6"/>
  <c r="V1028" i="6"/>
  <c r="V1029" i="6"/>
  <c r="V1030" i="6"/>
  <c r="V1031" i="6"/>
  <c r="V1032" i="6"/>
  <c r="V1033" i="6"/>
  <c r="V1034" i="6"/>
  <c r="V1035" i="6"/>
  <c r="V1036" i="6"/>
  <c r="V1037" i="6"/>
  <c r="V1038" i="6"/>
  <c r="V1039" i="6"/>
  <c r="V1040" i="6"/>
  <c r="V1041" i="6"/>
  <c r="V1042" i="6"/>
  <c r="V1043" i="6"/>
  <c r="V1044" i="6"/>
  <c r="V1045" i="6"/>
  <c r="V1046" i="6"/>
  <c r="V1047" i="6"/>
  <c r="V1048" i="6"/>
  <c r="V1049" i="6"/>
  <c r="V1050" i="6"/>
  <c r="V1051" i="6"/>
  <c r="V1052" i="6"/>
  <c r="V1053" i="6"/>
  <c r="V1054" i="6"/>
  <c r="V1055" i="6"/>
  <c r="V1056" i="6"/>
  <c r="V1057" i="6"/>
  <c r="V1058" i="6"/>
  <c r="V1059" i="6"/>
  <c r="V1060" i="6"/>
  <c r="V1061" i="6"/>
  <c r="V1062" i="6"/>
  <c r="V1063" i="6"/>
  <c r="V1064" i="6"/>
  <c r="V1065" i="6"/>
  <c r="V1066" i="6"/>
  <c r="V1067" i="6"/>
  <c r="V1068" i="6"/>
  <c r="V1069" i="6"/>
  <c r="V1070" i="6"/>
  <c r="V1071" i="6"/>
  <c r="V1072" i="6"/>
  <c r="V1073" i="6"/>
  <c r="V1074" i="6"/>
  <c r="V1075" i="6"/>
  <c r="V1076" i="6"/>
  <c r="V1077" i="6"/>
  <c r="V1078" i="6"/>
  <c r="V1079" i="6"/>
  <c r="V1080" i="6"/>
  <c r="V1081" i="6"/>
  <c r="V1082" i="6"/>
  <c r="V1083" i="6"/>
  <c r="V1084" i="6"/>
  <c r="V1085" i="6"/>
  <c r="V1086" i="6"/>
  <c r="V1087" i="6"/>
  <c r="V1088" i="6"/>
  <c r="V1089" i="6"/>
  <c r="V1090" i="6"/>
  <c r="V1091" i="6"/>
  <c r="V1092" i="6"/>
  <c r="V1093" i="6"/>
  <c r="V1094" i="6"/>
  <c r="V1095" i="6"/>
  <c r="V1096" i="6"/>
  <c r="V1097" i="6"/>
  <c r="V1098" i="6"/>
  <c r="V1099" i="6"/>
  <c r="V1100" i="6"/>
  <c r="V1101" i="6"/>
  <c r="V1102" i="6"/>
  <c r="V1103" i="6"/>
  <c r="V1104" i="6"/>
  <c r="V1105" i="6"/>
  <c r="V1106" i="6"/>
  <c r="V1107" i="6"/>
  <c r="V1108" i="6"/>
  <c r="V1109" i="6"/>
  <c r="V1110" i="6"/>
  <c r="V1111" i="6"/>
  <c r="V1112" i="6"/>
  <c r="V1113" i="6"/>
  <c r="V1114" i="6"/>
  <c r="V1115" i="6"/>
  <c r="V1116" i="6"/>
  <c r="V1117" i="6"/>
  <c r="V1118" i="6"/>
  <c r="V1119" i="6"/>
  <c r="V1120" i="6"/>
  <c r="V1121" i="6"/>
  <c r="V1122" i="6"/>
  <c r="V1123" i="6"/>
  <c r="V1124" i="6"/>
  <c r="V1125" i="6"/>
  <c r="V1126" i="6"/>
  <c r="V1127" i="6"/>
  <c r="V1128" i="6"/>
  <c r="V1129" i="6"/>
  <c r="V1130" i="6"/>
  <c r="V1131" i="6"/>
  <c r="V1132" i="6"/>
  <c r="V1133" i="6"/>
  <c r="V1134" i="6"/>
  <c r="V1135" i="6"/>
  <c r="V1136" i="6"/>
  <c r="V1137" i="6"/>
  <c r="V1138" i="6"/>
  <c r="V1139" i="6"/>
  <c r="V1140" i="6"/>
  <c r="V1141" i="6"/>
  <c r="V1142" i="6"/>
  <c r="V1143" i="6"/>
  <c r="V1144" i="6"/>
  <c r="V1145" i="6"/>
  <c r="V1146" i="6"/>
  <c r="V1147" i="6"/>
  <c r="V1148" i="6"/>
  <c r="V1149" i="6"/>
  <c r="V1150" i="6"/>
  <c r="V1151" i="6"/>
  <c r="V1152" i="6"/>
  <c r="V1153" i="6"/>
  <c r="V1154" i="6"/>
  <c r="V1155" i="6"/>
  <c r="V1156" i="6"/>
  <c r="V1157" i="6"/>
  <c r="V1158" i="6"/>
  <c r="V1159" i="6"/>
  <c r="V1160" i="6"/>
  <c r="V1161" i="6"/>
  <c r="V1162" i="6"/>
  <c r="V1163" i="6"/>
  <c r="V1164" i="6"/>
  <c r="V1165" i="6"/>
  <c r="V1166" i="6"/>
  <c r="V1167" i="6"/>
  <c r="V1168" i="6"/>
  <c r="V1169" i="6"/>
  <c r="V1170" i="6"/>
  <c r="V1171" i="6"/>
  <c r="V1172" i="6"/>
  <c r="V1173" i="6"/>
  <c r="V1174" i="6"/>
  <c r="V1175" i="6"/>
  <c r="V1176" i="6"/>
  <c r="V1177" i="6"/>
  <c r="V1178" i="6"/>
  <c r="V1179" i="6"/>
  <c r="V1180" i="6"/>
  <c r="V1181" i="6"/>
  <c r="V1182" i="6"/>
  <c r="V1183" i="6"/>
  <c r="V1184" i="6"/>
  <c r="V1185" i="6"/>
  <c r="V1186" i="6"/>
  <c r="V1187" i="6"/>
  <c r="V1188" i="6"/>
  <c r="V1189" i="6"/>
  <c r="V1190" i="6"/>
  <c r="V1191" i="6"/>
  <c r="V1192" i="6"/>
  <c r="V1193" i="6"/>
  <c r="V1194" i="6"/>
  <c r="V1195" i="6"/>
  <c r="V1196" i="6"/>
  <c r="V1197" i="6"/>
  <c r="V1198" i="6"/>
  <c r="V1199" i="6"/>
  <c r="V1200" i="6"/>
  <c r="V1201" i="6"/>
  <c r="V1202" i="6"/>
  <c r="V1203" i="6"/>
  <c r="V1204" i="6"/>
  <c r="V1205" i="6"/>
  <c r="V1206" i="6"/>
  <c r="V1207" i="6"/>
  <c r="V1208" i="6"/>
  <c r="V1209" i="6"/>
  <c r="V1210" i="6"/>
  <c r="V1211" i="6"/>
  <c r="V1212" i="6"/>
  <c r="V1213" i="6"/>
  <c r="V1214" i="6"/>
  <c r="V1215" i="6"/>
  <c r="V1216" i="6"/>
  <c r="V1217" i="6"/>
  <c r="V1218" i="6"/>
  <c r="V1219" i="6"/>
  <c r="V1220" i="6"/>
  <c r="V1221" i="6"/>
  <c r="V1222" i="6"/>
  <c r="V1223" i="6"/>
  <c r="V1224" i="6"/>
  <c r="V1225" i="6"/>
  <c r="V1226" i="6"/>
  <c r="V1227" i="6"/>
  <c r="V1228" i="6"/>
  <c r="V1229" i="6"/>
  <c r="V1230" i="6"/>
  <c r="V1231" i="6"/>
  <c r="V1232" i="6"/>
  <c r="V1233" i="6"/>
  <c r="V1234" i="6"/>
  <c r="V1235" i="6"/>
  <c r="V1236" i="6"/>
  <c r="V1237" i="6"/>
  <c r="V1238" i="6"/>
  <c r="V1239" i="6"/>
  <c r="V1240" i="6"/>
  <c r="V1241" i="6"/>
  <c r="V1242" i="6"/>
  <c r="V1243" i="6"/>
  <c r="V1244" i="6"/>
  <c r="V1245" i="6"/>
  <c r="V1246" i="6"/>
  <c r="V1247" i="6"/>
  <c r="V1248" i="6"/>
  <c r="V1249" i="6"/>
  <c r="V1250" i="6"/>
  <c r="V1251" i="6"/>
  <c r="V1252" i="6"/>
  <c r="V1253" i="6"/>
  <c r="V1254" i="6"/>
  <c r="V1255" i="6"/>
  <c r="V1256" i="6"/>
  <c r="V1257" i="6"/>
  <c r="V1258" i="6"/>
  <c r="V1259" i="6"/>
  <c r="V1260" i="6"/>
  <c r="V1261" i="6"/>
  <c r="V1262" i="6"/>
  <c r="V1263" i="6"/>
  <c r="V1264" i="6"/>
  <c r="V1265" i="6"/>
  <c r="V1266" i="6"/>
  <c r="V1267" i="6"/>
  <c r="V1268" i="6"/>
  <c r="V1269" i="6"/>
  <c r="V1270" i="6"/>
  <c r="V1271" i="6"/>
  <c r="V1272" i="6"/>
  <c r="V1273" i="6"/>
  <c r="V1274" i="6"/>
  <c r="V1275" i="6"/>
  <c r="V1276" i="6"/>
  <c r="V1277" i="6"/>
  <c r="V1278" i="6"/>
  <c r="V1279" i="6"/>
  <c r="V1280" i="6"/>
  <c r="V1281" i="6"/>
  <c r="V1282" i="6"/>
  <c r="V1283" i="6"/>
  <c r="V1284" i="6"/>
  <c r="V1285" i="6"/>
  <c r="V1286" i="6"/>
  <c r="V1287" i="6"/>
  <c r="V1288" i="6"/>
  <c r="V1289" i="6"/>
  <c r="V1290" i="6"/>
  <c r="V1291" i="6"/>
  <c r="V1292" i="6"/>
  <c r="V1293" i="6"/>
  <c r="V1294" i="6"/>
  <c r="V1295" i="6"/>
  <c r="V1296" i="6"/>
  <c r="V1297" i="6"/>
  <c r="V1298" i="6"/>
  <c r="V1299" i="6"/>
  <c r="V1300" i="6"/>
  <c r="V1301" i="6"/>
  <c r="V1302" i="6"/>
  <c r="V1303" i="6"/>
  <c r="V1304" i="6"/>
  <c r="V1305" i="6"/>
  <c r="V1306" i="6"/>
  <c r="V1307" i="6"/>
  <c r="V1308" i="6"/>
  <c r="V1309" i="6"/>
  <c r="V1310" i="6"/>
  <c r="V1311" i="6"/>
  <c r="V1312" i="6"/>
  <c r="V1313" i="6"/>
  <c r="V1314" i="6"/>
  <c r="V1315" i="6"/>
  <c r="V1316" i="6"/>
  <c r="V1317" i="6"/>
  <c r="V1318" i="6"/>
  <c r="V1319" i="6"/>
  <c r="V1320" i="6"/>
  <c r="V1321" i="6"/>
  <c r="V1322" i="6"/>
  <c r="V1323" i="6"/>
  <c r="V1324" i="6"/>
  <c r="V1325" i="6"/>
  <c r="V1326" i="6"/>
  <c r="V1327" i="6"/>
  <c r="V1328" i="6"/>
  <c r="V1329" i="6"/>
  <c r="V1330" i="6"/>
  <c r="V1331" i="6"/>
  <c r="V1332" i="6"/>
  <c r="V1333" i="6"/>
  <c r="V1334" i="6"/>
  <c r="V1335" i="6"/>
  <c r="V1336" i="6"/>
  <c r="V1337" i="6"/>
  <c r="V1338" i="6"/>
  <c r="V1339" i="6"/>
  <c r="V1340" i="6"/>
  <c r="V1341" i="6"/>
  <c r="V1342" i="6"/>
  <c r="V1343" i="6"/>
  <c r="V1344" i="6"/>
  <c r="V1345" i="6"/>
  <c r="V1346" i="6"/>
  <c r="V1347" i="6"/>
  <c r="V1348" i="6"/>
  <c r="V1349" i="6"/>
  <c r="V1350" i="6"/>
  <c r="V1351" i="6"/>
  <c r="V1352" i="6"/>
  <c r="V1353" i="6"/>
  <c r="V1354" i="6"/>
  <c r="V1355" i="6"/>
  <c r="V1356" i="6"/>
  <c r="V1357" i="6"/>
  <c r="V1358" i="6"/>
  <c r="V1359" i="6"/>
  <c r="V1360" i="6"/>
  <c r="V1361" i="6"/>
  <c r="V1362" i="6"/>
  <c r="V1363" i="6"/>
  <c r="V1364" i="6"/>
  <c r="V1365" i="6"/>
  <c r="V1366" i="6"/>
  <c r="V1367" i="6"/>
  <c r="V1368" i="6"/>
  <c r="V1369" i="6"/>
  <c r="V1370" i="6"/>
  <c r="V1371" i="6"/>
  <c r="V1372" i="6"/>
  <c r="V1373" i="6"/>
  <c r="V1374" i="6"/>
  <c r="V1375" i="6"/>
  <c r="V1376" i="6"/>
  <c r="V1377" i="6"/>
  <c r="V1378" i="6"/>
  <c r="V1379" i="6"/>
  <c r="V1380" i="6"/>
  <c r="V1381" i="6"/>
  <c r="V1382" i="6"/>
  <c r="V1383" i="6"/>
  <c r="V1384" i="6"/>
  <c r="V1385" i="6"/>
  <c r="V1386" i="6"/>
  <c r="V1387" i="6"/>
  <c r="V1388" i="6"/>
  <c r="V1389" i="6"/>
  <c r="V1390" i="6"/>
  <c r="V1391" i="6"/>
  <c r="V1392" i="6"/>
  <c r="V1393" i="6"/>
  <c r="V1394" i="6"/>
  <c r="V1395" i="6"/>
  <c r="V1396" i="6"/>
  <c r="V1397" i="6"/>
  <c r="V1398" i="6"/>
  <c r="V1399" i="6"/>
  <c r="V1400" i="6"/>
  <c r="V1401" i="6"/>
  <c r="V1402" i="6"/>
  <c r="V1403" i="6"/>
  <c r="V1404" i="6"/>
  <c r="V1405" i="6"/>
  <c r="V1406" i="6"/>
  <c r="V1407" i="6"/>
  <c r="V1408" i="6"/>
  <c r="V1409" i="6"/>
  <c r="V1410" i="6"/>
  <c r="V1411" i="6"/>
  <c r="V1412" i="6"/>
  <c r="V1413" i="6"/>
  <c r="V1414" i="6"/>
  <c r="V1415" i="6"/>
  <c r="V1416" i="6"/>
  <c r="V1417" i="6"/>
  <c r="V1418" i="6"/>
  <c r="V1419" i="6"/>
  <c r="V1420" i="6"/>
  <c r="V1421" i="6"/>
  <c r="V1422" i="6"/>
  <c r="V1423" i="6"/>
  <c r="V1424" i="6"/>
  <c r="V1425" i="6"/>
  <c r="V1426" i="6"/>
  <c r="V1427" i="6"/>
  <c r="V1428" i="6"/>
  <c r="V1429" i="6"/>
  <c r="V1430" i="6"/>
  <c r="V1431" i="6"/>
  <c r="V1432" i="6"/>
  <c r="V1433" i="6"/>
  <c r="V1434" i="6"/>
  <c r="V1435" i="6"/>
  <c r="V1436" i="6"/>
  <c r="V1437" i="6"/>
  <c r="V1438" i="6"/>
  <c r="V1439" i="6"/>
  <c r="V1440" i="6"/>
  <c r="V1441" i="6"/>
  <c r="V1442" i="6"/>
  <c r="V1443" i="6"/>
  <c r="V1444" i="6"/>
  <c r="V1445" i="6"/>
  <c r="V1446" i="6"/>
  <c r="V1447" i="6"/>
  <c r="V1448" i="6"/>
  <c r="V1449" i="6"/>
  <c r="V1450" i="6"/>
  <c r="V1451" i="6"/>
  <c r="V1452" i="6"/>
  <c r="V1453" i="6"/>
  <c r="V1454" i="6"/>
  <c r="V1455" i="6"/>
  <c r="V1456" i="6"/>
  <c r="V1457" i="6"/>
  <c r="V1458" i="6"/>
  <c r="V1459" i="6"/>
  <c r="V1460" i="6"/>
  <c r="V1461" i="6"/>
  <c r="V1462" i="6"/>
  <c r="V1463" i="6"/>
  <c r="V1464" i="6"/>
  <c r="V1465" i="6"/>
  <c r="V1466" i="6"/>
  <c r="V1467" i="6"/>
  <c r="V1468" i="6"/>
  <c r="V1469" i="6"/>
  <c r="V1470" i="6"/>
  <c r="V1471" i="6"/>
  <c r="V1472" i="6"/>
  <c r="V1473" i="6"/>
  <c r="V1474" i="6"/>
  <c r="V1475" i="6"/>
  <c r="V1476" i="6"/>
  <c r="V1477" i="6"/>
  <c r="V1478" i="6"/>
  <c r="V1479" i="6"/>
  <c r="V1480" i="6"/>
  <c r="V1481" i="6"/>
  <c r="V1482" i="6"/>
  <c r="V1483" i="6"/>
  <c r="V1484" i="6"/>
  <c r="V1485" i="6"/>
  <c r="V1486" i="6"/>
  <c r="V1487" i="6"/>
  <c r="V1488" i="6"/>
  <c r="V1489" i="6"/>
  <c r="V1490" i="6"/>
  <c r="V1491" i="6"/>
  <c r="V1492" i="6"/>
  <c r="V1493" i="6"/>
  <c r="V1494" i="6"/>
  <c r="V1495" i="6"/>
  <c r="V1496" i="6"/>
  <c r="V1497" i="6"/>
  <c r="V1498" i="6"/>
  <c r="V1499" i="6"/>
  <c r="V1500" i="6"/>
  <c r="V1501" i="6"/>
  <c r="V1502" i="6"/>
  <c r="V1503" i="6"/>
  <c r="V1504" i="6"/>
  <c r="V1505" i="6"/>
  <c r="V1506" i="6"/>
  <c r="V1507" i="6"/>
  <c r="V1508" i="6"/>
  <c r="V1509" i="6"/>
  <c r="V1510" i="6"/>
  <c r="V1511" i="6"/>
  <c r="V1512" i="6"/>
  <c r="V1513" i="6"/>
  <c r="V1514" i="6"/>
  <c r="V1515" i="6"/>
  <c r="V1516" i="6"/>
  <c r="V1517" i="6"/>
  <c r="V1518" i="6"/>
  <c r="V1519" i="6"/>
  <c r="V1520" i="6"/>
  <c r="V1521" i="6"/>
  <c r="V1522" i="6"/>
  <c r="V1523" i="6"/>
  <c r="V1524" i="6"/>
  <c r="V1525" i="6"/>
  <c r="V1526" i="6"/>
  <c r="V1527" i="6"/>
  <c r="V1528" i="6"/>
  <c r="V1529" i="6"/>
  <c r="V1530" i="6"/>
  <c r="V1531" i="6"/>
  <c r="V1532" i="6"/>
  <c r="V1533" i="6"/>
  <c r="V1534" i="6"/>
  <c r="V1535" i="6"/>
  <c r="V1536" i="6"/>
  <c r="V1537" i="6"/>
  <c r="V1538" i="6"/>
  <c r="V1539" i="6"/>
  <c r="V1540" i="6"/>
  <c r="V1541" i="6"/>
  <c r="V1542" i="6"/>
  <c r="V1543" i="6"/>
  <c r="V1544" i="6"/>
  <c r="V1545" i="6"/>
  <c r="V1546" i="6"/>
  <c r="V1547" i="6"/>
  <c r="V1548" i="6"/>
  <c r="V1549" i="6"/>
  <c r="V1550" i="6"/>
  <c r="V1551" i="6"/>
  <c r="V1552" i="6"/>
  <c r="V1553" i="6"/>
  <c r="V1554" i="6"/>
  <c r="V1555" i="6"/>
  <c r="V1556" i="6"/>
  <c r="V1557" i="6"/>
  <c r="V1558" i="6"/>
  <c r="V1559" i="6"/>
  <c r="V1560" i="6"/>
  <c r="V1561" i="6"/>
  <c r="V1562" i="6"/>
  <c r="V1563" i="6"/>
  <c r="V1564" i="6"/>
  <c r="V1565" i="6"/>
  <c r="V1566" i="6"/>
  <c r="V1567" i="6"/>
  <c r="V1568" i="6"/>
  <c r="V1569" i="6"/>
  <c r="V1570" i="6"/>
  <c r="V1571" i="6"/>
  <c r="V1572" i="6"/>
  <c r="V1573" i="6"/>
  <c r="V1574" i="6"/>
  <c r="V1575" i="6"/>
  <c r="V1576" i="6"/>
  <c r="V1577" i="6"/>
  <c r="V1578" i="6"/>
  <c r="V1579" i="6"/>
  <c r="V1580" i="6"/>
  <c r="V1581" i="6"/>
  <c r="V1582" i="6"/>
  <c r="V1583" i="6"/>
  <c r="V1584" i="6"/>
  <c r="V1585" i="6"/>
  <c r="V1586" i="6"/>
  <c r="V1587" i="6"/>
  <c r="V1588" i="6"/>
  <c r="V1589" i="6"/>
  <c r="V1590" i="6"/>
  <c r="V1591" i="6"/>
  <c r="V1592" i="6"/>
  <c r="V1593" i="6"/>
  <c r="V1594" i="6"/>
  <c r="V1595" i="6"/>
  <c r="V1596" i="6"/>
  <c r="V1597" i="6"/>
  <c r="V1598" i="6"/>
  <c r="V1599" i="6"/>
  <c r="V1600" i="6"/>
  <c r="V1601" i="6"/>
  <c r="V1602" i="6"/>
  <c r="V1603" i="6"/>
  <c r="V1604" i="6"/>
  <c r="V1605" i="6"/>
  <c r="V1606" i="6"/>
  <c r="V1607" i="6"/>
  <c r="V1608" i="6"/>
  <c r="V1609" i="6"/>
  <c r="V1610" i="6"/>
  <c r="V1611" i="6"/>
  <c r="V1612" i="6"/>
  <c r="V1613" i="6"/>
  <c r="V1614" i="6"/>
  <c r="V1615" i="6"/>
  <c r="V1616" i="6"/>
  <c r="V1617" i="6"/>
  <c r="V1618" i="6"/>
  <c r="V1619" i="6"/>
  <c r="V1620" i="6"/>
  <c r="V1621" i="6"/>
  <c r="V1622" i="6"/>
  <c r="V1623" i="6"/>
  <c r="V1624" i="6"/>
  <c r="V1625" i="6"/>
  <c r="V1626" i="6"/>
  <c r="V1627" i="6"/>
  <c r="V1628" i="6"/>
  <c r="V1629" i="6"/>
  <c r="V1630" i="6"/>
  <c r="V1631" i="6"/>
  <c r="V1632" i="6"/>
  <c r="V1633" i="6"/>
  <c r="V1634" i="6"/>
  <c r="V1635" i="6"/>
  <c r="V1636" i="6"/>
  <c r="V1637" i="6"/>
  <c r="V1638" i="6"/>
  <c r="V1639" i="6"/>
  <c r="V1640" i="6"/>
  <c r="V1641" i="6"/>
  <c r="V1642" i="6"/>
  <c r="V1643" i="6"/>
  <c r="V1644" i="6"/>
  <c r="V1645" i="6"/>
  <c r="V1646" i="6"/>
  <c r="V1647" i="6"/>
  <c r="V1648" i="6"/>
  <c r="V1649" i="6"/>
  <c r="V1650" i="6"/>
  <c r="V1651" i="6"/>
  <c r="V1652" i="6"/>
  <c r="V1653" i="6"/>
  <c r="V1654" i="6"/>
  <c r="V1655" i="6"/>
  <c r="V1656" i="6"/>
  <c r="V1657" i="6"/>
  <c r="V1658" i="6"/>
  <c r="V1659" i="6"/>
  <c r="V1660" i="6"/>
  <c r="V1661" i="6"/>
  <c r="V1662" i="6"/>
  <c r="V1663" i="6"/>
  <c r="V1664" i="6"/>
  <c r="V1665" i="6"/>
  <c r="V1666" i="6"/>
  <c r="V1667" i="6"/>
  <c r="V1668" i="6"/>
  <c r="V1669" i="6"/>
  <c r="V1670" i="6"/>
  <c r="V1671" i="6"/>
  <c r="V1672" i="6"/>
  <c r="V1673" i="6"/>
  <c r="V1674" i="6"/>
  <c r="V1675" i="6"/>
  <c r="V1676" i="6"/>
  <c r="V1677" i="6"/>
  <c r="V1678" i="6"/>
  <c r="V1679" i="6"/>
  <c r="V1680" i="6"/>
  <c r="V1681" i="6"/>
  <c r="V1682" i="6"/>
  <c r="V1683" i="6"/>
  <c r="V1684" i="6"/>
  <c r="V1685" i="6"/>
  <c r="V1686" i="6"/>
  <c r="V1687" i="6"/>
  <c r="V1688" i="6"/>
  <c r="V1689" i="6"/>
  <c r="V1690" i="6"/>
  <c r="V1691" i="6"/>
  <c r="V1692" i="6"/>
  <c r="V1693" i="6"/>
  <c r="V1694" i="6"/>
  <c r="V1695" i="6"/>
  <c r="V1696" i="6"/>
  <c r="V1697" i="6"/>
  <c r="V1698" i="6"/>
  <c r="V1699" i="6"/>
  <c r="V1700" i="6"/>
  <c r="V1701" i="6"/>
  <c r="V1702" i="6"/>
  <c r="V1703" i="6"/>
  <c r="V1704" i="6"/>
  <c r="V1705" i="6"/>
  <c r="V1706" i="6"/>
  <c r="V1707" i="6"/>
  <c r="V1708" i="6"/>
  <c r="V1709" i="6"/>
  <c r="V1710" i="6"/>
  <c r="V1711" i="6"/>
  <c r="V1712" i="6"/>
  <c r="V1713" i="6"/>
  <c r="V1714" i="6"/>
  <c r="V1715" i="6"/>
  <c r="V1716" i="6"/>
  <c r="V1717" i="6"/>
  <c r="V1718" i="6"/>
  <c r="V1719" i="6"/>
  <c r="V1720" i="6"/>
  <c r="V1721" i="6"/>
  <c r="V1722" i="6"/>
  <c r="V1723" i="6"/>
  <c r="V1724" i="6"/>
  <c r="V1725" i="6"/>
  <c r="V1726" i="6"/>
  <c r="V1727" i="6"/>
  <c r="V1728" i="6"/>
  <c r="V1729" i="6"/>
  <c r="V1730" i="6"/>
  <c r="V1731" i="6"/>
  <c r="V1732" i="6"/>
  <c r="V1733" i="6"/>
  <c r="V1734" i="6"/>
  <c r="V1735" i="6"/>
  <c r="V1736" i="6"/>
  <c r="V1737" i="6"/>
  <c r="V1738" i="6"/>
  <c r="V1739" i="6"/>
  <c r="V1740" i="6"/>
  <c r="V1741" i="6"/>
  <c r="V1742" i="6"/>
  <c r="V1743" i="6"/>
  <c r="V1744" i="6"/>
  <c r="V1745" i="6"/>
  <c r="V1746" i="6"/>
  <c r="V1747" i="6"/>
  <c r="V1748" i="6"/>
  <c r="V1749" i="6"/>
  <c r="V1750" i="6"/>
  <c r="V1751" i="6"/>
  <c r="V1752" i="6"/>
  <c r="V1753" i="6"/>
  <c r="V1754" i="6"/>
  <c r="V1755" i="6"/>
  <c r="V1756" i="6"/>
  <c r="V1757" i="6"/>
  <c r="V1758" i="6"/>
  <c r="V1759" i="6"/>
  <c r="V1760" i="6"/>
  <c r="V1761" i="6"/>
  <c r="V1762" i="6"/>
  <c r="V1763" i="6"/>
  <c r="V1764" i="6"/>
  <c r="V1765" i="6"/>
  <c r="V1766" i="6"/>
  <c r="V1767" i="6"/>
  <c r="V1768" i="6"/>
  <c r="V1769" i="6"/>
  <c r="V1770" i="6"/>
  <c r="V1771" i="6"/>
  <c r="V1772" i="6"/>
  <c r="V1773" i="6"/>
  <c r="V1774" i="6"/>
  <c r="V1775" i="6"/>
  <c r="V1776" i="6"/>
  <c r="V1777" i="6"/>
  <c r="V1778" i="6"/>
  <c r="V1779" i="6"/>
  <c r="V1780" i="6"/>
  <c r="V1781" i="6"/>
  <c r="V1782" i="6"/>
  <c r="V1783" i="6"/>
  <c r="V1784" i="6"/>
  <c r="V1785" i="6"/>
  <c r="V1786" i="6"/>
  <c r="V1787" i="6"/>
  <c r="V1788" i="6"/>
  <c r="V1789" i="6"/>
  <c r="V1790" i="6"/>
  <c r="V1791" i="6"/>
  <c r="V1792" i="6"/>
  <c r="V1793" i="6"/>
  <c r="V1794" i="6"/>
  <c r="V1795" i="6"/>
  <c r="V1796" i="6"/>
  <c r="V1797" i="6"/>
  <c r="V1798" i="6"/>
  <c r="V1799" i="6"/>
  <c r="V1800" i="6"/>
  <c r="V1801" i="6"/>
  <c r="V1802" i="6"/>
  <c r="V1803" i="6"/>
  <c r="V1804" i="6"/>
  <c r="V1805" i="6"/>
  <c r="V1806" i="6"/>
  <c r="V1807" i="6"/>
  <c r="V1808" i="6"/>
  <c r="V1809" i="6"/>
  <c r="V1810" i="6"/>
  <c r="V1811" i="6"/>
  <c r="V1812" i="6"/>
  <c r="V1813" i="6"/>
  <c r="V1814" i="6"/>
  <c r="V1815" i="6"/>
  <c r="V1816" i="6"/>
  <c r="V1817" i="6"/>
  <c r="V1818" i="6"/>
  <c r="V1819" i="6"/>
  <c r="V1820" i="6"/>
  <c r="V1821" i="6"/>
  <c r="V1822" i="6"/>
  <c r="V1823" i="6"/>
  <c r="V1824" i="6"/>
  <c r="V1825" i="6"/>
  <c r="V1826" i="6"/>
  <c r="V1827" i="6"/>
  <c r="V1828" i="6"/>
  <c r="V1829" i="6"/>
  <c r="V1830" i="6"/>
  <c r="V1831" i="6"/>
  <c r="V1832" i="6"/>
  <c r="V1833" i="6"/>
  <c r="V1834" i="6"/>
  <c r="V1835" i="6"/>
  <c r="V1836" i="6"/>
  <c r="V1837" i="6"/>
  <c r="V1838" i="6"/>
  <c r="V1839" i="6"/>
  <c r="V1840" i="6"/>
  <c r="V1841" i="6"/>
  <c r="V1842" i="6"/>
  <c r="V1843" i="6"/>
  <c r="V1844" i="6"/>
  <c r="V1845" i="6"/>
  <c r="V1846" i="6"/>
  <c r="V1847" i="6"/>
  <c r="V1848" i="6"/>
  <c r="V1849" i="6"/>
  <c r="V1850" i="6"/>
  <c r="V1851" i="6"/>
  <c r="V1852" i="6"/>
  <c r="V1853" i="6"/>
  <c r="V1854" i="6"/>
  <c r="V1855" i="6"/>
  <c r="V1856" i="6"/>
  <c r="V1857" i="6"/>
  <c r="V1858" i="6"/>
  <c r="V1859" i="6"/>
  <c r="V1860" i="6"/>
  <c r="V1861" i="6"/>
  <c r="V1862" i="6"/>
  <c r="V1863" i="6"/>
  <c r="V1864" i="6"/>
  <c r="V1865" i="6"/>
  <c r="V1866" i="6"/>
  <c r="V1867" i="6"/>
  <c r="V1868" i="6"/>
  <c r="V1869" i="6"/>
  <c r="V1870" i="6"/>
  <c r="V1871" i="6"/>
  <c r="V1872" i="6"/>
  <c r="V1873" i="6"/>
  <c r="V1874" i="6"/>
  <c r="V1875" i="6"/>
  <c r="V1876" i="6"/>
  <c r="V1877" i="6"/>
  <c r="V1878" i="6"/>
  <c r="V1879" i="6"/>
  <c r="V1880" i="6"/>
  <c r="V1881" i="6"/>
  <c r="V1882" i="6"/>
  <c r="V1883" i="6"/>
  <c r="V1884" i="6"/>
  <c r="V1885" i="6"/>
  <c r="V1886" i="6"/>
  <c r="V1887" i="6"/>
  <c r="V1888" i="6"/>
  <c r="V1889" i="6"/>
  <c r="V1890" i="6"/>
  <c r="V1891" i="6"/>
  <c r="V1892" i="6"/>
  <c r="V1893" i="6"/>
  <c r="V1894" i="6"/>
  <c r="V1895" i="6"/>
  <c r="V1896" i="6"/>
  <c r="V1897" i="6"/>
  <c r="V1898" i="6"/>
  <c r="V1899" i="6"/>
  <c r="V1900" i="6"/>
  <c r="V1901" i="6"/>
  <c r="V1902" i="6"/>
  <c r="V1903" i="6"/>
  <c r="V1904" i="6"/>
  <c r="V1905" i="6"/>
  <c r="V1906" i="6"/>
  <c r="V1907" i="6"/>
  <c r="V1908" i="6"/>
  <c r="V1909" i="6"/>
  <c r="V1910" i="6"/>
  <c r="V1911" i="6"/>
  <c r="V1912" i="6"/>
  <c r="V1913" i="6"/>
  <c r="V1914" i="6"/>
  <c r="V1915" i="6"/>
  <c r="V1916" i="6"/>
  <c r="V1917" i="6"/>
  <c r="V1918" i="6"/>
  <c r="V1919" i="6"/>
  <c r="V1920" i="6"/>
  <c r="V1921" i="6"/>
  <c r="V1922" i="6"/>
  <c r="V1923" i="6"/>
  <c r="V1924" i="6"/>
  <c r="V1925" i="6"/>
  <c r="V1926" i="6"/>
  <c r="V1927" i="6"/>
  <c r="V1928" i="6"/>
  <c r="V1929" i="6"/>
  <c r="V1930" i="6"/>
  <c r="V1931" i="6"/>
  <c r="V1932" i="6"/>
  <c r="V1933" i="6"/>
  <c r="V1934" i="6"/>
  <c r="V1935" i="6"/>
  <c r="V1936" i="6"/>
  <c r="V1937" i="6"/>
  <c r="V1938" i="6"/>
  <c r="V1939" i="6"/>
  <c r="V1940" i="6"/>
  <c r="V1941" i="6"/>
  <c r="V1942" i="6"/>
  <c r="V1943" i="6"/>
  <c r="V1944" i="6"/>
  <c r="V1945" i="6"/>
  <c r="V1946" i="6"/>
  <c r="V1947" i="6"/>
  <c r="V1948" i="6"/>
  <c r="V1949" i="6"/>
  <c r="V1950" i="6"/>
  <c r="V1951" i="6"/>
  <c r="V1952" i="6"/>
  <c r="V1953" i="6"/>
  <c r="V1954" i="6"/>
  <c r="V1955" i="6"/>
  <c r="V1956" i="6"/>
  <c r="V1957" i="6"/>
  <c r="V1958" i="6"/>
  <c r="V1959" i="6"/>
  <c r="V1960" i="6"/>
  <c r="V1961" i="6"/>
  <c r="V1962" i="6"/>
  <c r="V1963" i="6"/>
  <c r="V1964" i="6"/>
  <c r="V1965" i="6"/>
  <c r="V1966" i="6"/>
  <c r="V1967" i="6"/>
  <c r="V1968" i="6"/>
  <c r="V1969" i="6"/>
  <c r="V1970" i="6"/>
  <c r="V1971" i="6"/>
  <c r="V1972" i="6"/>
  <c r="V1973" i="6"/>
  <c r="V1974" i="6"/>
  <c r="V1975" i="6"/>
  <c r="V1976" i="6"/>
  <c r="V1977" i="6"/>
  <c r="V1978" i="6"/>
  <c r="V1979" i="6"/>
  <c r="V1980" i="6"/>
  <c r="V1981" i="6"/>
  <c r="V1982" i="6"/>
  <c r="V1983" i="6"/>
  <c r="V1984" i="6"/>
  <c r="V1985" i="6"/>
  <c r="V1986" i="6"/>
  <c r="V1987" i="6"/>
  <c r="V1988" i="6"/>
  <c r="V1989" i="6"/>
  <c r="V1990" i="6"/>
  <c r="V1991" i="6"/>
  <c r="V1992" i="6"/>
  <c r="V1993" i="6"/>
  <c r="V1994" i="6"/>
  <c r="V1995" i="6"/>
  <c r="V1996" i="6"/>
  <c r="V1997" i="6"/>
  <c r="V1998" i="6"/>
  <c r="V1999" i="6"/>
  <c r="V2000" i="6"/>
  <c r="V2001" i="6"/>
  <c r="V2002" i="6"/>
  <c r="V2003" i="6"/>
  <c r="V2004" i="6"/>
  <c r="V2005" i="6"/>
  <c r="V2006" i="6"/>
  <c r="V2007" i="6"/>
  <c r="V2008" i="6"/>
  <c r="V2009" i="6"/>
  <c r="V2010" i="6"/>
  <c r="V2011" i="6"/>
  <c r="V2012" i="6"/>
  <c r="V2013" i="6"/>
  <c r="V2014" i="6"/>
  <c r="V2015" i="6"/>
  <c r="V2016" i="6"/>
  <c r="V2017" i="6"/>
  <c r="V2018" i="6"/>
  <c r="V2019" i="6"/>
  <c r="V2020" i="6"/>
  <c r="V2021" i="6"/>
  <c r="V2022" i="6"/>
  <c r="V2023" i="6"/>
  <c r="V2024" i="6"/>
  <c r="V2025" i="6"/>
  <c r="V2026" i="6"/>
  <c r="V2027" i="6"/>
  <c r="V2028" i="6"/>
  <c r="V2029" i="6"/>
  <c r="V2030" i="6"/>
  <c r="V2031" i="6"/>
  <c r="V2032" i="6"/>
  <c r="V2033" i="6"/>
  <c r="V2034" i="6"/>
  <c r="V2035" i="6"/>
  <c r="V2036" i="6"/>
  <c r="V2037" i="6"/>
  <c r="V2038" i="6"/>
  <c r="V2039" i="6"/>
  <c r="V2040" i="6"/>
  <c r="V2041" i="6"/>
  <c r="V2042" i="6"/>
  <c r="V2043" i="6"/>
  <c r="V2044" i="6"/>
  <c r="V2045" i="6"/>
  <c r="V2046" i="6"/>
  <c r="V2047" i="6"/>
  <c r="V2048" i="6"/>
  <c r="V2049" i="6"/>
  <c r="V2050" i="6"/>
  <c r="V2051" i="6"/>
  <c r="V2052" i="6"/>
  <c r="V2053" i="6"/>
  <c r="V2054" i="6"/>
  <c r="V2055" i="6"/>
  <c r="V2056" i="6"/>
  <c r="V2057" i="6"/>
  <c r="V2058" i="6"/>
  <c r="V2059" i="6"/>
  <c r="V2060" i="6"/>
  <c r="V2061" i="6"/>
  <c r="V2062" i="6"/>
  <c r="V2063" i="6"/>
  <c r="V2064" i="6"/>
  <c r="V2065" i="6"/>
  <c r="V2066" i="6"/>
  <c r="V2067" i="6"/>
  <c r="V2068" i="6"/>
  <c r="V2069" i="6"/>
  <c r="V2070" i="6"/>
  <c r="V2071" i="6"/>
  <c r="V2072" i="6"/>
  <c r="V2073" i="6"/>
  <c r="V2074" i="6"/>
  <c r="V2075" i="6"/>
  <c r="V2076" i="6"/>
  <c r="V2077" i="6"/>
  <c r="V2078" i="6"/>
  <c r="V2079" i="6"/>
  <c r="V2080" i="6"/>
  <c r="V2081" i="6"/>
  <c r="V2082" i="6"/>
  <c r="V2083" i="6"/>
  <c r="V2084" i="6"/>
  <c r="V2085" i="6"/>
  <c r="V2086" i="6"/>
  <c r="V2087" i="6"/>
  <c r="V2088" i="6"/>
  <c r="V2089" i="6"/>
  <c r="V2090" i="6"/>
  <c r="V2091" i="6"/>
  <c r="V2092" i="6"/>
  <c r="V2093" i="6"/>
  <c r="V2094" i="6"/>
  <c r="V2095" i="6"/>
  <c r="V2096" i="6"/>
  <c r="V2097" i="6"/>
  <c r="V2098" i="6"/>
  <c r="V2099" i="6"/>
  <c r="V2100" i="6"/>
  <c r="V2101" i="6"/>
  <c r="V2102" i="6"/>
  <c r="V2103" i="6"/>
  <c r="V2104" i="6"/>
  <c r="V2105" i="6"/>
  <c r="V2106" i="6"/>
  <c r="V2107" i="6"/>
  <c r="V2108" i="6"/>
  <c r="V2109" i="6"/>
  <c r="V2110" i="6"/>
  <c r="V2111" i="6"/>
  <c r="V2112" i="6"/>
  <c r="V2113" i="6"/>
  <c r="V2114" i="6"/>
  <c r="V2115" i="6"/>
  <c r="V2116" i="6"/>
  <c r="V2117" i="6"/>
  <c r="V2118" i="6"/>
  <c r="V2119" i="6"/>
  <c r="V2120" i="6"/>
  <c r="V2121" i="6"/>
  <c r="V2122" i="6"/>
  <c r="V2123" i="6"/>
  <c r="V2124" i="6"/>
  <c r="V2125" i="6"/>
  <c r="V2126" i="6"/>
  <c r="V2127" i="6"/>
  <c r="V2128" i="6"/>
  <c r="V2129" i="6"/>
  <c r="V2130" i="6"/>
  <c r="V2131" i="6"/>
  <c r="V2132" i="6"/>
  <c r="V2133" i="6"/>
  <c r="V2134" i="6"/>
  <c r="V2135" i="6"/>
  <c r="V2136" i="6"/>
  <c r="V2137" i="6"/>
  <c r="V2138" i="6"/>
  <c r="V2139" i="6"/>
  <c r="V2140" i="6"/>
  <c r="V2141" i="6"/>
  <c r="V2142" i="6"/>
  <c r="V2143" i="6"/>
  <c r="V2144" i="6"/>
  <c r="V2145" i="6"/>
  <c r="V2146" i="6"/>
  <c r="V2147" i="6"/>
  <c r="V2148" i="6"/>
  <c r="V2149" i="6"/>
  <c r="V2150" i="6"/>
  <c r="V2151" i="6"/>
  <c r="V2152" i="6"/>
  <c r="V2153" i="6"/>
  <c r="V2154" i="6"/>
  <c r="V2155" i="6"/>
  <c r="V2156" i="6"/>
  <c r="V2157" i="6"/>
  <c r="V2158" i="6"/>
  <c r="V2159" i="6"/>
  <c r="V2160" i="6"/>
  <c r="V2161" i="6"/>
  <c r="V2162" i="6"/>
  <c r="V2163" i="6"/>
  <c r="V2164" i="6"/>
  <c r="V2165" i="6"/>
  <c r="V2166" i="6"/>
  <c r="V2167" i="6"/>
  <c r="V2168" i="6"/>
  <c r="V2169" i="6"/>
  <c r="V2170" i="6"/>
  <c r="V2171" i="6"/>
  <c r="V2172" i="6"/>
  <c r="V2173" i="6"/>
  <c r="V2174" i="6"/>
  <c r="V2175" i="6"/>
  <c r="V2176" i="6"/>
  <c r="V2177" i="6"/>
  <c r="V2178" i="6"/>
  <c r="V2179" i="6"/>
  <c r="V2180" i="6"/>
  <c r="V2181" i="6"/>
  <c r="V2182" i="6"/>
  <c r="V2183" i="6"/>
  <c r="V2184" i="6"/>
  <c r="V2185" i="6"/>
  <c r="V2186" i="6"/>
  <c r="V2187" i="6"/>
  <c r="V2188" i="6"/>
  <c r="V2189" i="6"/>
  <c r="V2190" i="6"/>
  <c r="V2191" i="6"/>
  <c r="V2192" i="6"/>
  <c r="V2193" i="6"/>
  <c r="V2194" i="6"/>
  <c r="V2195" i="6"/>
  <c r="V2196" i="6"/>
  <c r="V2197" i="6"/>
  <c r="V2198" i="6"/>
  <c r="V2199" i="6"/>
  <c r="V2200" i="6"/>
  <c r="V2201" i="6"/>
  <c r="V2202" i="6"/>
  <c r="V2203" i="6"/>
  <c r="V2204" i="6"/>
  <c r="V2205" i="6"/>
  <c r="V2206" i="6"/>
  <c r="V2207" i="6"/>
  <c r="V2208" i="6"/>
  <c r="V2209" i="6"/>
  <c r="V2210" i="6"/>
  <c r="V2211" i="6"/>
  <c r="V2212" i="6"/>
  <c r="V2213" i="6"/>
  <c r="V2214" i="6"/>
  <c r="V2215" i="6"/>
  <c r="V2216" i="6"/>
  <c r="V2217" i="6"/>
  <c r="V2218" i="6"/>
  <c r="V2219" i="6"/>
  <c r="V2220" i="6"/>
  <c r="V2221" i="6"/>
  <c r="V2222" i="6"/>
  <c r="V2223" i="6"/>
  <c r="V2224" i="6"/>
  <c r="V2225" i="6"/>
  <c r="V2226" i="6"/>
  <c r="V2227" i="6"/>
  <c r="V2228" i="6"/>
  <c r="V2229" i="6"/>
  <c r="V2230" i="6"/>
  <c r="V2231" i="6"/>
  <c r="V2232" i="6"/>
  <c r="V2233" i="6"/>
  <c r="V2234" i="6"/>
  <c r="V2235" i="6"/>
  <c r="V2236" i="6"/>
  <c r="V2237" i="6"/>
  <c r="V2238" i="6"/>
  <c r="V2239" i="6"/>
  <c r="V2240" i="6"/>
  <c r="V2241" i="6"/>
  <c r="V2242" i="6"/>
  <c r="V2243" i="6"/>
  <c r="V2244" i="6"/>
  <c r="V2245" i="6"/>
  <c r="V2246" i="6"/>
  <c r="V2247" i="6"/>
  <c r="V2248" i="6"/>
  <c r="V2249" i="6"/>
  <c r="V2250" i="6"/>
  <c r="V2251" i="6"/>
  <c r="V2252" i="6"/>
  <c r="V2253" i="6"/>
  <c r="V2254" i="6"/>
  <c r="V2255" i="6"/>
  <c r="V2256" i="6"/>
  <c r="V2257" i="6"/>
  <c r="V2258" i="6"/>
  <c r="V2259" i="6"/>
  <c r="V2260" i="6"/>
  <c r="V2261" i="6"/>
  <c r="V2262" i="6"/>
  <c r="V2263" i="6"/>
  <c r="V2264" i="6"/>
  <c r="V2265" i="6"/>
  <c r="V2266" i="6"/>
  <c r="V2267" i="6"/>
  <c r="V2268" i="6"/>
  <c r="V2269" i="6"/>
  <c r="V2270" i="6"/>
  <c r="V2271" i="6"/>
  <c r="V2272" i="6"/>
  <c r="V2273" i="6"/>
  <c r="V2274" i="6"/>
  <c r="V2275" i="6"/>
  <c r="V2276" i="6"/>
  <c r="V2277" i="6"/>
  <c r="V2278" i="6"/>
  <c r="V2279" i="6"/>
  <c r="V2280" i="6"/>
  <c r="V2281" i="6"/>
  <c r="V2282" i="6"/>
  <c r="V2283" i="6"/>
  <c r="V2284" i="6"/>
  <c r="V2285" i="6"/>
  <c r="V2286" i="6"/>
  <c r="V2287" i="6"/>
  <c r="V2288" i="6"/>
  <c r="V2289" i="6"/>
  <c r="V2290" i="6"/>
  <c r="V2291" i="6"/>
  <c r="V2292" i="6"/>
  <c r="V2293" i="6"/>
  <c r="V2294" i="6"/>
  <c r="V2295" i="6"/>
  <c r="V2296" i="6"/>
  <c r="V2297" i="6"/>
  <c r="V2298" i="6"/>
  <c r="V2299" i="6"/>
  <c r="V2300" i="6"/>
  <c r="V2301" i="6"/>
  <c r="V2302" i="6"/>
  <c r="V2303" i="6"/>
  <c r="V2304" i="6"/>
  <c r="V2305" i="6"/>
  <c r="V2306" i="6"/>
  <c r="V2307" i="6"/>
  <c r="V2308" i="6"/>
  <c r="V2309" i="6"/>
  <c r="V2310" i="6"/>
  <c r="V2311" i="6"/>
  <c r="V2312" i="6"/>
  <c r="V2313" i="6"/>
  <c r="V2314" i="6"/>
  <c r="V2315" i="6"/>
  <c r="V2316" i="6"/>
  <c r="V2317" i="6"/>
  <c r="V2318" i="6"/>
  <c r="V2319" i="6"/>
  <c r="V2320" i="6"/>
  <c r="V2321" i="6"/>
  <c r="V2322" i="6"/>
  <c r="V2323" i="6"/>
  <c r="V2324" i="6"/>
  <c r="V2325" i="6"/>
  <c r="V2326" i="6"/>
  <c r="V2327" i="6"/>
  <c r="V2328" i="6"/>
  <c r="V2329" i="6"/>
  <c r="V2330" i="6"/>
  <c r="V2331" i="6"/>
  <c r="V2332" i="6"/>
  <c r="V2333" i="6"/>
  <c r="V2334" i="6"/>
  <c r="V2335" i="6"/>
  <c r="V2336" i="6"/>
  <c r="V2337" i="6"/>
  <c r="V2338" i="6"/>
  <c r="V2339" i="6"/>
  <c r="V2340" i="6"/>
  <c r="V2341" i="6"/>
  <c r="V2342" i="6"/>
  <c r="V2343" i="6"/>
  <c r="V2344" i="6"/>
  <c r="V2345" i="6"/>
  <c r="V2346" i="6"/>
  <c r="V2347" i="6"/>
  <c r="V2348" i="6"/>
  <c r="V2349" i="6"/>
  <c r="V2350" i="6"/>
  <c r="V2351" i="6"/>
  <c r="V2352" i="6"/>
  <c r="V2353" i="6"/>
  <c r="V2354" i="6"/>
  <c r="V2355" i="6"/>
  <c r="V2356" i="6"/>
  <c r="V2357" i="6"/>
  <c r="V2358" i="6"/>
  <c r="V2359" i="6"/>
  <c r="V2360" i="6"/>
  <c r="V2361" i="6"/>
  <c r="V2362" i="6"/>
  <c r="V2363" i="6"/>
  <c r="V2364" i="6"/>
  <c r="V2365" i="6"/>
  <c r="V2366" i="6"/>
  <c r="V2367" i="6"/>
  <c r="V2368" i="6"/>
  <c r="V2369" i="6"/>
  <c r="V2370" i="6"/>
  <c r="V2371" i="6"/>
  <c r="V2372" i="6"/>
  <c r="V2373" i="6"/>
  <c r="V2374" i="6"/>
  <c r="V2375" i="6"/>
  <c r="V2376" i="6"/>
  <c r="V2377" i="6"/>
  <c r="V2378" i="6"/>
  <c r="V2379" i="6"/>
  <c r="V2380" i="6"/>
  <c r="V2381" i="6"/>
  <c r="V2382" i="6"/>
  <c r="V2383" i="6"/>
  <c r="V2384" i="6"/>
  <c r="V2385" i="6"/>
  <c r="V2386" i="6"/>
  <c r="V2387" i="6"/>
  <c r="V2388" i="6"/>
  <c r="V2389" i="6"/>
  <c r="V2390" i="6"/>
  <c r="V2391" i="6"/>
  <c r="V2392" i="6"/>
  <c r="V2393" i="6"/>
  <c r="V2394" i="6"/>
  <c r="V2395" i="6"/>
  <c r="V2396" i="6"/>
  <c r="V2397" i="6"/>
  <c r="V2398" i="6"/>
  <c r="V2399" i="6"/>
  <c r="V2400" i="6"/>
  <c r="V2401" i="6"/>
  <c r="V2402" i="6"/>
  <c r="V2403" i="6"/>
  <c r="V2404" i="6"/>
  <c r="V2405" i="6"/>
  <c r="V2406" i="6"/>
  <c r="V2407" i="6"/>
  <c r="V2408" i="6"/>
  <c r="V2409" i="6"/>
  <c r="V2410" i="6"/>
  <c r="V2411" i="6"/>
  <c r="V2412" i="6"/>
  <c r="V2413" i="6"/>
  <c r="V2414" i="6"/>
  <c r="V2415" i="6"/>
  <c r="V2416" i="6"/>
  <c r="V2417" i="6"/>
  <c r="V2418" i="6"/>
  <c r="V2419" i="6"/>
  <c r="V2420" i="6"/>
  <c r="V2421" i="6"/>
  <c r="V2422" i="6"/>
  <c r="V2423" i="6"/>
  <c r="V2424" i="6"/>
  <c r="V2425" i="6"/>
  <c r="V2426" i="6"/>
  <c r="V2427" i="6"/>
  <c r="V2428" i="6"/>
  <c r="V2429" i="6"/>
  <c r="V2430" i="6"/>
  <c r="V2431" i="6"/>
  <c r="V2432" i="6"/>
  <c r="V2433" i="6"/>
  <c r="V2434" i="6"/>
  <c r="V2435" i="6"/>
  <c r="V2436" i="6"/>
  <c r="V2437" i="6"/>
  <c r="V2438" i="6"/>
  <c r="V2439" i="6"/>
  <c r="V2440" i="6"/>
  <c r="V2441" i="6"/>
  <c r="V2442" i="6"/>
  <c r="V2443" i="6"/>
  <c r="V2444" i="6"/>
  <c r="V2445" i="6"/>
  <c r="V2446" i="6"/>
  <c r="V2447" i="6"/>
  <c r="V2448" i="6"/>
  <c r="V2449" i="6"/>
  <c r="V2450" i="6"/>
  <c r="V2451" i="6"/>
  <c r="V2452" i="6"/>
  <c r="V2453" i="6"/>
  <c r="V2454" i="6"/>
  <c r="V2455" i="6"/>
  <c r="V2456" i="6"/>
  <c r="V2457" i="6"/>
  <c r="V2458" i="6"/>
  <c r="V2459" i="6"/>
  <c r="V2460" i="6"/>
  <c r="V2461" i="6"/>
  <c r="V2462" i="6"/>
  <c r="V2463" i="6"/>
  <c r="V2464" i="6"/>
  <c r="V2465" i="6"/>
  <c r="V2466" i="6"/>
  <c r="V2467" i="6"/>
  <c r="V2468" i="6"/>
  <c r="V2469" i="6"/>
  <c r="V2470" i="6"/>
  <c r="V2471" i="6"/>
  <c r="V2472" i="6"/>
  <c r="V2473" i="6"/>
  <c r="V2474" i="6"/>
  <c r="V2475" i="6"/>
  <c r="V2476" i="6"/>
  <c r="V2477" i="6"/>
  <c r="V2478" i="6"/>
  <c r="V2479" i="6"/>
  <c r="V2480" i="6"/>
  <c r="V2481" i="6"/>
  <c r="V2482" i="6"/>
  <c r="V2483" i="6"/>
  <c r="V2484" i="6"/>
  <c r="V2485" i="6"/>
  <c r="V2486" i="6"/>
  <c r="V2487" i="6"/>
  <c r="V2488" i="6"/>
  <c r="V2489" i="6"/>
  <c r="V2490" i="6"/>
  <c r="V2491" i="6"/>
  <c r="V2492" i="6"/>
  <c r="V2493" i="6"/>
  <c r="V2494" i="6"/>
  <c r="V2495" i="6"/>
  <c r="V2496" i="6"/>
  <c r="V2497" i="6"/>
  <c r="V2498" i="6"/>
  <c r="V2499" i="6"/>
  <c r="V2500" i="6"/>
  <c r="V2501" i="6"/>
  <c r="V2502" i="6"/>
  <c r="V2503" i="6"/>
  <c r="V2504" i="6"/>
  <c r="V2505" i="6"/>
  <c r="V2506" i="6"/>
  <c r="V2507" i="6"/>
  <c r="V2508" i="6"/>
  <c r="V2509" i="6"/>
  <c r="V2510" i="6"/>
  <c r="V2511" i="6"/>
  <c r="V2512" i="6"/>
  <c r="V2513" i="6"/>
  <c r="V2514" i="6"/>
  <c r="V2515" i="6"/>
  <c r="V2516" i="6"/>
  <c r="V2517" i="6"/>
  <c r="V2518" i="6"/>
  <c r="V2519" i="6"/>
  <c r="V2520" i="6"/>
  <c r="V2521" i="6"/>
  <c r="V2522" i="6"/>
  <c r="V2523" i="6"/>
  <c r="V2524" i="6"/>
  <c r="V2525" i="6"/>
  <c r="V2526" i="6"/>
  <c r="V2527" i="6"/>
  <c r="V2528" i="6"/>
  <c r="V2529" i="6"/>
  <c r="V2530" i="6"/>
  <c r="V2531" i="6"/>
  <c r="V2532" i="6"/>
  <c r="V2533" i="6"/>
  <c r="V2534" i="6"/>
  <c r="V2535" i="6"/>
  <c r="V2536" i="6"/>
  <c r="V2537" i="6"/>
  <c r="V2538" i="6"/>
  <c r="V2539" i="6"/>
  <c r="V2540" i="6"/>
  <c r="V2541" i="6"/>
  <c r="V2542" i="6"/>
  <c r="V2543" i="6"/>
  <c r="V2544" i="6"/>
  <c r="V2545" i="6"/>
  <c r="V2546" i="6"/>
  <c r="V2547" i="6"/>
  <c r="V2548" i="6"/>
  <c r="V2549" i="6"/>
  <c r="V2550" i="6"/>
  <c r="V2551" i="6"/>
  <c r="V2552" i="6"/>
  <c r="V2553" i="6"/>
  <c r="V2554" i="6"/>
  <c r="V2555" i="6"/>
  <c r="V2556" i="6"/>
  <c r="V2557" i="6"/>
  <c r="V2558" i="6"/>
  <c r="V2559" i="6"/>
  <c r="V2560" i="6"/>
  <c r="V2561" i="6"/>
  <c r="V2562" i="6"/>
  <c r="V2563" i="6"/>
  <c r="V2564" i="6"/>
  <c r="V2565" i="6"/>
  <c r="V2566" i="6"/>
  <c r="V2567" i="6"/>
  <c r="V2568" i="6"/>
  <c r="V2569" i="6"/>
  <c r="V2570" i="6"/>
  <c r="V2571" i="6"/>
  <c r="V2572" i="6"/>
  <c r="V2573" i="6"/>
  <c r="V2574" i="6"/>
  <c r="V2575" i="6"/>
  <c r="V2576" i="6"/>
  <c r="V2577" i="6"/>
  <c r="V2578" i="6"/>
  <c r="V2579" i="6"/>
  <c r="V2580" i="6"/>
  <c r="V2581" i="6"/>
  <c r="V2582" i="6"/>
  <c r="V2583" i="6"/>
  <c r="V2584" i="6"/>
  <c r="V2585" i="6"/>
  <c r="V2586" i="6"/>
  <c r="V2587" i="6"/>
  <c r="V2588" i="6"/>
  <c r="V2589" i="6"/>
  <c r="V2590" i="6"/>
  <c r="V2591" i="6"/>
  <c r="V2592" i="6"/>
  <c r="V2593" i="6"/>
  <c r="V2594" i="6"/>
  <c r="V2595" i="6"/>
  <c r="V2596" i="6"/>
  <c r="V2597" i="6"/>
  <c r="V2598" i="6"/>
  <c r="V2599" i="6"/>
  <c r="V2600" i="6"/>
  <c r="V2601" i="6"/>
  <c r="V2602" i="6"/>
  <c r="V2603" i="6"/>
  <c r="V2604" i="6"/>
  <c r="V2605" i="6"/>
  <c r="V2606" i="6"/>
  <c r="V2607" i="6"/>
  <c r="V2608" i="6"/>
  <c r="V2609" i="6"/>
  <c r="V2610" i="6"/>
  <c r="V2611" i="6"/>
  <c r="V2612" i="6"/>
  <c r="V2613" i="6"/>
  <c r="V2614" i="6"/>
  <c r="V2615" i="6"/>
  <c r="V2616" i="6"/>
  <c r="V2617" i="6"/>
  <c r="V2618" i="6"/>
  <c r="V2619" i="6"/>
  <c r="V2620" i="6"/>
  <c r="V2621" i="6"/>
  <c r="V2622" i="6"/>
  <c r="V2623" i="6"/>
  <c r="V2624" i="6"/>
  <c r="V2625" i="6"/>
  <c r="V2626" i="6"/>
  <c r="V2627" i="6"/>
  <c r="V2628" i="6"/>
  <c r="V2629" i="6"/>
  <c r="V2630" i="6"/>
  <c r="V2631" i="6"/>
  <c r="V2632" i="6"/>
  <c r="V2633" i="6"/>
  <c r="V2634" i="6"/>
  <c r="V2635" i="6"/>
  <c r="V2636" i="6"/>
  <c r="V2637" i="6"/>
  <c r="V2638" i="6"/>
  <c r="V2639" i="6"/>
  <c r="V2640" i="6"/>
  <c r="V2641" i="6"/>
  <c r="V2642" i="6"/>
  <c r="V2643" i="6"/>
  <c r="V2644" i="6"/>
  <c r="V2645" i="6"/>
  <c r="V2646" i="6"/>
  <c r="V2647" i="6"/>
  <c r="V2648" i="6"/>
  <c r="V2649" i="6"/>
  <c r="V2650" i="6"/>
  <c r="V2651" i="6"/>
  <c r="V2652" i="6"/>
  <c r="V2653" i="6"/>
  <c r="V2654" i="6"/>
  <c r="V2655" i="6"/>
  <c r="V2656" i="6"/>
  <c r="V2657" i="6"/>
  <c r="V2658" i="6"/>
  <c r="V2659" i="6"/>
  <c r="V2660" i="6"/>
  <c r="V2661" i="6"/>
  <c r="V2662" i="6"/>
  <c r="V2663" i="6"/>
  <c r="V2664" i="6"/>
  <c r="V2665" i="6"/>
  <c r="V2666" i="6"/>
  <c r="V2667" i="6"/>
  <c r="V2668" i="6"/>
  <c r="V2669" i="6"/>
  <c r="V2670" i="6"/>
  <c r="V2671" i="6"/>
  <c r="V2672" i="6"/>
  <c r="V2673" i="6"/>
  <c r="V2674" i="6"/>
  <c r="V2675" i="6"/>
  <c r="V2676" i="6"/>
  <c r="V2677" i="6"/>
  <c r="V2678" i="6"/>
  <c r="V2679" i="6"/>
  <c r="V2680" i="6"/>
  <c r="V2681" i="6"/>
  <c r="V2682" i="6"/>
  <c r="V2683" i="6"/>
  <c r="V2684" i="6"/>
  <c r="V2685" i="6"/>
  <c r="V2686" i="6"/>
  <c r="V2687" i="6"/>
  <c r="V2688" i="6"/>
  <c r="V2689" i="6"/>
  <c r="V2690" i="6"/>
  <c r="V2691" i="6"/>
  <c r="V2692" i="6"/>
  <c r="V2693" i="6"/>
  <c r="V2694" i="6"/>
  <c r="V2695" i="6"/>
  <c r="V2696" i="6"/>
  <c r="V2697" i="6"/>
  <c r="V2698" i="6"/>
  <c r="V2699" i="6"/>
  <c r="V2700" i="6"/>
  <c r="V2701" i="6"/>
  <c r="V2702" i="6"/>
  <c r="V2703" i="6"/>
  <c r="V2704" i="6"/>
  <c r="V2705" i="6"/>
  <c r="V2706" i="6"/>
  <c r="V2707" i="6"/>
  <c r="V2708" i="6"/>
  <c r="V2709" i="6"/>
  <c r="V2710" i="6"/>
  <c r="V2711" i="6"/>
  <c r="V2712" i="6"/>
  <c r="V2713" i="6"/>
  <c r="V2714" i="6"/>
  <c r="V2715" i="6"/>
  <c r="V2716" i="6"/>
  <c r="V2717" i="6"/>
  <c r="V2718" i="6"/>
  <c r="V2719" i="6"/>
  <c r="V2720" i="6"/>
  <c r="V2721" i="6"/>
  <c r="V2722" i="6"/>
  <c r="V2723" i="6"/>
  <c r="V2724" i="6"/>
  <c r="V2725" i="6"/>
  <c r="V2726" i="6"/>
  <c r="V2727" i="6"/>
  <c r="V2728" i="6"/>
  <c r="V2729" i="6"/>
  <c r="V2730" i="6"/>
  <c r="V2731" i="6"/>
  <c r="V2732" i="6"/>
  <c r="V2733" i="6"/>
  <c r="V2734" i="6"/>
  <c r="V2735" i="6"/>
  <c r="V2736" i="6"/>
  <c r="V2737" i="6"/>
  <c r="V2738" i="6"/>
  <c r="V2739" i="6"/>
  <c r="V2740" i="6"/>
  <c r="V2741" i="6"/>
  <c r="V2742" i="6"/>
  <c r="V2743" i="6"/>
  <c r="V2744" i="6"/>
  <c r="V2745" i="6"/>
  <c r="V2746" i="6"/>
  <c r="V2747" i="6"/>
  <c r="V2748" i="6"/>
  <c r="V2749" i="6"/>
  <c r="V2750" i="6"/>
  <c r="V2751" i="6"/>
  <c r="V2752" i="6"/>
  <c r="V2753" i="6"/>
  <c r="V2754" i="6"/>
  <c r="V2755" i="6"/>
  <c r="V2756" i="6"/>
  <c r="V2757" i="6"/>
  <c r="V2758" i="6"/>
  <c r="V2759" i="6"/>
  <c r="V2760" i="6"/>
  <c r="V2761" i="6"/>
  <c r="V2762" i="6"/>
  <c r="V2763" i="6"/>
  <c r="V2764" i="6"/>
  <c r="V2765" i="6"/>
  <c r="V2766" i="6"/>
  <c r="V2767" i="6"/>
  <c r="V2768" i="6"/>
  <c r="V2769" i="6"/>
  <c r="V2770" i="6"/>
  <c r="V2771" i="6"/>
  <c r="V2772" i="6"/>
  <c r="V2773" i="6"/>
  <c r="V2774" i="6"/>
  <c r="V2775" i="6"/>
  <c r="V2776" i="6"/>
  <c r="V2777" i="6"/>
  <c r="V2778" i="6"/>
  <c r="V2779" i="6"/>
  <c r="V2780" i="6"/>
  <c r="V2781" i="6"/>
  <c r="V2782" i="6"/>
  <c r="V2783" i="6"/>
  <c r="V2784" i="6"/>
  <c r="V2785" i="6"/>
  <c r="V2786" i="6"/>
  <c r="V2787" i="6"/>
  <c r="V2788" i="6"/>
  <c r="V2789" i="6"/>
  <c r="V2790" i="6"/>
  <c r="V2791" i="6"/>
  <c r="V2792" i="6"/>
  <c r="V2793" i="6"/>
  <c r="V2794" i="6"/>
  <c r="V2795" i="6"/>
  <c r="V2796" i="6"/>
  <c r="V2797" i="6"/>
  <c r="V2798" i="6"/>
  <c r="V2799" i="6"/>
  <c r="V2800" i="6"/>
  <c r="V2801" i="6"/>
  <c r="V2802" i="6"/>
  <c r="V2803" i="6"/>
  <c r="V2804" i="6"/>
  <c r="V2805" i="6"/>
  <c r="V2806" i="6"/>
  <c r="V2807" i="6"/>
  <c r="V2808" i="6"/>
  <c r="V2809" i="6"/>
  <c r="V2810" i="6"/>
  <c r="V2811" i="6"/>
  <c r="V2812" i="6"/>
  <c r="V2813" i="6"/>
  <c r="V2814" i="6"/>
  <c r="V2815" i="6"/>
  <c r="V2816" i="6"/>
  <c r="V2817" i="6"/>
  <c r="V2818" i="6"/>
  <c r="V2819" i="6"/>
  <c r="V2820" i="6"/>
  <c r="V2821" i="6"/>
  <c r="V2822" i="6"/>
  <c r="V2823" i="6"/>
  <c r="V2824" i="6"/>
  <c r="V2825" i="6"/>
  <c r="V2826" i="6"/>
  <c r="V2827" i="6"/>
  <c r="V2828" i="6"/>
  <c r="V2829" i="6"/>
  <c r="V2830" i="6"/>
  <c r="V2831" i="6"/>
  <c r="V2832" i="6"/>
  <c r="V2833" i="6"/>
  <c r="V2834" i="6"/>
  <c r="V2835" i="6"/>
  <c r="V2836" i="6"/>
  <c r="V2837" i="6"/>
  <c r="V2838" i="6"/>
  <c r="V2839" i="6"/>
  <c r="V2840" i="6"/>
  <c r="V2841" i="6"/>
  <c r="V2842" i="6"/>
  <c r="V2843" i="6"/>
  <c r="V2844" i="6"/>
  <c r="V2845" i="6"/>
  <c r="V2846" i="6"/>
  <c r="V2847" i="6"/>
  <c r="V2848" i="6"/>
  <c r="V2849" i="6"/>
  <c r="V2850" i="6"/>
  <c r="V2851" i="6"/>
  <c r="V2852" i="6"/>
  <c r="V2853" i="6"/>
  <c r="V2854" i="6"/>
  <c r="V2855" i="6"/>
  <c r="V2856" i="6"/>
  <c r="V2857" i="6"/>
  <c r="V2858" i="6"/>
  <c r="V2859" i="6"/>
  <c r="V2860" i="6"/>
  <c r="V2861" i="6"/>
  <c r="V2862" i="6"/>
  <c r="V2863" i="6"/>
  <c r="V2864" i="6"/>
  <c r="V2865" i="6"/>
  <c r="V2866" i="6"/>
  <c r="V2867" i="6"/>
  <c r="V2868" i="6"/>
  <c r="V2869" i="6"/>
  <c r="V2870" i="6"/>
  <c r="V2871" i="6"/>
  <c r="V2872" i="6"/>
  <c r="V2873" i="6"/>
  <c r="V2874" i="6"/>
  <c r="V2875" i="6"/>
  <c r="V2876" i="6"/>
  <c r="V2877" i="6"/>
  <c r="V2878" i="6"/>
  <c r="V2879" i="6"/>
  <c r="V2880" i="6"/>
  <c r="V2881" i="6"/>
  <c r="V2882" i="6"/>
  <c r="V2883" i="6"/>
  <c r="V2884" i="6"/>
  <c r="V2885" i="6"/>
  <c r="V2886" i="6"/>
  <c r="V2887" i="6"/>
  <c r="V2888" i="6"/>
  <c r="V2889" i="6"/>
  <c r="V2890" i="6"/>
  <c r="V2891" i="6"/>
  <c r="V2892" i="6"/>
  <c r="V2893" i="6"/>
  <c r="V2894" i="6"/>
  <c r="V2895" i="6"/>
  <c r="V2896" i="6"/>
  <c r="V2897" i="6"/>
  <c r="V2898" i="6"/>
  <c r="V2899" i="6"/>
  <c r="V2900" i="6"/>
  <c r="V2901" i="6"/>
  <c r="V2902" i="6"/>
  <c r="V2903" i="6"/>
  <c r="V2904" i="6"/>
  <c r="V2905" i="6"/>
  <c r="V2906" i="6"/>
  <c r="V2907" i="6"/>
  <c r="V2908" i="6"/>
  <c r="V2909" i="6"/>
  <c r="V2910" i="6"/>
  <c r="V2911" i="6"/>
  <c r="V2912" i="6"/>
  <c r="V2913" i="6"/>
  <c r="V2914" i="6"/>
  <c r="V2915" i="6"/>
  <c r="V2916" i="6"/>
  <c r="V2917" i="6"/>
  <c r="V2918" i="6"/>
  <c r="V2919" i="6"/>
  <c r="V2920" i="6"/>
  <c r="V2921" i="6"/>
  <c r="V2922" i="6"/>
  <c r="V2923" i="6"/>
  <c r="V2924" i="6"/>
  <c r="V2925" i="6"/>
  <c r="V2926" i="6"/>
  <c r="V2927" i="6"/>
  <c r="V2928" i="6"/>
  <c r="V2929" i="6"/>
  <c r="V2930" i="6"/>
  <c r="V2931" i="6"/>
  <c r="V2932" i="6"/>
  <c r="V2933" i="6"/>
  <c r="V2934" i="6"/>
  <c r="V2935" i="6"/>
  <c r="V2936" i="6"/>
  <c r="V2937" i="6"/>
  <c r="V2938" i="6"/>
  <c r="V2939" i="6"/>
  <c r="V2940" i="6"/>
  <c r="V2941" i="6"/>
  <c r="V2942" i="6"/>
  <c r="V2943" i="6"/>
  <c r="V2944" i="6"/>
  <c r="V2945" i="6"/>
  <c r="V2946" i="6"/>
  <c r="V2947" i="6"/>
  <c r="V2948" i="6"/>
  <c r="V2949" i="6"/>
  <c r="V2950" i="6"/>
  <c r="V2951" i="6"/>
  <c r="V2952" i="6"/>
  <c r="V2953" i="6"/>
  <c r="V2954" i="6"/>
  <c r="V2955" i="6"/>
  <c r="V2956" i="6"/>
  <c r="V2957" i="6"/>
  <c r="V2958" i="6"/>
  <c r="V2959" i="6"/>
  <c r="V2960" i="6"/>
  <c r="V2961" i="6"/>
  <c r="V2962" i="6"/>
  <c r="V2963" i="6"/>
  <c r="V2964" i="6"/>
  <c r="V2965" i="6"/>
  <c r="V2966" i="6"/>
  <c r="V2967" i="6"/>
  <c r="V2968" i="6"/>
  <c r="V2969" i="6"/>
  <c r="V2970" i="6"/>
  <c r="V2971" i="6"/>
  <c r="V2972" i="6"/>
  <c r="V2973" i="6"/>
  <c r="V2974" i="6"/>
  <c r="V2975" i="6"/>
  <c r="V2976" i="6"/>
  <c r="V2977" i="6"/>
  <c r="V2978" i="6"/>
  <c r="V2979" i="6"/>
  <c r="V2980" i="6"/>
  <c r="V2981" i="6"/>
  <c r="V2982" i="6"/>
  <c r="V2983" i="6"/>
  <c r="V2984" i="6"/>
  <c r="V2985" i="6"/>
  <c r="V2986" i="6"/>
  <c r="V2987" i="6"/>
  <c r="V2988" i="6"/>
  <c r="V2989" i="6"/>
  <c r="V2990" i="6"/>
  <c r="V2991" i="6"/>
  <c r="V2992" i="6"/>
  <c r="V2993" i="6"/>
  <c r="V2994" i="6"/>
  <c r="V2995" i="6"/>
  <c r="V2996" i="6"/>
  <c r="V2997" i="6"/>
  <c r="V2998" i="6"/>
  <c r="V2999" i="6"/>
  <c r="V3000" i="6"/>
  <c r="V3001" i="6"/>
  <c r="V3002" i="6"/>
  <c r="V3003" i="6"/>
  <c r="V3004" i="6"/>
  <c r="V3005" i="6"/>
  <c r="V3006" i="6"/>
  <c r="V3007" i="6"/>
  <c r="V3008" i="6"/>
  <c r="V3009" i="6"/>
  <c r="V3010" i="6"/>
  <c r="V3011" i="6"/>
  <c r="V3012" i="6"/>
  <c r="V3013" i="6"/>
  <c r="V3014" i="6"/>
  <c r="V3015" i="6"/>
  <c r="V3016" i="6"/>
  <c r="V3017" i="6"/>
  <c r="V3018" i="6"/>
  <c r="V3019" i="6"/>
  <c r="V3020" i="6"/>
  <c r="V3021" i="6"/>
  <c r="V3022" i="6"/>
  <c r="V3023" i="6"/>
  <c r="V3024" i="6"/>
  <c r="V3025" i="6"/>
  <c r="V3026" i="6"/>
  <c r="V3027" i="6"/>
  <c r="V3028" i="6"/>
  <c r="V3029" i="6"/>
  <c r="V3030" i="6"/>
  <c r="V3031" i="6"/>
  <c r="V3032" i="6"/>
  <c r="V3033" i="6"/>
  <c r="V3034" i="6"/>
  <c r="V3035" i="6"/>
  <c r="V3036" i="6"/>
  <c r="V3037" i="6"/>
  <c r="V3038" i="6"/>
  <c r="V3039" i="6"/>
  <c r="V3040" i="6"/>
  <c r="V3041" i="6"/>
  <c r="V3042" i="6"/>
  <c r="V3043" i="6"/>
  <c r="V3044" i="6"/>
  <c r="V3045" i="6"/>
  <c r="V3046" i="6"/>
  <c r="V3047" i="6"/>
  <c r="V3048" i="6"/>
  <c r="V3049" i="6"/>
  <c r="V3050" i="6"/>
  <c r="V3051" i="6"/>
  <c r="V3052" i="6"/>
  <c r="V3053" i="6"/>
  <c r="V3054" i="6"/>
  <c r="V3055" i="6"/>
  <c r="V3056" i="6"/>
  <c r="V3057" i="6"/>
  <c r="V3058" i="6"/>
  <c r="V3059" i="6"/>
  <c r="V3060" i="6"/>
  <c r="V3061" i="6"/>
  <c r="V3062" i="6"/>
  <c r="V3063" i="6"/>
  <c r="V3064" i="6"/>
  <c r="V3065" i="6"/>
  <c r="V3066" i="6"/>
  <c r="V3067" i="6"/>
  <c r="V3068" i="6"/>
  <c r="V3069" i="6"/>
  <c r="V3070" i="6"/>
  <c r="V3071" i="6"/>
  <c r="V3072" i="6"/>
  <c r="V3073" i="6"/>
  <c r="V3074" i="6"/>
  <c r="V3075" i="6"/>
  <c r="V3076" i="6"/>
  <c r="V3077" i="6"/>
  <c r="V3078" i="6"/>
  <c r="V3079" i="6"/>
  <c r="V3080" i="6"/>
  <c r="V3081" i="6"/>
  <c r="V3082" i="6"/>
  <c r="V3083" i="6"/>
  <c r="V3084" i="6"/>
  <c r="V3085" i="6"/>
  <c r="V3086" i="6"/>
  <c r="V3087" i="6"/>
  <c r="V3088" i="6"/>
  <c r="V3089" i="6"/>
  <c r="V3090" i="6"/>
  <c r="V3091" i="6"/>
  <c r="V3092" i="6"/>
  <c r="V3093" i="6"/>
  <c r="V3094" i="6"/>
  <c r="V3095" i="6"/>
  <c r="V3096" i="6"/>
  <c r="V3097" i="6"/>
  <c r="V3098" i="6"/>
  <c r="V3099" i="6"/>
  <c r="V3100" i="6"/>
  <c r="V3101" i="6"/>
  <c r="V3102" i="6"/>
  <c r="V3103" i="6"/>
  <c r="V3104" i="6"/>
  <c r="V3105" i="6"/>
  <c r="V3106" i="6"/>
  <c r="V3107" i="6"/>
  <c r="V3108" i="6"/>
  <c r="V3109" i="6"/>
  <c r="V3110" i="6"/>
  <c r="V3111" i="6"/>
  <c r="V3112" i="6"/>
  <c r="V3113" i="6"/>
  <c r="V3114" i="6"/>
  <c r="V3115" i="6"/>
  <c r="V3116" i="6"/>
  <c r="V3117" i="6"/>
  <c r="V3118" i="6"/>
  <c r="V3119" i="6"/>
  <c r="V3120" i="6"/>
  <c r="V3121" i="6"/>
  <c r="V3122" i="6"/>
  <c r="V3123" i="6"/>
  <c r="V3124" i="6"/>
  <c r="V3125" i="6"/>
  <c r="V3126" i="6"/>
  <c r="V3127" i="6"/>
  <c r="V3128" i="6"/>
  <c r="V3129" i="6"/>
  <c r="V3130" i="6"/>
  <c r="V3131" i="6"/>
  <c r="V3132" i="6"/>
  <c r="V3133" i="6"/>
  <c r="V3134" i="6"/>
  <c r="V3135" i="6"/>
  <c r="V3136" i="6"/>
  <c r="V3137" i="6"/>
  <c r="V3138" i="6"/>
  <c r="V3139" i="6"/>
  <c r="V3140" i="6"/>
  <c r="V3141" i="6"/>
  <c r="V3142" i="6"/>
  <c r="V3143" i="6"/>
  <c r="V3144" i="6"/>
  <c r="V3145" i="6"/>
  <c r="V3146" i="6"/>
  <c r="V3147" i="6"/>
  <c r="V3148" i="6"/>
  <c r="V3149" i="6"/>
  <c r="V3150" i="6"/>
  <c r="V3151" i="6"/>
  <c r="V3152" i="6"/>
  <c r="V3153" i="6"/>
  <c r="V3154" i="6"/>
  <c r="V3155" i="6"/>
  <c r="V3156" i="6"/>
  <c r="V3157" i="6"/>
  <c r="V3158" i="6"/>
  <c r="V3159" i="6"/>
  <c r="V3160" i="6"/>
  <c r="V3161" i="6"/>
  <c r="V3162" i="6"/>
  <c r="V3163" i="6"/>
  <c r="V3164" i="6"/>
  <c r="V3165" i="6"/>
  <c r="V3166" i="6"/>
  <c r="V3167" i="6"/>
  <c r="V3168" i="6"/>
  <c r="V3169" i="6"/>
  <c r="V3170" i="6"/>
  <c r="V3171" i="6"/>
  <c r="V3172" i="6"/>
  <c r="V3173" i="6"/>
  <c r="V3174" i="6"/>
  <c r="V3175" i="6"/>
  <c r="V3176" i="6"/>
  <c r="V3177" i="6"/>
  <c r="V3178" i="6"/>
  <c r="V3179" i="6"/>
  <c r="V3180" i="6"/>
  <c r="V3181" i="6"/>
  <c r="V3182" i="6"/>
  <c r="V3183" i="6"/>
  <c r="V3184" i="6"/>
  <c r="V3185" i="6"/>
  <c r="V3186" i="6"/>
  <c r="V3187" i="6"/>
  <c r="V3188" i="6"/>
  <c r="V3189" i="6"/>
  <c r="V3190" i="6"/>
  <c r="V3191" i="6"/>
  <c r="V3192" i="6"/>
  <c r="V3193" i="6"/>
  <c r="V3194" i="6"/>
  <c r="V3195" i="6"/>
  <c r="V3196" i="6"/>
  <c r="V3197" i="6"/>
  <c r="V3198" i="6"/>
  <c r="V3199" i="6"/>
  <c r="V3200" i="6"/>
  <c r="V3201" i="6"/>
  <c r="V3202" i="6"/>
  <c r="V3203" i="6"/>
  <c r="V3204" i="6"/>
  <c r="V3205" i="6"/>
  <c r="V3206" i="6"/>
  <c r="V3207" i="6"/>
  <c r="V3208" i="6"/>
  <c r="V3209" i="6"/>
  <c r="V3210" i="6"/>
  <c r="V3211" i="6"/>
  <c r="V3212" i="6"/>
  <c r="V3213" i="6"/>
  <c r="V3214" i="6"/>
  <c r="V3215" i="6"/>
  <c r="V3216" i="6"/>
  <c r="V3217" i="6"/>
  <c r="V3218" i="6"/>
  <c r="V3219" i="6"/>
  <c r="V3220" i="6"/>
  <c r="V3221" i="6"/>
  <c r="V3222" i="6"/>
  <c r="V3223" i="6"/>
  <c r="V3224" i="6"/>
  <c r="V3225" i="6"/>
  <c r="V3226" i="6"/>
  <c r="V3227" i="6"/>
  <c r="V3228" i="6"/>
  <c r="V3229" i="6"/>
  <c r="V3230" i="6"/>
  <c r="V3231" i="6"/>
  <c r="V3232" i="6"/>
  <c r="V3233" i="6"/>
  <c r="V3234" i="6"/>
  <c r="V3235" i="6"/>
  <c r="V3236" i="6"/>
  <c r="V3237" i="6"/>
  <c r="V3238" i="6"/>
  <c r="V3239" i="6"/>
  <c r="V3240" i="6"/>
  <c r="V3241" i="6"/>
  <c r="V3242" i="6"/>
  <c r="V3243" i="6"/>
  <c r="V3244" i="6"/>
  <c r="V3245" i="6"/>
  <c r="V3246" i="6"/>
  <c r="V3247" i="6"/>
  <c r="V3248" i="6"/>
  <c r="V3249" i="6"/>
  <c r="V3250" i="6"/>
  <c r="V3251" i="6"/>
  <c r="V3252" i="6"/>
  <c r="V3253" i="6"/>
  <c r="V3254" i="6"/>
  <c r="V3255" i="6"/>
  <c r="V3256" i="6"/>
  <c r="V3257" i="6"/>
  <c r="V3258" i="6"/>
  <c r="V3259" i="6"/>
  <c r="V3260" i="6"/>
  <c r="V3261" i="6"/>
  <c r="V3262" i="6"/>
  <c r="V3263" i="6"/>
  <c r="V3264" i="6"/>
  <c r="V3265" i="6"/>
  <c r="V3266" i="6"/>
  <c r="V3267" i="6"/>
  <c r="V3268" i="6"/>
  <c r="V3269" i="6"/>
  <c r="V3270" i="6"/>
  <c r="V3271" i="6"/>
  <c r="V3272" i="6"/>
  <c r="V3273" i="6"/>
  <c r="V3274" i="6"/>
  <c r="V3275" i="6"/>
  <c r="V3276" i="6"/>
  <c r="V3277" i="6"/>
  <c r="V3278" i="6"/>
  <c r="V3279" i="6"/>
  <c r="V3280" i="6"/>
  <c r="V3281" i="6"/>
  <c r="V3282" i="6"/>
  <c r="V3283" i="6"/>
  <c r="V3284" i="6"/>
  <c r="V3285" i="6"/>
  <c r="V3286" i="6"/>
  <c r="V3287" i="6"/>
  <c r="V3288" i="6"/>
  <c r="V3289" i="6"/>
  <c r="V3290" i="6"/>
  <c r="V3291" i="6"/>
  <c r="V3292" i="6"/>
  <c r="V3293" i="6"/>
  <c r="V3294" i="6"/>
  <c r="V3295" i="6"/>
  <c r="V3296" i="6"/>
  <c r="V3297" i="6"/>
  <c r="V3298" i="6"/>
  <c r="V3299" i="6"/>
  <c r="V3300" i="6"/>
  <c r="V3301" i="6"/>
  <c r="V3302" i="6"/>
  <c r="V3303" i="6"/>
  <c r="V3304" i="6"/>
  <c r="V3305" i="6"/>
  <c r="V3306" i="6"/>
  <c r="V3307" i="6"/>
  <c r="V3308" i="6"/>
  <c r="V3309" i="6"/>
  <c r="V3310" i="6"/>
  <c r="V3311" i="6"/>
  <c r="V3312" i="6"/>
  <c r="V3313" i="6"/>
  <c r="V3314" i="6"/>
  <c r="V3315" i="6"/>
  <c r="V3316" i="6"/>
  <c r="V3317" i="6"/>
  <c r="V3318" i="6"/>
  <c r="V3319" i="6"/>
  <c r="V3320" i="6"/>
  <c r="V3321" i="6"/>
  <c r="V3322" i="6"/>
  <c r="V3323" i="6"/>
  <c r="V3324" i="6"/>
  <c r="V3325" i="6"/>
  <c r="V3326" i="6"/>
  <c r="V3327" i="6"/>
  <c r="V3328" i="6"/>
  <c r="V3329" i="6"/>
  <c r="V3330" i="6"/>
  <c r="V3331" i="6"/>
  <c r="V3332" i="6"/>
  <c r="V3333" i="6"/>
  <c r="V3334" i="6"/>
  <c r="V3335" i="6"/>
  <c r="V3336" i="6"/>
  <c r="V3337" i="6"/>
  <c r="V3338" i="6"/>
  <c r="V3339" i="6"/>
  <c r="V3340" i="6"/>
  <c r="V3341" i="6"/>
  <c r="V3342" i="6"/>
  <c r="V3343" i="6"/>
  <c r="V3344" i="6"/>
  <c r="V3345" i="6"/>
  <c r="V3346" i="6"/>
  <c r="V3347" i="6"/>
  <c r="V3348" i="6"/>
  <c r="V3349" i="6"/>
  <c r="V3350" i="6"/>
  <c r="V3351" i="6"/>
  <c r="V3352" i="6"/>
  <c r="V3353" i="6"/>
  <c r="V3354" i="6"/>
  <c r="V3355" i="6"/>
  <c r="V3356" i="6"/>
  <c r="V3357" i="6"/>
  <c r="V3358" i="6"/>
  <c r="V3359" i="6"/>
  <c r="V3360" i="6"/>
  <c r="V3361" i="6"/>
  <c r="V3362" i="6"/>
  <c r="V3363" i="6"/>
  <c r="V3364" i="6"/>
  <c r="V3365" i="6"/>
  <c r="V3366" i="6"/>
  <c r="V3367" i="6"/>
  <c r="V3368" i="6"/>
  <c r="V3369" i="6"/>
  <c r="V3370" i="6"/>
  <c r="V3371" i="6"/>
  <c r="V3372" i="6"/>
  <c r="V3373" i="6"/>
  <c r="V3374" i="6"/>
  <c r="V3375" i="6"/>
  <c r="V3376" i="6"/>
  <c r="V3377" i="6"/>
  <c r="V3378" i="6"/>
  <c r="V3379" i="6"/>
  <c r="V3380" i="6"/>
  <c r="V3381" i="6"/>
  <c r="V3382" i="6"/>
  <c r="V3383" i="6"/>
  <c r="V3384" i="6"/>
  <c r="V3385" i="6"/>
  <c r="V3386" i="6"/>
  <c r="V3387" i="6"/>
  <c r="V3388" i="6"/>
  <c r="V3389" i="6"/>
  <c r="V3390" i="6"/>
  <c r="V3391" i="6"/>
  <c r="V3392" i="6"/>
  <c r="V3393" i="6"/>
  <c r="V3394" i="6"/>
  <c r="V3395" i="6"/>
  <c r="V3396" i="6"/>
  <c r="V3397" i="6"/>
  <c r="V3398" i="6"/>
  <c r="V3399" i="6"/>
  <c r="V3400" i="6"/>
  <c r="V3401" i="6"/>
  <c r="V3402" i="6"/>
  <c r="V3403" i="6"/>
  <c r="V3404" i="6"/>
  <c r="V3405" i="6"/>
  <c r="V3406" i="6"/>
  <c r="V3407" i="6"/>
  <c r="V3408" i="6"/>
  <c r="V3409" i="6"/>
  <c r="V3410" i="6"/>
  <c r="V3411" i="6"/>
  <c r="V3412" i="6"/>
  <c r="V3413" i="6"/>
  <c r="V3414" i="6"/>
  <c r="V3415" i="6"/>
  <c r="V3416" i="6"/>
  <c r="V3417" i="6"/>
  <c r="V3418" i="6"/>
  <c r="V3419" i="6"/>
  <c r="V3420" i="6"/>
  <c r="V3421" i="6"/>
  <c r="V3422" i="6"/>
  <c r="V3423" i="6"/>
  <c r="V3424" i="6"/>
  <c r="V3425" i="6"/>
  <c r="V3426" i="6"/>
  <c r="V3427" i="6"/>
  <c r="V3428" i="6"/>
  <c r="V3429" i="6"/>
  <c r="V3430" i="6"/>
  <c r="V3431" i="6"/>
  <c r="V3432" i="6"/>
  <c r="V3433" i="6"/>
  <c r="V3434" i="6"/>
  <c r="V3435" i="6"/>
  <c r="V3436" i="6"/>
  <c r="V3437" i="6"/>
  <c r="V3438" i="6"/>
  <c r="V3439" i="6"/>
  <c r="V3440" i="6"/>
  <c r="V3441" i="6"/>
  <c r="V3442" i="6"/>
  <c r="V3443" i="6"/>
  <c r="V3444" i="6"/>
  <c r="V3445" i="6"/>
  <c r="V3446" i="6"/>
  <c r="V3447" i="6"/>
  <c r="V3448" i="6"/>
  <c r="V3449" i="6"/>
  <c r="V3450" i="6"/>
  <c r="V3451" i="6"/>
  <c r="V3452" i="6"/>
  <c r="V3453" i="6"/>
  <c r="V3454" i="6"/>
  <c r="V3455" i="6"/>
  <c r="V3456" i="6"/>
  <c r="V3457" i="6"/>
  <c r="V3458" i="6"/>
  <c r="V3459" i="6"/>
  <c r="V3460" i="6"/>
  <c r="V3461" i="6"/>
  <c r="V3462" i="6"/>
  <c r="V3463" i="6"/>
  <c r="V3464" i="6"/>
  <c r="V3465" i="6"/>
  <c r="V3466" i="6"/>
  <c r="V3467" i="6"/>
  <c r="V3468" i="6"/>
  <c r="V3469" i="6"/>
  <c r="V3470" i="6"/>
  <c r="V3471" i="6"/>
  <c r="V3472" i="6"/>
  <c r="V3473" i="6"/>
  <c r="V3474" i="6"/>
  <c r="V3475" i="6"/>
  <c r="V3476" i="6"/>
  <c r="V8" i="6"/>
  <c r="W723" i="6"/>
  <c r="W724" i="6"/>
  <c r="W725" i="6"/>
  <c r="W726" i="6"/>
  <c r="W727" i="6"/>
  <c r="W728" i="6"/>
  <c r="W729" i="6"/>
  <c r="W730" i="6"/>
  <c r="W731" i="6"/>
  <c r="W732" i="6"/>
  <c r="W733" i="6"/>
  <c r="W734" i="6"/>
  <c r="W735" i="6"/>
  <c r="W736" i="6"/>
  <c r="W737" i="6"/>
  <c r="W738" i="6"/>
  <c r="W739" i="6"/>
  <c r="W740" i="6"/>
  <c r="W741" i="6"/>
  <c r="W742" i="6"/>
  <c r="W743" i="6"/>
  <c r="W744" i="6"/>
  <c r="W745" i="6"/>
  <c r="W746" i="6"/>
  <c r="W747" i="6"/>
  <c r="W748" i="6"/>
  <c r="W749" i="6"/>
  <c r="W750" i="6"/>
  <c r="W751" i="6"/>
  <c r="W752" i="6"/>
  <c r="W753" i="6"/>
  <c r="W754" i="6"/>
  <c r="W755" i="6"/>
  <c r="W756" i="6"/>
  <c r="W757" i="6"/>
  <c r="W758" i="6"/>
  <c r="W759" i="6"/>
  <c r="W760" i="6"/>
  <c r="W761" i="6"/>
  <c r="W762" i="6"/>
  <c r="W763" i="6"/>
  <c r="W764" i="6"/>
  <c r="W765" i="6"/>
  <c r="W766" i="6"/>
  <c r="W767" i="6"/>
  <c r="W768" i="6"/>
  <c r="W769" i="6"/>
  <c r="W770" i="6"/>
  <c r="W771" i="6"/>
  <c r="W772" i="6"/>
  <c r="W773" i="6"/>
  <c r="W774" i="6"/>
  <c r="W775" i="6"/>
  <c r="W776" i="6"/>
  <c r="W777" i="6"/>
  <c r="W778" i="6"/>
  <c r="W779" i="6"/>
  <c r="W780" i="6"/>
  <c r="W781" i="6"/>
  <c r="W782" i="6"/>
  <c r="W783" i="6"/>
  <c r="W784" i="6"/>
  <c r="W785" i="6"/>
  <c r="W786" i="6"/>
  <c r="W787" i="6"/>
  <c r="W788" i="6"/>
  <c r="W789" i="6"/>
  <c r="W790" i="6"/>
  <c r="W791" i="6"/>
  <c r="W792" i="6"/>
  <c r="W793" i="6"/>
  <c r="W794" i="6"/>
  <c r="W795" i="6"/>
  <c r="W796" i="6"/>
  <c r="W797" i="6"/>
  <c r="W798" i="6"/>
  <c r="W799" i="6"/>
  <c r="W800" i="6"/>
  <c r="W801" i="6"/>
  <c r="W802" i="6"/>
  <c r="W803" i="6"/>
  <c r="W804" i="6"/>
  <c r="W805" i="6"/>
  <c r="W806" i="6"/>
  <c r="W807" i="6"/>
  <c r="W808" i="6"/>
  <c r="W809" i="6"/>
  <c r="W810" i="6"/>
  <c r="W811" i="6"/>
  <c r="W812" i="6"/>
  <c r="W813" i="6"/>
  <c r="W814" i="6"/>
  <c r="W815" i="6"/>
  <c r="W816" i="6"/>
  <c r="W817" i="6"/>
  <c r="W818" i="6"/>
  <c r="W819" i="6"/>
  <c r="W820" i="6"/>
  <c r="W821" i="6"/>
  <c r="W822" i="6"/>
  <c r="W823" i="6"/>
  <c r="W824" i="6"/>
  <c r="W825" i="6"/>
  <c r="W826" i="6"/>
  <c r="W827" i="6"/>
  <c r="W828" i="6"/>
  <c r="W829" i="6"/>
  <c r="W830" i="6"/>
  <c r="W831" i="6"/>
  <c r="W832" i="6"/>
  <c r="W833" i="6"/>
  <c r="W834" i="6"/>
  <c r="W835" i="6"/>
  <c r="W836" i="6"/>
  <c r="W837" i="6"/>
  <c r="W838" i="6"/>
  <c r="W839" i="6"/>
  <c r="W840" i="6"/>
  <c r="W841" i="6"/>
  <c r="W842" i="6"/>
  <c r="W843" i="6"/>
  <c r="W844" i="6"/>
  <c r="W845" i="6"/>
  <c r="W846" i="6"/>
  <c r="W847" i="6"/>
  <c r="W848" i="6"/>
  <c r="W849" i="6"/>
  <c r="W850" i="6"/>
  <c r="W851" i="6"/>
  <c r="W852" i="6"/>
  <c r="W853" i="6"/>
  <c r="W854" i="6"/>
  <c r="W855" i="6"/>
  <c r="W856" i="6"/>
  <c r="W857" i="6"/>
  <c r="W858" i="6"/>
  <c r="W859" i="6"/>
  <c r="W860" i="6"/>
  <c r="W861" i="6"/>
  <c r="W862" i="6"/>
  <c r="W863" i="6"/>
  <c r="W864" i="6"/>
  <c r="W865" i="6"/>
  <c r="W866" i="6"/>
  <c r="W867" i="6"/>
  <c r="W868" i="6"/>
  <c r="W869" i="6"/>
  <c r="W870" i="6"/>
  <c r="W871" i="6"/>
  <c r="W872" i="6"/>
  <c r="W873" i="6"/>
  <c r="W874" i="6"/>
  <c r="W875" i="6"/>
  <c r="W876" i="6"/>
  <c r="W877" i="6"/>
  <c r="W878" i="6"/>
  <c r="W879" i="6"/>
  <c r="W880" i="6"/>
  <c r="W881" i="6"/>
  <c r="W882" i="6"/>
  <c r="W883" i="6"/>
  <c r="W884" i="6"/>
  <c r="W885" i="6"/>
  <c r="W886" i="6"/>
  <c r="W887" i="6"/>
  <c r="W888" i="6"/>
  <c r="W889" i="6"/>
  <c r="W890" i="6"/>
  <c r="W891" i="6"/>
  <c r="W892" i="6"/>
  <c r="W893" i="6"/>
  <c r="W894" i="6"/>
  <c r="W895" i="6"/>
  <c r="W896" i="6"/>
  <c r="W897" i="6"/>
  <c r="W898" i="6"/>
  <c r="W899" i="6"/>
  <c r="W900" i="6"/>
  <c r="W901" i="6"/>
  <c r="W902" i="6"/>
  <c r="W903" i="6"/>
  <c r="W904" i="6"/>
  <c r="W905" i="6"/>
  <c r="W906" i="6"/>
  <c r="W907" i="6"/>
  <c r="W908" i="6"/>
  <c r="W909" i="6"/>
  <c r="W910" i="6"/>
  <c r="W911" i="6"/>
  <c r="W912" i="6"/>
  <c r="W913" i="6"/>
  <c r="W914" i="6"/>
  <c r="W915" i="6"/>
  <c r="W916" i="6"/>
  <c r="W917" i="6"/>
  <c r="W918" i="6"/>
  <c r="W919" i="6"/>
  <c r="W920" i="6"/>
  <c r="W921" i="6"/>
  <c r="W922" i="6"/>
  <c r="W923" i="6"/>
  <c r="W924" i="6"/>
  <c r="W925" i="6"/>
  <c r="W926" i="6"/>
  <c r="W927" i="6"/>
  <c r="W928" i="6"/>
  <c r="W929" i="6"/>
  <c r="W930" i="6"/>
  <c r="W931" i="6"/>
  <c r="W932" i="6"/>
  <c r="W933" i="6"/>
  <c r="W934" i="6"/>
  <c r="W935" i="6"/>
  <c r="W936" i="6"/>
  <c r="W937" i="6"/>
  <c r="W938" i="6"/>
  <c r="W939" i="6"/>
  <c r="W940" i="6"/>
  <c r="W941" i="6"/>
  <c r="W942" i="6"/>
  <c r="W943" i="6"/>
  <c r="W944" i="6"/>
  <c r="W945" i="6"/>
  <c r="W946" i="6"/>
  <c r="W947" i="6"/>
  <c r="W948" i="6"/>
  <c r="W949" i="6"/>
  <c r="W950" i="6"/>
  <c r="W951" i="6"/>
  <c r="W952" i="6"/>
  <c r="W953" i="6"/>
  <c r="W954" i="6"/>
  <c r="W955" i="6"/>
  <c r="W956" i="6"/>
  <c r="W957" i="6"/>
  <c r="W958" i="6"/>
  <c r="W959" i="6"/>
  <c r="W960" i="6"/>
  <c r="W961" i="6"/>
  <c r="W962" i="6"/>
  <c r="W963" i="6"/>
  <c r="W964" i="6"/>
  <c r="W965" i="6"/>
  <c r="W966" i="6"/>
  <c r="W967" i="6"/>
  <c r="W968" i="6"/>
  <c r="W969" i="6"/>
  <c r="W970" i="6"/>
  <c r="W971" i="6"/>
  <c r="W972" i="6"/>
  <c r="W973" i="6"/>
  <c r="W974" i="6"/>
  <c r="W975" i="6"/>
  <c r="W976" i="6"/>
  <c r="W977" i="6"/>
  <c r="W978" i="6"/>
  <c r="W979" i="6"/>
  <c r="W980" i="6"/>
  <c r="W981" i="6"/>
  <c r="W982" i="6"/>
  <c r="W983" i="6"/>
  <c r="W984" i="6"/>
  <c r="W985" i="6"/>
  <c r="W986" i="6"/>
  <c r="W987" i="6"/>
  <c r="W988" i="6"/>
  <c r="W989" i="6"/>
  <c r="W990" i="6"/>
  <c r="W991" i="6"/>
  <c r="W992" i="6"/>
  <c r="W993" i="6"/>
  <c r="W994" i="6"/>
  <c r="W995" i="6"/>
  <c r="W996" i="6"/>
  <c r="W997" i="6"/>
  <c r="W998" i="6"/>
  <c r="W999" i="6"/>
  <c r="W1000" i="6"/>
  <c r="W1001" i="6"/>
  <c r="W1002" i="6"/>
  <c r="W1003" i="6"/>
  <c r="W1004" i="6"/>
  <c r="W1005" i="6"/>
  <c r="W1006" i="6"/>
  <c r="W1007" i="6"/>
  <c r="W1008" i="6"/>
  <c r="W1009" i="6"/>
  <c r="W1010" i="6"/>
  <c r="W1011" i="6"/>
  <c r="W1012" i="6"/>
  <c r="W1013" i="6"/>
  <c r="W1014" i="6"/>
  <c r="W1015" i="6"/>
  <c r="W1016" i="6"/>
  <c r="W1017" i="6"/>
  <c r="W1018" i="6"/>
  <c r="W1019" i="6"/>
  <c r="W1020" i="6"/>
  <c r="W1021" i="6"/>
  <c r="W1022" i="6"/>
  <c r="W1023" i="6"/>
  <c r="W1024" i="6"/>
  <c r="W1025" i="6"/>
  <c r="W1026" i="6"/>
  <c r="W1027" i="6"/>
  <c r="W1028" i="6"/>
  <c r="W1029" i="6"/>
  <c r="W1030" i="6"/>
  <c r="W1031" i="6"/>
  <c r="W1032" i="6"/>
  <c r="W1033" i="6"/>
  <c r="W1034" i="6"/>
  <c r="W1035" i="6"/>
  <c r="W1036" i="6"/>
  <c r="W1037" i="6"/>
  <c r="W1038" i="6"/>
  <c r="W1039" i="6"/>
  <c r="W1040" i="6"/>
  <c r="W1041" i="6"/>
  <c r="W1042" i="6"/>
  <c r="W1043" i="6"/>
  <c r="W1044" i="6"/>
  <c r="W1045" i="6"/>
  <c r="W1046" i="6"/>
  <c r="W1047" i="6"/>
  <c r="W1048" i="6"/>
  <c r="W1049" i="6"/>
  <c r="W1050" i="6"/>
  <c r="W1051" i="6"/>
  <c r="W1052" i="6"/>
  <c r="W1053" i="6"/>
  <c r="W1054" i="6"/>
  <c r="W1055" i="6"/>
  <c r="W1056" i="6"/>
  <c r="W1057" i="6"/>
  <c r="W1058" i="6"/>
  <c r="W1059" i="6"/>
  <c r="W1060" i="6"/>
  <c r="W1061" i="6"/>
  <c r="W1062" i="6"/>
  <c r="W1063" i="6"/>
  <c r="W1064" i="6"/>
  <c r="W1065" i="6"/>
  <c r="W1066" i="6"/>
  <c r="W1067" i="6"/>
  <c r="W1068" i="6"/>
  <c r="W1069" i="6"/>
  <c r="W1070" i="6"/>
  <c r="W1071" i="6"/>
  <c r="W1072" i="6"/>
  <c r="W1073" i="6"/>
  <c r="W1074" i="6"/>
  <c r="W1075" i="6"/>
  <c r="W1076" i="6"/>
  <c r="W1077" i="6"/>
  <c r="W1078" i="6"/>
  <c r="W1079" i="6"/>
  <c r="W1080" i="6"/>
  <c r="W1081" i="6"/>
  <c r="W1082" i="6"/>
  <c r="W1083" i="6"/>
  <c r="W1084" i="6"/>
  <c r="W1085" i="6"/>
  <c r="W1086" i="6"/>
  <c r="W1087" i="6"/>
  <c r="W1088" i="6"/>
  <c r="W1089" i="6"/>
  <c r="W1090" i="6"/>
  <c r="W1091" i="6"/>
  <c r="W1092" i="6"/>
  <c r="W1093" i="6"/>
  <c r="W1094" i="6"/>
  <c r="W1095" i="6"/>
  <c r="W1096" i="6"/>
  <c r="W1097" i="6"/>
  <c r="W1098" i="6"/>
  <c r="W1099" i="6"/>
  <c r="W1100" i="6"/>
  <c r="W1101" i="6"/>
  <c r="W1102" i="6"/>
  <c r="W1103" i="6"/>
  <c r="W1104" i="6"/>
  <c r="W1105" i="6"/>
  <c r="W1106" i="6"/>
  <c r="W1107" i="6"/>
  <c r="W1108" i="6"/>
  <c r="W1109" i="6"/>
  <c r="W1110" i="6"/>
  <c r="W1111" i="6"/>
  <c r="W1112" i="6"/>
  <c r="W1113" i="6"/>
  <c r="W1114" i="6"/>
  <c r="W1115" i="6"/>
  <c r="W1116" i="6"/>
  <c r="W1117" i="6"/>
  <c r="W1118" i="6"/>
  <c r="W1119" i="6"/>
  <c r="W1120" i="6"/>
  <c r="W1121" i="6"/>
  <c r="W1122" i="6"/>
  <c r="W1123" i="6"/>
  <c r="W1124" i="6"/>
  <c r="W1125" i="6"/>
  <c r="W1126" i="6"/>
  <c r="W1127" i="6"/>
  <c r="W1128" i="6"/>
  <c r="W1129" i="6"/>
  <c r="W1130" i="6"/>
  <c r="W1131" i="6"/>
  <c r="W1132" i="6"/>
  <c r="W1133" i="6"/>
  <c r="W1134" i="6"/>
  <c r="W1135" i="6"/>
  <c r="W1136" i="6"/>
  <c r="W1137" i="6"/>
  <c r="W1138" i="6"/>
  <c r="W1139" i="6"/>
  <c r="W1140" i="6"/>
  <c r="W1141" i="6"/>
  <c r="W1142" i="6"/>
  <c r="W1143" i="6"/>
  <c r="W1144" i="6"/>
  <c r="W1145" i="6"/>
  <c r="W1146" i="6"/>
  <c r="W1147" i="6"/>
  <c r="W1148" i="6"/>
  <c r="W1149" i="6"/>
  <c r="W1150" i="6"/>
  <c r="W1151" i="6"/>
  <c r="W1152" i="6"/>
  <c r="W1153" i="6"/>
  <c r="W1154" i="6"/>
  <c r="W1155" i="6"/>
  <c r="W1156" i="6"/>
  <c r="W1157" i="6"/>
  <c r="W1158" i="6"/>
  <c r="W1159" i="6"/>
  <c r="W1160" i="6"/>
  <c r="W1161" i="6"/>
  <c r="W1162" i="6"/>
  <c r="W1163" i="6"/>
  <c r="W1164" i="6"/>
  <c r="W1165" i="6"/>
  <c r="W1166" i="6"/>
  <c r="W1167" i="6"/>
  <c r="W1168" i="6"/>
  <c r="W1169" i="6"/>
  <c r="W1170" i="6"/>
  <c r="W1171" i="6"/>
  <c r="W1172" i="6"/>
  <c r="W1173" i="6"/>
  <c r="W1174" i="6"/>
  <c r="W1175" i="6"/>
  <c r="W1176" i="6"/>
  <c r="W1177" i="6"/>
  <c r="W1178" i="6"/>
  <c r="W1179" i="6"/>
  <c r="W1180" i="6"/>
  <c r="W1181" i="6"/>
  <c r="W1182" i="6"/>
  <c r="W1183" i="6"/>
  <c r="W1184" i="6"/>
  <c r="W1185" i="6"/>
  <c r="W1186" i="6"/>
  <c r="W1187" i="6"/>
  <c r="W1188" i="6"/>
  <c r="W1189" i="6"/>
  <c r="W1190" i="6"/>
  <c r="W1191" i="6"/>
  <c r="W1192" i="6"/>
  <c r="W1193" i="6"/>
  <c r="W1194" i="6"/>
  <c r="W1195" i="6"/>
  <c r="W1196" i="6"/>
  <c r="W1197" i="6"/>
  <c r="W1198" i="6"/>
  <c r="W1199" i="6"/>
  <c r="W1200" i="6"/>
  <c r="W1201" i="6"/>
  <c r="W1202" i="6"/>
  <c r="W1203" i="6"/>
  <c r="W1204" i="6"/>
  <c r="W1205" i="6"/>
  <c r="W1206" i="6"/>
  <c r="W1207" i="6"/>
  <c r="W1208" i="6"/>
  <c r="W1209" i="6"/>
  <c r="W1210" i="6"/>
  <c r="W1211" i="6"/>
  <c r="W1212" i="6"/>
  <c r="W1213" i="6"/>
  <c r="W1214" i="6"/>
  <c r="W1215" i="6"/>
  <c r="W1216" i="6"/>
  <c r="W1217" i="6"/>
  <c r="W1218" i="6"/>
  <c r="W1219" i="6"/>
  <c r="W1220" i="6"/>
  <c r="W1221" i="6"/>
  <c r="W1222" i="6"/>
  <c r="W1223" i="6"/>
  <c r="W1224" i="6"/>
  <c r="W1225" i="6"/>
  <c r="W1226" i="6"/>
  <c r="W1227" i="6"/>
  <c r="W1228" i="6"/>
  <c r="W1229" i="6"/>
  <c r="W1230" i="6"/>
  <c r="W1231" i="6"/>
  <c r="W1232" i="6"/>
  <c r="W1233" i="6"/>
  <c r="W1234" i="6"/>
  <c r="W1235" i="6"/>
  <c r="W1236" i="6"/>
  <c r="W1237" i="6"/>
  <c r="W1238" i="6"/>
  <c r="W1239" i="6"/>
  <c r="W1240" i="6"/>
  <c r="W1241" i="6"/>
  <c r="W1242" i="6"/>
  <c r="W1243" i="6"/>
  <c r="W1244" i="6"/>
  <c r="W1245" i="6"/>
  <c r="W1246" i="6"/>
  <c r="W1247" i="6"/>
  <c r="W1248" i="6"/>
  <c r="W1249" i="6"/>
  <c r="W1250" i="6"/>
  <c r="W1251" i="6"/>
  <c r="W1252" i="6"/>
  <c r="W1253" i="6"/>
  <c r="W1254" i="6"/>
  <c r="W1255" i="6"/>
  <c r="W1256" i="6"/>
  <c r="W1257" i="6"/>
  <c r="W1258" i="6"/>
  <c r="W1259" i="6"/>
  <c r="W1260" i="6"/>
  <c r="W1261" i="6"/>
  <c r="W1262" i="6"/>
  <c r="W1263" i="6"/>
  <c r="W1264" i="6"/>
  <c r="W1265" i="6"/>
  <c r="W1266" i="6"/>
  <c r="W1267" i="6"/>
  <c r="W1268" i="6"/>
  <c r="W1269" i="6"/>
  <c r="W1270" i="6"/>
  <c r="W1271" i="6"/>
  <c r="W1272" i="6"/>
  <c r="W1273" i="6"/>
  <c r="W1274" i="6"/>
  <c r="W1275" i="6"/>
  <c r="W1276" i="6"/>
  <c r="W1277" i="6"/>
  <c r="W1278" i="6"/>
  <c r="W1279" i="6"/>
  <c r="W1280" i="6"/>
  <c r="W1281" i="6"/>
  <c r="W1282" i="6"/>
  <c r="W1283" i="6"/>
  <c r="W1284" i="6"/>
  <c r="W1285" i="6"/>
  <c r="W1286" i="6"/>
  <c r="W1287" i="6"/>
  <c r="W1288" i="6"/>
  <c r="W1289" i="6"/>
  <c r="W1290" i="6"/>
  <c r="W1291" i="6"/>
  <c r="W1292" i="6"/>
  <c r="W1293" i="6"/>
  <c r="W1294" i="6"/>
  <c r="W1295" i="6"/>
  <c r="W1296" i="6"/>
  <c r="W1297" i="6"/>
  <c r="W1298" i="6"/>
  <c r="W1299" i="6"/>
  <c r="W1300" i="6"/>
  <c r="W1301" i="6"/>
  <c r="W1302" i="6"/>
  <c r="W1303" i="6"/>
  <c r="W1304" i="6"/>
  <c r="W1305" i="6"/>
  <c r="W1306" i="6"/>
  <c r="W1307" i="6"/>
  <c r="W1308" i="6"/>
  <c r="W1309" i="6"/>
  <c r="W1310" i="6"/>
  <c r="W1311" i="6"/>
  <c r="W1312" i="6"/>
  <c r="W1313" i="6"/>
  <c r="W1314" i="6"/>
  <c r="W1315" i="6"/>
  <c r="W1316" i="6"/>
  <c r="W1317" i="6"/>
  <c r="W1318" i="6"/>
  <c r="W1319" i="6"/>
  <c r="W1320" i="6"/>
  <c r="W1321" i="6"/>
  <c r="W1322" i="6"/>
  <c r="W1323" i="6"/>
  <c r="W1324" i="6"/>
  <c r="W1325" i="6"/>
  <c r="W1326" i="6"/>
  <c r="W1327" i="6"/>
  <c r="W1328" i="6"/>
  <c r="W1329" i="6"/>
  <c r="W1330" i="6"/>
  <c r="W1331" i="6"/>
  <c r="W1332" i="6"/>
  <c r="W1333" i="6"/>
  <c r="W1334" i="6"/>
  <c r="W1335" i="6"/>
  <c r="W1336" i="6"/>
  <c r="W1337" i="6"/>
  <c r="W1338" i="6"/>
  <c r="W1339" i="6"/>
  <c r="W1340" i="6"/>
  <c r="W1341" i="6"/>
  <c r="W1342" i="6"/>
  <c r="W1343" i="6"/>
  <c r="W1344" i="6"/>
  <c r="W1345" i="6"/>
  <c r="W1346" i="6"/>
  <c r="W1347" i="6"/>
  <c r="W1348" i="6"/>
  <c r="W1349" i="6"/>
  <c r="W1350" i="6"/>
  <c r="W1351" i="6"/>
  <c r="W1352" i="6"/>
  <c r="W1353" i="6"/>
  <c r="W1354" i="6"/>
  <c r="W1355" i="6"/>
  <c r="W1356" i="6"/>
  <c r="W1357" i="6"/>
  <c r="W1358" i="6"/>
  <c r="W1359" i="6"/>
  <c r="W1360" i="6"/>
  <c r="W1361" i="6"/>
  <c r="W1362" i="6"/>
  <c r="W1363" i="6"/>
  <c r="W1364" i="6"/>
  <c r="W1365" i="6"/>
  <c r="W1366" i="6"/>
  <c r="W1367" i="6"/>
  <c r="W1368" i="6"/>
  <c r="W1369" i="6"/>
  <c r="W1370" i="6"/>
  <c r="W1371" i="6"/>
  <c r="W1372" i="6"/>
  <c r="W1373" i="6"/>
  <c r="W1374" i="6"/>
  <c r="W1375" i="6"/>
  <c r="W1376" i="6"/>
  <c r="W1377" i="6"/>
  <c r="W1378" i="6"/>
  <c r="W1379" i="6"/>
  <c r="W1380" i="6"/>
  <c r="W1381" i="6"/>
  <c r="W1382" i="6"/>
  <c r="W1383" i="6"/>
  <c r="W1384" i="6"/>
  <c r="W1385" i="6"/>
  <c r="W1386" i="6"/>
  <c r="W1387" i="6"/>
  <c r="W1388" i="6"/>
  <c r="W1389" i="6"/>
  <c r="W1390" i="6"/>
  <c r="W1391" i="6"/>
  <c r="W1392" i="6"/>
  <c r="W1393" i="6"/>
  <c r="W1394" i="6"/>
  <c r="W1395" i="6"/>
  <c r="W1396" i="6"/>
  <c r="W1397" i="6"/>
  <c r="W1398" i="6"/>
  <c r="W1399" i="6"/>
  <c r="W1400" i="6"/>
  <c r="W1401" i="6"/>
  <c r="W1402" i="6"/>
  <c r="W1403" i="6"/>
  <c r="W1404" i="6"/>
  <c r="W1405" i="6"/>
  <c r="W1406" i="6"/>
  <c r="W1407" i="6"/>
  <c r="W1408" i="6"/>
  <c r="W1409" i="6"/>
  <c r="W1410" i="6"/>
  <c r="W1411" i="6"/>
  <c r="W1412" i="6"/>
  <c r="W1413" i="6"/>
  <c r="W1414" i="6"/>
  <c r="W1415" i="6"/>
  <c r="W1416" i="6"/>
  <c r="W1417" i="6"/>
  <c r="W1418" i="6"/>
  <c r="W1419" i="6"/>
  <c r="W1420" i="6"/>
  <c r="W1421" i="6"/>
  <c r="W1422" i="6"/>
  <c r="W1423" i="6"/>
  <c r="W1424" i="6"/>
  <c r="W1425" i="6"/>
  <c r="W1426" i="6"/>
  <c r="W1427" i="6"/>
  <c r="W1428" i="6"/>
  <c r="W1429" i="6"/>
  <c r="W1430" i="6"/>
  <c r="W1431" i="6"/>
  <c r="W1432" i="6"/>
  <c r="W1433" i="6"/>
  <c r="W1434" i="6"/>
  <c r="W1435" i="6"/>
  <c r="W1436" i="6"/>
  <c r="W1437" i="6"/>
  <c r="W1438" i="6"/>
  <c r="W1439" i="6"/>
  <c r="W1440" i="6"/>
  <c r="W1441" i="6"/>
  <c r="W1442" i="6"/>
  <c r="W1443" i="6"/>
  <c r="W1444" i="6"/>
  <c r="W1445" i="6"/>
  <c r="W1446" i="6"/>
  <c r="W1447" i="6"/>
  <c r="W1448" i="6"/>
  <c r="W1449" i="6"/>
  <c r="W1450" i="6"/>
  <c r="W1451" i="6"/>
  <c r="W1452" i="6"/>
  <c r="W1453" i="6"/>
  <c r="W1454" i="6"/>
  <c r="W1455" i="6"/>
  <c r="W1456" i="6"/>
  <c r="W1457" i="6"/>
  <c r="W1458" i="6"/>
  <c r="W1459" i="6"/>
  <c r="W1460" i="6"/>
  <c r="W1461" i="6"/>
  <c r="W1462" i="6"/>
  <c r="W1463" i="6"/>
  <c r="W1464" i="6"/>
  <c r="W1465" i="6"/>
  <c r="W1466" i="6"/>
  <c r="W1467" i="6"/>
  <c r="W1468" i="6"/>
  <c r="W1469" i="6"/>
  <c r="W1470" i="6"/>
  <c r="W1471" i="6"/>
  <c r="W1472" i="6"/>
  <c r="W1473" i="6"/>
  <c r="W1474" i="6"/>
  <c r="W1475" i="6"/>
  <c r="W1476" i="6"/>
  <c r="W1477" i="6"/>
  <c r="W1478" i="6"/>
  <c r="W1479" i="6"/>
  <c r="W1480" i="6"/>
  <c r="W1481" i="6"/>
  <c r="W1482" i="6"/>
  <c r="W1483" i="6"/>
  <c r="W1484" i="6"/>
  <c r="W1485" i="6"/>
  <c r="W1486" i="6"/>
  <c r="W1487" i="6"/>
  <c r="W1488" i="6"/>
  <c r="W1489" i="6"/>
  <c r="W1490" i="6"/>
  <c r="W1491" i="6"/>
  <c r="W1492" i="6"/>
  <c r="W1493" i="6"/>
  <c r="W1494" i="6"/>
  <c r="W1495" i="6"/>
  <c r="W1496" i="6"/>
  <c r="W1497" i="6"/>
  <c r="W1498" i="6"/>
  <c r="W1499" i="6"/>
  <c r="W1500" i="6"/>
  <c r="W1501" i="6"/>
  <c r="W1502" i="6"/>
  <c r="W1503" i="6"/>
  <c r="W1504" i="6"/>
  <c r="W1505" i="6"/>
  <c r="W1506" i="6"/>
  <c r="W1507" i="6"/>
  <c r="W1508" i="6"/>
  <c r="W1509" i="6"/>
  <c r="W1510" i="6"/>
  <c r="W1511" i="6"/>
  <c r="W1512" i="6"/>
  <c r="W1513" i="6"/>
  <c r="W1514" i="6"/>
  <c r="W1515" i="6"/>
  <c r="W1516" i="6"/>
  <c r="W1517" i="6"/>
  <c r="W1518" i="6"/>
  <c r="W1519" i="6"/>
  <c r="W1520" i="6"/>
  <c r="W1521" i="6"/>
  <c r="W1522" i="6"/>
  <c r="W1523" i="6"/>
  <c r="W1524" i="6"/>
  <c r="W1525" i="6"/>
  <c r="W1526" i="6"/>
  <c r="W1527" i="6"/>
  <c r="W1528" i="6"/>
  <c r="W1529" i="6"/>
  <c r="W1530" i="6"/>
  <c r="W1531" i="6"/>
  <c r="W1532" i="6"/>
  <c r="W1533" i="6"/>
  <c r="W1534" i="6"/>
  <c r="W1535" i="6"/>
  <c r="W1536" i="6"/>
  <c r="W1537" i="6"/>
  <c r="W1538" i="6"/>
  <c r="W1539" i="6"/>
  <c r="W1540" i="6"/>
  <c r="W1541" i="6"/>
  <c r="W1542" i="6"/>
  <c r="W1543" i="6"/>
  <c r="W1544" i="6"/>
  <c r="W1545" i="6"/>
  <c r="W1546" i="6"/>
  <c r="W1547" i="6"/>
  <c r="W1548" i="6"/>
  <c r="W1549" i="6"/>
  <c r="W1550" i="6"/>
  <c r="W1551" i="6"/>
  <c r="W1552" i="6"/>
  <c r="W1553" i="6"/>
  <c r="W1554" i="6"/>
  <c r="W1555" i="6"/>
  <c r="W1556" i="6"/>
  <c r="W1557" i="6"/>
  <c r="W1558" i="6"/>
  <c r="W1559" i="6"/>
  <c r="W1560" i="6"/>
  <c r="W1561" i="6"/>
  <c r="W1562" i="6"/>
  <c r="W1563" i="6"/>
  <c r="W1564" i="6"/>
  <c r="W1565" i="6"/>
  <c r="W1566" i="6"/>
  <c r="W1567" i="6"/>
  <c r="W1568" i="6"/>
  <c r="W1569" i="6"/>
  <c r="W1570" i="6"/>
  <c r="W1571" i="6"/>
  <c r="W1572" i="6"/>
  <c r="W1573" i="6"/>
  <c r="W1574" i="6"/>
  <c r="W1575" i="6"/>
  <c r="W1576" i="6"/>
  <c r="W1577" i="6"/>
  <c r="W1578" i="6"/>
  <c r="W1579" i="6"/>
  <c r="W1580" i="6"/>
  <c r="W1581" i="6"/>
  <c r="W1582" i="6"/>
  <c r="W1583" i="6"/>
  <c r="W1584" i="6"/>
  <c r="W1585" i="6"/>
  <c r="W1586" i="6"/>
  <c r="W1587" i="6"/>
  <c r="W1588" i="6"/>
  <c r="W1589" i="6"/>
  <c r="W1590" i="6"/>
  <c r="W1591" i="6"/>
  <c r="W1592" i="6"/>
  <c r="W1593" i="6"/>
  <c r="W1594" i="6"/>
  <c r="W1595" i="6"/>
  <c r="W1596" i="6"/>
  <c r="W1597" i="6"/>
  <c r="W1598" i="6"/>
  <c r="W1599" i="6"/>
  <c r="W1600" i="6"/>
  <c r="W1601" i="6"/>
  <c r="W1602" i="6"/>
  <c r="W1603" i="6"/>
  <c r="W1604" i="6"/>
  <c r="W1605" i="6"/>
  <c r="W1606" i="6"/>
  <c r="W1607" i="6"/>
  <c r="W1608" i="6"/>
  <c r="W1609" i="6"/>
  <c r="W1610" i="6"/>
  <c r="W1611" i="6"/>
  <c r="W1612" i="6"/>
  <c r="W1613" i="6"/>
  <c r="W1614" i="6"/>
  <c r="W1615" i="6"/>
  <c r="W1616" i="6"/>
  <c r="W1617" i="6"/>
  <c r="W1618" i="6"/>
  <c r="W1619" i="6"/>
  <c r="W1620" i="6"/>
  <c r="W1621" i="6"/>
  <c r="W1622" i="6"/>
  <c r="W1623" i="6"/>
  <c r="W1624" i="6"/>
  <c r="W1625" i="6"/>
  <c r="W1626" i="6"/>
  <c r="W1627" i="6"/>
  <c r="W1628" i="6"/>
  <c r="W1629" i="6"/>
  <c r="W1630" i="6"/>
  <c r="W1631" i="6"/>
  <c r="W1632" i="6"/>
  <c r="W1633" i="6"/>
  <c r="W1634" i="6"/>
  <c r="W1635" i="6"/>
  <c r="W1636" i="6"/>
  <c r="W1637" i="6"/>
  <c r="W1638" i="6"/>
  <c r="W1639" i="6"/>
  <c r="W1640" i="6"/>
  <c r="W1641" i="6"/>
  <c r="W1642" i="6"/>
  <c r="W1643" i="6"/>
  <c r="W1644" i="6"/>
  <c r="W1645" i="6"/>
  <c r="W1646" i="6"/>
  <c r="W1647" i="6"/>
  <c r="W1648" i="6"/>
  <c r="W1649" i="6"/>
  <c r="W1650" i="6"/>
  <c r="W1651" i="6"/>
  <c r="W1652" i="6"/>
  <c r="W1653" i="6"/>
  <c r="W1654" i="6"/>
  <c r="W1655" i="6"/>
  <c r="W1656" i="6"/>
  <c r="W1657" i="6"/>
  <c r="W1658" i="6"/>
  <c r="W1659" i="6"/>
  <c r="W1660" i="6"/>
  <c r="W1661" i="6"/>
  <c r="W1662" i="6"/>
  <c r="W1663" i="6"/>
  <c r="W1664" i="6"/>
  <c r="W1665" i="6"/>
  <c r="W1666" i="6"/>
  <c r="W1667" i="6"/>
  <c r="W1668" i="6"/>
  <c r="W1669" i="6"/>
  <c r="W1670" i="6"/>
  <c r="W1671" i="6"/>
  <c r="W1672" i="6"/>
  <c r="W1673" i="6"/>
  <c r="W1674" i="6"/>
  <c r="W1675" i="6"/>
  <c r="W1676" i="6"/>
  <c r="W1677" i="6"/>
  <c r="W1678" i="6"/>
  <c r="W1679" i="6"/>
  <c r="W1680" i="6"/>
  <c r="W1681" i="6"/>
  <c r="W1682" i="6"/>
  <c r="W1683" i="6"/>
  <c r="W1684" i="6"/>
  <c r="W1685" i="6"/>
  <c r="W1686" i="6"/>
  <c r="W1687" i="6"/>
  <c r="W1688" i="6"/>
  <c r="W1689" i="6"/>
  <c r="W1690" i="6"/>
  <c r="W1691" i="6"/>
  <c r="W1692" i="6"/>
  <c r="W1693" i="6"/>
  <c r="W1694" i="6"/>
  <c r="W1695" i="6"/>
  <c r="W1696" i="6"/>
  <c r="W1697" i="6"/>
  <c r="W1698" i="6"/>
  <c r="W1699" i="6"/>
  <c r="W1700" i="6"/>
  <c r="W1701" i="6"/>
  <c r="W1702" i="6"/>
  <c r="W1703" i="6"/>
  <c r="W1704" i="6"/>
  <c r="W1705" i="6"/>
  <c r="W1706" i="6"/>
  <c r="W1707" i="6"/>
  <c r="W1708" i="6"/>
  <c r="W1709" i="6"/>
  <c r="W1710" i="6"/>
  <c r="W1711" i="6"/>
  <c r="W1712" i="6"/>
  <c r="W1713" i="6"/>
  <c r="W1714" i="6"/>
  <c r="W1715" i="6"/>
  <c r="W1716" i="6"/>
  <c r="W1717" i="6"/>
  <c r="W1718" i="6"/>
  <c r="W1719" i="6"/>
  <c r="W1720" i="6"/>
  <c r="W1721" i="6"/>
  <c r="W1722" i="6"/>
  <c r="W1723" i="6"/>
  <c r="W1724" i="6"/>
  <c r="W1725" i="6"/>
  <c r="W1726" i="6"/>
  <c r="W1727" i="6"/>
  <c r="W1728" i="6"/>
  <c r="W1729" i="6"/>
  <c r="W1730" i="6"/>
  <c r="W1731" i="6"/>
  <c r="W1732" i="6"/>
  <c r="W1733" i="6"/>
  <c r="W1734" i="6"/>
  <c r="W1735" i="6"/>
  <c r="W1736" i="6"/>
  <c r="W1737" i="6"/>
  <c r="W1738" i="6"/>
  <c r="W1739" i="6"/>
  <c r="W1740" i="6"/>
  <c r="W1741" i="6"/>
  <c r="W1742" i="6"/>
  <c r="W1743" i="6"/>
  <c r="W1744" i="6"/>
  <c r="W1745" i="6"/>
  <c r="W1746" i="6"/>
  <c r="W1747" i="6"/>
  <c r="W1748" i="6"/>
  <c r="W1749" i="6"/>
  <c r="W1750" i="6"/>
  <c r="W1751" i="6"/>
  <c r="W1752" i="6"/>
  <c r="W1753" i="6"/>
  <c r="W1754" i="6"/>
  <c r="W1755" i="6"/>
  <c r="W1756" i="6"/>
  <c r="W1757" i="6"/>
  <c r="W1758" i="6"/>
  <c r="W1759" i="6"/>
  <c r="W1760" i="6"/>
  <c r="W1761" i="6"/>
  <c r="W1762" i="6"/>
  <c r="W1763" i="6"/>
  <c r="W1764" i="6"/>
  <c r="W1765" i="6"/>
  <c r="W1766" i="6"/>
  <c r="W1767" i="6"/>
  <c r="W1768" i="6"/>
  <c r="W1769" i="6"/>
  <c r="W1770" i="6"/>
  <c r="W1771" i="6"/>
  <c r="W1772" i="6"/>
  <c r="W1773" i="6"/>
  <c r="W1774" i="6"/>
  <c r="W1775" i="6"/>
  <c r="W1776" i="6"/>
  <c r="W1777" i="6"/>
  <c r="W1778" i="6"/>
  <c r="W1779" i="6"/>
  <c r="W1780" i="6"/>
  <c r="W1781" i="6"/>
  <c r="W1782" i="6"/>
  <c r="W1783" i="6"/>
  <c r="W1784" i="6"/>
  <c r="W1785" i="6"/>
  <c r="W1786" i="6"/>
  <c r="W1787" i="6"/>
  <c r="W1788" i="6"/>
  <c r="W1789" i="6"/>
  <c r="W1790" i="6"/>
  <c r="W1791" i="6"/>
  <c r="W1792" i="6"/>
  <c r="W1793" i="6"/>
  <c r="W1794" i="6"/>
  <c r="W1795" i="6"/>
  <c r="W1796" i="6"/>
  <c r="W1797" i="6"/>
  <c r="W1798" i="6"/>
  <c r="W1799" i="6"/>
  <c r="W1800" i="6"/>
  <c r="W1801" i="6"/>
  <c r="W1802" i="6"/>
  <c r="W1803" i="6"/>
  <c r="W1804" i="6"/>
  <c r="W1805" i="6"/>
  <c r="W1806" i="6"/>
  <c r="W1807" i="6"/>
  <c r="W1808" i="6"/>
  <c r="W1809" i="6"/>
  <c r="W1810" i="6"/>
  <c r="W1811" i="6"/>
  <c r="W1812" i="6"/>
  <c r="W1813" i="6"/>
  <c r="W1814" i="6"/>
  <c r="W1815" i="6"/>
  <c r="W1816" i="6"/>
  <c r="W1817" i="6"/>
  <c r="W1818" i="6"/>
  <c r="W1819" i="6"/>
  <c r="W1820" i="6"/>
  <c r="W1821" i="6"/>
  <c r="W1822" i="6"/>
  <c r="W1823" i="6"/>
  <c r="W1824" i="6"/>
  <c r="W1825" i="6"/>
  <c r="W1826" i="6"/>
  <c r="W1827" i="6"/>
  <c r="W1828" i="6"/>
  <c r="W1829" i="6"/>
  <c r="W1830" i="6"/>
  <c r="W1831" i="6"/>
  <c r="W1832" i="6"/>
  <c r="W1833" i="6"/>
  <c r="W1834" i="6"/>
  <c r="W1835" i="6"/>
  <c r="W1836" i="6"/>
  <c r="W1837" i="6"/>
  <c r="W1838" i="6"/>
  <c r="W1839" i="6"/>
  <c r="W1840" i="6"/>
  <c r="W1841" i="6"/>
  <c r="W1842" i="6"/>
  <c r="W1843" i="6"/>
  <c r="W1844" i="6"/>
  <c r="W1845" i="6"/>
  <c r="W1846" i="6"/>
  <c r="W1847" i="6"/>
  <c r="W1848" i="6"/>
  <c r="W1849" i="6"/>
  <c r="W1850" i="6"/>
  <c r="W1851" i="6"/>
  <c r="W1852" i="6"/>
  <c r="W1853" i="6"/>
  <c r="W1854" i="6"/>
  <c r="W1855" i="6"/>
  <c r="W1856" i="6"/>
  <c r="W1857" i="6"/>
  <c r="W1858" i="6"/>
  <c r="W1859" i="6"/>
  <c r="W1860" i="6"/>
  <c r="W1861" i="6"/>
  <c r="W1862" i="6"/>
  <c r="W1863" i="6"/>
  <c r="W1864" i="6"/>
  <c r="W1865" i="6"/>
  <c r="W1866" i="6"/>
  <c r="W1867" i="6"/>
  <c r="W1868" i="6"/>
  <c r="W1869" i="6"/>
  <c r="W1870" i="6"/>
  <c r="W1871" i="6"/>
  <c r="W1872" i="6"/>
  <c r="W1873" i="6"/>
  <c r="W1874" i="6"/>
  <c r="W1875" i="6"/>
  <c r="W1876" i="6"/>
  <c r="W1877" i="6"/>
  <c r="W1878" i="6"/>
  <c r="W1879" i="6"/>
  <c r="W1880" i="6"/>
  <c r="W1881" i="6"/>
  <c r="W1882" i="6"/>
  <c r="W1883" i="6"/>
  <c r="W1884" i="6"/>
  <c r="W1885" i="6"/>
  <c r="W1886" i="6"/>
  <c r="W1887" i="6"/>
  <c r="W1888" i="6"/>
  <c r="W1889" i="6"/>
  <c r="W1890" i="6"/>
  <c r="W1891" i="6"/>
  <c r="W1892" i="6"/>
  <c r="W1893" i="6"/>
  <c r="W1894" i="6"/>
  <c r="W1895" i="6"/>
  <c r="W1896" i="6"/>
  <c r="W1897" i="6"/>
  <c r="W1898" i="6"/>
  <c r="W1899" i="6"/>
  <c r="W1900" i="6"/>
  <c r="W1901" i="6"/>
  <c r="W1902" i="6"/>
  <c r="W1903" i="6"/>
  <c r="W1904" i="6"/>
  <c r="W1905" i="6"/>
  <c r="W1906" i="6"/>
  <c r="W1907" i="6"/>
  <c r="W1908" i="6"/>
  <c r="W1909" i="6"/>
  <c r="W1910" i="6"/>
  <c r="W1911" i="6"/>
  <c r="W1912" i="6"/>
  <c r="W1913" i="6"/>
  <c r="W1914" i="6"/>
  <c r="W1915" i="6"/>
  <c r="W1916" i="6"/>
  <c r="W1917" i="6"/>
  <c r="W1918" i="6"/>
  <c r="W1919" i="6"/>
  <c r="W1920" i="6"/>
  <c r="W1921" i="6"/>
  <c r="W1922" i="6"/>
  <c r="W1923" i="6"/>
  <c r="W1924" i="6"/>
  <c r="W1925" i="6"/>
  <c r="W1926" i="6"/>
  <c r="W1927" i="6"/>
  <c r="W1928" i="6"/>
  <c r="W1929" i="6"/>
  <c r="W1930" i="6"/>
  <c r="W1931" i="6"/>
  <c r="W1932" i="6"/>
  <c r="W1933" i="6"/>
  <c r="W1934" i="6"/>
  <c r="W1935" i="6"/>
  <c r="W1936" i="6"/>
  <c r="W1937" i="6"/>
  <c r="W1938" i="6"/>
  <c r="W1939" i="6"/>
  <c r="W1940" i="6"/>
  <c r="W1941" i="6"/>
  <c r="W1942" i="6"/>
  <c r="W1943" i="6"/>
  <c r="W1944" i="6"/>
  <c r="W1945" i="6"/>
  <c r="W1946" i="6"/>
  <c r="W1947" i="6"/>
  <c r="W1948" i="6"/>
  <c r="W1949" i="6"/>
  <c r="W1950" i="6"/>
  <c r="W1951" i="6"/>
  <c r="W1952" i="6"/>
  <c r="W1953" i="6"/>
  <c r="W1954" i="6"/>
  <c r="W1955" i="6"/>
  <c r="W1956" i="6"/>
  <c r="W1957" i="6"/>
  <c r="W1958" i="6"/>
  <c r="W1959" i="6"/>
  <c r="W1960" i="6"/>
  <c r="W1961" i="6"/>
  <c r="W1962" i="6"/>
  <c r="W1963" i="6"/>
  <c r="W1964" i="6"/>
  <c r="W1965" i="6"/>
  <c r="W1966" i="6"/>
  <c r="W1967" i="6"/>
  <c r="W1968" i="6"/>
  <c r="W1969" i="6"/>
  <c r="W1970" i="6"/>
  <c r="W1971" i="6"/>
  <c r="W1972" i="6"/>
  <c r="W1973" i="6"/>
  <c r="W1974" i="6"/>
  <c r="W1975" i="6"/>
  <c r="W1976" i="6"/>
  <c r="W1977" i="6"/>
  <c r="W1978" i="6"/>
  <c r="W1979" i="6"/>
  <c r="W1980" i="6"/>
  <c r="W1981" i="6"/>
  <c r="W1982" i="6"/>
  <c r="W1983" i="6"/>
  <c r="W1984" i="6"/>
  <c r="W1985" i="6"/>
  <c r="W1986" i="6"/>
  <c r="W1987" i="6"/>
  <c r="W1988" i="6"/>
  <c r="W1989" i="6"/>
  <c r="W1990" i="6"/>
  <c r="W1991" i="6"/>
  <c r="W1992" i="6"/>
  <c r="W1993" i="6"/>
  <c r="W1994" i="6"/>
  <c r="W1995" i="6"/>
  <c r="W1996" i="6"/>
  <c r="W1997" i="6"/>
  <c r="W1998" i="6"/>
  <c r="W1999" i="6"/>
  <c r="W2000" i="6"/>
  <c r="W2001" i="6"/>
  <c r="W2002" i="6"/>
  <c r="W2003" i="6"/>
  <c r="W2004" i="6"/>
  <c r="W2005" i="6"/>
  <c r="W2006" i="6"/>
  <c r="W2007" i="6"/>
  <c r="W2008" i="6"/>
  <c r="W2009" i="6"/>
  <c r="W2010" i="6"/>
  <c r="W2011" i="6"/>
  <c r="W2012" i="6"/>
  <c r="W2013" i="6"/>
  <c r="W2014" i="6"/>
  <c r="W2015" i="6"/>
  <c r="W2016" i="6"/>
  <c r="W2017" i="6"/>
  <c r="W2018" i="6"/>
  <c r="W2019" i="6"/>
  <c r="W2020" i="6"/>
  <c r="W2021" i="6"/>
  <c r="W2022" i="6"/>
  <c r="W2023" i="6"/>
  <c r="W2024" i="6"/>
  <c r="W2025" i="6"/>
  <c r="W2026" i="6"/>
  <c r="W2027" i="6"/>
  <c r="W2028" i="6"/>
  <c r="W2029" i="6"/>
  <c r="W2030" i="6"/>
  <c r="W2031" i="6"/>
  <c r="W2032" i="6"/>
  <c r="W2033" i="6"/>
  <c r="W2034" i="6"/>
  <c r="W2035" i="6"/>
  <c r="W2036" i="6"/>
  <c r="W2037" i="6"/>
  <c r="W2038" i="6"/>
  <c r="W2039" i="6"/>
  <c r="W2040" i="6"/>
  <c r="W2041" i="6"/>
  <c r="W2042" i="6"/>
  <c r="W2043" i="6"/>
  <c r="W2044" i="6"/>
  <c r="W2045" i="6"/>
  <c r="W2046" i="6"/>
  <c r="W2047" i="6"/>
  <c r="W2048" i="6"/>
  <c r="W2049" i="6"/>
  <c r="W2050" i="6"/>
  <c r="W2051" i="6"/>
  <c r="W2052" i="6"/>
  <c r="W2053" i="6"/>
  <c r="W2054" i="6"/>
  <c r="W2055" i="6"/>
  <c r="W2056" i="6"/>
  <c r="W2057" i="6"/>
  <c r="W2058" i="6"/>
  <c r="W2059" i="6"/>
  <c r="W2060" i="6"/>
  <c r="W2061" i="6"/>
  <c r="W2062" i="6"/>
  <c r="W2063" i="6"/>
  <c r="W2064" i="6"/>
  <c r="W2065" i="6"/>
  <c r="W2066" i="6"/>
  <c r="W2067" i="6"/>
  <c r="W2068" i="6"/>
  <c r="W2069" i="6"/>
  <c r="W2070" i="6"/>
  <c r="W2071" i="6"/>
  <c r="W2072" i="6"/>
  <c r="W2073" i="6"/>
  <c r="W2074" i="6"/>
  <c r="W2075" i="6"/>
  <c r="W2076" i="6"/>
  <c r="W2077" i="6"/>
  <c r="W2078" i="6"/>
  <c r="W2079" i="6"/>
  <c r="W2080" i="6"/>
  <c r="W2081" i="6"/>
  <c r="W2082" i="6"/>
  <c r="W2083" i="6"/>
  <c r="W2084" i="6"/>
  <c r="W2085" i="6"/>
  <c r="W2086" i="6"/>
  <c r="W2087" i="6"/>
  <c r="W2088" i="6"/>
  <c r="W2089" i="6"/>
  <c r="W2090" i="6"/>
  <c r="W2091" i="6"/>
  <c r="W2092" i="6"/>
  <c r="W2093" i="6"/>
  <c r="W2094" i="6"/>
  <c r="W2095" i="6"/>
  <c r="W2096" i="6"/>
  <c r="W2097" i="6"/>
  <c r="W2098" i="6"/>
  <c r="W2099" i="6"/>
  <c r="W2100" i="6"/>
  <c r="W2101" i="6"/>
  <c r="W2102" i="6"/>
  <c r="W2103" i="6"/>
  <c r="W2104" i="6"/>
  <c r="W2105" i="6"/>
  <c r="W2106" i="6"/>
  <c r="W2107" i="6"/>
  <c r="W2108" i="6"/>
  <c r="W2109" i="6"/>
  <c r="W2110" i="6"/>
  <c r="W2111" i="6"/>
  <c r="W2112" i="6"/>
  <c r="W2113" i="6"/>
  <c r="W2114" i="6"/>
  <c r="W2115" i="6"/>
  <c r="W2116" i="6"/>
  <c r="W2117" i="6"/>
  <c r="W2118" i="6"/>
  <c r="W2119" i="6"/>
  <c r="W2120" i="6"/>
  <c r="W2121" i="6"/>
  <c r="W2122" i="6"/>
  <c r="W2123" i="6"/>
  <c r="W2124" i="6"/>
  <c r="W2125" i="6"/>
  <c r="W2126" i="6"/>
  <c r="W2127" i="6"/>
  <c r="W2128" i="6"/>
  <c r="W2129" i="6"/>
  <c r="W2130" i="6"/>
  <c r="W2131" i="6"/>
  <c r="W2132" i="6"/>
  <c r="W2133" i="6"/>
  <c r="W2134" i="6"/>
  <c r="W2135" i="6"/>
  <c r="W2136" i="6"/>
  <c r="W2137" i="6"/>
  <c r="W2138" i="6"/>
  <c r="W2139" i="6"/>
  <c r="W2140" i="6"/>
  <c r="W2141" i="6"/>
  <c r="W2142" i="6"/>
  <c r="W2143" i="6"/>
  <c r="W2144" i="6"/>
  <c r="W2145" i="6"/>
  <c r="W2146" i="6"/>
  <c r="W2147" i="6"/>
  <c r="W2148" i="6"/>
  <c r="W2149" i="6"/>
  <c r="W2150" i="6"/>
  <c r="W2151" i="6"/>
  <c r="W2152" i="6"/>
  <c r="W2153" i="6"/>
  <c r="W2154" i="6"/>
  <c r="W2155" i="6"/>
  <c r="W2156" i="6"/>
  <c r="W2157" i="6"/>
  <c r="W2158" i="6"/>
  <c r="W2159" i="6"/>
  <c r="W2160" i="6"/>
  <c r="W2161" i="6"/>
  <c r="W2162" i="6"/>
  <c r="W2163" i="6"/>
  <c r="W2164" i="6"/>
  <c r="W2165" i="6"/>
  <c r="W2166" i="6"/>
  <c r="W2167" i="6"/>
  <c r="W2168" i="6"/>
  <c r="W2169" i="6"/>
  <c r="W2170" i="6"/>
  <c r="W2171" i="6"/>
  <c r="W2172" i="6"/>
  <c r="W2173" i="6"/>
  <c r="W2174" i="6"/>
  <c r="W2175" i="6"/>
  <c r="W2176" i="6"/>
  <c r="W2177" i="6"/>
  <c r="W2178" i="6"/>
  <c r="W2179" i="6"/>
  <c r="W2180" i="6"/>
  <c r="W2181" i="6"/>
  <c r="W2182" i="6"/>
  <c r="W2183" i="6"/>
  <c r="W2184" i="6"/>
  <c r="W2185" i="6"/>
  <c r="W2186" i="6"/>
  <c r="W2187" i="6"/>
  <c r="W2188" i="6"/>
  <c r="W2189" i="6"/>
  <c r="W2190" i="6"/>
  <c r="W2191" i="6"/>
  <c r="W2192" i="6"/>
  <c r="W2193" i="6"/>
  <c r="W2194" i="6"/>
  <c r="W2195" i="6"/>
  <c r="W2196" i="6"/>
  <c r="W2197" i="6"/>
  <c r="W2198" i="6"/>
  <c r="W2199" i="6"/>
  <c r="W2200" i="6"/>
  <c r="W2201" i="6"/>
  <c r="W2202" i="6"/>
  <c r="W2203" i="6"/>
  <c r="W2204" i="6"/>
  <c r="W2205" i="6"/>
  <c r="W2206" i="6"/>
  <c r="W2207" i="6"/>
  <c r="W2208" i="6"/>
  <c r="W2209" i="6"/>
  <c r="W2210" i="6"/>
  <c r="W2211" i="6"/>
  <c r="W2212" i="6"/>
  <c r="W2213" i="6"/>
  <c r="W2214" i="6"/>
  <c r="W2215" i="6"/>
  <c r="W2216" i="6"/>
  <c r="W2217" i="6"/>
  <c r="W2218" i="6"/>
  <c r="W2219" i="6"/>
  <c r="W2220" i="6"/>
  <c r="W2221" i="6"/>
  <c r="W2222" i="6"/>
  <c r="W2223" i="6"/>
  <c r="W2224" i="6"/>
  <c r="W2225" i="6"/>
  <c r="W2226" i="6"/>
  <c r="W2227" i="6"/>
  <c r="W2228" i="6"/>
  <c r="W2229" i="6"/>
  <c r="W2230" i="6"/>
  <c r="W2231" i="6"/>
  <c r="W2232" i="6"/>
  <c r="W2233" i="6"/>
  <c r="W2234" i="6"/>
  <c r="W2235" i="6"/>
  <c r="W2236" i="6"/>
  <c r="W2237" i="6"/>
  <c r="W2238" i="6"/>
  <c r="W2239" i="6"/>
  <c r="W2240" i="6"/>
  <c r="W2241" i="6"/>
  <c r="W2242" i="6"/>
  <c r="W2243" i="6"/>
  <c r="W2244" i="6"/>
  <c r="W2245" i="6"/>
  <c r="W2246" i="6"/>
  <c r="W2247" i="6"/>
  <c r="W2248" i="6"/>
  <c r="W2249" i="6"/>
  <c r="W2250" i="6"/>
  <c r="W2251" i="6"/>
  <c r="W2252" i="6"/>
  <c r="W2253" i="6"/>
  <c r="W2254" i="6"/>
  <c r="W2255" i="6"/>
  <c r="W2256" i="6"/>
  <c r="W2257" i="6"/>
  <c r="W2258" i="6"/>
  <c r="W2259" i="6"/>
  <c r="W2260" i="6"/>
  <c r="W2261" i="6"/>
  <c r="W2262" i="6"/>
  <c r="W2263" i="6"/>
  <c r="W2264" i="6"/>
  <c r="W2265" i="6"/>
  <c r="W2266" i="6"/>
  <c r="W2267" i="6"/>
  <c r="W2268" i="6"/>
  <c r="W2269" i="6"/>
  <c r="W2270" i="6"/>
  <c r="W2271" i="6"/>
  <c r="W2272" i="6"/>
  <c r="W2273" i="6"/>
  <c r="W2274" i="6"/>
  <c r="W2275" i="6"/>
  <c r="W2276" i="6"/>
  <c r="W2277" i="6"/>
  <c r="W2278" i="6"/>
  <c r="W2279" i="6"/>
  <c r="W2280" i="6"/>
  <c r="W2281" i="6"/>
  <c r="W2282" i="6"/>
  <c r="W2283" i="6"/>
  <c r="W2284" i="6"/>
  <c r="W2285" i="6"/>
  <c r="W2286" i="6"/>
  <c r="W2287" i="6"/>
  <c r="W2288" i="6"/>
  <c r="W2289" i="6"/>
  <c r="W2290" i="6"/>
  <c r="W2291" i="6"/>
  <c r="W2292" i="6"/>
  <c r="W2293" i="6"/>
  <c r="W2294" i="6"/>
  <c r="W2295" i="6"/>
  <c r="W2296" i="6"/>
  <c r="W2297" i="6"/>
  <c r="W2298" i="6"/>
  <c r="W2299" i="6"/>
  <c r="W2300" i="6"/>
  <c r="W2301" i="6"/>
  <c r="W2302" i="6"/>
  <c r="W2303" i="6"/>
  <c r="W2304" i="6"/>
  <c r="W2305" i="6"/>
  <c r="W2306" i="6"/>
  <c r="W2307" i="6"/>
  <c r="W2308" i="6"/>
  <c r="W2309" i="6"/>
  <c r="W2310" i="6"/>
  <c r="W2311" i="6"/>
  <c r="W2312" i="6"/>
  <c r="W2313" i="6"/>
  <c r="W2314" i="6"/>
  <c r="W2315" i="6"/>
  <c r="W2316" i="6"/>
  <c r="W2317" i="6"/>
  <c r="W2318" i="6"/>
  <c r="W2319" i="6"/>
  <c r="W2320" i="6"/>
  <c r="W2321" i="6"/>
  <c r="W2322" i="6"/>
  <c r="W2323" i="6"/>
  <c r="W2324" i="6"/>
  <c r="W2325" i="6"/>
  <c r="W2326" i="6"/>
  <c r="W2327" i="6"/>
  <c r="W2328" i="6"/>
  <c r="W2329" i="6"/>
  <c r="W2330" i="6"/>
  <c r="W2331" i="6"/>
  <c r="W2332" i="6"/>
  <c r="W2333" i="6"/>
  <c r="W2334" i="6"/>
  <c r="W2335" i="6"/>
  <c r="W2336" i="6"/>
  <c r="W2337" i="6"/>
  <c r="W2338" i="6"/>
  <c r="W2339" i="6"/>
  <c r="W2340" i="6"/>
  <c r="W2341" i="6"/>
  <c r="W2342" i="6"/>
  <c r="W2343" i="6"/>
  <c r="W2344" i="6"/>
  <c r="W2345" i="6"/>
  <c r="W2346" i="6"/>
  <c r="W2347" i="6"/>
  <c r="W2348" i="6"/>
  <c r="W2349" i="6"/>
  <c r="W2350" i="6"/>
  <c r="W2351" i="6"/>
  <c r="W2352" i="6"/>
  <c r="W2353" i="6"/>
  <c r="W2354" i="6"/>
  <c r="W2355" i="6"/>
  <c r="W2356" i="6"/>
  <c r="W2357" i="6"/>
  <c r="W2358" i="6"/>
  <c r="W2359" i="6"/>
  <c r="W2360" i="6"/>
  <c r="W2361" i="6"/>
  <c r="W2362" i="6"/>
  <c r="W2363" i="6"/>
  <c r="W2364" i="6"/>
  <c r="W2365" i="6"/>
  <c r="W2366" i="6"/>
  <c r="W2367" i="6"/>
  <c r="W2368" i="6"/>
  <c r="W2369" i="6"/>
  <c r="W2370" i="6"/>
  <c r="W2371" i="6"/>
  <c r="W2372" i="6"/>
  <c r="W2373" i="6"/>
  <c r="W2374" i="6"/>
  <c r="W2375" i="6"/>
  <c r="W2376" i="6"/>
  <c r="W2377" i="6"/>
  <c r="W2378" i="6"/>
  <c r="W2379" i="6"/>
  <c r="W2380" i="6"/>
  <c r="W2381" i="6"/>
  <c r="W2382" i="6"/>
  <c r="W2383" i="6"/>
  <c r="W2384" i="6"/>
  <c r="W2385" i="6"/>
  <c r="W2386" i="6"/>
  <c r="W2387" i="6"/>
  <c r="W2388" i="6"/>
  <c r="W2389" i="6"/>
  <c r="W2390" i="6"/>
  <c r="W2391" i="6"/>
  <c r="W2392" i="6"/>
  <c r="W2393" i="6"/>
  <c r="W2394" i="6"/>
  <c r="W2395" i="6"/>
  <c r="W2396" i="6"/>
  <c r="W2397" i="6"/>
  <c r="W2398" i="6"/>
  <c r="W2399" i="6"/>
  <c r="W2400" i="6"/>
  <c r="W2401" i="6"/>
  <c r="W2402" i="6"/>
  <c r="W2403" i="6"/>
  <c r="W2404" i="6"/>
  <c r="W2405" i="6"/>
  <c r="W2406" i="6"/>
  <c r="W2407" i="6"/>
  <c r="W2408" i="6"/>
  <c r="W2409" i="6"/>
  <c r="W2410" i="6"/>
  <c r="W2411" i="6"/>
  <c r="W2412" i="6"/>
  <c r="W2413" i="6"/>
  <c r="W2414" i="6"/>
  <c r="W2415" i="6"/>
  <c r="W2416" i="6"/>
  <c r="W2417" i="6"/>
  <c r="W2418" i="6"/>
  <c r="W2419" i="6"/>
  <c r="W2420" i="6"/>
  <c r="W2421" i="6"/>
  <c r="W2422" i="6"/>
  <c r="W2423" i="6"/>
  <c r="W2424" i="6"/>
  <c r="W2425" i="6"/>
  <c r="W2426" i="6"/>
  <c r="W2427" i="6"/>
  <c r="W2428" i="6"/>
  <c r="W2429" i="6"/>
  <c r="W2430" i="6"/>
  <c r="W2431" i="6"/>
  <c r="W2432" i="6"/>
  <c r="W2433" i="6"/>
  <c r="W2434" i="6"/>
  <c r="W2435" i="6"/>
  <c r="W2436" i="6"/>
  <c r="W2437" i="6"/>
  <c r="W2438" i="6"/>
  <c r="W2439" i="6"/>
  <c r="W2440" i="6"/>
  <c r="W2441" i="6"/>
  <c r="W2442" i="6"/>
  <c r="W2443" i="6"/>
  <c r="W2444" i="6"/>
  <c r="W2445" i="6"/>
  <c r="W2446" i="6"/>
  <c r="W2447" i="6"/>
  <c r="W2448" i="6"/>
  <c r="W2449" i="6"/>
  <c r="W2450" i="6"/>
  <c r="W2451" i="6"/>
  <c r="W2452" i="6"/>
  <c r="W2453" i="6"/>
  <c r="W2454" i="6"/>
  <c r="W2455" i="6"/>
  <c r="W2456" i="6"/>
  <c r="W2457" i="6"/>
  <c r="W2458" i="6"/>
  <c r="W2459" i="6"/>
  <c r="W2460" i="6"/>
  <c r="W2461" i="6"/>
  <c r="W2462" i="6"/>
  <c r="W2463" i="6"/>
  <c r="W2464" i="6"/>
  <c r="W2465" i="6"/>
  <c r="W2466" i="6"/>
  <c r="W2467" i="6"/>
  <c r="W2468" i="6"/>
  <c r="W2469" i="6"/>
  <c r="W2470" i="6"/>
  <c r="W2471" i="6"/>
  <c r="W2472" i="6"/>
  <c r="W2473" i="6"/>
  <c r="W2474" i="6"/>
  <c r="W2475" i="6"/>
  <c r="W2476" i="6"/>
  <c r="W2477" i="6"/>
  <c r="W2478" i="6"/>
  <c r="W2479" i="6"/>
  <c r="W2480" i="6"/>
  <c r="W2481" i="6"/>
  <c r="W2482" i="6"/>
  <c r="W2483" i="6"/>
  <c r="W2484" i="6"/>
  <c r="W2485" i="6"/>
  <c r="W2486" i="6"/>
  <c r="W2487" i="6"/>
  <c r="W2488" i="6"/>
  <c r="W2489" i="6"/>
  <c r="W2490" i="6"/>
  <c r="W2491" i="6"/>
  <c r="W2492" i="6"/>
  <c r="W2493" i="6"/>
  <c r="W2494" i="6"/>
  <c r="W2495" i="6"/>
  <c r="W2496" i="6"/>
  <c r="W2497" i="6"/>
  <c r="W2498" i="6"/>
  <c r="W2499" i="6"/>
  <c r="W2500" i="6"/>
  <c r="W2501" i="6"/>
  <c r="W2502" i="6"/>
  <c r="W2503" i="6"/>
  <c r="W2504" i="6"/>
  <c r="W2505" i="6"/>
  <c r="W2506" i="6"/>
  <c r="W2507" i="6"/>
  <c r="W2508" i="6"/>
  <c r="W2509" i="6"/>
  <c r="W2510" i="6"/>
  <c r="W2511" i="6"/>
  <c r="W2512" i="6"/>
  <c r="W2513" i="6"/>
  <c r="W2514" i="6"/>
  <c r="W2515" i="6"/>
  <c r="W2516" i="6"/>
  <c r="W2517" i="6"/>
  <c r="W2518" i="6"/>
  <c r="W2519" i="6"/>
  <c r="W2520" i="6"/>
  <c r="W2521" i="6"/>
  <c r="W2522" i="6"/>
  <c r="W2523" i="6"/>
  <c r="W2524" i="6"/>
  <c r="W2525" i="6"/>
  <c r="W2526" i="6"/>
  <c r="W2527" i="6"/>
  <c r="W2528" i="6"/>
  <c r="W2529" i="6"/>
  <c r="W2530" i="6"/>
  <c r="W2531" i="6"/>
  <c r="W2532" i="6"/>
  <c r="W2533" i="6"/>
  <c r="W2534" i="6"/>
  <c r="W2535" i="6"/>
  <c r="W2536" i="6"/>
  <c r="W2537" i="6"/>
  <c r="W2538" i="6"/>
  <c r="W2539" i="6"/>
  <c r="W2540" i="6"/>
  <c r="W2541" i="6"/>
  <c r="W2542" i="6"/>
  <c r="W2543" i="6"/>
  <c r="W2544" i="6"/>
  <c r="W2545" i="6"/>
  <c r="W2546" i="6"/>
  <c r="W2547" i="6"/>
  <c r="W2548" i="6"/>
  <c r="W2549" i="6"/>
  <c r="W2550" i="6"/>
  <c r="W2551" i="6"/>
  <c r="W2552" i="6"/>
  <c r="W2553" i="6"/>
  <c r="W2554" i="6"/>
  <c r="W2555" i="6"/>
  <c r="W2556" i="6"/>
  <c r="W2557" i="6"/>
  <c r="W2558" i="6"/>
  <c r="W2559" i="6"/>
  <c r="W2560" i="6"/>
  <c r="W2561" i="6"/>
  <c r="W2562" i="6"/>
  <c r="W2563" i="6"/>
  <c r="W2564" i="6"/>
  <c r="W2565" i="6"/>
  <c r="W2566" i="6"/>
  <c r="W2567" i="6"/>
  <c r="W2568" i="6"/>
  <c r="W2569" i="6"/>
  <c r="W2570" i="6"/>
  <c r="W2571" i="6"/>
  <c r="W2572" i="6"/>
  <c r="W2573" i="6"/>
  <c r="W2574" i="6"/>
  <c r="W2575" i="6"/>
  <c r="W2576" i="6"/>
  <c r="W2577" i="6"/>
  <c r="W2578" i="6"/>
  <c r="W2579" i="6"/>
  <c r="W2580" i="6"/>
  <c r="W2581" i="6"/>
  <c r="W2582" i="6"/>
  <c r="W2583" i="6"/>
  <c r="W2584" i="6"/>
  <c r="W2585" i="6"/>
  <c r="W2586" i="6"/>
  <c r="W2587" i="6"/>
  <c r="W2588" i="6"/>
  <c r="W2589" i="6"/>
  <c r="W2590" i="6"/>
  <c r="W2591" i="6"/>
  <c r="W2592" i="6"/>
  <c r="W2593" i="6"/>
  <c r="W2594" i="6"/>
  <c r="W2595" i="6"/>
  <c r="W2596" i="6"/>
  <c r="W2597" i="6"/>
  <c r="W2598" i="6"/>
  <c r="W2599" i="6"/>
  <c r="W2600" i="6"/>
  <c r="W2601" i="6"/>
  <c r="W2602" i="6"/>
  <c r="W2603" i="6"/>
  <c r="W2604" i="6"/>
  <c r="W2605" i="6"/>
  <c r="W2606" i="6"/>
  <c r="W2607" i="6"/>
  <c r="W2608" i="6"/>
  <c r="W2609" i="6"/>
  <c r="W2610" i="6"/>
  <c r="W2611" i="6"/>
  <c r="W2612" i="6"/>
  <c r="W2613" i="6"/>
  <c r="W2614" i="6"/>
  <c r="W2615" i="6"/>
  <c r="W2616" i="6"/>
  <c r="W2617" i="6"/>
  <c r="W2618" i="6"/>
  <c r="W2619" i="6"/>
  <c r="W2620" i="6"/>
  <c r="W2621" i="6"/>
  <c r="W2622" i="6"/>
  <c r="W2623" i="6"/>
  <c r="W2624" i="6"/>
  <c r="W2625" i="6"/>
  <c r="W2626" i="6"/>
  <c r="W2627" i="6"/>
  <c r="W2628" i="6"/>
  <c r="W2629" i="6"/>
  <c r="W2630" i="6"/>
  <c r="W2631" i="6"/>
  <c r="W2632" i="6"/>
  <c r="W2633" i="6"/>
  <c r="W2634" i="6"/>
  <c r="W2635" i="6"/>
  <c r="W2636" i="6"/>
  <c r="W2637" i="6"/>
  <c r="W2638" i="6"/>
  <c r="W2639" i="6"/>
  <c r="W2640" i="6"/>
  <c r="W2641" i="6"/>
  <c r="W2642" i="6"/>
  <c r="W2643" i="6"/>
  <c r="W2644" i="6"/>
  <c r="W2645" i="6"/>
  <c r="W2646" i="6"/>
  <c r="W2647" i="6"/>
  <c r="W2648" i="6"/>
  <c r="W2649" i="6"/>
  <c r="W2650" i="6"/>
  <c r="W2651" i="6"/>
  <c r="W2652" i="6"/>
  <c r="W2653" i="6"/>
  <c r="W2654" i="6"/>
  <c r="W2655" i="6"/>
  <c r="W2656" i="6"/>
  <c r="W2657" i="6"/>
  <c r="W2658" i="6"/>
  <c r="W2659" i="6"/>
  <c r="W2660" i="6"/>
  <c r="W2661" i="6"/>
  <c r="W2662" i="6"/>
  <c r="W2663" i="6"/>
  <c r="W2664" i="6"/>
  <c r="W2665" i="6"/>
  <c r="W2666" i="6"/>
  <c r="W2667" i="6"/>
  <c r="W2668" i="6"/>
  <c r="W2669" i="6"/>
  <c r="W2670" i="6"/>
  <c r="W2671" i="6"/>
  <c r="W2672" i="6"/>
  <c r="W2673" i="6"/>
  <c r="W2674" i="6"/>
  <c r="W2675" i="6"/>
  <c r="W2676" i="6"/>
  <c r="W2677" i="6"/>
  <c r="W2678" i="6"/>
  <c r="W2679" i="6"/>
  <c r="W2680" i="6"/>
  <c r="W2681" i="6"/>
  <c r="W2682" i="6"/>
  <c r="W2683" i="6"/>
  <c r="W2684" i="6"/>
  <c r="W2685" i="6"/>
  <c r="W2686" i="6"/>
  <c r="W2687" i="6"/>
  <c r="W2688" i="6"/>
  <c r="W2689" i="6"/>
  <c r="W2690" i="6"/>
  <c r="W2691" i="6"/>
  <c r="W2692" i="6"/>
  <c r="W2693" i="6"/>
  <c r="W2694" i="6"/>
  <c r="W2695" i="6"/>
  <c r="W2696" i="6"/>
  <c r="W2697" i="6"/>
  <c r="W2698" i="6"/>
  <c r="W2699" i="6"/>
  <c r="W2700" i="6"/>
  <c r="W2701" i="6"/>
  <c r="W2702" i="6"/>
  <c r="W2703" i="6"/>
  <c r="W2704" i="6"/>
  <c r="W2705" i="6"/>
  <c r="W2706" i="6"/>
  <c r="W2707" i="6"/>
  <c r="W2708" i="6"/>
  <c r="W2709" i="6"/>
  <c r="W2710" i="6"/>
  <c r="W2711" i="6"/>
  <c r="W2712" i="6"/>
  <c r="W2713" i="6"/>
  <c r="W2714" i="6"/>
  <c r="W2715" i="6"/>
  <c r="W2716" i="6"/>
  <c r="W2717" i="6"/>
  <c r="W2718" i="6"/>
  <c r="W2719" i="6"/>
  <c r="W2720" i="6"/>
  <c r="W2721" i="6"/>
  <c r="W2722" i="6"/>
  <c r="W2723" i="6"/>
  <c r="W2724" i="6"/>
  <c r="W2725" i="6"/>
  <c r="W2726" i="6"/>
  <c r="W2727" i="6"/>
  <c r="W2728" i="6"/>
  <c r="W2729" i="6"/>
  <c r="W2730" i="6"/>
  <c r="W2731" i="6"/>
  <c r="W2732" i="6"/>
  <c r="W2733" i="6"/>
  <c r="W2734" i="6"/>
  <c r="W2735" i="6"/>
  <c r="W2736" i="6"/>
  <c r="W2737" i="6"/>
  <c r="W2738" i="6"/>
  <c r="W2739" i="6"/>
  <c r="W2740" i="6"/>
  <c r="W2741" i="6"/>
  <c r="W2742" i="6"/>
  <c r="W2743" i="6"/>
  <c r="W2744" i="6"/>
  <c r="W2745" i="6"/>
  <c r="W2746" i="6"/>
  <c r="W2747" i="6"/>
  <c r="W2748" i="6"/>
  <c r="W2749" i="6"/>
  <c r="W2750" i="6"/>
  <c r="W2751" i="6"/>
  <c r="W2752" i="6"/>
  <c r="W2753" i="6"/>
  <c r="W2754" i="6"/>
  <c r="W2755" i="6"/>
  <c r="W2756" i="6"/>
  <c r="W2757" i="6"/>
  <c r="W2758" i="6"/>
  <c r="W2759" i="6"/>
  <c r="W2760" i="6"/>
  <c r="W2761" i="6"/>
  <c r="W2762" i="6"/>
  <c r="W2763" i="6"/>
  <c r="W2764" i="6"/>
  <c r="W2765" i="6"/>
  <c r="W2766" i="6"/>
  <c r="W2767" i="6"/>
  <c r="W2768" i="6"/>
  <c r="W2769" i="6"/>
  <c r="W2770" i="6"/>
  <c r="W2771" i="6"/>
  <c r="W2772" i="6"/>
  <c r="W2773" i="6"/>
  <c r="W2774" i="6"/>
  <c r="W2775" i="6"/>
  <c r="W2776" i="6"/>
  <c r="W2777" i="6"/>
  <c r="W2778" i="6"/>
  <c r="W2779" i="6"/>
  <c r="W2780" i="6"/>
  <c r="W2781" i="6"/>
  <c r="W2782" i="6"/>
  <c r="W2783" i="6"/>
  <c r="W2784" i="6"/>
  <c r="W2785" i="6"/>
  <c r="W2786" i="6"/>
  <c r="W2787" i="6"/>
  <c r="W2788" i="6"/>
  <c r="W2789" i="6"/>
  <c r="W2790" i="6"/>
  <c r="W2791" i="6"/>
  <c r="W2792" i="6"/>
  <c r="W2793" i="6"/>
  <c r="W2794" i="6"/>
  <c r="W2795" i="6"/>
  <c r="W2796" i="6"/>
  <c r="W2797" i="6"/>
  <c r="W2798" i="6"/>
  <c r="W2799" i="6"/>
  <c r="W2800" i="6"/>
  <c r="W2801" i="6"/>
  <c r="W2802" i="6"/>
  <c r="W2803" i="6"/>
  <c r="W2804" i="6"/>
  <c r="W2805" i="6"/>
  <c r="W2806" i="6"/>
  <c r="W2807" i="6"/>
  <c r="W2808" i="6"/>
  <c r="W2809" i="6"/>
  <c r="W2810" i="6"/>
  <c r="W2811" i="6"/>
  <c r="W2812" i="6"/>
  <c r="W2813" i="6"/>
  <c r="W2814" i="6"/>
  <c r="W2815" i="6"/>
  <c r="W2816" i="6"/>
  <c r="W2817" i="6"/>
  <c r="W2818" i="6"/>
  <c r="W2819" i="6"/>
  <c r="W2820" i="6"/>
  <c r="W2821" i="6"/>
  <c r="W2822" i="6"/>
  <c r="W2823" i="6"/>
  <c r="W2824" i="6"/>
  <c r="W2825" i="6"/>
  <c r="W2826" i="6"/>
  <c r="W2827" i="6"/>
  <c r="W2828" i="6"/>
  <c r="W2829" i="6"/>
  <c r="W2830" i="6"/>
  <c r="W2831" i="6"/>
  <c r="W2832" i="6"/>
  <c r="W2833" i="6"/>
  <c r="W2834" i="6"/>
  <c r="W2835" i="6"/>
  <c r="W2836" i="6"/>
  <c r="W2837" i="6"/>
  <c r="W2838" i="6"/>
  <c r="W2839" i="6"/>
  <c r="W2840" i="6"/>
  <c r="W2841" i="6"/>
  <c r="W2842" i="6"/>
  <c r="W2843" i="6"/>
  <c r="W2844" i="6"/>
  <c r="W2845" i="6"/>
  <c r="W2846" i="6"/>
  <c r="W2847" i="6"/>
  <c r="W2848" i="6"/>
  <c r="W2849" i="6"/>
  <c r="W2850" i="6"/>
  <c r="W2851" i="6"/>
  <c r="W2852" i="6"/>
  <c r="W2853" i="6"/>
  <c r="W2854" i="6"/>
  <c r="W2855" i="6"/>
  <c r="W2856" i="6"/>
  <c r="W2857" i="6"/>
  <c r="W2858" i="6"/>
  <c r="W2859" i="6"/>
  <c r="W2860" i="6"/>
  <c r="W2861" i="6"/>
  <c r="W2862" i="6"/>
  <c r="W2863" i="6"/>
  <c r="W2864" i="6"/>
  <c r="W2865" i="6"/>
  <c r="W2866" i="6"/>
  <c r="W2867" i="6"/>
  <c r="W2868" i="6"/>
  <c r="W2869" i="6"/>
  <c r="W2870" i="6"/>
  <c r="W2871" i="6"/>
  <c r="W2872" i="6"/>
  <c r="W2873" i="6"/>
  <c r="W2874" i="6"/>
  <c r="W2875" i="6"/>
  <c r="W2876" i="6"/>
  <c r="W2877" i="6"/>
  <c r="W2878" i="6"/>
  <c r="W2879" i="6"/>
  <c r="W2880" i="6"/>
  <c r="W2881" i="6"/>
  <c r="W2882" i="6"/>
  <c r="W2883" i="6"/>
  <c r="W2884" i="6"/>
  <c r="W2885" i="6"/>
  <c r="W2886" i="6"/>
  <c r="W2887" i="6"/>
  <c r="W2888" i="6"/>
  <c r="W2889" i="6"/>
  <c r="W2890" i="6"/>
  <c r="W2891" i="6"/>
  <c r="W2892" i="6"/>
  <c r="W2893" i="6"/>
  <c r="W2894" i="6"/>
  <c r="W2895" i="6"/>
  <c r="W2896" i="6"/>
  <c r="W2897" i="6"/>
  <c r="W2898" i="6"/>
  <c r="W2899" i="6"/>
  <c r="W2900" i="6"/>
  <c r="W2901" i="6"/>
  <c r="W2902" i="6"/>
  <c r="W2903" i="6"/>
  <c r="W2904" i="6"/>
  <c r="W2905" i="6"/>
  <c r="W2906" i="6"/>
  <c r="W2907" i="6"/>
  <c r="W2908" i="6"/>
  <c r="W2909" i="6"/>
  <c r="W2910" i="6"/>
  <c r="W2911" i="6"/>
  <c r="W2912" i="6"/>
  <c r="W2913" i="6"/>
  <c r="W2914" i="6"/>
  <c r="W2915" i="6"/>
  <c r="W2916" i="6"/>
  <c r="W2917" i="6"/>
  <c r="W2918" i="6"/>
  <c r="W2919" i="6"/>
  <c r="W2920" i="6"/>
  <c r="W2921" i="6"/>
  <c r="W2922" i="6"/>
  <c r="W2923" i="6"/>
  <c r="W2924" i="6"/>
  <c r="W2925" i="6"/>
  <c r="W2926" i="6"/>
  <c r="W2927" i="6"/>
  <c r="W2928" i="6"/>
  <c r="W2929" i="6"/>
  <c r="W2930" i="6"/>
  <c r="W2931" i="6"/>
  <c r="W2932" i="6"/>
  <c r="W2933" i="6"/>
  <c r="W2934" i="6"/>
  <c r="W2935" i="6"/>
  <c r="W2936" i="6"/>
  <c r="W2937" i="6"/>
  <c r="W2938" i="6"/>
  <c r="W2939" i="6"/>
  <c r="W2940" i="6"/>
  <c r="W2941" i="6"/>
  <c r="W2942" i="6"/>
  <c r="W2943" i="6"/>
  <c r="W2944" i="6"/>
  <c r="W2945" i="6"/>
  <c r="W2946" i="6"/>
  <c r="W2947" i="6"/>
  <c r="W2948" i="6"/>
  <c r="W2949" i="6"/>
  <c r="W2950" i="6"/>
  <c r="W2951" i="6"/>
  <c r="W2952" i="6"/>
  <c r="W2953" i="6"/>
  <c r="W2954" i="6"/>
  <c r="W2955" i="6"/>
  <c r="W2956" i="6"/>
  <c r="W2957" i="6"/>
  <c r="W2958" i="6"/>
  <c r="W2959" i="6"/>
  <c r="W2960" i="6"/>
  <c r="W2961" i="6"/>
  <c r="W2962" i="6"/>
  <c r="W2963" i="6"/>
  <c r="W2964" i="6"/>
  <c r="W2965" i="6"/>
  <c r="W2966" i="6"/>
  <c r="W2967" i="6"/>
  <c r="W2968" i="6"/>
  <c r="W2969" i="6"/>
  <c r="W2970" i="6"/>
  <c r="W2971" i="6"/>
  <c r="W2972" i="6"/>
  <c r="W2973" i="6"/>
  <c r="W2974" i="6"/>
  <c r="W2975" i="6"/>
  <c r="W2976" i="6"/>
  <c r="W2977" i="6"/>
  <c r="W2978" i="6"/>
  <c r="W2979" i="6"/>
  <c r="W2980" i="6"/>
  <c r="W2981" i="6"/>
  <c r="W2982" i="6"/>
  <c r="W2983" i="6"/>
  <c r="W2984" i="6"/>
  <c r="W2985" i="6"/>
  <c r="W2986" i="6"/>
  <c r="W2987" i="6"/>
  <c r="W2988" i="6"/>
  <c r="W2989" i="6"/>
  <c r="W2990" i="6"/>
  <c r="W2991" i="6"/>
  <c r="W2992" i="6"/>
  <c r="W2993" i="6"/>
  <c r="W2994" i="6"/>
  <c r="W2995" i="6"/>
  <c r="W2996" i="6"/>
  <c r="W2997" i="6"/>
  <c r="W2998" i="6"/>
  <c r="W2999" i="6"/>
  <c r="W3000" i="6"/>
  <c r="W3001" i="6"/>
  <c r="W3002" i="6"/>
  <c r="W3003" i="6"/>
  <c r="W3004" i="6"/>
  <c r="W3005" i="6"/>
  <c r="W3006" i="6"/>
  <c r="W3007" i="6"/>
  <c r="W3008" i="6"/>
  <c r="W3009" i="6"/>
  <c r="W3010" i="6"/>
  <c r="W3011" i="6"/>
  <c r="W3012" i="6"/>
  <c r="W3013" i="6"/>
  <c r="W3014" i="6"/>
  <c r="W3015" i="6"/>
  <c r="W3016" i="6"/>
  <c r="W3017" i="6"/>
  <c r="W3018" i="6"/>
  <c r="W3019" i="6"/>
  <c r="W3020" i="6"/>
  <c r="W3021" i="6"/>
  <c r="W3022" i="6"/>
  <c r="W3023" i="6"/>
  <c r="W3024" i="6"/>
  <c r="W3025" i="6"/>
  <c r="W3026" i="6"/>
  <c r="W3027" i="6"/>
  <c r="W3028" i="6"/>
  <c r="W3029" i="6"/>
  <c r="W3030" i="6"/>
  <c r="W3031" i="6"/>
  <c r="W3032" i="6"/>
  <c r="W3033" i="6"/>
  <c r="W3034" i="6"/>
  <c r="W3035" i="6"/>
  <c r="W3036" i="6"/>
  <c r="W3037" i="6"/>
  <c r="W3038" i="6"/>
  <c r="W3039" i="6"/>
  <c r="W3040" i="6"/>
  <c r="W3041" i="6"/>
  <c r="W3042" i="6"/>
  <c r="W3043" i="6"/>
  <c r="W3044" i="6"/>
  <c r="W3045" i="6"/>
  <c r="W3046" i="6"/>
  <c r="W3047" i="6"/>
  <c r="W3048" i="6"/>
  <c r="W3049" i="6"/>
  <c r="W3050" i="6"/>
  <c r="W3051" i="6"/>
  <c r="W3052" i="6"/>
  <c r="W3053" i="6"/>
  <c r="W3054" i="6"/>
  <c r="W3055" i="6"/>
  <c r="W3056" i="6"/>
  <c r="W3057" i="6"/>
  <c r="W3058" i="6"/>
  <c r="W3059" i="6"/>
  <c r="W3060" i="6"/>
  <c r="W3061" i="6"/>
  <c r="W3062" i="6"/>
  <c r="W3063" i="6"/>
  <c r="W3064" i="6"/>
  <c r="W3065" i="6"/>
  <c r="W3066" i="6"/>
  <c r="W3067" i="6"/>
  <c r="W3068" i="6"/>
  <c r="W3069" i="6"/>
  <c r="W3070" i="6"/>
  <c r="W3071" i="6"/>
  <c r="W3072" i="6"/>
  <c r="W3073" i="6"/>
  <c r="W3074" i="6"/>
  <c r="W3075" i="6"/>
  <c r="W3076" i="6"/>
  <c r="W3077" i="6"/>
  <c r="W3078" i="6"/>
  <c r="W3079" i="6"/>
  <c r="W3080" i="6"/>
  <c r="W3081" i="6"/>
  <c r="W3082" i="6"/>
  <c r="W3083" i="6"/>
  <c r="W3084" i="6"/>
  <c r="W3085" i="6"/>
  <c r="W3086" i="6"/>
  <c r="W3087" i="6"/>
  <c r="W3088" i="6"/>
  <c r="W3089" i="6"/>
  <c r="W3090" i="6"/>
  <c r="W3091" i="6"/>
  <c r="W3092" i="6"/>
  <c r="W3093" i="6"/>
  <c r="W3094" i="6"/>
  <c r="W3095" i="6"/>
  <c r="W3096" i="6"/>
  <c r="W3097" i="6"/>
  <c r="W3098" i="6"/>
  <c r="W3099" i="6"/>
  <c r="W3100" i="6"/>
  <c r="W3101" i="6"/>
  <c r="W3102" i="6"/>
  <c r="W3103" i="6"/>
  <c r="W3104" i="6"/>
  <c r="W3105" i="6"/>
  <c r="W3106" i="6"/>
  <c r="W3107" i="6"/>
  <c r="W3108" i="6"/>
  <c r="W3109" i="6"/>
  <c r="W3110" i="6"/>
  <c r="W3111" i="6"/>
  <c r="W3112" i="6"/>
  <c r="W3113" i="6"/>
  <c r="W3114" i="6"/>
  <c r="W3115" i="6"/>
  <c r="W3116" i="6"/>
  <c r="W3117" i="6"/>
  <c r="W3118" i="6"/>
  <c r="W3119" i="6"/>
  <c r="W3120" i="6"/>
  <c r="W3121" i="6"/>
  <c r="W3122" i="6"/>
  <c r="W3123" i="6"/>
  <c r="W3124" i="6"/>
  <c r="W3125" i="6"/>
  <c r="W3126" i="6"/>
  <c r="W3127" i="6"/>
  <c r="W3128" i="6"/>
  <c r="W3129" i="6"/>
  <c r="W3130" i="6"/>
  <c r="W3131" i="6"/>
  <c r="W3132" i="6"/>
  <c r="W3133" i="6"/>
  <c r="W3134" i="6"/>
  <c r="W3135" i="6"/>
  <c r="W3136" i="6"/>
  <c r="W3137" i="6"/>
  <c r="W3138" i="6"/>
  <c r="W3139" i="6"/>
  <c r="W3140" i="6"/>
  <c r="W3141" i="6"/>
  <c r="W3142" i="6"/>
  <c r="W3143" i="6"/>
  <c r="W3144" i="6"/>
  <c r="W3145" i="6"/>
  <c r="W3146" i="6"/>
  <c r="W3147" i="6"/>
  <c r="W3148" i="6"/>
  <c r="W3149" i="6"/>
  <c r="W3150" i="6"/>
  <c r="W3151" i="6"/>
  <c r="W3152" i="6"/>
  <c r="W3153" i="6"/>
  <c r="W3154" i="6"/>
  <c r="W3155" i="6"/>
  <c r="W3156" i="6"/>
  <c r="W3157" i="6"/>
  <c r="W3158" i="6"/>
  <c r="W3159" i="6"/>
  <c r="W3160" i="6"/>
  <c r="W3161" i="6"/>
  <c r="W3162" i="6"/>
  <c r="W3163" i="6"/>
  <c r="W3164" i="6"/>
  <c r="W3165" i="6"/>
  <c r="W3166" i="6"/>
  <c r="W3167" i="6"/>
  <c r="W3168" i="6"/>
  <c r="W3169" i="6"/>
  <c r="W3170" i="6"/>
  <c r="W3171" i="6"/>
  <c r="W3172" i="6"/>
  <c r="W3173" i="6"/>
  <c r="W3174" i="6"/>
  <c r="W3175" i="6"/>
  <c r="W3176" i="6"/>
  <c r="W3177" i="6"/>
  <c r="W3178" i="6"/>
  <c r="W3179" i="6"/>
  <c r="W3180" i="6"/>
  <c r="W3181" i="6"/>
  <c r="W3182" i="6"/>
  <c r="W3183" i="6"/>
  <c r="W3184" i="6"/>
  <c r="W3185" i="6"/>
  <c r="W3186" i="6"/>
  <c r="W3187" i="6"/>
  <c r="W3188" i="6"/>
  <c r="W3189" i="6"/>
  <c r="W3190" i="6"/>
  <c r="W3191" i="6"/>
  <c r="W3192" i="6"/>
  <c r="W3193" i="6"/>
  <c r="W3194" i="6"/>
  <c r="W3195" i="6"/>
  <c r="W3196" i="6"/>
  <c r="W3197" i="6"/>
  <c r="W3198" i="6"/>
  <c r="W3199" i="6"/>
  <c r="W3200" i="6"/>
  <c r="W3201" i="6"/>
  <c r="W3202" i="6"/>
  <c r="W3203" i="6"/>
  <c r="W3204" i="6"/>
  <c r="W3205" i="6"/>
  <c r="W3206" i="6"/>
  <c r="W3207" i="6"/>
  <c r="W3208" i="6"/>
  <c r="W3209" i="6"/>
  <c r="W3210" i="6"/>
  <c r="W3211" i="6"/>
  <c r="W3212" i="6"/>
  <c r="W3213" i="6"/>
  <c r="W3214" i="6"/>
  <c r="W3215" i="6"/>
  <c r="W3216" i="6"/>
  <c r="W3217" i="6"/>
  <c r="W3218" i="6"/>
  <c r="W3219" i="6"/>
  <c r="W3220" i="6"/>
  <c r="W3221" i="6"/>
  <c r="W3222" i="6"/>
  <c r="W3223" i="6"/>
  <c r="W3224" i="6"/>
  <c r="W3225" i="6"/>
  <c r="W3226" i="6"/>
  <c r="W3227" i="6"/>
  <c r="W3228" i="6"/>
  <c r="W3229" i="6"/>
  <c r="W3230" i="6"/>
  <c r="W3231" i="6"/>
  <c r="W3232" i="6"/>
  <c r="W3233" i="6"/>
  <c r="W3234" i="6"/>
  <c r="W3235" i="6"/>
  <c r="W3236" i="6"/>
  <c r="W3237" i="6"/>
  <c r="W3238" i="6"/>
  <c r="W3239" i="6"/>
  <c r="W3240" i="6"/>
  <c r="W3241" i="6"/>
  <c r="W3242" i="6"/>
  <c r="W3243" i="6"/>
  <c r="W3244" i="6"/>
  <c r="W3245" i="6"/>
  <c r="W3246" i="6"/>
  <c r="W3247" i="6"/>
  <c r="W3248" i="6"/>
  <c r="W3249" i="6"/>
  <c r="W3250" i="6"/>
  <c r="W3251" i="6"/>
  <c r="W3252" i="6"/>
  <c r="W3253" i="6"/>
  <c r="W3254" i="6"/>
  <c r="W3255" i="6"/>
  <c r="W3256" i="6"/>
  <c r="W3257" i="6"/>
  <c r="W3258" i="6"/>
  <c r="W3259" i="6"/>
  <c r="W3260" i="6"/>
  <c r="W3261" i="6"/>
  <c r="W3262" i="6"/>
  <c r="W3263" i="6"/>
  <c r="W3264" i="6"/>
  <c r="W3265" i="6"/>
  <c r="W3266" i="6"/>
  <c r="W3267" i="6"/>
  <c r="W3268" i="6"/>
  <c r="W3269" i="6"/>
  <c r="W3270" i="6"/>
  <c r="W3271" i="6"/>
  <c r="W3272" i="6"/>
  <c r="W3273" i="6"/>
  <c r="W3274" i="6"/>
  <c r="W3275" i="6"/>
  <c r="W3276" i="6"/>
  <c r="W3277" i="6"/>
  <c r="W3278" i="6"/>
  <c r="W3279" i="6"/>
  <c r="W3280" i="6"/>
  <c r="W3281" i="6"/>
  <c r="W3282" i="6"/>
  <c r="W3283" i="6"/>
  <c r="W3284" i="6"/>
  <c r="W3285" i="6"/>
  <c r="W3286" i="6"/>
  <c r="W3287" i="6"/>
  <c r="W3288" i="6"/>
  <c r="W3289" i="6"/>
  <c r="W3290" i="6"/>
  <c r="W3291" i="6"/>
  <c r="W3292" i="6"/>
  <c r="W3293" i="6"/>
  <c r="W3294" i="6"/>
  <c r="W3295" i="6"/>
  <c r="W3296" i="6"/>
  <c r="W3297" i="6"/>
  <c r="W3298" i="6"/>
  <c r="W3299" i="6"/>
  <c r="W3300" i="6"/>
  <c r="W3301" i="6"/>
  <c r="W3302" i="6"/>
  <c r="W3303" i="6"/>
  <c r="W3304" i="6"/>
  <c r="W3305" i="6"/>
  <c r="W3306" i="6"/>
  <c r="W3307" i="6"/>
  <c r="W3308" i="6"/>
  <c r="W3309" i="6"/>
  <c r="W3310" i="6"/>
  <c r="W3311" i="6"/>
  <c r="W3312" i="6"/>
  <c r="W3313" i="6"/>
  <c r="W3314" i="6"/>
  <c r="W3315" i="6"/>
  <c r="W3316" i="6"/>
  <c r="W3317" i="6"/>
  <c r="W3318" i="6"/>
  <c r="W3319" i="6"/>
  <c r="W3320" i="6"/>
  <c r="W3321" i="6"/>
  <c r="W3322" i="6"/>
  <c r="W3323" i="6"/>
  <c r="W3324" i="6"/>
  <c r="W3325" i="6"/>
  <c r="W3326" i="6"/>
  <c r="W3327" i="6"/>
  <c r="W3328" i="6"/>
  <c r="W3329" i="6"/>
  <c r="W3330" i="6"/>
  <c r="W3331" i="6"/>
  <c r="W3332" i="6"/>
  <c r="W3333" i="6"/>
  <c r="W3334" i="6"/>
  <c r="W3335" i="6"/>
  <c r="W3336" i="6"/>
  <c r="W3337" i="6"/>
  <c r="W3338" i="6"/>
  <c r="W3339" i="6"/>
  <c r="W3340" i="6"/>
  <c r="W3341" i="6"/>
  <c r="W3342" i="6"/>
  <c r="W3343" i="6"/>
  <c r="W3344" i="6"/>
  <c r="W3345" i="6"/>
  <c r="W3346" i="6"/>
  <c r="W3347" i="6"/>
  <c r="W3348" i="6"/>
  <c r="W3349" i="6"/>
  <c r="W3350" i="6"/>
  <c r="W3351" i="6"/>
  <c r="W3352" i="6"/>
  <c r="W3353" i="6"/>
  <c r="W3354" i="6"/>
  <c r="W3355" i="6"/>
  <c r="W3356" i="6"/>
  <c r="W3357" i="6"/>
  <c r="W3358" i="6"/>
  <c r="W3359" i="6"/>
  <c r="W3360" i="6"/>
  <c r="W3361" i="6"/>
  <c r="W3362" i="6"/>
  <c r="W3363" i="6"/>
  <c r="W3364" i="6"/>
  <c r="W3365" i="6"/>
  <c r="W3366" i="6"/>
  <c r="W3367" i="6"/>
  <c r="W3368" i="6"/>
  <c r="W3369" i="6"/>
  <c r="W3370" i="6"/>
  <c r="W3371" i="6"/>
  <c r="W3372" i="6"/>
  <c r="W3373" i="6"/>
  <c r="W3374" i="6"/>
  <c r="W3375" i="6"/>
  <c r="W3376" i="6"/>
  <c r="W3377" i="6"/>
  <c r="W3378" i="6"/>
  <c r="W3379" i="6"/>
  <c r="W3380" i="6"/>
  <c r="W3381" i="6"/>
  <c r="W3382" i="6"/>
  <c r="W3383" i="6"/>
  <c r="W3384" i="6"/>
  <c r="W3385" i="6"/>
  <c r="W3386" i="6"/>
  <c r="W3387" i="6"/>
  <c r="W3388" i="6"/>
  <c r="W3389" i="6"/>
  <c r="W3390" i="6"/>
  <c r="W3391" i="6"/>
  <c r="W3392" i="6"/>
  <c r="W3393" i="6"/>
  <c r="W3394" i="6"/>
  <c r="W3395" i="6"/>
  <c r="W3396" i="6"/>
  <c r="W3397" i="6"/>
  <c r="W3398" i="6"/>
  <c r="W3399" i="6"/>
  <c r="W3400" i="6"/>
  <c r="W3401" i="6"/>
  <c r="W3402" i="6"/>
  <c r="W3403" i="6"/>
  <c r="W3404" i="6"/>
  <c r="W3405" i="6"/>
  <c r="W3406" i="6"/>
  <c r="W3407" i="6"/>
  <c r="W3408" i="6"/>
  <c r="W3409" i="6"/>
  <c r="W3410" i="6"/>
  <c r="W3411" i="6"/>
  <c r="W3412" i="6"/>
  <c r="W3413" i="6"/>
  <c r="W3414" i="6"/>
  <c r="W3415" i="6"/>
  <c r="W3416" i="6"/>
  <c r="W3417" i="6"/>
  <c r="W3418" i="6"/>
  <c r="W3419" i="6"/>
  <c r="W3420" i="6"/>
  <c r="W3421" i="6"/>
  <c r="W3422" i="6"/>
  <c r="W3423" i="6"/>
  <c r="W3424" i="6"/>
  <c r="W3425" i="6"/>
  <c r="W3426" i="6"/>
  <c r="W3427" i="6"/>
  <c r="W3428" i="6"/>
  <c r="W3429" i="6"/>
  <c r="W3430" i="6"/>
  <c r="W3431" i="6"/>
  <c r="W3432" i="6"/>
  <c r="W3433" i="6"/>
  <c r="W3434" i="6"/>
  <c r="W3435" i="6"/>
  <c r="W3436" i="6"/>
  <c r="W3437" i="6"/>
  <c r="W3438" i="6"/>
  <c r="W3439" i="6"/>
  <c r="W3440" i="6"/>
  <c r="W3441" i="6"/>
  <c r="W3442" i="6"/>
  <c r="W3443" i="6"/>
  <c r="W3444" i="6"/>
  <c r="W3445" i="6"/>
  <c r="W3446" i="6"/>
  <c r="W3447" i="6"/>
  <c r="W3448" i="6"/>
  <c r="W3449" i="6"/>
  <c r="W3450" i="6"/>
  <c r="W3451" i="6"/>
  <c r="W3452" i="6"/>
  <c r="W3453" i="6"/>
  <c r="W3454" i="6"/>
  <c r="W3455" i="6"/>
  <c r="W3456" i="6"/>
  <c r="W3457" i="6"/>
  <c r="W3458" i="6"/>
  <c r="W3459" i="6"/>
  <c r="W3460" i="6"/>
  <c r="W3461" i="6"/>
  <c r="W3462" i="6"/>
  <c r="W3463" i="6"/>
  <c r="W3464" i="6"/>
  <c r="W3465" i="6"/>
  <c r="W3466" i="6"/>
  <c r="W3467" i="6"/>
  <c r="W3468" i="6"/>
  <c r="W3469" i="6"/>
  <c r="W3470" i="6"/>
  <c r="W3471" i="6"/>
  <c r="W3472" i="6"/>
  <c r="W3473" i="6"/>
  <c r="W3474" i="6"/>
  <c r="W3475" i="6"/>
  <c r="W3476" i="6"/>
  <c r="W722" i="6"/>
  <c r="W721" i="6"/>
  <c r="W720" i="6"/>
  <c r="W719" i="6"/>
  <c r="W718" i="6"/>
  <c r="W717" i="6"/>
  <c r="W716" i="6"/>
  <c r="W715" i="6"/>
  <c r="W714" i="6"/>
  <c r="W713" i="6"/>
  <c r="W712" i="6"/>
  <c r="W711" i="6"/>
  <c r="W710" i="6"/>
  <c r="W709" i="6"/>
  <c r="W708" i="6"/>
  <c r="W707" i="6"/>
  <c r="W706" i="6"/>
  <c r="W705" i="6"/>
  <c r="W704" i="6"/>
  <c r="W703" i="6"/>
  <c r="W702" i="6"/>
  <c r="W701" i="6"/>
  <c r="W700" i="6"/>
  <c r="W699" i="6"/>
  <c r="W698" i="6"/>
  <c r="W697" i="6"/>
  <c r="W696" i="6"/>
  <c r="W695" i="6"/>
  <c r="W694" i="6"/>
  <c r="W693" i="6"/>
  <c r="W692" i="6"/>
  <c r="W691" i="6"/>
  <c r="W690" i="6"/>
  <c r="W689" i="6"/>
  <c r="W688" i="6"/>
  <c r="W687" i="6"/>
  <c r="W686" i="6"/>
  <c r="W685" i="6"/>
  <c r="W684" i="6"/>
  <c r="W683" i="6"/>
  <c r="W682" i="6"/>
  <c r="W681" i="6"/>
  <c r="W680" i="6"/>
  <c r="W679" i="6"/>
  <c r="W678" i="6"/>
  <c r="W677" i="6"/>
  <c r="W676" i="6"/>
  <c r="W675" i="6"/>
  <c r="W674" i="6"/>
  <c r="W673" i="6"/>
  <c r="W672" i="6"/>
  <c r="W671" i="6"/>
  <c r="W670" i="6"/>
  <c r="W669" i="6"/>
  <c r="W668" i="6"/>
  <c r="W667" i="6"/>
  <c r="W666" i="6"/>
  <c r="W665" i="6"/>
  <c r="W664" i="6"/>
  <c r="W663" i="6"/>
  <c r="W662" i="6"/>
  <c r="W661" i="6"/>
  <c r="W660" i="6"/>
  <c r="W659" i="6"/>
  <c r="W658" i="6"/>
  <c r="W657" i="6"/>
  <c r="W656" i="6"/>
  <c r="W655" i="6"/>
  <c r="W654" i="6"/>
  <c r="W653" i="6"/>
  <c r="W652" i="6"/>
  <c r="W651" i="6"/>
  <c r="W650" i="6"/>
  <c r="W649" i="6"/>
  <c r="W648" i="6"/>
  <c r="W647" i="6"/>
  <c r="W646" i="6"/>
  <c r="W645" i="6"/>
  <c r="W644" i="6"/>
  <c r="W643" i="6"/>
  <c r="W642" i="6"/>
  <c r="W641" i="6"/>
  <c r="W640" i="6"/>
  <c r="W639" i="6"/>
  <c r="W638" i="6"/>
  <c r="W637" i="6"/>
  <c r="W636" i="6"/>
  <c r="W635" i="6"/>
  <c r="W634" i="6"/>
  <c r="W633" i="6"/>
  <c r="W632" i="6"/>
  <c r="W631" i="6"/>
  <c r="W630" i="6"/>
  <c r="W629" i="6"/>
  <c r="W628" i="6"/>
  <c r="W627" i="6"/>
  <c r="W626" i="6"/>
  <c r="W625" i="6"/>
  <c r="W624" i="6"/>
  <c r="W623" i="6"/>
  <c r="W622" i="6"/>
  <c r="W621" i="6"/>
  <c r="W620" i="6"/>
  <c r="W619" i="6"/>
  <c r="W618" i="6"/>
  <c r="W617" i="6"/>
  <c r="W616" i="6"/>
  <c r="W615" i="6"/>
  <c r="W614" i="6"/>
  <c r="W613" i="6"/>
  <c r="W612" i="6"/>
  <c r="W611" i="6"/>
  <c r="W610" i="6"/>
  <c r="W609" i="6"/>
  <c r="W608" i="6"/>
  <c r="W607" i="6"/>
  <c r="W606" i="6"/>
  <c r="W605" i="6"/>
  <c r="W604" i="6"/>
  <c r="W603" i="6"/>
  <c r="W602" i="6"/>
  <c r="W601" i="6"/>
  <c r="W600" i="6"/>
  <c r="W599" i="6"/>
  <c r="W598" i="6"/>
  <c r="W597" i="6"/>
  <c r="W596" i="6"/>
  <c r="W595" i="6"/>
  <c r="W594" i="6"/>
  <c r="W593" i="6"/>
  <c r="W592" i="6"/>
  <c r="W591" i="6"/>
  <c r="W590" i="6"/>
  <c r="W589" i="6"/>
  <c r="W588" i="6"/>
  <c r="W587" i="6"/>
  <c r="W586" i="6"/>
  <c r="W585" i="6"/>
  <c r="W584" i="6"/>
  <c r="W583" i="6"/>
  <c r="W582" i="6"/>
  <c r="W581" i="6"/>
  <c r="W580" i="6"/>
  <c r="W579" i="6"/>
  <c r="W578" i="6"/>
  <c r="W577" i="6"/>
  <c r="W576" i="6"/>
  <c r="W575" i="6"/>
  <c r="W574" i="6"/>
  <c r="W573" i="6"/>
  <c r="W572" i="6"/>
  <c r="W571" i="6"/>
  <c r="W570" i="6"/>
  <c r="W569" i="6"/>
  <c r="W568" i="6"/>
  <c r="W567" i="6"/>
  <c r="W566" i="6"/>
  <c r="W565" i="6"/>
  <c r="W564" i="6"/>
  <c r="W563" i="6"/>
  <c r="W562" i="6"/>
  <c r="W561" i="6"/>
  <c r="W560" i="6"/>
  <c r="W559" i="6"/>
  <c r="W558" i="6"/>
  <c r="W557" i="6"/>
  <c r="W556" i="6"/>
  <c r="W555" i="6"/>
  <c r="W554" i="6"/>
  <c r="W553" i="6"/>
  <c r="W552" i="6"/>
  <c r="W551" i="6"/>
  <c r="W550" i="6"/>
  <c r="W549" i="6"/>
  <c r="W548" i="6"/>
  <c r="W547" i="6"/>
  <c r="W546" i="6"/>
  <c r="W545" i="6"/>
  <c r="W544" i="6"/>
  <c r="W543" i="6"/>
  <c r="W542" i="6"/>
  <c r="W541" i="6"/>
  <c r="W540" i="6"/>
  <c r="W539" i="6"/>
  <c r="W538" i="6"/>
  <c r="W537" i="6"/>
  <c r="W536" i="6"/>
  <c r="W535" i="6"/>
  <c r="W534" i="6"/>
  <c r="W533" i="6"/>
  <c r="W532" i="6"/>
  <c r="W531" i="6"/>
  <c r="W530" i="6"/>
  <c r="W529" i="6"/>
  <c r="W528" i="6"/>
  <c r="W527" i="6"/>
  <c r="W526" i="6"/>
  <c r="W525" i="6"/>
  <c r="W524" i="6"/>
  <c r="W523" i="6"/>
  <c r="W522" i="6"/>
  <c r="W521" i="6"/>
  <c r="W520" i="6"/>
  <c r="W519" i="6"/>
  <c r="W518" i="6"/>
  <c r="W517" i="6"/>
  <c r="W516" i="6"/>
  <c r="W515" i="6"/>
  <c r="W514" i="6"/>
  <c r="W513" i="6"/>
  <c r="W512" i="6"/>
  <c r="W511" i="6"/>
  <c r="W510" i="6"/>
  <c r="W509" i="6"/>
  <c r="W508" i="6"/>
  <c r="W507" i="6"/>
  <c r="W506" i="6"/>
  <c r="W505" i="6"/>
  <c r="W504" i="6"/>
  <c r="W503" i="6"/>
  <c r="W502" i="6"/>
  <c r="W501" i="6"/>
  <c r="W500" i="6"/>
  <c r="W499" i="6"/>
  <c r="W498" i="6"/>
  <c r="W497" i="6"/>
  <c r="W496" i="6"/>
  <c r="W495" i="6"/>
  <c r="W494" i="6"/>
  <c r="W493" i="6"/>
  <c r="W492" i="6"/>
  <c r="W491" i="6"/>
  <c r="W490" i="6"/>
  <c r="W489" i="6"/>
  <c r="W488" i="6"/>
  <c r="W487" i="6"/>
  <c r="W486" i="6"/>
  <c r="W485" i="6"/>
  <c r="W484" i="6"/>
  <c r="W483" i="6"/>
  <c r="W482" i="6"/>
  <c r="W481" i="6"/>
  <c r="W480" i="6"/>
  <c r="W479" i="6"/>
  <c r="W478" i="6"/>
  <c r="W477" i="6"/>
  <c r="W476" i="6"/>
  <c r="W475" i="6"/>
  <c r="W474" i="6"/>
  <c r="W473" i="6"/>
  <c r="W472" i="6"/>
  <c r="W471" i="6"/>
  <c r="W470" i="6"/>
  <c r="W469" i="6"/>
  <c r="W468" i="6"/>
  <c r="W467" i="6"/>
  <c r="W466" i="6"/>
  <c r="W465" i="6"/>
  <c r="W464" i="6"/>
  <c r="W463" i="6"/>
  <c r="W462" i="6"/>
  <c r="W461" i="6"/>
  <c r="W460" i="6"/>
  <c r="W459" i="6"/>
  <c r="W458" i="6"/>
  <c r="W457" i="6"/>
  <c r="W456" i="6"/>
  <c r="W455" i="6"/>
  <c r="W454" i="6"/>
  <c r="W453" i="6"/>
  <c r="W452" i="6"/>
  <c r="W451" i="6"/>
  <c r="W450" i="6"/>
  <c r="W449" i="6"/>
  <c r="W448" i="6"/>
  <c r="W447" i="6"/>
  <c r="W446" i="6"/>
  <c r="W445" i="6"/>
  <c r="W444" i="6"/>
  <c r="W443" i="6"/>
  <c r="W442" i="6"/>
  <c r="W441" i="6"/>
  <c r="W440" i="6"/>
  <c r="W439" i="6"/>
  <c r="W438" i="6"/>
  <c r="W437" i="6"/>
  <c r="W436" i="6"/>
  <c r="W435" i="6"/>
  <c r="W434" i="6"/>
  <c r="W433" i="6"/>
  <c r="W432" i="6"/>
  <c r="W431" i="6"/>
  <c r="W430" i="6"/>
  <c r="W429" i="6"/>
  <c r="W428" i="6"/>
  <c r="W427" i="6"/>
  <c r="W426" i="6"/>
  <c r="W425" i="6"/>
  <c r="W424" i="6"/>
  <c r="W423" i="6"/>
  <c r="W422" i="6"/>
  <c r="W421" i="6"/>
  <c r="W420" i="6"/>
  <c r="W419" i="6"/>
  <c r="W418" i="6"/>
  <c r="W417" i="6"/>
  <c r="W416" i="6"/>
  <c r="W415" i="6"/>
  <c r="W414" i="6"/>
  <c r="W413" i="6"/>
  <c r="W412" i="6"/>
  <c r="W411" i="6"/>
  <c r="W410" i="6"/>
  <c r="W409" i="6"/>
  <c r="W408" i="6"/>
  <c r="W407" i="6"/>
  <c r="W406" i="6"/>
  <c r="W405" i="6"/>
  <c r="W404" i="6"/>
  <c r="W403" i="6"/>
  <c r="W402" i="6"/>
  <c r="W401" i="6"/>
  <c r="W400" i="6"/>
  <c r="W399" i="6"/>
  <c r="W398" i="6"/>
  <c r="W397" i="6"/>
  <c r="W396" i="6"/>
  <c r="W395" i="6"/>
  <c r="W394" i="6"/>
  <c r="W393" i="6"/>
  <c r="W392" i="6"/>
  <c r="W391" i="6"/>
  <c r="W390" i="6"/>
  <c r="W389" i="6"/>
  <c r="W388" i="6"/>
  <c r="W387" i="6"/>
  <c r="W386" i="6"/>
  <c r="W385" i="6"/>
  <c r="W384" i="6"/>
  <c r="W383" i="6"/>
  <c r="W382" i="6"/>
  <c r="W381" i="6"/>
  <c r="W380" i="6"/>
  <c r="W379" i="6"/>
  <c r="W378" i="6"/>
  <c r="W377" i="6"/>
  <c r="W376" i="6"/>
  <c r="W375" i="6"/>
  <c r="W374" i="6"/>
  <c r="W373" i="6"/>
  <c r="W372" i="6"/>
  <c r="W371" i="6"/>
  <c r="W370" i="6"/>
  <c r="W369" i="6"/>
  <c r="W368" i="6"/>
  <c r="W367" i="6"/>
  <c r="W366" i="6"/>
  <c r="W365" i="6"/>
  <c r="W364" i="6"/>
  <c r="W363" i="6"/>
  <c r="W362" i="6"/>
  <c r="W361" i="6"/>
  <c r="W360" i="6"/>
  <c r="W359" i="6"/>
  <c r="W358" i="6"/>
  <c r="W357" i="6"/>
  <c r="W356" i="6"/>
  <c r="W355" i="6"/>
  <c r="W354" i="6"/>
  <c r="W353" i="6"/>
  <c r="W352" i="6"/>
  <c r="W351" i="6"/>
  <c r="W350" i="6"/>
  <c r="W349" i="6"/>
  <c r="W348" i="6"/>
  <c r="W347" i="6"/>
  <c r="W346" i="6"/>
  <c r="W345" i="6"/>
  <c r="W344" i="6"/>
  <c r="W343" i="6"/>
  <c r="W342" i="6"/>
  <c r="W341" i="6"/>
  <c r="W340" i="6"/>
  <c r="W339" i="6"/>
  <c r="W338" i="6"/>
  <c r="W337" i="6"/>
  <c r="W336" i="6"/>
  <c r="W335" i="6"/>
  <c r="W334" i="6"/>
  <c r="W333" i="6"/>
  <c r="W332" i="6"/>
  <c r="W331" i="6"/>
  <c r="W330" i="6"/>
  <c r="W329" i="6"/>
  <c r="W328" i="6"/>
  <c r="W327" i="6"/>
  <c r="W326" i="6"/>
  <c r="W325" i="6"/>
  <c r="W324" i="6"/>
  <c r="W323" i="6"/>
  <c r="W322" i="6"/>
  <c r="W321" i="6"/>
  <c r="W320" i="6"/>
  <c r="W319" i="6"/>
  <c r="W318" i="6"/>
  <c r="W317" i="6"/>
  <c r="W316" i="6"/>
  <c r="W315" i="6"/>
  <c r="W314" i="6"/>
  <c r="W313" i="6"/>
  <c r="W312" i="6"/>
  <c r="W311" i="6"/>
  <c r="W310" i="6"/>
  <c r="W309" i="6"/>
  <c r="W308" i="6"/>
  <c r="W307" i="6"/>
  <c r="W306" i="6"/>
  <c r="W305" i="6"/>
  <c r="W304" i="6"/>
  <c r="W303" i="6"/>
  <c r="W302" i="6"/>
  <c r="W301" i="6"/>
  <c r="W300" i="6"/>
  <c r="W299" i="6"/>
  <c r="W298" i="6"/>
  <c r="W297" i="6"/>
  <c r="W296" i="6"/>
  <c r="W295" i="6"/>
  <c r="W294" i="6"/>
  <c r="W293" i="6"/>
  <c r="W292" i="6"/>
  <c r="W291" i="6"/>
  <c r="W290" i="6"/>
  <c r="W289" i="6"/>
  <c r="W288" i="6"/>
  <c r="W287" i="6"/>
  <c r="W286" i="6"/>
  <c r="W285" i="6"/>
  <c r="W284" i="6"/>
  <c r="W283" i="6"/>
  <c r="W282" i="6"/>
  <c r="W281" i="6"/>
  <c r="W280" i="6"/>
  <c r="W279" i="6"/>
  <c r="W278" i="6"/>
  <c r="W277" i="6"/>
  <c r="W276" i="6"/>
  <c r="W275" i="6"/>
  <c r="W274" i="6"/>
  <c r="W273" i="6"/>
  <c r="W272" i="6"/>
  <c r="W271" i="6"/>
  <c r="W270" i="6"/>
  <c r="W269" i="6"/>
  <c r="W268" i="6"/>
  <c r="W267" i="6"/>
  <c r="W266" i="6"/>
  <c r="W265" i="6"/>
  <c r="W264" i="6"/>
  <c r="W263" i="6"/>
  <c r="W262" i="6"/>
  <c r="W261" i="6"/>
  <c r="W260" i="6"/>
  <c r="W259" i="6"/>
  <c r="W258" i="6"/>
  <c r="W257" i="6"/>
  <c r="W256" i="6"/>
  <c r="W255" i="6"/>
  <c r="W254" i="6"/>
  <c r="W253" i="6"/>
  <c r="W252" i="6"/>
  <c r="W251" i="6"/>
  <c r="W250" i="6"/>
  <c r="W249" i="6"/>
  <c r="W248" i="6"/>
  <c r="W247" i="6"/>
  <c r="W246" i="6"/>
  <c r="W245" i="6"/>
  <c r="W244" i="6"/>
  <c r="W243" i="6"/>
  <c r="W242" i="6"/>
  <c r="W241" i="6"/>
  <c r="W240" i="6"/>
  <c r="W239" i="6"/>
  <c r="W238" i="6"/>
  <c r="W237" i="6"/>
  <c r="W236" i="6"/>
  <c r="W235" i="6"/>
  <c r="W234" i="6"/>
  <c r="W233" i="6"/>
  <c r="W232" i="6"/>
  <c r="W231" i="6"/>
  <c r="W230" i="6"/>
  <c r="W229" i="6"/>
  <c r="W228" i="6"/>
  <c r="W227" i="6"/>
  <c r="W226" i="6"/>
  <c r="W225" i="6"/>
  <c r="W224" i="6"/>
  <c r="W223" i="6"/>
  <c r="W222" i="6"/>
  <c r="W221" i="6"/>
  <c r="W220" i="6"/>
  <c r="W219" i="6"/>
  <c r="W218" i="6"/>
  <c r="W217" i="6"/>
  <c r="W216" i="6"/>
  <c r="W215" i="6"/>
  <c r="W214" i="6"/>
  <c r="W213" i="6"/>
  <c r="W212" i="6"/>
  <c r="W211" i="6"/>
  <c r="W210" i="6"/>
  <c r="W209" i="6"/>
  <c r="W208" i="6"/>
  <c r="W207" i="6"/>
  <c r="W206" i="6"/>
  <c r="W205" i="6"/>
  <c r="W204" i="6"/>
  <c r="W203" i="6"/>
  <c r="W202" i="6"/>
  <c r="W201" i="6"/>
  <c r="W200" i="6"/>
  <c r="W199" i="6"/>
  <c r="W198" i="6"/>
  <c r="W197" i="6"/>
  <c r="W196" i="6"/>
  <c r="W195" i="6"/>
  <c r="W194" i="6"/>
  <c r="W193" i="6"/>
  <c r="W192" i="6"/>
  <c r="W191" i="6"/>
  <c r="W190" i="6"/>
  <c r="W189" i="6"/>
  <c r="W188" i="6"/>
  <c r="W187" i="6"/>
  <c r="W186" i="6"/>
  <c r="W185" i="6"/>
  <c r="W184" i="6"/>
  <c r="W183" i="6"/>
  <c r="W182" i="6"/>
  <c r="W181" i="6"/>
  <c r="W180" i="6"/>
  <c r="W179" i="6"/>
  <c r="W178" i="6"/>
  <c r="W177" i="6"/>
  <c r="W176" i="6"/>
  <c r="W175" i="6"/>
  <c r="W174" i="6"/>
  <c r="W173" i="6"/>
  <c r="W172" i="6"/>
  <c r="W171" i="6"/>
  <c r="W170" i="6"/>
  <c r="W169" i="6"/>
  <c r="W168" i="6"/>
  <c r="W167" i="6"/>
  <c r="W166" i="6"/>
  <c r="W165" i="6"/>
  <c r="W164" i="6"/>
  <c r="W163" i="6"/>
  <c r="W162" i="6"/>
  <c r="W161" i="6"/>
  <c r="W160" i="6"/>
  <c r="W159" i="6"/>
  <c r="W158" i="6"/>
  <c r="W157" i="6"/>
  <c r="W156" i="6"/>
  <c r="W155" i="6"/>
  <c r="W154" i="6"/>
  <c r="W153" i="6"/>
  <c r="W152" i="6"/>
  <c r="W151" i="6"/>
  <c r="W150" i="6"/>
  <c r="W149" i="6"/>
  <c r="W148" i="6"/>
  <c r="W147" i="6"/>
  <c r="W146" i="6"/>
  <c r="W145" i="6"/>
  <c r="W144" i="6"/>
  <c r="W143" i="6"/>
  <c r="W142" i="6"/>
  <c r="W141" i="6"/>
  <c r="W140" i="6"/>
  <c r="W139" i="6"/>
  <c r="W138" i="6"/>
  <c r="W137" i="6"/>
  <c r="W136" i="6"/>
  <c r="W135" i="6"/>
  <c r="W134" i="6"/>
  <c r="W133" i="6"/>
  <c r="W132" i="6"/>
  <c r="W131" i="6"/>
  <c r="W130" i="6"/>
  <c r="W129" i="6"/>
  <c r="W128" i="6"/>
  <c r="W127" i="6"/>
  <c r="W126" i="6"/>
  <c r="W125" i="6"/>
  <c r="W124" i="6"/>
  <c r="W123" i="6"/>
  <c r="W122" i="6"/>
  <c r="W121" i="6"/>
  <c r="W120" i="6"/>
  <c r="W119" i="6"/>
  <c r="W118" i="6"/>
  <c r="W117" i="6"/>
  <c r="W116" i="6"/>
  <c r="W115" i="6"/>
  <c r="W114" i="6"/>
  <c r="W113" i="6"/>
  <c r="W112" i="6"/>
  <c r="W111" i="6"/>
  <c r="W110" i="6"/>
  <c r="W109" i="6"/>
  <c r="W108" i="6"/>
  <c r="W107" i="6"/>
  <c r="W106" i="6"/>
  <c r="W105" i="6"/>
  <c r="W104" i="6"/>
  <c r="W103" i="6"/>
  <c r="W102" i="6"/>
  <c r="W101" i="6"/>
  <c r="W100" i="6"/>
  <c r="W99" i="6"/>
  <c r="W98" i="6"/>
  <c r="W97" i="6"/>
  <c r="W96" i="6"/>
  <c r="W95" i="6"/>
  <c r="W94" i="6"/>
  <c r="W93" i="6"/>
  <c r="W92" i="6"/>
  <c r="W91" i="6"/>
  <c r="W90" i="6"/>
  <c r="W89" i="6"/>
  <c r="W88" i="6"/>
  <c r="W87" i="6"/>
  <c r="W86" i="6"/>
  <c r="W85" i="6"/>
  <c r="W84" i="6"/>
  <c r="W83" i="6"/>
  <c r="W82" i="6"/>
  <c r="W81" i="6"/>
  <c r="W80" i="6"/>
  <c r="W79" i="6"/>
  <c r="W78" i="6"/>
  <c r="W77" i="6"/>
  <c r="W76" i="6"/>
  <c r="W75" i="6"/>
  <c r="W74" i="6"/>
  <c r="W73" i="6"/>
  <c r="W72" i="6"/>
  <c r="W71" i="6"/>
  <c r="W70" i="6"/>
  <c r="W69" i="6"/>
  <c r="W68" i="6"/>
  <c r="W67" i="6"/>
  <c r="W66" i="6"/>
  <c r="W65" i="6"/>
  <c r="W64" i="6"/>
  <c r="W63" i="6"/>
  <c r="W62" i="6"/>
  <c r="W61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8" i="5"/>
  <c r="U723" i="6"/>
  <c r="U724" i="6"/>
  <c r="U725" i="6"/>
  <c r="U726" i="6"/>
  <c r="U727" i="6"/>
  <c r="U728" i="6"/>
  <c r="U729" i="6"/>
  <c r="U730" i="6"/>
  <c r="U731" i="6"/>
  <c r="U732" i="6"/>
  <c r="U733" i="6"/>
  <c r="U734" i="6"/>
  <c r="U735" i="6"/>
  <c r="U736" i="6"/>
  <c r="U737" i="6"/>
  <c r="U738" i="6"/>
  <c r="U739" i="6"/>
  <c r="U740" i="6"/>
  <c r="U741" i="6"/>
  <c r="U742" i="6"/>
  <c r="U743" i="6"/>
  <c r="U744" i="6"/>
  <c r="U745" i="6"/>
  <c r="U746" i="6"/>
  <c r="U747" i="6"/>
  <c r="U748" i="6"/>
  <c r="U749" i="6"/>
  <c r="U750" i="6"/>
  <c r="U751" i="6"/>
  <c r="U752" i="6"/>
  <c r="U753" i="6"/>
  <c r="U754" i="6"/>
  <c r="U755" i="6"/>
  <c r="U756" i="6"/>
  <c r="U757" i="6"/>
  <c r="U758" i="6"/>
  <c r="U759" i="6"/>
  <c r="U760" i="6"/>
  <c r="U761" i="6"/>
  <c r="U762" i="6"/>
  <c r="U763" i="6"/>
  <c r="U764" i="6"/>
  <c r="U765" i="6"/>
  <c r="U766" i="6"/>
  <c r="U767" i="6"/>
  <c r="U768" i="6"/>
  <c r="U769" i="6"/>
  <c r="U770" i="6"/>
  <c r="U771" i="6"/>
  <c r="U772" i="6"/>
  <c r="U773" i="6"/>
  <c r="U774" i="6"/>
  <c r="U775" i="6"/>
  <c r="U776" i="6"/>
  <c r="U777" i="6"/>
  <c r="U778" i="6"/>
  <c r="U779" i="6"/>
  <c r="U780" i="6"/>
  <c r="U781" i="6"/>
  <c r="U782" i="6"/>
  <c r="U783" i="6"/>
  <c r="U784" i="6"/>
  <c r="U785" i="6"/>
  <c r="U786" i="6"/>
  <c r="U787" i="6"/>
  <c r="U788" i="6"/>
  <c r="U789" i="6"/>
  <c r="U790" i="6"/>
  <c r="U791" i="6"/>
  <c r="U792" i="6"/>
  <c r="U793" i="6"/>
  <c r="U794" i="6"/>
  <c r="U795" i="6"/>
  <c r="U796" i="6"/>
  <c r="U797" i="6"/>
  <c r="U798" i="6"/>
  <c r="U799" i="6"/>
  <c r="U800" i="6"/>
  <c r="U801" i="6"/>
  <c r="U802" i="6"/>
  <c r="U803" i="6"/>
  <c r="U804" i="6"/>
  <c r="U805" i="6"/>
  <c r="U806" i="6"/>
  <c r="U807" i="6"/>
  <c r="U808" i="6"/>
  <c r="U809" i="6"/>
  <c r="U810" i="6"/>
  <c r="U811" i="6"/>
  <c r="U812" i="6"/>
  <c r="U813" i="6"/>
  <c r="U814" i="6"/>
  <c r="U815" i="6"/>
  <c r="U816" i="6"/>
  <c r="U817" i="6"/>
  <c r="U818" i="6"/>
  <c r="U819" i="6"/>
  <c r="U820" i="6"/>
  <c r="U821" i="6"/>
  <c r="U822" i="6"/>
  <c r="U823" i="6"/>
  <c r="U824" i="6"/>
  <c r="U825" i="6"/>
  <c r="U826" i="6"/>
  <c r="U827" i="6"/>
  <c r="U828" i="6"/>
  <c r="U829" i="6"/>
  <c r="U830" i="6"/>
  <c r="U831" i="6"/>
  <c r="U832" i="6"/>
  <c r="U833" i="6"/>
  <c r="U834" i="6"/>
  <c r="U835" i="6"/>
  <c r="U836" i="6"/>
  <c r="U837" i="6"/>
  <c r="U838" i="6"/>
  <c r="U839" i="6"/>
  <c r="U840" i="6"/>
  <c r="U841" i="6"/>
  <c r="U842" i="6"/>
  <c r="U843" i="6"/>
  <c r="U844" i="6"/>
  <c r="U845" i="6"/>
  <c r="U846" i="6"/>
  <c r="U847" i="6"/>
  <c r="U848" i="6"/>
  <c r="U849" i="6"/>
  <c r="U850" i="6"/>
  <c r="U851" i="6"/>
  <c r="U852" i="6"/>
  <c r="U853" i="6"/>
  <c r="U854" i="6"/>
  <c r="U855" i="6"/>
  <c r="U856" i="6"/>
  <c r="U857" i="6"/>
  <c r="U858" i="6"/>
  <c r="U859" i="6"/>
  <c r="U860" i="6"/>
  <c r="U861" i="6"/>
  <c r="U862" i="6"/>
  <c r="U863" i="6"/>
  <c r="U864" i="6"/>
  <c r="U865" i="6"/>
  <c r="U866" i="6"/>
  <c r="U867" i="6"/>
  <c r="U868" i="6"/>
  <c r="U869" i="6"/>
  <c r="U870" i="6"/>
  <c r="U871" i="6"/>
  <c r="U872" i="6"/>
  <c r="U873" i="6"/>
  <c r="U874" i="6"/>
  <c r="U875" i="6"/>
  <c r="U876" i="6"/>
  <c r="U877" i="6"/>
  <c r="U878" i="6"/>
  <c r="U879" i="6"/>
  <c r="U880" i="6"/>
  <c r="U881" i="6"/>
  <c r="U882" i="6"/>
  <c r="U883" i="6"/>
  <c r="U884" i="6"/>
  <c r="U885" i="6"/>
  <c r="U886" i="6"/>
  <c r="U887" i="6"/>
  <c r="U888" i="6"/>
  <c r="U889" i="6"/>
  <c r="U890" i="6"/>
  <c r="U891" i="6"/>
  <c r="U892" i="6"/>
  <c r="U893" i="6"/>
  <c r="U894" i="6"/>
  <c r="U895" i="6"/>
  <c r="U896" i="6"/>
  <c r="U897" i="6"/>
  <c r="U898" i="6"/>
  <c r="U899" i="6"/>
  <c r="U900" i="6"/>
  <c r="U901" i="6"/>
  <c r="U902" i="6"/>
  <c r="U903" i="6"/>
  <c r="U904" i="6"/>
  <c r="U905" i="6"/>
  <c r="U906" i="6"/>
  <c r="U907" i="6"/>
  <c r="U908" i="6"/>
  <c r="U909" i="6"/>
  <c r="U910" i="6"/>
  <c r="U911" i="6"/>
  <c r="U912" i="6"/>
  <c r="U913" i="6"/>
  <c r="U914" i="6"/>
  <c r="U915" i="6"/>
  <c r="U916" i="6"/>
  <c r="U917" i="6"/>
  <c r="U918" i="6"/>
  <c r="U919" i="6"/>
  <c r="U920" i="6"/>
  <c r="U921" i="6"/>
  <c r="U922" i="6"/>
  <c r="U923" i="6"/>
  <c r="U924" i="6"/>
  <c r="U925" i="6"/>
  <c r="U926" i="6"/>
  <c r="U927" i="6"/>
  <c r="U928" i="6"/>
  <c r="U929" i="6"/>
  <c r="U930" i="6"/>
  <c r="U931" i="6"/>
  <c r="U932" i="6"/>
  <c r="U933" i="6"/>
  <c r="U934" i="6"/>
  <c r="U935" i="6"/>
  <c r="U936" i="6"/>
  <c r="U937" i="6"/>
  <c r="U938" i="6"/>
  <c r="U939" i="6"/>
  <c r="U940" i="6"/>
  <c r="U941" i="6"/>
  <c r="U942" i="6"/>
  <c r="U943" i="6"/>
  <c r="U944" i="6"/>
  <c r="U945" i="6"/>
  <c r="U946" i="6"/>
  <c r="U947" i="6"/>
  <c r="U948" i="6"/>
  <c r="U949" i="6"/>
  <c r="U950" i="6"/>
  <c r="U951" i="6"/>
  <c r="U952" i="6"/>
  <c r="U953" i="6"/>
  <c r="U954" i="6"/>
  <c r="U955" i="6"/>
  <c r="U956" i="6"/>
  <c r="U957" i="6"/>
  <c r="U958" i="6"/>
  <c r="U959" i="6"/>
  <c r="U960" i="6"/>
  <c r="U961" i="6"/>
  <c r="U962" i="6"/>
  <c r="U963" i="6"/>
  <c r="U964" i="6"/>
  <c r="U965" i="6"/>
  <c r="U966" i="6"/>
  <c r="U967" i="6"/>
  <c r="U968" i="6"/>
  <c r="U969" i="6"/>
  <c r="U970" i="6"/>
  <c r="U971" i="6"/>
  <c r="U972" i="6"/>
  <c r="U973" i="6"/>
  <c r="U974" i="6"/>
  <c r="U975" i="6"/>
  <c r="U976" i="6"/>
  <c r="U977" i="6"/>
  <c r="U978" i="6"/>
  <c r="U979" i="6"/>
  <c r="U980" i="6"/>
  <c r="U981" i="6"/>
  <c r="U982" i="6"/>
  <c r="U983" i="6"/>
  <c r="U984" i="6"/>
  <c r="U985" i="6"/>
  <c r="U986" i="6"/>
  <c r="U987" i="6"/>
  <c r="U988" i="6"/>
  <c r="U989" i="6"/>
  <c r="U990" i="6"/>
  <c r="U991" i="6"/>
  <c r="U992" i="6"/>
  <c r="U993" i="6"/>
  <c r="U994" i="6"/>
  <c r="U995" i="6"/>
  <c r="U996" i="6"/>
  <c r="U997" i="6"/>
  <c r="U998" i="6"/>
  <c r="U999" i="6"/>
  <c r="U1000" i="6"/>
  <c r="U1001" i="6"/>
  <c r="U1002" i="6"/>
  <c r="U1003" i="6"/>
  <c r="U1004" i="6"/>
  <c r="U1005" i="6"/>
  <c r="U1006" i="6"/>
  <c r="U1007" i="6"/>
  <c r="U1008" i="6"/>
  <c r="U1009" i="6"/>
  <c r="U1010" i="6"/>
  <c r="U1011" i="6"/>
  <c r="U1012" i="6"/>
  <c r="U1013" i="6"/>
  <c r="U1014" i="6"/>
  <c r="U1015" i="6"/>
  <c r="U1016" i="6"/>
  <c r="U1017" i="6"/>
  <c r="U1018" i="6"/>
  <c r="U1019" i="6"/>
  <c r="U1020" i="6"/>
  <c r="U1021" i="6"/>
  <c r="U1022" i="6"/>
  <c r="U1023" i="6"/>
  <c r="U1024" i="6"/>
  <c r="U1025" i="6"/>
  <c r="U1026" i="6"/>
  <c r="U1027" i="6"/>
  <c r="U1028" i="6"/>
  <c r="U1029" i="6"/>
  <c r="U1030" i="6"/>
  <c r="U1031" i="6"/>
  <c r="U1032" i="6"/>
  <c r="U1033" i="6"/>
  <c r="U1034" i="6"/>
  <c r="U1035" i="6"/>
  <c r="U1036" i="6"/>
  <c r="U1037" i="6"/>
  <c r="U1038" i="6"/>
  <c r="U1039" i="6"/>
  <c r="U1040" i="6"/>
  <c r="U1041" i="6"/>
  <c r="U1042" i="6"/>
  <c r="U1043" i="6"/>
  <c r="U1044" i="6"/>
  <c r="U1045" i="6"/>
  <c r="U1046" i="6"/>
  <c r="U1047" i="6"/>
  <c r="U1048" i="6"/>
  <c r="U1049" i="6"/>
  <c r="U1050" i="6"/>
  <c r="U1051" i="6"/>
  <c r="U1052" i="6"/>
  <c r="U1053" i="6"/>
  <c r="U1054" i="6"/>
  <c r="U1055" i="6"/>
  <c r="U1056" i="6"/>
  <c r="U1057" i="6"/>
  <c r="U1058" i="6"/>
  <c r="U1059" i="6"/>
  <c r="U1060" i="6"/>
  <c r="U1061" i="6"/>
  <c r="U1062" i="6"/>
  <c r="U1063" i="6"/>
  <c r="U1064" i="6"/>
  <c r="U1065" i="6"/>
  <c r="U1066" i="6"/>
  <c r="U1067" i="6"/>
  <c r="U1068" i="6"/>
  <c r="U1069" i="6"/>
  <c r="U1070" i="6"/>
  <c r="U1071" i="6"/>
  <c r="U1072" i="6"/>
  <c r="U1073" i="6"/>
  <c r="U1074" i="6"/>
  <c r="U1075" i="6"/>
  <c r="U1076" i="6"/>
  <c r="U1077" i="6"/>
  <c r="U1078" i="6"/>
  <c r="U1079" i="6"/>
  <c r="U1080" i="6"/>
  <c r="U1081" i="6"/>
  <c r="U1082" i="6"/>
  <c r="U1083" i="6"/>
  <c r="U1084" i="6"/>
  <c r="U1085" i="6"/>
  <c r="U1086" i="6"/>
  <c r="U1087" i="6"/>
  <c r="U1088" i="6"/>
  <c r="U1089" i="6"/>
  <c r="U1090" i="6"/>
  <c r="U1091" i="6"/>
  <c r="U1092" i="6"/>
  <c r="U1093" i="6"/>
  <c r="U1094" i="6"/>
  <c r="U1095" i="6"/>
  <c r="U1096" i="6"/>
  <c r="U1097" i="6"/>
  <c r="U1098" i="6"/>
  <c r="U1099" i="6"/>
  <c r="U1100" i="6"/>
  <c r="U1101" i="6"/>
  <c r="U1102" i="6"/>
  <c r="U1103" i="6"/>
  <c r="U1104" i="6"/>
  <c r="U1105" i="6"/>
  <c r="U1106" i="6"/>
  <c r="U1107" i="6"/>
  <c r="U1108" i="6"/>
  <c r="U1109" i="6"/>
  <c r="U1110" i="6"/>
  <c r="U1111" i="6"/>
  <c r="U1112" i="6"/>
  <c r="U1113" i="6"/>
  <c r="U1114" i="6"/>
  <c r="U1115" i="6"/>
  <c r="U1116" i="6"/>
  <c r="U1117" i="6"/>
  <c r="U1118" i="6"/>
  <c r="U1119" i="6"/>
  <c r="U1120" i="6"/>
  <c r="U1121" i="6"/>
  <c r="U1122" i="6"/>
  <c r="U1123" i="6"/>
  <c r="U1124" i="6"/>
  <c r="U1125" i="6"/>
  <c r="U1126" i="6"/>
  <c r="U1127" i="6"/>
  <c r="U1128" i="6"/>
  <c r="U1129" i="6"/>
  <c r="U1130" i="6"/>
  <c r="U1131" i="6"/>
  <c r="U1132" i="6"/>
  <c r="U1133" i="6"/>
  <c r="U1134" i="6"/>
  <c r="U1135" i="6"/>
  <c r="U1136" i="6"/>
  <c r="U1137" i="6"/>
  <c r="U1138" i="6"/>
  <c r="U1139" i="6"/>
  <c r="U1140" i="6"/>
  <c r="U1141" i="6"/>
  <c r="U1142" i="6"/>
  <c r="U1143" i="6"/>
  <c r="U1144" i="6"/>
  <c r="U1145" i="6"/>
  <c r="U1146" i="6"/>
  <c r="U1147" i="6"/>
  <c r="U1148" i="6"/>
  <c r="U1149" i="6"/>
  <c r="U1150" i="6"/>
  <c r="U1151" i="6"/>
  <c r="U1152" i="6"/>
  <c r="U1153" i="6"/>
  <c r="U1154" i="6"/>
  <c r="U1155" i="6"/>
  <c r="U1156" i="6"/>
  <c r="U1157" i="6"/>
  <c r="U1158" i="6"/>
  <c r="U1159" i="6"/>
  <c r="U1160" i="6"/>
  <c r="U1161" i="6"/>
  <c r="U1162" i="6"/>
  <c r="U1163" i="6"/>
  <c r="U1164" i="6"/>
  <c r="U1165" i="6"/>
  <c r="U1166" i="6"/>
  <c r="U1167" i="6"/>
  <c r="U1168" i="6"/>
  <c r="U1169" i="6"/>
  <c r="U1170" i="6"/>
  <c r="U1171" i="6"/>
  <c r="U1172" i="6"/>
  <c r="U1173" i="6"/>
  <c r="U1174" i="6"/>
  <c r="U1175" i="6"/>
  <c r="U1176" i="6"/>
  <c r="U1177" i="6"/>
  <c r="U1178" i="6"/>
  <c r="U1179" i="6"/>
  <c r="U1180" i="6"/>
  <c r="U1181" i="6"/>
  <c r="U1182" i="6"/>
  <c r="U1183" i="6"/>
  <c r="U1184" i="6"/>
  <c r="U1185" i="6"/>
  <c r="U1186" i="6"/>
  <c r="U1187" i="6"/>
  <c r="U1188" i="6"/>
  <c r="U1189" i="6"/>
  <c r="U1190" i="6"/>
  <c r="U1191" i="6"/>
  <c r="U1192" i="6"/>
  <c r="U1193" i="6"/>
  <c r="U1194" i="6"/>
  <c r="U1195" i="6"/>
  <c r="U1196" i="6"/>
  <c r="U1197" i="6"/>
  <c r="U1198" i="6"/>
  <c r="U1199" i="6"/>
  <c r="U1200" i="6"/>
  <c r="U1201" i="6"/>
  <c r="U1202" i="6"/>
  <c r="U1203" i="6"/>
  <c r="U1204" i="6"/>
  <c r="U1205" i="6"/>
  <c r="U1206" i="6"/>
  <c r="U1207" i="6"/>
  <c r="U1208" i="6"/>
  <c r="U1209" i="6"/>
  <c r="U1210" i="6"/>
  <c r="U1211" i="6"/>
  <c r="U1212" i="6"/>
  <c r="U1213" i="6"/>
  <c r="U1214" i="6"/>
  <c r="U1215" i="6"/>
  <c r="U1216" i="6"/>
  <c r="U1217" i="6"/>
  <c r="U1218" i="6"/>
  <c r="U1219" i="6"/>
  <c r="U1220" i="6"/>
  <c r="U1221" i="6"/>
  <c r="U1222" i="6"/>
  <c r="U1223" i="6"/>
  <c r="U1224" i="6"/>
  <c r="U1225" i="6"/>
  <c r="U1226" i="6"/>
  <c r="U1227" i="6"/>
  <c r="U1228" i="6"/>
  <c r="U1229" i="6"/>
  <c r="U1230" i="6"/>
  <c r="U1231" i="6"/>
  <c r="U1232" i="6"/>
  <c r="U1233" i="6"/>
  <c r="U1234" i="6"/>
  <c r="U1235" i="6"/>
  <c r="U1236" i="6"/>
  <c r="U1237" i="6"/>
  <c r="U1238" i="6"/>
  <c r="U1239" i="6"/>
  <c r="U1240" i="6"/>
  <c r="U1241" i="6"/>
  <c r="U1242" i="6"/>
  <c r="U1243" i="6"/>
  <c r="U1244" i="6"/>
  <c r="U1245" i="6"/>
  <c r="U1246" i="6"/>
  <c r="U1247" i="6"/>
  <c r="U1248" i="6"/>
  <c r="U1249" i="6"/>
  <c r="U1250" i="6"/>
  <c r="U1251" i="6"/>
  <c r="U1252" i="6"/>
  <c r="U1253" i="6"/>
  <c r="U1254" i="6"/>
  <c r="U1255" i="6"/>
  <c r="U1256" i="6"/>
  <c r="U1257" i="6"/>
  <c r="U1258" i="6"/>
  <c r="U1259" i="6"/>
  <c r="U1260" i="6"/>
  <c r="U1261" i="6"/>
  <c r="U1262" i="6"/>
  <c r="U1263" i="6"/>
  <c r="U1264" i="6"/>
  <c r="U1265" i="6"/>
  <c r="U1266" i="6"/>
  <c r="U1267" i="6"/>
  <c r="U1268" i="6"/>
  <c r="U1269" i="6"/>
  <c r="U1270" i="6"/>
  <c r="U1271" i="6"/>
  <c r="U1272" i="6"/>
  <c r="U1273" i="6"/>
  <c r="U1274" i="6"/>
  <c r="U1275" i="6"/>
  <c r="U1276" i="6"/>
  <c r="U1277" i="6"/>
  <c r="U1278" i="6"/>
  <c r="U1279" i="6"/>
  <c r="U1280" i="6"/>
  <c r="U1281" i="6"/>
  <c r="U1282" i="6"/>
  <c r="U1283" i="6"/>
  <c r="U1284" i="6"/>
  <c r="U1285" i="6"/>
  <c r="U1286" i="6"/>
  <c r="U1287" i="6"/>
  <c r="U1288" i="6"/>
  <c r="U1289" i="6"/>
  <c r="U1290" i="6"/>
  <c r="U1291" i="6"/>
  <c r="U1292" i="6"/>
  <c r="U1293" i="6"/>
  <c r="U1294" i="6"/>
  <c r="U1295" i="6"/>
  <c r="U1296" i="6"/>
  <c r="U1297" i="6"/>
  <c r="U1298" i="6"/>
  <c r="U1299" i="6"/>
  <c r="U1300" i="6"/>
  <c r="U1301" i="6"/>
  <c r="U1302" i="6"/>
  <c r="U1303" i="6"/>
  <c r="U1304" i="6"/>
  <c r="U1305" i="6"/>
  <c r="U1306" i="6"/>
  <c r="U1307" i="6"/>
  <c r="U1308" i="6"/>
  <c r="U1309" i="6"/>
  <c r="U1310" i="6"/>
  <c r="U1311" i="6"/>
  <c r="U1312" i="6"/>
  <c r="U1313" i="6"/>
  <c r="U1314" i="6"/>
  <c r="U1315" i="6"/>
  <c r="U1316" i="6"/>
  <c r="U1317" i="6"/>
  <c r="U1318" i="6"/>
  <c r="U1319" i="6"/>
  <c r="U1320" i="6"/>
  <c r="U1321" i="6"/>
  <c r="U1322" i="6"/>
  <c r="U1323" i="6"/>
  <c r="U1324" i="6"/>
  <c r="U1325" i="6"/>
  <c r="U1326" i="6"/>
  <c r="U1327" i="6"/>
  <c r="U1328" i="6"/>
  <c r="U1329" i="6"/>
  <c r="U1330" i="6"/>
  <c r="U1331" i="6"/>
  <c r="U1332" i="6"/>
  <c r="U1333" i="6"/>
  <c r="U1334" i="6"/>
  <c r="U1335" i="6"/>
  <c r="U1336" i="6"/>
  <c r="U1337" i="6"/>
  <c r="U1338" i="6"/>
  <c r="U1339" i="6"/>
  <c r="U1340" i="6"/>
  <c r="U1341" i="6"/>
  <c r="U1342" i="6"/>
  <c r="U1343" i="6"/>
  <c r="U1344" i="6"/>
  <c r="U1345" i="6"/>
  <c r="U1346" i="6"/>
  <c r="U1347" i="6"/>
  <c r="U1348" i="6"/>
  <c r="U1349" i="6"/>
  <c r="U1350" i="6"/>
  <c r="U1351" i="6"/>
  <c r="U1352" i="6"/>
  <c r="U1353" i="6"/>
  <c r="U1354" i="6"/>
  <c r="U1355" i="6"/>
  <c r="U1356" i="6"/>
  <c r="U1357" i="6"/>
  <c r="U1358" i="6"/>
  <c r="U1359" i="6"/>
  <c r="U1360" i="6"/>
  <c r="U1361" i="6"/>
  <c r="U1362" i="6"/>
  <c r="U1363" i="6"/>
  <c r="U1364" i="6"/>
  <c r="U1365" i="6"/>
  <c r="U1366" i="6"/>
  <c r="U1367" i="6"/>
  <c r="U1368" i="6"/>
  <c r="U1369" i="6"/>
  <c r="U1370" i="6"/>
  <c r="U1371" i="6"/>
  <c r="U1372" i="6"/>
  <c r="U1373" i="6"/>
  <c r="U1374" i="6"/>
  <c r="U1375" i="6"/>
  <c r="U1376" i="6"/>
  <c r="U1377" i="6"/>
  <c r="U1378" i="6"/>
  <c r="U1379" i="6"/>
  <c r="U1380" i="6"/>
  <c r="U1381" i="6"/>
  <c r="U1382" i="6"/>
  <c r="U1383" i="6"/>
  <c r="U1384" i="6"/>
  <c r="U1385" i="6"/>
  <c r="U1386" i="6"/>
  <c r="U1387" i="6"/>
  <c r="U1388" i="6"/>
  <c r="U1389" i="6"/>
  <c r="U1390" i="6"/>
  <c r="U1391" i="6"/>
  <c r="U1392" i="6"/>
  <c r="U1393" i="6"/>
  <c r="U1394" i="6"/>
  <c r="U1395" i="6"/>
  <c r="U1396" i="6"/>
  <c r="U1397" i="6"/>
  <c r="U1398" i="6"/>
  <c r="U1399" i="6"/>
  <c r="U1400" i="6"/>
  <c r="U1401" i="6"/>
  <c r="U1402" i="6"/>
  <c r="U1403" i="6"/>
  <c r="U1404" i="6"/>
  <c r="U1405" i="6"/>
  <c r="U1406" i="6"/>
  <c r="U1407" i="6"/>
  <c r="U1408" i="6"/>
  <c r="U1409" i="6"/>
  <c r="U1410" i="6"/>
  <c r="U1411" i="6"/>
  <c r="U1412" i="6"/>
  <c r="U1413" i="6"/>
  <c r="U1414" i="6"/>
  <c r="U1415" i="6"/>
  <c r="U1416" i="6"/>
  <c r="U1417" i="6"/>
  <c r="U1418" i="6"/>
  <c r="U1419" i="6"/>
  <c r="U1420" i="6"/>
  <c r="U1421" i="6"/>
  <c r="U1422" i="6"/>
  <c r="U1423" i="6"/>
  <c r="U1424" i="6"/>
  <c r="U1425" i="6"/>
  <c r="U1426" i="6"/>
  <c r="U1427" i="6"/>
  <c r="U1428" i="6"/>
  <c r="U1429" i="6"/>
  <c r="U1430" i="6"/>
  <c r="U1431" i="6"/>
  <c r="U1432" i="6"/>
  <c r="U1433" i="6"/>
  <c r="U1434" i="6"/>
  <c r="U1435" i="6"/>
  <c r="U1436" i="6"/>
  <c r="U1437" i="6"/>
  <c r="U1438" i="6"/>
  <c r="U1439" i="6"/>
  <c r="U1440" i="6"/>
  <c r="U1441" i="6"/>
  <c r="U1442" i="6"/>
  <c r="U1443" i="6"/>
  <c r="U1444" i="6"/>
  <c r="U1445" i="6"/>
  <c r="U1446" i="6"/>
  <c r="U1447" i="6"/>
  <c r="U1448" i="6"/>
  <c r="U1449" i="6"/>
  <c r="U1450" i="6"/>
  <c r="U1451" i="6"/>
  <c r="U1452" i="6"/>
  <c r="U1453" i="6"/>
  <c r="U1454" i="6"/>
  <c r="U1455" i="6"/>
  <c r="U1456" i="6"/>
  <c r="U1457" i="6"/>
  <c r="U1458" i="6"/>
  <c r="U1459" i="6"/>
  <c r="U1460" i="6"/>
  <c r="U1461" i="6"/>
  <c r="U1462" i="6"/>
  <c r="U1463" i="6"/>
  <c r="U1464" i="6"/>
  <c r="U1465" i="6"/>
  <c r="U1466" i="6"/>
  <c r="U1467" i="6"/>
  <c r="U1468" i="6"/>
  <c r="U1469" i="6"/>
  <c r="U1470" i="6"/>
  <c r="U1471" i="6"/>
  <c r="U1472" i="6"/>
  <c r="U1473" i="6"/>
  <c r="U1474" i="6"/>
  <c r="U1475" i="6"/>
  <c r="U1476" i="6"/>
  <c r="U1477" i="6"/>
  <c r="U1478" i="6"/>
  <c r="U1479" i="6"/>
  <c r="U1480" i="6"/>
  <c r="U1481" i="6"/>
  <c r="U1482" i="6"/>
  <c r="U1483" i="6"/>
  <c r="U1484" i="6"/>
  <c r="U1485" i="6"/>
  <c r="U1486" i="6"/>
  <c r="U1487" i="6"/>
  <c r="U1488" i="6"/>
  <c r="U1489" i="6"/>
  <c r="U1490" i="6"/>
  <c r="U1491" i="6"/>
  <c r="U1492" i="6"/>
  <c r="U1493" i="6"/>
  <c r="U1494" i="6"/>
  <c r="U1495" i="6"/>
  <c r="U1496" i="6"/>
  <c r="U1497" i="6"/>
  <c r="U1498" i="6"/>
  <c r="U1499" i="6"/>
  <c r="U1500" i="6"/>
  <c r="U1501" i="6"/>
  <c r="U1502" i="6"/>
  <c r="U1503" i="6"/>
  <c r="U1504" i="6"/>
  <c r="U1505" i="6"/>
  <c r="U1506" i="6"/>
  <c r="U1507" i="6"/>
  <c r="U1508" i="6"/>
  <c r="U1509" i="6"/>
  <c r="U1510" i="6"/>
  <c r="U1511" i="6"/>
  <c r="U1512" i="6"/>
  <c r="U1513" i="6"/>
  <c r="U1514" i="6"/>
  <c r="U1515" i="6"/>
  <c r="U1516" i="6"/>
  <c r="U1517" i="6"/>
  <c r="U1518" i="6"/>
  <c r="U1519" i="6"/>
  <c r="U1520" i="6"/>
  <c r="U1521" i="6"/>
  <c r="U1522" i="6"/>
  <c r="U1523" i="6"/>
  <c r="U1524" i="6"/>
  <c r="U1525" i="6"/>
  <c r="U1526" i="6"/>
  <c r="U1527" i="6"/>
  <c r="U1528" i="6"/>
  <c r="U1529" i="6"/>
  <c r="U1530" i="6"/>
  <c r="U1531" i="6"/>
  <c r="U1532" i="6"/>
  <c r="U1533" i="6"/>
  <c r="U1534" i="6"/>
  <c r="U1535" i="6"/>
  <c r="U1536" i="6"/>
  <c r="U1537" i="6"/>
  <c r="U1538" i="6"/>
  <c r="U1539" i="6"/>
  <c r="U1540" i="6"/>
  <c r="U1541" i="6"/>
  <c r="U1542" i="6"/>
  <c r="U1543" i="6"/>
  <c r="U1544" i="6"/>
  <c r="U1545" i="6"/>
  <c r="U1546" i="6"/>
  <c r="U1547" i="6"/>
  <c r="U1548" i="6"/>
  <c r="U1549" i="6"/>
  <c r="U1550" i="6"/>
  <c r="U1551" i="6"/>
  <c r="U1552" i="6"/>
  <c r="U1553" i="6"/>
  <c r="U1554" i="6"/>
  <c r="U1555" i="6"/>
  <c r="U1556" i="6"/>
  <c r="U1557" i="6"/>
  <c r="U1558" i="6"/>
  <c r="U1559" i="6"/>
  <c r="U1560" i="6"/>
  <c r="U1561" i="6"/>
  <c r="U1562" i="6"/>
  <c r="U1563" i="6"/>
  <c r="U1564" i="6"/>
  <c r="U1565" i="6"/>
  <c r="U1566" i="6"/>
  <c r="U1567" i="6"/>
  <c r="U1568" i="6"/>
  <c r="U1569" i="6"/>
  <c r="U1570" i="6"/>
  <c r="U1571" i="6"/>
  <c r="U1572" i="6"/>
  <c r="U1573" i="6"/>
  <c r="U1574" i="6"/>
  <c r="U1575" i="6"/>
  <c r="U1576" i="6"/>
  <c r="U1577" i="6"/>
  <c r="U1578" i="6"/>
  <c r="U1579" i="6"/>
  <c r="U1580" i="6"/>
  <c r="U1581" i="6"/>
  <c r="U1582" i="6"/>
  <c r="U1583" i="6"/>
  <c r="U1584" i="6"/>
  <c r="U1585" i="6"/>
  <c r="U1586" i="6"/>
  <c r="U1587" i="6"/>
  <c r="U1588" i="6"/>
  <c r="U1589" i="6"/>
  <c r="U1590" i="6"/>
  <c r="U1591" i="6"/>
  <c r="U1592" i="6"/>
  <c r="U1593" i="6"/>
  <c r="U1594" i="6"/>
  <c r="U1595" i="6"/>
  <c r="U1596" i="6"/>
  <c r="U1597" i="6"/>
  <c r="U1598" i="6"/>
  <c r="U1599" i="6"/>
  <c r="U1600" i="6"/>
  <c r="U1601" i="6"/>
  <c r="U1602" i="6"/>
  <c r="U1603" i="6"/>
  <c r="U1604" i="6"/>
  <c r="U1605" i="6"/>
  <c r="U1606" i="6"/>
  <c r="U1607" i="6"/>
  <c r="U1608" i="6"/>
  <c r="U1609" i="6"/>
  <c r="U1610" i="6"/>
  <c r="U1611" i="6"/>
  <c r="U1612" i="6"/>
  <c r="U1613" i="6"/>
  <c r="U1614" i="6"/>
  <c r="U1615" i="6"/>
  <c r="U1616" i="6"/>
  <c r="U1617" i="6"/>
  <c r="U1618" i="6"/>
  <c r="U1619" i="6"/>
  <c r="U1620" i="6"/>
  <c r="U1621" i="6"/>
  <c r="U1622" i="6"/>
  <c r="U1623" i="6"/>
  <c r="U1624" i="6"/>
  <c r="U1625" i="6"/>
  <c r="U1626" i="6"/>
  <c r="U1627" i="6"/>
  <c r="U1628" i="6"/>
  <c r="U1629" i="6"/>
  <c r="U1630" i="6"/>
  <c r="U1631" i="6"/>
  <c r="U1632" i="6"/>
  <c r="U1633" i="6"/>
  <c r="U1634" i="6"/>
  <c r="U1635" i="6"/>
  <c r="U1636" i="6"/>
  <c r="U1637" i="6"/>
  <c r="U1638" i="6"/>
  <c r="U1639" i="6"/>
  <c r="U1640" i="6"/>
  <c r="U1641" i="6"/>
  <c r="U1642" i="6"/>
  <c r="U1643" i="6"/>
  <c r="U1644" i="6"/>
  <c r="U1645" i="6"/>
  <c r="U1646" i="6"/>
  <c r="U1647" i="6"/>
  <c r="U1648" i="6"/>
  <c r="U1649" i="6"/>
  <c r="U1650" i="6"/>
  <c r="U1651" i="6"/>
  <c r="U1652" i="6"/>
  <c r="U1653" i="6"/>
  <c r="U1654" i="6"/>
  <c r="U1655" i="6"/>
  <c r="U1656" i="6"/>
  <c r="U1657" i="6"/>
  <c r="U1658" i="6"/>
  <c r="U1659" i="6"/>
  <c r="U1660" i="6"/>
  <c r="U1661" i="6"/>
  <c r="U1662" i="6"/>
  <c r="U1663" i="6"/>
  <c r="U1664" i="6"/>
  <c r="U1665" i="6"/>
  <c r="U1666" i="6"/>
  <c r="U1667" i="6"/>
  <c r="U1668" i="6"/>
  <c r="U1669" i="6"/>
  <c r="U1670" i="6"/>
  <c r="U1671" i="6"/>
  <c r="U1672" i="6"/>
  <c r="U1673" i="6"/>
  <c r="U1674" i="6"/>
  <c r="U1675" i="6"/>
  <c r="U1676" i="6"/>
  <c r="U1677" i="6"/>
  <c r="U1678" i="6"/>
  <c r="U1679" i="6"/>
  <c r="U1680" i="6"/>
  <c r="U1681" i="6"/>
  <c r="U1682" i="6"/>
  <c r="U1683" i="6"/>
  <c r="U1684" i="6"/>
  <c r="U1685" i="6"/>
  <c r="U1686" i="6"/>
  <c r="U1687" i="6"/>
  <c r="U1688" i="6"/>
  <c r="U1689" i="6"/>
  <c r="U1690" i="6"/>
  <c r="U1691" i="6"/>
  <c r="U1692" i="6"/>
  <c r="U1693" i="6"/>
  <c r="U1694" i="6"/>
  <c r="U1695" i="6"/>
  <c r="U1696" i="6"/>
  <c r="U1697" i="6"/>
  <c r="U1698" i="6"/>
  <c r="U1699" i="6"/>
  <c r="U1700" i="6"/>
  <c r="U1701" i="6"/>
  <c r="U1702" i="6"/>
  <c r="U1703" i="6"/>
  <c r="U1704" i="6"/>
  <c r="U1705" i="6"/>
  <c r="U1706" i="6"/>
  <c r="U1707" i="6"/>
  <c r="U1708" i="6"/>
  <c r="U1709" i="6"/>
  <c r="U1710" i="6"/>
  <c r="U1711" i="6"/>
  <c r="U1712" i="6"/>
  <c r="U1713" i="6"/>
  <c r="U1714" i="6"/>
  <c r="U1715" i="6"/>
  <c r="U1716" i="6"/>
  <c r="U1717" i="6"/>
  <c r="U1718" i="6"/>
  <c r="U1719" i="6"/>
  <c r="U1720" i="6"/>
  <c r="U1721" i="6"/>
  <c r="U1722" i="6"/>
  <c r="U1723" i="6"/>
  <c r="U1724" i="6"/>
  <c r="U1725" i="6"/>
  <c r="U1726" i="6"/>
  <c r="U1727" i="6"/>
  <c r="U1728" i="6"/>
  <c r="U1729" i="6"/>
  <c r="U1730" i="6"/>
  <c r="U1731" i="6"/>
  <c r="U1732" i="6"/>
  <c r="U1733" i="6"/>
  <c r="U1734" i="6"/>
  <c r="U1735" i="6"/>
  <c r="U1736" i="6"/>
  <c r="U1737" i="6"/>
  <c r="U1738" i="6"/>
  <c r="U1739" i="6"/>
  <c r="U1740" i="6"/>
  <c r="U1741" i="6"/>
  <c r="U1742" i="6"/>
  <c r="U1743" i="6"/>
  <c r="U1744" i="6"/>
  <c r="U1745" i="6"/>
  <c r="U1746" i="6"/>
  <c r="U1747" i="6"/>
  <c r="U1748" i="6"/>
  <c r="U1749" i="6"/>
  <c r="U1750" i="6"/>
  <c r="U1751" i="6"/>
  <c r="U1752" i="6"/>
  <c r="U1753" i="6"/>
  <c r="U1754" i="6"/>
  <c r="U1755" i="6"/>
  <c r="U1756" i="6"/>
  <c r="U1757" i="6"/>
  <c r="U1758" i="6"/>
  <c r="U1759" i="6"/>
  <c r="U1760" i="6"/>
  <c r="U1761" i="6"/>
  <c r="U1762" i="6"/>
  <c r="U1763" i="6"/>
  <c r="U1764" i="6"/>
  <c r="U1765" i="6"/>
  <c r="U1766" i="6"/>
  <c r="U1767" i="6"/>
  <c r="U1768" i="6"/>
  <c r="U1769" i="6"/>
  <c r="U1770" i="6"/>
  <c r="U1771" i="6"/>
  <c r="U1772" i="6"/>
  <c r="U1773" i="6"/>
  <c r="U1774" i="6"/>
  <c r="U1775" i="6"/>
  <c r="U1776" i="6"/>
  <c r="U1777" i="6"/>
  <c r="U1778" i="6"/>
  <c r="U1779" i="6"/>
  <c r="U1780" i="6"/>
  <c r="U1781" i="6"/>
  <c r="U1782" i="6"/>
  <c r="U1783" i="6"/>
  <c r="U1784" i="6"/>
  <c r="U1785" i="6"/>
  <c r="U1786" i="6"/>
  <c r="U1787" i="6"/>
  <c r="U1788" i="6"/>
  <c r="U1789" i="6"/>
  <c r="U1790" i="6"/>
  <c r="U1791" i="6"/>
  <c r="U1792" i="6"/>
  <c r="U1793" i="6"/>
  <c r="U1794" i="6"/>
  <c r="U1795" i="6"/>
  <c r="U1796" i="6"/>
  <c r="U1797" i="6"/>
  <c r="U1798" i="6"/>
  <c r="U1799" i="6"/>
  <c r="U1800" i="6"/>
  <c r="U1801" i="6"/>
  <c r="U1802" i="6"/>
  <c r="U1803" i="6"/>
  <c r="U1804" i="6"/>
  <c r="U1805" i="6"/>
  <c r="U1806" i="6"/>
  <c r="U1807" i="6"/>
  <c r="U1808" i="6"/>
  <c r="U1809" i="6"/>
  <c r="U1810" i="6"/>
  <c r="U1811" i="6"/>
  <c r="U1812" i="6"/>
  <c r="U1813" i="6"/>
  <c r="U1814" i="6"/>
  <c r="U1815" i="6"/>
  <c r="U1816" i="6"/>
  <c r="U1817" i="6"/>
  <c r="U1818" i="6"/>
  <c r="U1819" i="6"/>
  <c r="U1820" i="6"/>
  <c r="U1821" i="6"/>
  <c r="U1822" i="6"/>
  <c r="U1823" i="6"/>
  <c r="U1824" i="6"/>
  <c r="U1825" i="6"/>
  <c r="U1826" i="6"/>
  <c r="U1827" i="6"/>
  <c r="U1828" i="6"/>
  <c r="U1829" i="6"/>
  <c r="U1830" i="6"/>
  <c r="U1831" i="6"/>
  <c r="U1832" i="6"/>
  <c r="U1833" i="6"/>
  <c r="U1834" i="6"/>
  <c r="U1835" i="6"/>
  <c r="U1836" i="6"/>
  <c r="U1837" i="6"/>
  <c r="U1838" i="6"/>
  <c r="U1839" i="6"/>
  <c r="U1840" i="6"/>
  <c r="U1841" i="6"/>
  <c r="U1842" i="6"/>
  <c r="U1843" i="6"/>
  <c r="U1844" i="6"/>
  <c r="U1845" i="6"/>
  <c r="U1846" i="6"/>
  <c r="U1847" i="6"/>
  <c r="U1848" i="6"/>
  <c r="U1849" i="6"/>
  <c r="U1850" i="6"/>
  <c r="U1851" i="6"/>
  <c r="U1852" i="6"/>
  <c r="U1853" i="6"/>
  <c r="U1854" i="6"/>
  <c r="U1855" i="6"/>
  <c r="U1856" i="6"/>
  <c r="U1857" i="6"/>
  <c r="U1858" i="6"/>
  <c r="U1859" i="6"/>
  <c r="U1860" i="6"/>
  <c r="U1861" i="6"/>
  <c r="U1862" i="6"/>
  <c r="U1863" i="6"/>
  <c r="U1864" i="6"/>
  <c r="U1865" i="6"/>
  <c r="U1866" i="6"/>
  <c r="U1867" i="6"/>
  <c r="U1868" i="6"/>
  <c r="U1869" i="6"/>
  <c r="U1870" i="6"/>
  <c r="U1871" i="6"/>
  <c r="U1872" i="6"/>
  <c r="U1873" i="6"/>
  <c r="U1874" i="6"/>
  <c r="U1875" i="6"/>
  <c r="U1876" i="6"/>
  <c r="U1877" i="6"/>
  <c r="U1878" i="6"/>
  <c r="U1879" i="6"/>
  <c r="U1880" i="6"/>
  <c r="U1881" i="6"/>
  <c r="U1882" i="6"/>
  <c r="U1883" i="6"/>
  <c r="U1884" i="6"/>
  <c r="U1885" i="6"/>
  <c r="U1886" i="6"/>
  <c r="U1887" i="6"/>
  <c r="U1888" i="6"/>
  <c r="U1889" i="6"/>
  <c r="U1890" i="6"/>
  <c r="U1891" i="6"/>
  <c r="U1892" i="6"/>
  <c r="U1893" i="6"/>
  <c r="U1894" i="6"/>
  <c r="U1895" i="6"/>
  <c r="U1896" i="6"/>
  <c r="U1897" i="6"/>
  <c r="U1898" i="6"/>
  <c r="U1899" i="6"/>
  <c r="U1900" i="6"/>
  <c r="U1901" i="6"/>
  <c r="U1902" i="6"/>
  <c r="U1903" i="6"/>
  <c r="U1904" i="6"/>
  <c r="U1905" i="6"/>
  <c r="U1906" i="6"/>
  <c r="U1907" i="6"/>
  <c r="U1908" i="6"/>
  <c r="U1909" i="6"/>
  <c r="U1910" i="6"/>
  <c r="U1911" i="6"/>
  <c r="U1912" i="6"/>
  <c r="U1913" i="6"/>
  <c r="U1914" i="6"/>
  <c r="U1915" i="6"/>
  <c r="U1916" i="6"/>
  <c r="U1917" i="6"/>
  <c r="U1918" i="6"/>
  <c r="U1919" i="6"/>
  <c r="U1920" i="6"/>
  <c r="U1921" i="6"/>
  <c r="U1922" i="6"/>
  <c r="U1923" i="6"/>
  <c r="U1924" i="6"/>
  <c r="U1925" i="6"/>
  <c r="U1926" i="6"/>
  <c r="U1927" i="6"/>
  <c r="U1928" i="6"/>
  <c r="U1929" i="6"/>
  <c r="U1930" i="6"/>
  <c r="U1931" i="6"/>
  <c r="U1932" i="6"/>
  <c r="U1933" i="6"/>
  <c r="U1934" i="6"/>
  <c r="U1935" i="6"/>
  <c r="U1936" i="6"/>
  <c r="U1937" i="6"/>
  <c r="U1938" i="6"/>
  <c r="U1939" i="6"/>
  <c r="U1940" i="6"/>
  <c r="U1941" i="6"/>
  <c r="U1942" i="6"/>
  <c r="U1943" i="6"/>
  <c r="U1944" i="6"/>
  <c r="U1945" i="6"/>
  <c r="U1946" i="6"/>
  <c r="U1947" i="6"/>
  <c r="U1948" i="6"/>
  <c r="U1949" i="6"/>
  <c r="U1950" i="6"/>
  <c r="U1951" i="6"/>
  <c r="U1952" i="6"/>
  <c r="U1953" i="6"/>
  <c r="U1954" i="6"/>
  <c r="U1955" i="6"/>
  <c r="U1956" i="6"/>
  <c r="U1957" i="6"/>
  <c r="U1958" i="6"/>
  <c r="U1959" i="6"/>
  <c r="U1960" i="6"/>
  <c r="U1961" i="6"/>
  <c r="U1962" i="6"/>
  <c r="U1963" i="6"/>
  <c r="U1964" i="6"/>
  <c r="U1965" i="6"/>
  <c r="U1966" i="6"/>
  <c r="U1967" i="6"/>
  <c r="U1968" i="6"/>
  <c r="U1969" i="6"/>
  <c r="U1970" i="6"/>
  <c r="U1971" i="6"/>
  <c r="U1972" i="6"/>
  <c r="U1973" i="6"/>
  <c r="U1974" i="6"/>
  <c r="U1975" i="6"/>
  <c r="U1976" i="6"/>
  <c r="U1977" i="6"/>
  <c r="U1978" i="6"/>
  <c r="U1979" i="6"/>
  <c r="U1980" i="6"/>
  <c r="U1981" i="6"/>
  <c r="U1982" i="6"/>
  <c r="U1983" i="6"/>
  <c r="U1984" i="6"/>
  <c r="U1985" i="6"/>
  <c r="U1986" i="6"/>
  <c r="U1987" i="6"/>
  <c r="U1988" i="6"/>
  <c r="U1989" i="6"/>
  <c r="U1990" i="6"/>
  <c r="U1991" i="6"/>
  <c r="U1992" i="6"/>
  <c r="U1993" i="6"/>
  <c r="U1994" i="6"/>
  <c r="U1995" i="6"/>
  <c r="U1996" i="6"/>
  <c r="U1997" i="6"/>
  <c r="U1998" i="6"/>
  <c r="U1999" i="6"/>
  <c r="U2000" i="6"/>
  <c r="U2001" i="6"/>
  <c r="U2002" i="6"/>
  <c r="U2003" i="6"/>
  <c r="U2004" i="6"/>
  <c r="U2005" i="6"/>
  <c r="U2006" i="6"/>
  <c r="U2007" i="6"/>
  <c r="U2008" i="6"/>
  <c r="U2009" i="6"/>
  <c r="U2010" i="6"/>
  <c r="U2011" i="6"/>
  <c r="U2012" i="6"/>
  <c r="U2013" i="6"/>
  <c r="U2014" i="6"/>
  <c r="U2015" i="6"/>
  <c r="U2016" i="6"/>
  <c r="U2017" i="6"/>
  <c r="U2018" i="6"/>
  <c r="U2019" i="6"/>
  <c r="U2020" i="6"/>
  <c r="U2021" i="6"/>
  <c r="U2022" i="6"/>
  <c r="U2023" i="6"/>
  <c r="U2024" i="6"/>
  <c r="U2025" i="6"/>
  <c r="U2026" i="6"/>
  <c r="U2027" i="6"/>
  <c r="U2028" i="6"/>
  <c r="U2029" i="6"/>
  <c r="U2030" i="6"/>
  <c r="U2031" i="6"/>
  <c r="U2032" i="6"/>
  <c r="U2033" i="6"/>
  <c r="U2034" i="6"/>
  <c r="U2035" i="6"/>
  <c r="U2036" i="6"/>
  <c r="U2037" i="6"/>
  <c r="U2038" i="6"/>
  <c r="U2039" i="6"/>
  <c r="U2040" i="6"/>
  <c r="U2041" i="6"/>
  <c r="U2042" i="6"/>
  <c r="U2043" i="6"/>
  <c r="U2044" i="6"/>
  <c r="U2045" i="6"/>
  <c r="U2046" i="6"/>
  <c r="U2047" i="6"/>
  <c r="U2048" i="6"/>
  <c r="U2049" i="6"/>
  <c r="U2050" i="6"/>
  <c r="U2051" i="6"/>
  <c r="U2052" i="6"/>
  <c r="U2053" i="6"/>
  <c r="U2054" i="6"/>
  <c r="U2055" i="6"/>
  <c r="U2056" i="6"/>
  <c r="U2057" i="6"/>
  <c r="U2058" i="6"/>
  <c r="U2059" i="6"/>
  <c r="U2060" i="6"/>
  <c r="U2061" i="6"/>
  <c r="U2062" i="6"/>
  <c r="U2063" i="6"/>
  <c r="U2064" i="6"/>
  <c r="U2065" i="6"/>
  <c r="U2066" i="6"/>
  <c r="U2067" i="6"/>
  <c r="U2068" i="6"/>
  <c r="U2069" i="6"/>
  <c r="U2070" i="6"/>
  <c r="U2071" i="6"/>
  <c r="U2072" i="6"/>
  <c r="U2073" i="6"/>
  <c r="U2074" i="6"/>
  <c r="U2075" i="6"/>
  <c r="U2076" i="6"/>
  <c r="U2077" i="6"/>
  <c r="U2078" i="6"/>
  <c r="U2079" i="6"/>
  <c r="U2080" i="6"/>
  <c r="U2081" i="6"/>
  <c r="U2082" i="6"/>
  <c r="U2083" i="6"/>
  <c r="U2084" i="6"/>
  <c r="U2085" i="6"/>
  <c r="U2086" i="6"/>
  <c r="U2087" i="6"/>
  <c r="U2088" i="6"/>
  <c r="U2089" i="6"/>
  <c r="U2090" i="6"/>
  <c r="U2091" i="6"/>
  <c r="U2092" i="6"/>
  <c r="U2093" i="6"/>
  <c r="U2094" i="6"/>
  <c r="U2095" i="6"/>
  <c r="U2096" i="6"/>
  <c r="U2097" i="6"/>
  <c r="U2098" i="6"/>
  <c r="U2099" i="6"/>
  <c r="U2100" i="6"/>
  <c r="U2101" i="6"/>
  <c r="U2102" i="6"/>
  <c r="U2103" i="6"/>
  <c r="U2104" i="6"/>
  <c r="U2105" i="6"/>
  <c r="U2106" i="6"/>
  <c r="U2107" i="6"/>
  <c r="U2108" i="6"/>
  <c r="U2109" i="6"/>
  <c r="U2110" i="6"/>
  <c r="U2111" i="6"/>
  <c r="U2112" i="6"/>
  <c r="U2113" i="6"/>
  <c r="U2114" i="6"/>
  <c r="U2115" i="6"/>
  <c r="U2116" i="6"/>
  <c r="U2117" i="6"/>
  <c r="U2118" i="6"/>
  <c r="U2119" i="6"/>
  <c r="U2120" i="6"/>
  <c r="U2121" i="6"/>
  <c r="U2122" i="6"/>
  <c r="U2123" i="6"/>
  <c r="U2124" i="6"/>
  <c r="U2125" i="6"/>
  <c r="U2126" i="6"/>
  <c r="U2127" i="6"/>
  <c r="U2128" i="6"/>
  <c r="U2129" i="6"/>
  <c r="U2130" i="6"/>
  <c r="U2131" i="6"/>
  <c r="U2132" i="6"/>
  <c r="U2133" i="6"/>
  <c r="U2134" i="6"/>
  <c r="U2135" i="6"/>
  <c r="U2136" i="6"/>
  <c r="U2137" i="6"/>
  <c r="U2138" i="6"/>
  <c r="U2139" i="6"/>
  <c r="U2140" i="6"/>
  <c r="U2141" i="6"/>
  <c r="U2142" i="6"/>
  <c r="U2143" i="6"/>
  <c r="U2144" i="6"/>
  <c r="U2145" i="6"/>
  <c r="U2146" i="6"/>
  <c r="U2147" i="6"/>
  <c r="U2148" i="6"/>
  <c r="U2149" i="6"/>
  <c r="U2150" i="6"/>
  <c r="U2151" i="6"/>
  <c r="U2152" i="6"/>
  <c r="U2153" i="6"/>
  <c r="U2154" i="6"/>
  <c r="U2155" i="6"/>
  <c r="U2156" i="6"/>
  <c r="U2157" i="6"/>
  <c r="U2158" i="6"/>
  <c r="U2159" i="6"/>
  <c r="U2160" i="6"/>
  <c r="U2161" i="6"/>
  <c r="U2162" i="6"/>
  <c r="U2163" i="6"/>
  <c r="U2164" i="6"/>
  <c r="U2165" i="6"/>
  <c r="U2166" i="6"/>
  <c r="U2167" i="6"/>
  <c r="U2168" i="6"/>
  <c r="U2169" i="6"/>
  <c r="U2170" i="6"/>
  <c r="U2171" i="6"/>
  <c r="U2172" i="6"/>
  <c r="U2173" i="6"/>
  <c r="U2174" i="6"/>
  <c r="U2175" i="6"/>
  <c r="U2176" i="6"/>
  <c r="U2177" i="6"/>
  <c r="U2178" i="6"/>
  <c r="U2179" i="6"/>
  <c r="U2180" i="6"/>
  <c r="U2181" i="6"/>
  <c r="U2182" i="6"/>
  <c r="U2183" i="6"/>
  <c r="U2184" i="6"/>
  <c r="U2185" i="6"/>
  <c r="U2186" i="6"/>
  <c r="U2187" i="6"/>
  <c r="U2188" i="6"/>
  <c r="U2189" i="6"/>
  <c r="U2190" i="6"/>
  <c r="U2191" i="6"/>
  <c r="U2192" i="6"/>
  <c r="U2193" i="6"/>
  <c r="U2194" i="6"/>
  <c r="U2195" i="6"/>
  <c r="U2196" i="6"/>
  <c r="U2197" i="6"/>
  <c r="U2198" i="6"/>
  <c r="U2199" i="6"/>
  <c r="U2200" i="6"/>
  <c r="U2201" i="6"/>
  <c r="U2202" i="6"/>
  <c r="U2203" i="6"/>
  <c r="U2204" i="6"/>
  <c r="U2205" i="6"/>
  <c r="U2206" i="6"/>
  <c r="U2207" i="6"/>
  <c r="U2208" i="6"/>
  <c r="U2209" i="6"/>
  <c r="U2210" i="6"/>
  <c r="U2211" i="6"/>
  <c r="U2212" i="6"/>
  <c r="U2213" i="6"/>
  <c r="U2214" i="6"/>
  <c r="U2215" i="6"/>
  <c r="U2216" i="6"/>
  <c r="U2217" i="6"/>
  <c r="U2218" i="6"/>
  <c r="U2219" i="6"/>
  <c r="U2220" i="6"/>
  <c r="U2221" i="6"/>
  <c r="U2222" i="6"/>
  <c r="U2223" i="6"/>
  <c r="U2224" i="6"/>
  <c r="U2225" i="6"/>
  <c r="U2226" i="6"/>
  <c r="U2227" i="6"/>
  <c r="U2228" i="6"/>
  <c r="U2229" i="6"/>
  <c r="U2230" i="6"/>
  <c r="U2231" i="6"/>
  <c r="U2232" i="6"/>
  <c r="U2233" i="6"/>
  <c r="U2234" i="6"/>
  <c r="U2235" i="6"/>
  <c r="U2236" i="6"/>
  <c r="U2237" i="6"/>
  <c r="U2238" i="6"/>
  <c r="U2239" i="6"/>
  <c r="U2240" i="6"/>
  <c r="U2241" i="6"/>
  <c r="U2242" i="6"/>
  <c r="U2243" i="6"/>
  <c r="U2244" i="6"/>
  <c r="U2245" i="6"/>
  <c r="U2246" i="6"/>
  <c r="U2247" i="6"/>
  <c r="U2248" i="6"/>
  <c r="U2249" i="6"/>
  <c r="U2250" i="6"/>
  <c r="U2251" i="6"/>
  <c r="U2252" i="6"/>
  <c r="U2253" i="6"/>
  <c r="U2254" i="6"/>
  <c r="U2255" i="6"/>
  <c r="U2256" i="6"/>
  <c r="U2257" i="6"/>
  <c r="U2258" i="6"/>
  <c r="U2259" i="6"/>
  <c r="U2260" i="6"/>
  <c r="U2261" i="6"/>
  <c r="U2262" i="6"/>
  <c r="U2263" i="6"/>
  <c r="U2264" i="6"/>
  <c r="U2265" i="6"/>
  <c r="U2266" i="6"/>
  <c r="U2267" i="6"/>
  <c r="U2268" i="6"/>
  <c r="U2269" i="6"/>
  <c r="U2270" i="6"/>
  <c r="U2271" i="6"/>
  <c r="U2272" i="6"/>
  <c r="U2273" i="6"/>
  <c r="U2274" i="6"/>
  <c r="U2275" i="6"/>
  <c r="U2276" i="6"/>
  <c r="U2277" i="6"/>
  <c r="U2278" i="6"/>
  <c r="U2279" i="6"/>
  <c r="U2280" i="6"/>
  <c r="U2281" i="6"/>
  <c r="U2282" i="6"/>
  <c r="U2283" i="6"/>
  <c r="U2284" i="6"/>
  <c r="U2285" i="6"/>
  <c r="U2286" i="6"/>
  <c r="U2287" i="6"/>
  <c r="U2288" i="6"/>
  <c r="U2289" i="6"/>
  <c r="U2290" i="6"/>
  <c r="U2291" i="6"/>
  <c r="U2292" i="6"/>
  <c r="U2293" i="6"/>
  <c r="U2294" i="6"/>
  <c r="U2295" i="6"/>
  <c r="U2296" i="6"/>
  <c r="U2297" i="6"/>
  <c r="U2298" i="6"/>
  <c r="U2299" i="6"/>
  <c r="U2300" i="6"/>
  <c r="U2301" i="6"/>
  <c r="U2302" i="6"/>
  <c r="U2303" i="6"/>
  <c r="U2304" i="6"/>
  <c r="U2305" i="6"/>
  <c r="U2306" i="6"/>
  <c r="U2307" i="6"/>
  <c r="U2308" i="6"/>
  <c r="U2309" i="6"/>
  <c r="U2310" i="6"/>
  <c r="U2311" i="6"/>
  <c r="U2312" i="6"/>
  <c r="U2313" i="6"/>
  <c r="U2314" i="6"/>
  <c r="U2315" i="6"/>
  <c r="U2316" i="6"/>
  <c r="U2317" i="6"/>
  <c r="U2318" i="6"/>
  <c r="U2319" i="6"/>
  <c r="U2320" i="6"/>
  <c r="U2321" i="6"/>
  <c r="U2322" i="6"/>
  <c r="U2323" i="6"/>
  <c r="U2324" i="6"/>
  <c r="U2325" i="6"/>
  <c r="U2326" i="6"/>
  <c r="U2327" i="6"/>
  <c r="U2328" i="6"/>
  <c r="U2329" i="6"/>
  <c r="U2330" i="6"/>
  <c r="U2331" i="6"/>
  <c r="U2332" i="6"/>
  <c r="U2333" i="6"/>
  <c r="U2334" i="6"/>
  <c r="U2335" i="6"/>
  <c r="U2336" i="6"/>
  <c r="U2337" i="6"/>
  <c r="U2338" i="6"/>
  <c r="U2339" i="6"/>
  <c r="U2340" i="6"/>
  <c r="U2341" i="6"/>
  <c r="U2342" i="6"/>
  <c r="U2343" i="6"/>
  <c r="U2344" i="6"/>
  <c r="U2345" i="6"/>
  <c r="U2346" i="6"/>
  <c r="U2347" i="6"/>
  <c r="U2348" i="6"/>
  <c r="U2349" i="6"/>
  <c r="U2350" i="6"/>
  <c r="U2351" i="6"/>
  <c r="U2352" i="6"/>
  <c r="U2353" i="6"/>
  <c r="U2354" i="6"/>
  <c r="U2355" i="6"/>
  <c r="U2356" i="6"/>
  <c r="U2357" i="6"/>
  <c r="U2358" i="6"/>
  <c r="U2359" i="6"/>
  <c r="U2360" i="6"/>
  <c r="U2361" i="6"/>
  <c r="U2362" i="6"/>
  <c r="U2363" i="6"/>
  <c r="U2364" i="6"/>
  <c r="U2365" i="6"/>
  <c r="U2366" i="6"/>
  <c r="U2367" i="6"/>
  <c r="U2368" i="6"/>
  <c r="U2369" i="6"/>
  <c r="U2370" i="6"/>
  <c r="U2371" i="6"/>
  <c r="U2372" i="6"/>
  <c r="U2373" i="6"/>
  <c r="U2374" i="6"/>
  <c r="U2375" i="6"/>
  <c r="U2376" i="6"/>
  <c r="U2377" i="6"/>
  <c r="U2378" i="6"/>
  <c r="U2379" i="6"/>
  <c r="U2380" i="6"/>
  <c r="U2381" i="6"/>
  <c r="U2382" i="6"/>
  <c r="U2383" i="6"/>
  <c r="U2384" i="6"/>
  <c r="U2385" i="6"/>
  <c r="U2386" i="6"/>
  <c r="U2387" i="6"/>
  <c r="U2388" i="6"/>
  <c r="U2389" i="6"/>
  <c r="U2390" i="6"/>
  <c r="U2391" i="6"/>
  <c r="U2392" i="6"/>
  <c r="U2393" i="6"/>
  <c r="U2394" i="6"/>
  <c r="U2395" i="6"/>
  <c r="U2396" i="6"/>
  <c r="U2397" i="6"/>
  <c r="U2398" i="6"/>
  <c r="U2399" i="6"/>
  <c r="U2400" i="6"/>
  <c r="U2401" i="6"/>
  <c r="U2402" i="6"/>
  <c r="U2403" i="6"/>
  <c r="U2404" i="6"/>
  <c r="U2405" i="6"/>
  <c r="U2406" i="6"/>
  <c r="U2407" i="6"/>
  <c r="U2408" i="6"/>
  <c r="U2409" i="6"/>
  <c r="U2410" i="6"/>
  <c r="U2411" i="6"/>
  <c r="U2412" i="6"/>
  <c r="U2413" i="6"/>
  <c r="U2414" i="6"/>
  <c r="U2415" i="6"/>
  <c r="U2416" i="6"/>
  <c r="U2417" i="6"/>
  <c r="U2418" i="6"/>
  <c r="U2419" i="6"/>
  <c r="U2420" i="6"/>
  <c r="U2421" i="6"/>
  <c r="U2422" i="6"/>
  <c r="U2423" i="6"/>
  <c r="U2424" i="6"/>
  <c r="U2425" i="6"/>
  <c r="U2426" i="6"/>
  <c r="U2427" i="6"/>
  <c r="U2428" i="6"/>
  <c r="U2429" i="6"/>
  <c r="U2430" i="6"/>
  <c r="U2431" i="6"/>
  <c r="U2432" i="6"/>
  <c r="U2433" i="6"/>
  <c r="U2434" i="6"/>
  <c r="U2435" i="6"/>
  <c r="U2436" i="6"/>
  <c r="U2437" i="6"/>
  <c r="U2438" i="6"/>
  <c r="U2439" i="6"/>
  <c r="U2440" i="6"/>
  <c r="U2441" i="6"/>
  <c r="U2442" i="6"/>
  <c r="U2443" i="6"/>
  <c r="U2444" i="6"/>
  <c r="U2445" i="6"/>
  <c r="U2446" i="6"/>
  <c r="U2447" i="6"/>
  <c r="U2448" i="6"/>
  <c r="U2449" i="6"/>
  <c r="U2450" i="6"/>
  <c r="U2451" i="6"/>
  <c r="U2452" i="6"/>
  <c r="U2453" i="6"/>
  <c r="U2454" i="6"/>
  <c r="U2455" i="6"/>
  <c r="U2456" i="6"/>
  <c r="U2457" i="6"/>
  <c r="U2458" i="6"/>
  <c r="U2459" i="6"/>
  <c r="U2460" i="6"/>
  <c r="U2461" i="6"/>
  <c r="U2462" i="6"/>
  <c r="U2463" i="6"/>
  <c r="U2464" i="6"/>
  <c r="U2465" i="6"/>
  <c r="U2466" i="6"/>
  <c r="U2467" i="6"/>
  <c r="U2468" i="6"/>
  <c r="U2469" i="6"/>
  <c r="U2470" i="6"/>
  <c r="U2471" i="6"/>
  <c r="U2472" i="6"/>
  <c r="U2473" i="6"/>
  <c r="U2474" i="6"/>
  <c r="U2475" i="6"/>
  <c r="U2476" i="6"/>
  <c r="U2477" i="6"/>
  <c r="U2478" i="6"/>
  <c r="U2479" i="6"/>
  <c r="U2480" i="6"/>
  <c r="U2481" i="6"/>
  <c r="U2482" i="6"/>
  <c r="U2483" i="6"/>
  <c r="U2484" i="6"/>
  <c r="U2485" i="6"/>
  <c r="U2486" i="6"/>
  <c r="U2487" i="6"/>
  <c r="U2488" i="6"/>
  <c r="U2489" i="6"/>
  <c r="U2490" i="6"/>
  <c r="U2491" i="6"/>
  <c r="U2492" i="6"/>
  <c r="U2493" i="6"/>
  <c r="U2494" i="6"/>
  <c r="U2495" i="6"/>
  <c r="U2496" i="6"/>
  <c r="U2497" i="6"/>
  <c r="U2498" i="6"/>
  <c r="U2499" i="6"/>
  <c r="U2500" i="6"/>
  <c r="U2501" i="6"/>
  <c r="U2502" i="6"/>
  <c r="U2503" i="6"/>
  <c r="U2504" i="6"/>
  <c r="U2505" i="6"/>
  <c r="U2506" i="6"/>
  <c r="U2507" i="6"/>
  <c r="U2508" i="6"/>
  <c r="U2509" i="6"/>
  <c r="U2510" i="6"/>
  <c r="U2511" i="6"/>
  <c r="U2512" i="6"/>
  <c r="U2513" i="6"/>
  <c r="U2514" i="6"/>
  <c r="U2515" i="6"/>
  <c r="U2516" i="6"/>
  <c r="U2517" i="6"/>
  <c r="U2518" i="6"/>
  <c r="U2519" i="6"/>
  <c r="U2520" i="6"/>
  <c r="U2521" i="6"/>
  <c r="U2522" i="6"/>
  <c r="U2523" i="6"/>
  <c r="U2524" i="6"/>
  <c r="U2525" i="6"/>
  <c r="U2526" i="6"/>
  <c r="U2527" i="6"/>
  <c r="U2528" i="6"/>
  <c r="U2529" i="6"/>
  <c r="U2530" i="6"/>
  <c r="U2531" i="6"/>
  <c r="U2532" i="6"/>
  <c r="U2533" i="6"/>
  <c r="U2534" i="6"/>
  <c r="U2535" i="6"/>
  <c r="U2536" i="6"/>
  <c r="U2537" i="6"/>
  <c r="U2538" i="6"/>
  <c r="U2539" i="6"/>
  <c r="U2540" i="6"/>
  <c r="U2541" i="6"/>
  <c r="U2542" i="6"/>
  <c r="U2543" i="6"/>
  <c r="U2544" i="6"/>
  <c r="U2545" i="6"/>
  <c r="U2546" i="6"/>
  <c r="U2547" i="6"/>
  <c r="U2548" i="6"/>
  <c r="U2549" i="6"/>
  <c r="U2550" i="6"/>
  <c r="U2551" i="6"/>
  <c r="U2552" i="6"/>
  <c r="U2553" i="6"/>
  <c r="U2554" i="6"/>
  <c r="U2555" i="6"/>
  <c r="U2556" i="6"/>
  <c r="U2557" i="6"/>
  <c r="U2558" i="6"/>
  <c r="U2559" i="6"/>
  <c r="U2560" i="6"/>
  <c r="U2561" i="6"/>
  <c r="U2562" i="6"/>
  <c r="U2563" i="6"/>
  <c r="U2564" i="6"/>
  <c r="U2565" i="6"/>
  <c r="U2566" i="6"/>
  <c r="U2567" i="6"/>
  <c r="U2568" i="6"/>
  <c r="U2569" i="6"/>
  <c r="U2570" i="6"/>
  <c r="U2571" i="6"/>
  <c r="U2572" i="6"/>
  <c r="U2573" i="6"/>
  <c r="U2574" i="6"/>
  <c r="U2575" i="6"/>
  <c r="U2576" i="6"/>
  <c r="U2577" i="6"/>
  <c r="U2578" i="6"/>
  <c r="U2579" i="6"/>
  <c r="U2580" i="6"/>
  <c r="U2581" i="6"/>
  <c r="U2582" i="6"/>
  <c r="U2583" i="6"/>
  <c r="U2584" i="6"/>
  <c r="U2585" i="6"/>
  <c r="U2586" i="6"/>
  <c r="U2587" i="6"/>
  <c r="U2588" i="6"/>
  <c r="U2589" i="6"/>
  <c r="U2590" i="6"/>
  <c r="U2591" i="6"/>
  <c r="U2592" i="6"/>
  <c r="U2593" i="6"/>
  <c r="U2594" i="6"/>
  <c r="U2595" i="6"/>
  <c r="U2596" i="6"/>
  <c r="U2597" i="6"/>
  <c r="U2598" i="6"/>
  <c r="U2599" i="6"/>
  <c r="U2600" i="6"/>
  <c r="U2601" i="6"/>
  <c r="U2602" i="6"/>
  <c r="U2603" i="6"/>
  <c r="U2604" i="6"/>
  <c r="U2605" i="6"/>
  <c r="U2606" i="6"/>
  <c r="U2607" i="6"/>
  <c r="U2608" i="6"/>
  <c r="U2609" i="6"/>
  <c r="U2610" i="6"/>
  <c r="U2611" i="6"/>
  <c r="U2612" i="6"/>
  <c r="U2613" i="6"/>
  <c r="U2614" i="6"/>
  <c r="U2615" i="6"/>
  <c r="U2616" i="6"/>
  <c r="U2617" i="6"/>
  <c r="U2618" i="6"/>
  <c r="U2619" i="6"/>
  <c r="U2620" i="6"/>
  <c r="U2621" i="6"/>
  <c r="U2622" i="6"/>
  <c r="U2623" i="6"/>
  <c r="U2624" i="6"/>
  <c r="U2625" i="6"/>
  <c r="U2626" i="6"/>
  <c r="U2627" i="6"/>
  <c r="U2628" i="6"/>
  <c r="U2629" i="6"/>
  <c r="U2630" i="6"/>
  <c r="U2631" i="6"/>
  <c r="U2632" i="6"/>
  <c r="U2633" i="6"/>
  <c r="U2634" i="6"/>
  <c r="U2635" i="6"/>
  <c r="U2636" i="6"/>
  <c r="U2637" i="6"/>
  <c r="U2638" i="6"/>
  <c r="U2639" i="6"/>
  <c r="U2640" i="6"/>
  <c r="U2641" i="6"/>
  <c r="U2642" i="6"/>
  <c r="U2643" i="6"/>
  <c r="U2644" i="6"/>
  <c r="U2645" i="6"/>
  <c r="U2646" i="6"/>
  <c r="U2647" i="6"/>
  <c r="U2648" i="6"/>
  <c r="U2649" i="6"/>
  <c r="U2650" i="6"/>
  <c r="U2651" i="6"/>
  <c r="U2652" i="6"/>
  <c r="U2653" i="6"/>
  <c r="U2654" i="6"/>
  <c r="U2655" i="6"/>
  <c r="U2656" i="6"/>
  <c r="U2657" i="6"/>
  <c r="U2658" i="6"/>
  <c r="U2659" i="6"/>
  <c r="U2660" i="6"/>
  <c r="U2661" i="6"/>
  <c r="U2662" i="6"/>
  <c r="U2663" i="6"/>
  <c r="U2664" i="6"/>
  <c r="U2665" i="6"/>
  <c r="U2666" i="6"/>
  <c r="U2667" i="6"/>
  <c r="U2668" i="6"/>
  <c r="U2669" i="6"/>
  <c r="U2670" i="6"/>
  <c r="U2671" i="6"/>
  <c r="U2672" i="6"/>
  <c r="U2673" i="6"/>
  <c r="U2674" i="6"/>
  <c r="U2675" i="6"/>
  <c r="U2676" i="6"/>
  <c r="U2677" i="6"/>
  <c r="U2678" i="6"/>
  <c r="U2679" i="6"/>
  <c r="U2680" i="6"/>
  <c r="U2681" i="6"/>
  <c r="U2682" i="6"/>
  <c r="U2683" i="6"/>
  <c r="U2684" i="6"/>
  <c r="U2685" i="6"/>
  <c r="U2686" i="6"/>
  <c r="U2687" i="6"/>
  <c r="U2688" i="6"/>
  <c r="U2689" i="6"/>
  <c r="U2690" i="6"/>
  <c r="U2691" i="6"/>
  <c r="U2692" i="6"/>
  <c r="U2693" i="6"/>
  <c r="U2694" i="6"/>
  <c r="U2695" i="6"/>
  <c r="U2696" i="6"/>
  <c r="U2697" i="6"/>
  <c r="U2698" i="6"/>
  <c r="U2699" i="6"/>
  <c r="U2700" i="6"/>
  <c r="U2701" i="6"/>
  <c r="U2702" i="6"/>
  <c r="U2703" i="6"/>
  <c r="U2704" i="6"/>
  <c r="U2705" i="6"/>
  <c r="U2706" i="6"/>
  <c r="U2707" i="6"/>
  <c r="U2708" i="6"/>
  <c r="U2709" i="6"/>
  <c r="U2710" i="6"/>
  <c r="U2711" i="6"/>
  <c r="U2712" i="6"/>
  <c r="U2713" i="6"/>
  <c r="U2714" i="6"/>
  <c r="U2715" i="6"/>
  <c r="U2716" i="6"/>
  <c r="U2717" i="6"/>
  <c r="U2718" i="6"/>
  <c r="U2719" i="6"/>
  <c r="U2720" i="6"/>
  <c r="U2721" i="6"/>
  <c r="U2722" i="6"/>
  <c r="U2723" i="6"/>
  <c r="U2724" i="6"/>
  <c r="U2725" i="6"/>
  <c r="U2726" i="6"/>
  <c r="U2727" i="6"/>
  <c r="U2728" i="6"/>
  <c r="U2729" i="6"/>
  <c r="U2730" i="6"/>
  <c r="U2731" i="6"/>
  <c r="U2732" i="6"/>
  <c r="U2733" i="6"/>
  <c r="U2734" i="6"/>
  <c r="U2735" i="6"/>
  <c r="U2736" i="6"/>
  <c r="U2737" i="6"/>
  <c r="U2738" i="6"/>
  <c r="U2739" i="6"/>
  <c r="U2740" i="6"/>
  <c r="U2741" i="6"/>
  <c r="U2742" i="6"/>
  <c r="U2743" i="6"/>
  <c r="U2744" i="6"/>
  <c r="U2745" i="6"/>
  <c r="U2746" i="6"/>
  <c r="U2747" i="6"/>
  <c r="U2748" i="6"/>
  <c r="U2749" i="6"/>
  <c r="U2750" i="6"/>
  <c r="U2751" i="6"/>
  <c r="U2752" i="6"/>
  <c r="U2753" i="6"/>
  <c r="U2754" i="6"/>
  <c r="U2755" i="6"/>
  <c r="U2756" i="6"/>
  <c r="U2757" i="6"/>
  <c r="U2758" i="6"/>
  <c r="U2759" i="6"/>
  <c r="U2760" i="6"/>
  <c r="U2761" i="6"/>
  <c r="U2762" i="6"/>
  <c r="U2763" i="6"/>
  <c r="U2764" i="6"/>
  <c r="U2765" i="6"/>
  <c r="U2766" i="6"/>
  <c r="U2767" i="6"/>
  <c r="U2768" i="6"/>
  <c r="U2769" i="6"/>
  <c r="U2770" i="6"/>
  <c r="U2771" i="6"/>
  <c r="U2772" i="6"/>
  <c r="U2773" i="6"/>
  <c r="U2774" i="6"/>
  <c r="U2775" i="6"/>
  <c r="U2776" i="6"/>
  <c r="U2777" i="6"/>
  <c r="U2778" i="6"/>
  <c r="U2779" i="6"/>
  <c r="U2780" i="6"/>
  <c r="U2781" i="6"/>
  <c r="U2782" i="6"/>
  <c r="U2783" i="6"/>
  <c r="U2784" i="6"/>
  <c r="U2785" i="6"/>
  <c r="U2786" i="6"/>
  <c r="U2787" i="6"/>
  <c r="U2788" i="6"/>
  <c r="U2789" i="6"/>
  <c r="U2790" i="6"/>
  <c r="U2791" i="6"/>
  <c r="U2792" i="6"/>
  <c r="U2793" i="6"/>
  <c r="U2794" i="6"/>
  <c r="U2795" i="6"/>
  <c r="U2796" i="6"/>
  <c r="U2797" i="6"/>
  <c r="U2798" i="6"/>
  <c r="U2799" i="6"/>
  <c r="U2800" i="6"/>
  <c r="U2801" i="6"/>
  <c r="U2802" i="6"/>
  <c r="U2803" i="6"/>
  <c r="U2804" i="6"/>
  <c r="U2805" i="6"/>
  <c r="U2806" i="6"/>
  <c r="U2807" i="6"/>
  <c r="U2808" i="6"/>
  <c r="U2809" i="6"/>
  <c r="U2810" i="6"/>
  <c r="U2811" i="6"/>
  <c r="U2812" i="6"/>
  <c r="U2813" i="6"/>
  <c r="U2814" i="6"/>
  <c r="U2815" i="6"/>
  <c r="U2816" i="6"/>
  <c r="U2817" i="6"/>
  <c r="U2818" i="6"/>
  <c r="U2819" i="6"/>
  <c r="U2820" i="6"/>
  <c r="U2821" i="6"/>
  <c r="U2822" i="6"/>
  <c r="U2823" i="6"/>
  <c r="U2824" i="6"/>
  <c r="U2825" i="6"/>
  <c r="U2826" i="6"/>
  <c r="U2827" i="6"/>
  <c r="U2828" i="6"/>
  <c r="U2829" i="6"/>
  <c r="U2830" i="6"/>
  <c r="U2831" i="6"/>
  <c r="U2832" i="6"/>
  <c r="U2833" i="6"/>
  <c r="U2834" i="6"/>
  <c r="U2835" i="6"/>
  <c r="U2836" i="6"/>
  <c r="U2837" i="6"/>
  <c r="U2838" i="6"/>
  <c r="U2839" i="6"/>
  <c r="U2840" i="6"/>
  <c r="U2841" i="6"/>
  <c r="U2842" i="6"/>
  <c r="U2843" i="6"/>
  <c r="U2844" i="6"/>
  <c r="U2845" i="6"/>
  <c r="U2846" i="6"/>
  <c r="U2847" i="6"/>
  <c r="U2848" i="6"/>
  <c r="U2849" i="6"/>
  <c r="U2850" i="6"/>
  <c r="U2851" i="6"/>
  <c r="U2852" i="6"/>
  <c r="U2853" i="6"/>
  <c r="U2854" i="6"/>
  <c r="U2855" i="6"/>
  <c r="U2856" i="6"/>
  <c r="U2857" i="6"/>
  <c r="U2858" i="6"/>
  <c r="U2859" i="6"/>
  <c r="U2860" i="6"/>
  <c r="U2861" i="6"/>
  <c r="U2862" i="6"/>
  <c r="U2863" i="6"/>
  <c r="U2864" i="6"/>
  <c r="U2865" i="6"/>
  <c r="U2866" i="6"/>
  <c r="U2867" i="6"/>
  <c r="U2868" i="6"/>
  <c r="U2869" i="6"/>
  <c r="U2870" i="6"/>
  <c r="U2871" i="6"/>
  <c r="U2872" i="6"/>
  <c r="U2873" i="6"/>
  <c r="U2874" i="6"/>
  <c r="U2875" i="6"/>
  <c r="U2876" i="6"/>
  <c r="U2877" i="6"/>
  <c r="U2878" i="6"/>
  <c r="U2879" i="6"/>
  <c r="U2880" i="6"/>
  <c r="U2881" i="6"/>
  <c r="U2882" i="6"/>
  <c r="U2883" i="6"/>
  <c r="U2884" i="6"/>
  <c r="U2885" i="6"/>
  <c r="U2886" i="6"/>
  <c r="U2887" i="6"/>
  <c r="U2888" i="6"/>
  <c r="U2889" i="6"/>
  <c r="U2890" i="6"/>
  <c r="U2891" i="6"/>
  <c r="U2892" i="6"/>
  <c r="U2893" i="6"/>
  <c r="U2894" i="6"/>
  <c r="U2895" i="6"/>
  <c r="U2896" i="6"/>
  <c r="U2897" i="6"/>
  <c r="U2898" i="6"/>
  <c r="U2899" i="6"/>
  <c r="U2900" i="6"/>
  <c r="U2901" i="6"/>
  <c r="U2902" i="6"/>
  <c r="U2903" i="6"/>
  <c r="U2904" i="6"/>
  <c r="U2905" i="6"/>
  <c r="U2906" i="6"/>
  <c r="U2907" i="6"/>
  <c r="U2908" i="6"/>
  <c r="U2909" i="6"/>
  <c r="U2910" i="6"/>
  <c r="U2911" i="6"/>
  <c r="U2912" i="6"/>
  <c r="U2913" i="6"/>
  <c r="U2914" i="6"/>
  <c r="U2915" i="6"/>
  <c r="U2916" i="6"/>
  <c r="U2917" i="6"/>
  <c r="U2918" i="6"/>
  <c r="U2919" i="6"/>
  <c r="U2920" i="6"/>
  <c r="U2921" i="6"/>
  <c r="U2922" i="6"/>
  <c r="U2923" i="6"/>
  <c r="U2924" i="6"/>
  <c r="U2925" i="6"/>
  <c r="U2926" i="6"/>
  <c r="U2927" i="6"/>
  <c r="U2928" i="6"/>
  <c r="U2929" i="6"/>
  <c r="U2930" i="6"/>
  <c r="U2931" i="6"/>
  <c r="U2932" i="6"/>
  <c r="U2933" i="6"/>
  <c r="U2934" i="6"/>
  <c r="U2935" i="6"/>
  <c r="U2936" i="6"/>
  <c r="U2937" i="6"/>
  <c r="U2938" i="6"/>
  <c r="U2939" i="6"/>
  <c r="U2940" i="6"/>
  <c r="U2941" i="6"/>
  <c r="U2942" i="6"/>
  <c r="U2943" i="6"/>
  <c r="U2944" i="6"/>
  <c r="U2945" i="6"/>
  <c r="U2946" i="6"/>
  <c r="U2947" i="6"/>
  <c r="U2948" i="6"/>
  <c r="U2949" i="6"/>
  <c r="U2950" i="6"/>
  <c r="U2951" i="6"/>
  <c r="U2952" i="6"/>
  <c r="U2953" i="6"/>
  <c r="U2954" i="6"/>
  <c r="U2955" i="6"/>
  <c r="U2956" i="6"/>
  <c r="U2957" i="6"/>
  <c r="U2958" i="6"/>
  <c r="U2959" i="6"/>
  <c r="U2960" i="6"/>
  <c r="U2961" i="6"/>
  <c r="U2962" i="6"/>
  <c r="U2963" i="6"/>
  <c r="U2964" i="6"/>
  <c r="U2965" i="6"/>
  <c r="U2966" i="6"/>
  <c r="U2967" i="6"/>
  <c r="U2968" i="6"/>
  <c r="U2969" i="6"/>
  <c r="U2970" i="6"/>
  <c r="U2971" i="6"/>
  <c r="U2972" i="6"/>
  <c r="U2973" i="6"/>
  <c r="U2974" i="6"/>
  <c r="U2975" i="6"/>
  <c r="U2976" i="6"/>
  <c r="U2977" i="6"/>
  <c r="U2978" i="6"/>
  <c r="U2979" i="6"/>
  <c r="U2980" i="6"/>
  <c r="U2981" i="6"/>
  <c r="U2982" i="6"/>
  <c r="U2983" i="6"/>
  <c r="U2984" i="6"/>
  <c r="U2985" i="6"/>
  <c r="U2986" i="6"/>
  <c r="U2987" i="6"/>
  <c r="U2988" i="6"/>
  <c r="U2989" i="6"/>
  <c r="U2990" i="6"/>
  <c r="U2991" i="6"/>
  <c r="U2992" i="6"/>
  <c r="U2993" i="6"/>
  <c r="U2994" i="6"/>
  <c r="U2995" i="6"/>
  <c r="U2996" i="6"/>
  <c r="U2997" i="6"/>
  <c r="U2998" i="6"/>
  <c r="U2999" i="6"/>
  <c r="U3000" i="6"/>
  <c r="U3001" i="6"/>
  <c r="U3002" i="6"/>
  <c r="U3003" i="6"/>
  <c r="U3004" i="6"/>
  <c r="U3005" i="6"/>
  <c r="U3006" i="6"/>
  <c r="U3007" i="6"/>
  <c r="U3008" i="6"/>
  <c r="U3009" i="6"/>
  <c r="U3010" i="6"/>
  <c r="U3011" i="6"/>
  <c r="U3012" i="6"/>
  <c r="U3013" i="6"/>
  <c r="U3014" i="6"/>
  <c r="U3015" i="6"/>
  <c r="U3016" i="6"/>
  <c r="U3017" i="6"/>
  <c r="U3018" i="6"/>
  <c r="U3019" i="6"/>
  <c r="U3020" i="6"/>
  <c r="U3021" i="6"/>
  <c r="U3022" i="6"/>
  <c r="U3023" i="6"/>
  <c r="U3024" i="6"/>
  <c r="U3025" i="6"/>
  <c r="U3026" i="6"/>
  <c r="U3027" i="6"/>
  <c r="U3028" i="6"/>
  <c r="U3029" i="6"/>
  <c r="U3030" i="6"/>
  <c r="U3031" i="6"/>
  <c r="U3032" i="6"/>
  <c r="U3033" i="6"/>
  <c r="U3034" i="6"/>
  <c r="U3035" i="6"/>
  <c r="U3036" i="6"/>
  <c r="U3037" i="6"/>
  <c r="U3038" i="6"/>
  <c r="U3039" i="6"/>
  <c r="U3040" i="6"/>
  <c r="U3041" i="6"/>
  <c r="U3042" i="6"/>
  <c r="U3043" i="6"/>
  <c r="U3044" i="6"/>
  <c r="U3045" i="6"/>
  <c r="U3046" i="6"/>
  <c r="U3047" i="6"/>
  <c r="U3048" i="6"/>
  <c r="U3049" i="6"/>
  <c r="U3050" i="6"/>
  <c r="U3051" i="6"/>
  <c r="U3052" i="6"/>
  <c r="U3053" i="6"/>
  <c r="U3054" i="6"/>
  <c r="U3055" i="6"/>
  <c r="U3056" i="6"/>
  <c r="U3057" i="6"/>
  <c r="U3058" i="6"/>
  <c r="U3059" i="6"/>
  <c r="U3060" i="6"/>
  <c r="U3061" i="6"/>
  <c r="U3062" i="6"/>
  <c r="U3063" i="6"/>
  <c r="U3064" i="6"/>
  <c r="U3065" i="6"/>
  <c r="U3066" i="6"/>
  <c r="U3067" i="6"/>
  <c r="U3068" i="6"/>
  <c r="U3069" i="6"/>
  <c r="U3070" i="6"/>
  <c r="U3071" i="6"/>
  <c r="U3072" i="6"/>
  <c r="U3073" i="6"/>
  <c r="U3074" i="6"/>
  <c r="U3075" i="6"/>
  <c r="U3076" i="6"/>
  <c r="U3077" i="6"/>
  <c r="U3078" i="6"/>
  <c r="U3079" i="6"/>
  <c r="U3080" i="6"/>
  <c r="U3081" i="6"/>
  <c r="U3082" i="6"/>
  <c r="U3083" i="6"/>
  <c r="U3084" i="6"/>
  <c r="U3085" i="6"/>
  <c r="U3086" i="6"/>
  <c r="U3087" i="6"/>
  <c r="U3088" i="6"/>
  <c r="U3089" i="6"/>
  <c r="U3090" i="6"/>
  <c r="U3091" i="6"/>
  <c r="U3092" i="6"/>
  <c r="U3093" i="6"/>
  <c r="U3094" i="6"/>
  <c r="U3095" i="6"/>
  <c r="U3096" i="6"/>
  <c r="U3097" i="6"/>
  <c r="U3098" i="6"/>
  <c r="U3099" i="6"/>
  <c r="U3100" i="6"/>
  <c r="U3101" i="6"/>
  <c r="U3102" i="6"/>
  <c r="U3103" i="6"/>
  <c r="U3104" i="6"/>
  <c r="U3105" i="6"/>
  <c r="U3106" i="6"/>
  <c r="U3107" i="6"/>
  <c r="U3108" i="6"/>
  <c r="U3109" i="6"/>
  <c r="U3110" i="6"/>
  <c r="U3111" i="6"/>
  <c r="U3112" i="6"/>
  <c r="U3113" i="6"/>
  <c r="U3114" i="6"/>
  <c r="U3115" i="6"/>
  <c r="U3116" i="6"/>
  <c r="U3117" i="6"/>
  <c r="U3118" i="6"/>
  <c r="U3119" i="6"/>
  <c r="U3120" i="6"/>
  <c r="U3121" i="6"/>
  <c r="U3122" i="6"/>
  <c r="U3123" i="6"/>
  <c r="U3124" i="6"/>
  <c r="U3125" i="6"/>
  <c r="U3126" i="6"/>
  <c r="U3127" i="6"/>
  <c r="U3128" i="6"/>
  <c r="U3129" i="6"/>
  <c r="U3130" i="6"/>
  <c r="U3131" i="6"/>
  <c r="U3132" i="6"/>
  <c r="U3133" i="6"/>
  <c r="U3134" i="6"/>
  <c r="U3135" i="6"/>
  <c r="U3136" i="6"/>
  <c r="U3137" i="6"/>
  <c r="U3138" i="6"/>
  <c r="U3139" i="6"/>
  <c r="U3140" i="6"/>
  <c r="U3141" i="6"/>
  <c r="U3142" i="6"/>
  <c r="U3143" i="6"/>
  <c r="U3144" i="6"/>
  <c r="U3145" i="6"/>
  <c r="U3146" i="6"/>
  <c r="U3147" i="6"/>
  <c r="U3148" i="6"/>
  <c r="U3149" i="6"/>
  <c r="U3150" i="6"/>
  <c r="U3151" i="6"/>
  <c r="U3152" i="6"/>
  <c r="U3153" i="6"/>
  <c r="U3154" i="6"/>
  <c r="U3155" i="6"/>
  <c r="U3156" i="6"/>
  <c r="U3157" i="6"/>
  <c r="U3158" i="6"/>
  <c r="U3159" i="6"/>
  <c r="U3160" i="6"/>
  <c r="U3161" i="6"/>
  <c r="U3162" i="6"/>
  <c r="U3163" i="6"/>
  <c r="U3164" i="6"/>
  <c r="U3165" i="6"/>
  <c r="U3166" i="6"/>
  <c r="U3167" i="6"/>
  <c r="U3168" i="6"/>
  <c r="U3169" i="6"/>
  <c r="U3170" i="6"/>
  <c r="U3171" i="6"/>
  <c r="U3172" i="6"/>
  <c r="U3173" i="6"/>
  <c r="U3174" i="6"/>
  <c r="U3175" i="6"/>
  <c r="U3176" i="6"/>
  <c r="U3177" i="6"/>
  <c r="U3178" i="6"/>
  <c r="U3179" i="6"/>
  <c r="U3180" i="6"/>
  <c r="U3181" i="6"/>
  <c r="U3182" i="6"/>
  <c r="U3183" i="6"/>
  <c r="U3184" i="6"/>
  <c r="U3185" i="6"/>
  <c r="U3186" i="6"/>
  <c r="U3187" i="6"/>
  <c r="U3188" i="6"/>
  <c r="U3189" i="6"/>
  <c r="U3190" i="6"/>
  <c r="U3191" i="6"/>
  <c r="U3192" i="6"/>
  <c r="U3193" i="6"/>
  <c r="U3194" i="6"/>
  <c r="U3195" i="6"/>
  <c r="U3196" i="6"/>
  <c r="U3197" i="6"/>
  <c r="U3198" i="6"/>
  <c r="U3199" i="6"/>
  <c r="U3200" i="6"/>
  <c r="U3201" i="6"/>
  <c r="U3202" i="6"/>
  <c r="U3203" i="6"/>
  <c r="U3204" i="6"/>
  <c r="U3205" i="6"/>
  <c r="U3206" i="6"/>
  <c r="U3207" i="6"/>
  <c r="U3208" i="6"/>
  <c r="U3209" i="6"/>
  <c r="U3210" i="6"/>
  <c r="U3211" i="6"/>
  <c r="U3212" i="6"/>
  <c r="U3213" i="6"/>
  <c r="U3214" i="6"/>
  <c r="U3215" i="6"/>
  <c r="U3216" i="6"/>
  <c r="U3217" i="6"/>
  <c r="U3218" i="6"/>
  <c r="U3219" i="6"/>
  <c r="U3220" i="6"/>
  <c r="U3221" i="6"/>
  <c r="U3222" i="6"/>
  <c r="U3223" i="6"/>
  <c r="U3224" i="6"/>
  <c r="U3225" i="6"/>
  <c r="U3226" i="6"/>
  <c r="U3227" i="6"/>
  <c r="U3228" i="6"/>
  <c r="U3229" i="6"/>
  <c r="U3230" i="6"/>
  <c r="U3231" i="6"/>
  <c r="U3232" i="6"/>
  <c r="U3233" i="6"/>
  <c r="U3234" i="6"/>
  <c r="U3235" i="6"/>
  <c r="U3236" i="6"/>
  <c r="U3237" i="6"/>
  <c r="U3238" i="6"/>
  <c r="U3239" i="6"/>
  <c r="U3240" i="6"/>
  <c r="U3241" i="6"/>
  <c r="U3242" i="6"/>
  <c r="U3243" i="6"/>
  <c r="U3244" i="6"/>
  <c r="U3245" i="6"/>
  <c r="U3246" i="6"/>
  <c r="U3247" i="6"/>
  <c r="U3248" i="6"/>
  <c r="U3249" i="6"/>
  <c r="U3250" i="6"/>
  <c r="U3251" i="6"/>
  <c r="U3252" i="6"/>
  <c r="U3253" i="6"/>
  <c r="U3254" i="6"/>
  <c r="U3255" i="6"/>
  <c r="U3256" i="6"/>
  <c r="U3257" i="6"/>
  <c r="U3258" i="6"/>
  <c r="U3259" i="6"/>
  <c r="U3260" i="6"/>
  <c r="U3261" i="6"/>
  <c r="U3262" i="6"/>
  <c r="U3263" i="6"/>
  <c r="U3264" i="6"/>
  <c r="U3265" i="6"/>
  <c r="U3266" i="6"/>
  <c r="U3267" i="6"/>
  <c r="U3268" i="6"/>
  <c r="U3269" i="6"/>
  <c r="U3270" i="6"/>
  <c r="U3271" i="6"/>
  <c r="U3272" i="6"/>
  <c r="U3273" i="6"/>
  <c r="U3274" i="6"/>
  <c r="U3275" i="6"/>
  <c r="U3276" i="6"/>
  <c r="U3277" i="6"/>
  <c r="U3278" i="6"/>
  <c r="U3279" i="6"/>
  <c r="U3280" i="6"/>
  <c r="U3281" i="6"/>
  <c r="U3282" i="6"/>
  <c r="U3283" i="6"/>
  <c r="U3284" i="6"/>
  <c r="U3285" i="6"/>
  <c r="U3286" i="6"/>
  <c r="U3287" i="6"/>
  <c r="U3288" i="6"/>
  <c r="U3289" i="6"/>
  <c r="U3290" i="6"/>
  <c r="U3291" i="6"/>
  <c r="U3292" i="6"/>
  <c r="U3293" i="6"/>
  <c r="U3294" i="6"/>
  <c r="U3295" i="6"/>
  <c r="U3296" i="6"/>
  <c r="U3297" i="6"/>
  <c r="U3298" i="6"/>
  <c r="U3299" i="6"/>
  <c r="U3300" i="6"/>
  <c r="U3301" i="6"/>
  <c r="U3302" i="6"/>
  <c r="U3303" i="6"/>
  <c r="U3304" i="6"/>
  <c r="U3305" i="6"/>
  <c r="U3306" i="6"/>
  <c r="U3307" i="6"/>
  <c r="U3308" i="6"/>
  <c r="U3309" i="6"/>
  <c r="U3310" i="6"/>
  <c r="U3311" i="6"/>
  <c r="U3312" i="6"/>
  <c r="U3313" i="6"/>
  <c r="U3314" i="6"/>
  <c r="U3315" i="6"/>
  <c r="U3316" i="6"/>
  <c r="U3317" i="6"/>
  <c r="U3318" i="6"/>
  <c r="U3319" i="6"/>
  <c r="U3320" i="6"/>
  <c r="U3321" i="6"/>
  <c r="U3322" i="6"/>
  <c r="U3323" i="6"/>
  <c r="U3324" i="6"/>
  <c r="U3325" i="6"/>
  <c r="U3326" i="6"/>
  <c r="U3327" i="6"/>
  <c r="U3328" i="6"/>
  <c r="U3329" i="6"/>
  <c r="U3330" i="6"/>
  <c r="U3331" i="6"/>
  <c r="U3332" i="6"/>
  <c r="U3333" i="6"/>
  <c r="U3334" i="6"/>
  <c r="U3335" i="6"/>
  <c r="U3336" i="6"/>
  <c r="U3337" i="6"/>
  <c r="U3338" i="6"/>
  <c r="U3339" i="6"/>
  <c r="U3340" i="6"/>
  <c r="U3341" i="6"/>
  <c r="U3342" i="6"/>
  <c r="U3343" i="6"/>
  <c r="U3344" i="6"/>
  <c r="U3345" i="6"/>
  <c r="U3346" i="6"/>
  <c r="U3347" i="6"/>
  <c r="U3348" i="6"/>
  <c r="U3349" i="6"/>
  <c r="U3350" i="6"/>
  <c r="U3351" i="6"/>
  <c r="U3352" i="6"/>
  <c r="U3353" i="6"/>
  <c r="U3354" i="6"/>
  <c r="U3355" i="6"/>
  <c r="U3356" i="6"/>
  <c r="U3357" i="6"/>
  <c r="U3358" i="6"/>
  <c r="U3359" i="6"/>
  <c r="U3360" i="6"/>
  <c r="U3361" i="6"/>
  <c r="U3362" i="6"/>
  <c r="U3363" i="6"/>
  <c r="U3364" i="6"/>
  <c r="U3365" i="6"/>
  <c r="U3366" i="6"/>
  <c r="U3367" i="6"/>
  <c r="U3368" i="6"/>
  <c r="U3369" i="6"/>
  <c r="U3370" i="6"/>
  <c r="U3371" i="6"/>
  <c r="U3372" i="6"/>
  <c r="U3373" i="6"/>
  <c r="U3374" i="6"/>
  <c r="U3375" i="6"/>
  <c r="U3376" i="6"/>
  <c r="U3377" i="6"/>
  <c r="U3378" i="6"/>
  <c r="U3379" i="6"/>
  <c r="U3380" i="6"/>
  <c r="U3381" i="6"/>
  <c r="U3382" i="6"/>
  <c r="U3383" i="6"/>
  <c r="U3384" i="6"/>
  <c r="U3385" i="6"/>
  <c r="U3386" i="6"/>
  <c r="U3387" i="6"/>
  <c r="U3388" i="6"/>
  <c r="U3389" i="6"/>
  <c r="U3390" i="6"/>
  <c r="U3391" i="6"/>
  <c r="U3392" i="6"/>
  <c r="U3393" i="6"/>
  <c r="U3394" i="6"/>
  <c r="U3395" i="6"/>
  <c r="U3396" i="6"/>
  <c r="U3397" i="6"/>
  <c r="U3398" i="6"/>
  <c r="U3399" i="6"/>
  <c r="U3400" i="6"/>
  <c r="U3401" i="6"/>
  <c r="U3402" i="6"/>
  <c r="U3403" i="6"/>
  <c r="U3404" i="6"/>
  <c r="U3405" i="6"/>
  <c r="U3406" i="6"/>
  <c r="U3407" i="6"/>
  <c r="U3408" i="6"/>
  <c r="U3409" i="6"/>
  <c r="U3410" i="6"/>
  <c r="U3411" i="6"/>
  <c r="U3412" i="6"/>
  <c r="U3413" i="6"/>
  <c r="U3414" i="6"/>
  <c r="U3415" i="6"/>
  <c r="U3416" i="6"/>
  <c r="U3417" i="6"/>
  <c r="U3418" i="6"/>
  <c r="U3419" i="6"/>
  <c r="U3420" i="6"/>
  <c r="U3421" i="6"/>
  <c r="U3422" i="6"/>
  <c r="U3423" i="6"/>
  <c r="U3424" i="6"/>
  <c r="U3425" i="6"/>
  <c r="U3426" i="6"/>
  <c r="U3427" i="6"/>
  <c r="U3428" i="6"/>
  <c r="U3429" i="6"/>
  <c r="U3430" i="6"/>
  <c r="U3431" i="6"/>
  <c r="U3432" i="6"/>
  <c r="U3433" i="6"/>
  <c r="U3434" i="6"/>
  <c r="U3435" i="6"/>
  <c r="U3436" i="6"/>
  <c r="U3437" i="6"/>
  <c r="U3438" i="6"/>
  <c r="U3439" i="6"/>
  <c r="U3440" i="6"/>
  <c r="U3441" i="6"/>
  <c r="U3442" i="6"/>
  <c r="U3443" i="6"/>
  <c r="U3444" i="6"/>
  <c r="U3445" i="6"/>
  <c r="U3446" i="6"/>
  <c r="U3447" i="6"/>
  <c r="U3448" i="6"/>
  <c r="U3449" i="6"/>
  <c r="U3450" i="6"/>
  <c r="U3451" i="6"/>
  <c r="U3452" i="6"/>
  <c r="U3453" i="6"/>
  <c r="U3454" i="6"/>
  <c r="U3455" i="6"/>
  <c r="U3456" i="6"/>
  <c r="U3457" i="6"/>
  <c r="U3458" i="6"/>
  <c r="U3459" i="6"/>
  <c r="U3460" i="6"/>
  <c r="U3461" i="6"/>
  <c r="U3462" i="6"/>
  <c r="U3463" i="6"/>
  <c r="U3464" i="6"/>
  <c r="U3465" i="6"/>
  <c r="U3466" i="6"/>
  <c r="U3467" i="6"/>
  <c r="U3468" i="6"/>
  <c r="U3469" i="6"/>
  <c r="U3470" i="6"/>
  <c r="U3471" i="6"/>
  <c r="U3472" i="6"/>
  <c r="U3473" i="6"/>
  <c r="U3474" i="6"/>
  <c r="U3475" i="6"/>
  <c r="U3476" i="6"/>
  <c r="U722" i="6"/>
  <c r="U721" i="6"/>
  <c r="U720" i="6"/>
  <c r="U719" i="6"/>
  <c r="U718" i="6"/>
  <c r="U717" i="6"/>
  <c r="U716" i="6"/>
  <c r="U715" i="6"/>
  <c r="U714" i="6"/>
  <c r="U713" i="6"/>
  <c r="U712" i="6"/>
  <c r="U711" i="6"/>
  <c r="U710" i="6"/>
  <c r="U709" i="6"/>
  <c r="U708" i="6"/>
  <c r="U707" i="6"/>
  <c r="U706" i="6"/>
  <c r="U705" i="6"/>
  <c r="U704" i="6"/>
  <c r="U703" i="6"/>
  <c r="U702" i="6"/>
  <c r="U701" i="6"/>
  <c r="U700" i="6"/>
  <c r="U699" i="6"/>
  <c r="U698" i="6"/>
  <c r="U697" i="6"/>
  <c r="U696" i="6"/>
  <c r="U695" i="6"/>
  <c r="U694" i="6"/>
  <c r="U693" i="6"/>
  <c r="U692" i="6"/>
  <c r="U691" i="6"/>
  <c r="U690" i="6"/>
  <c r="U689" i="6"/>
  <c r="U688" i="6"/>
  <c r="U687" i="6"/>
  <c r="U686" i="6"/>
  <c r="U685" i="6"/>
  <c r="U684" i="6"/>
  <c r="U683" i="6"/>
  <c r="U682" i="6"/>
  <c r="U681" i="6"/>
  <c r="U680" i="6"/>
  <c r="U679" i="6"/>
  <c r="U678" i="6"/>
  <c r="U677" i="6"/>
  <c r="U676" i="6"/>
  <c r="U675" i="6"/>
  <c r="U674" i="6"/>
  <c r="U673" i="6"/>
  <c r="U672" i="6"/>
  <c r="U671" i="6"/>
  <c r="U670" i="6"/>
  <c r="U669" i="6"/>
  <c r="U668" i="6"/>
  <c r="U667" i="6"/>
  <c r="U666" i="6"/>
  <c r="U665" i="6"/>
  <c r="U664" i="6"/>
  <c r="U663" i="6"/>
  <c r="U662" i="6"/>
  <c r="U661" i="6"/>
  <c r="U660" i="6"/>
  <c r="U659" i="6"/>
  <c r="U658" i="6"/>
  <c r="U657" i="6"/>
  <c r="U656" i="6"/>
  <c r="U655" i="6"/>
  <c r="U654" i="6"/>
  <c r="U653" i="6"/>
  <c r="U652" i="6"/>
  <c r="U651" i="6"/>
  <c r="U650" i="6"/>
  <c r="U649" i="6"/>
  <c r="U648" i="6"/>
  <c r="U647" i="6"/>
  <c r="U646" i="6"/>
  <c r="U645" i="6"/>
  <c r="U644" i="6"/>
  <c r="U643" i="6"/>
  <c r="U642" i="6"/>
  <c r="U641" i="6"/>
  <c r="U640" i="6"/>
  <c r="U639" i="6"/>
  <c r="U638" i="6"/>
  <c r="U637" i="6"/>
  <c r="U636" i="6"/>
  <c r="U635" i="6"/>
  <c r="U634" i="6"/>
  <c r="U633" i="6"/>
  <c r="U632" i="6"/>
  <c r="U631" i="6"/>
  <c r="U630" i="6"/>
  <c r="U629" i="6"/>
  <c r="U628" i="6"/>
  <c r="U627" i="6"/>
  <c r="U626" i="6"/>
  <c r="U625" i="6"/>
  <c r="U624" i="6"/>
  <c r="U623" i="6"/>
  <c r="U622" i="6"/>
  <c r="U621" i="6"/>
  <c r="U620" i="6"/>
  <c r="U619" i="6"/>
  <c r="U618" i="6"/>
  <c r="U617" i="6"/>
  <c r="U616" i="6"/>
  <c r="U615" i="6"/>
  <c r="U614" i="6"/>
  <c r="U613" i="6"/>
  <c r="U612" i="6"/>
  <c r="U611" i="6"/>
  <c r="U610" i="6"/>
  <c r="U609" i="6"/>
  <c r="U608" i="6"/>
  <c r="U607" i="6"/>
  <c r="U606" i="6"/>
  <c r="U605" i="6"/>
  <c r="U604" i="6"/>
  <c r="U603" i="6"/>
  <c r="U602" i="6"/>
  <c r="U601" i="6"/>
  <c r="U600" i="6"/>
  <c r="U599" i="6"/>
  <c r="U598" i="6"/>
  <c r="U597" i="6"/>
  <c r="U596" i="6"/>
  <c r="U595" i="6"/>
  <c r="U594" i="6"/>
  <c r="U593" i="6"/>
  <c r="U592" i="6"/>
  <c r="U591" i="6"/>
  <c r="U590" i="6"/>
  <c r="U589" i="6"/>
  <c r="U588" i="6"/>
  <c r="U587" i="6"/>
  <c r="U586" i="6"/>
  <c r="U585" i="6"/>
  <c r="U584" i="6"/>
  <c r="U583" i="6"/>
  <c r="U582" i="6"/>
  <c r="U581" i="6"/>
  <c r="U580" i="6"/>
  <c r="U579" i="6"/>
  <c r="U578" i="6"/>
  <c r="U577" i="6"/>
  <c r="U576" i="6"/>
  <c r="U575" i="6"/>
  <c r="U574" i="6"/>
  <c r="U573" i="6"/>
  <c r="U572" i="6"/>
  <c r="U571" i="6"/>
  <c r="U570" i="6"/>
  <c r="U569" i="6"/>
  <c r="U568" i="6"/>
  <c r="U567" i="6"/>
  <c r="U566" i="6"/>
  <c r="U565" i="6"/>
  <c r="U564" i="6"/>
  <c r="U563" i="6"/>
  <c r="U562" i="6"/>
  <c r="U561" i="6"/>
  <c r="U560" i="6"/>
  <c r="U559" i="6"/>
  <c r="U558" i="6"/>
  <c r="U557" i="6"/>
  <c r="U556" i="6"/>
  <c r="U555" i="6"/>
  <c r="U554" i="6"/>
  <c r="U553" i="6"/>
  <c r="U552" i="6"/>
  <c r="U551" i="6"/>
  <c r="U550" i="6"/>
  <c r="U549" i="6"/>
  <c r="U548" i="6"/>
  <c r="U547" i="6"/>
  <c r="U546" i="6"/>
  <c r="U545" i="6"/>
  <c r="U544" i="6"/>
  <c r="U543" i="6"/>
  <c r="U542" i="6"/>
  <c r="U541" i="6"/>
  <c r="U540" i="6"/>
  <c r="U539" i="6"/>
  <c r="U538" i="6"/>
  <c r="U537" i="6"/>
  <c r="U536" i="6"/>
  <c r="U535" i="6"/>
  <c r="U534" i="6"/>
  <c r="U533" i="6"/>
  <c r="U532" i="6"/>
  <c r="U531" i="6"/>
  <c r="U530" i="6"/>
  <c r="U529" i="6"/>
  <c r="U528" i="6"/>
  <c r="U527" i="6"/>
  <c r="U526" i="6"/>
  <c r="U525" i="6"/>
  <c r="U524" i="6"/>
  <c r="U523" i="6"/>
  <c r="U522" i="6"/>
  <c r="U521" i="6"/>
  <c r="U520" i="6"/>
  <c r="U519" i="6"/>
  <c r="U518" i="6"/>
  <c r="U517" i="6"/>
  <c r="U516" i="6"/>
  <c r="U515" i="6"/>
  <c r="U514" i="6"/>
  <c r="U513" i="6"/>
  <c r="U512" i="6"/>
  <c r="U511" i="6"/>
  <c r="U510" i="6"/>
  <c r="U509" i="6"/>
  <c r="U508" i="6"/>
  <c r="U507" i="6"/>
  <c r="U506" i="6"/>
  <c r="U505" i="6"/>
  <c r="U504" i="6"/>
  <c r="U503" i="6"/>
  <c r="U502" i="6"/>
  <c r="U501" i="6"/>
  <c r="U500" i="6"/>
  <c r="U499" i="6"/>
  <c r="U498" i="6"/>
  <c r="U497" i="6"/>
  <c r="U496" i="6"/>
  <c r="U495" i="6"/>
  <c r="U494" i="6"/>
  <c r="U493" i="6"/>
  <c r="U492" i="6"/>
  <c r="U491" i="6"/>
  <c r="U490" i="6"/>
  <c r="U489" i="6"/>
  <c r="U488" i="6"/>
  <c r="U487" i="6"/>
  <c r="U486" i="6"/>
  <c r="U485" i="6"/>
  <c r="U484" i="6"/>
  <c r="U483" i="6"/>
  <c r="U482" i="6"/>
  <c r="U481" i="6"/>
  <c r="U480" i="6"/>
  <c r="U479" i="6"/>
  <c r="U478" i="6"/>
  <c r="U477" i="6"/>
  <c r="U476" i="6"/>
  <c r="U475" i="6"/>
  <c r="U474" i="6"/>
  <c r="U473" i="6"/>
  <c r="U472" i="6"/>
  <c r="U471" i="6"/>
  <c r="U470" i="6"/>
  <c r="U469" i="6"/>
  <c r="U468" i="6"/>
  <c r="U467" i="6"/>
  <c r="U466" i="6"/>
  <c r="U465" i="6"/>
  <c r="U464" i="6"/>
  <c r="U463" i="6"/>
  <c r="U462" i="6"/>
  <c r="U461" i="6"/>
  <c r="U460" i="6"/>
  <c r="U459" i="6"/>
  <c r="U458" i="6"/>
  <c r="U457" i="6"/>
  <c r="U456" i="6"/>
  <c r="U455" i="6"/>
  <c r="U454" i="6"/>
  <c r="U453" i="6"/>
  <c r="U452" i="6"/>
  <c r="U451" i="6"/>
  <c r="U450" i="6"/>
  <c r="U449" i="6"/>
  <c r="U448" i="6"/>
  <c r="U447" i="6"/>
  <c r="U446" i="6"/>
  <c r="U445" i="6"/>
  <c r="U444" i="6"/>
  <c r="U443" i="6"/>
  <c r="U442" i="6"/>
  <c r="U441" i="6"/>
  <c r="U440" i="6"/>
  <c r="U439" i="6"/>
  <c r="U438" i="6"/>
  <c r="U437" i="6"/>
  <c r="U436" i="6"/>
  <c r="U435" i="6"/>
  <c r="U434" i="6"/>
  <c r="U433" i="6"/>
  <c r="U432" i="6"/>
  <c r="U431" i="6"/>
  <c r="U430" i="6"/>
  <c r="U429" i="6"/>
  <c r="U428" i="6"/>
  <c r="U427" i="6"/>
  <c r="U426" i="6"/>
  <c r="U425" i="6"/>
  <c r="U424" i="6"/>
  <c r="U423" i="6"/>
  <c r="U422" i="6"/>
  <c r="U421" i="6"/>
  <c r="U420" i="6"/>
  <c r="U419" i="6"/>
  <c r="U418" i="6"/>
  <c r="U417" i="6"/>
  <c r="U416" i="6"/>
  <c r="U415" i="6"/>
  <c r="U414" i="6"/>
  <c r="U413" i="6"/>
  <c r="U412" i="6"/>
  <c r="U411" i="6"/>
  <c r="U410" i="6"/>
  <c r="U409" i="6"/>
  <c r="U408" i="6"/>
  <c r="U407" i="6"/>
  <c r="U406" i="6"/>
  <c r="U405" i="6"/>
  <c r="U404" i="6"/>
  <c r="U403" i="6"/>
  <c r="U402" i="6"/>
  <c r="U401" i="6"/>
  <c r="U400" i="6"/>
  <c r="U399" i="6"/>
  <c r="U398" i="6"/>
  <c r="U397" i="6"/>
  <c r="U396" i="6"/>
  <c r="U395" i="6"/>
  <c r="U394" i="6"/>
  <c r="U393" i="6"/>
  <c r="U392" i="6"/>
  <c r="U391" i="6"/>
  <c r="U390" i="6"/>
  <c r="U389" i="6"/>
  <c r="U388" i="6"/>
  <c r="U387" i="6"/>
  <c r="U386" i="6"/>
  <c r="U385" i="6"/>
  <c r="U384" i="6"/>
  <c r="U383" i="6"/>
  <c r="U382" i="6"/>
  <c r="U381" i="6"/>
  <c r="U380" i="6"/>
  <c r="U379" i="6"/>
  <c r="U378" i="6"/>
  <c r="U377" i="6"/>
  <c r="U376" i="6"/>
  <c r="U375" i="6"/>
  <c r="U374" i="6"/>
  <c r="U373" i="6"/>
  <c r="U372" i="6"/>
  <c r="U371" i="6"/>
  <c r="U370" i="6"/>
  <c r="U369" i="6"/>
  <c r="U368" i="6"/>
  <c r="U367" i="6"/>
  <c r="U366" i="6"/>
  <c r="U365" i="6"/>
  <c r="U364" i="6"/>
  <c r="U363" i="6"/>
  <c r="U362" i="6"/>
  <c r="U361" i="6"/>
  <c r="U360" i="6"/>
  <c r="U359" i="6"/>
  <c r="U358" i="6"/>
  <c r="U357" i="6"/>
  <c r="U356" i="6"/>
  <c r="U355" i="6"/>
  <c r="U354" i="6"/>
  <c r="U353" i="6"/>
  <c r="U352" i="6"/>
  <c r="U351" i="6"/>
  <c r="U350" i="6"/>
  <c r="U349" i="6"/>
  <c r="U348" i="6"/>
  <c r="U347" i="6"/>
  <c r="U346" i="6"/>
  <c r="U345" i="6"/>
  <c r="U344" i="6"/>
  <c r="U343" i="6"/>
  <c r="U342" i="6"/>
  <c r="U341" i="6"/>
  <c r="U340" i="6"/>
  <c r="U339" i="6"/>
  <c r="U338" i="6"/>
  <c r="U337" i="6"/>
  <c r="U336" i="6"/>
  <c r="U335" i="6"/>
  <c r="U334" i="6"/>
  <c r="U333" i="6"/>
  <c r="U332" i="6"/>
  <c r="U331" i="6"/>
  <c r="U330" i="6"/>
  <c r="U329" i="6"/>
  <c r="U328" i="6"/>
  <c r="U327" i="6"/>
  <c r="U326" i="6"/>
  <c r="U325" i="6"/>
  <c r="U324" i="6"/>
  <c r="U323" i="6"/>
  <c r="U322" i="6"/>
  <c r="U321" i="6"/>
  <c r="U320" i="6"/>
  <c r="U319" i="6"/>
  <c r="U318" i="6"/>
  <c r="U317" i="6"/>
  <c r="U316" i="6"/>
  <c r="U315" i="6"/>
  <c r="U314" i="6"/>
  <c r="U313" i="6"/>
  <c r="U312" i="6"/>
  <c r="U311" i="6"/>
  <c r="U310" i="6"/>
  <c r="U309" i="6"/>
  <c r="U308" i="6"/>
  <c r="U307" i="6"/>
  <c r="U306" i="6"/>
  <c r="U305" i="6"/>
  <c r="U304" i="6"/>
  <c r="U303" i="6"/>
  <c r="U302" i="6"/>
  <c r="U301" i="6"/>
  <c r="U300" i="6"/>
  <c r="U299" i="6"/>
  <c r="U298" i="6"/>
  <c r="U297" i="6"/>
  <c r="U296" i="6"/>
  <c r="U295" i="6"/>
  <c r="U294" i="6"/>
  <c r="U293" i="6"/>
  <c r="U292" i="6"/>
  <c r="U291" i="6"/>
  <c r="U290" i="6"/>
  <c r="U289" i="6"/>
  <c r="U288" i="6"/>
  <c r="U287" i="6"/>
  <c r="U286" i="6"/>
  <c r="U285" i="6"/>
  <c r="U284" i="6"/>
  <c r="U283" i="6"/>
  <c r="U282" i="6"/>
  <c r="U281" i="6"/>
  <c r="U280" i="6"/>
  <c r="U279" i="6"/>
  <c r="U278" i="6"/>
  <c r="U277" i="6"/>
  <c r="U276" i="6"/>
  <c r="U275" i="6"/>
  <c r="U274" i="6"/>
  <c r="U273" i="6"/>
  <c r="U272" i="6"/>
  <c r="U271" i="6"/>
  <c r="U270" i="6"/>
  <c r="U269" i="6"/>
  <c r="U268" i="6"/>
  <c r="U267" i="6"/>
  <c r="U266" i="6"/>
  <c r="U265" i="6"/>
  <c r="U264" i="6"/>
  <c r="U263" i="6"/>
  <c r="U262" i="6"/>
  <c r="U261" i="6"/>
  <c r="U260" i="6"/>
  <c r="U259" i="6"/>
  <c r="U258" i="6"/>
  <c r="U257" i="6"/>
  <c r="U256" i="6"/>
  <c r="U255" i="6"/>
  <c r="U254" i="6"/>
  <c r="U253" i="6"/>
  <c r="U252" i="6"/>
  <c r="U251" i="6"/>
  <c r="U250" i="6"/>
  <c r="U249" i="6"/>
  <c r="U248" i="6"/>
  <c r="U247" i="6"/>
  <c r="U246" i="6"/>
  <c r="U245" i="6"/>
  <c r="U244" i="6"/>
  <c r="U243" i="6"/>
  <c r="U242" i="6"/>
  <c r="U241" i="6"/>
  <c r="U240" i="6"/>
  <c r="U239" i="6"/>
  <c r="U238" i="6"/>
  <c r="U237" i="6"/>
  <c r="U236" i="6"/>
  <c r="U235" i="6"/>
  <c r="U234" i="6"/>
  <c r="U233" i="6"/>
  <c r="U232" i="6"/>
  <c r="U231" i="6"/>
  <c r="U230" i="6"/>
  <c r="U229" i="6"/>
  <c r="U228" i="6"/>
  <c r="U227" i="6"/>
  <c r="U226" i="6"/>
  <c r="U225" i="6"/>
  <c r="U224" i="6"/>
  <c r="U223" i="6"/>
  <c r="U222" i="6"/>
  <c r="U221" i="6"/>
  <c r="U220" i="6"/>
  <c r="U219" i="6"/>
  <c r="U218" i="6"/>
  <c r="U217" i="6"/>
  <c r="U216" i="6"/>
  <c r="U215" i="6"/>
  <c r="U214" i="6"/>
  <c r="U213" i="6"/>
  <c r="U212" i="6"/>
  <c r="U211" i="6"/>
  <c r="U210" i="6"/>
  <c r="U209" i="6"/>
  <c r="U208" i="6"/>
  <c r="U207" i="6"/>
  <c r="U206" i="6"/>
  <c r="U205" i="6"/>
  <c r="U204" i="6"/>
  <c r="U203" i="6"/>
  <c r="U202" i="6"/>
  <c r="U201" i="6"/>
  <c r="U200" i="6"/>
  <c r="U199" i="6"/>
  <c r="U198" i="6"/>
  <c r="U197" i="6"/>
  <c r="U196" i="6"/>
  <c r="U195" i="6"/>
  <c r="U194" i="6"/>
  <c r="U193" i="6"/>
  <c r="U192" i="6"/>
  <c r="U191" i="6"/>
  <c r="U190" i="6"/>
  <c r="U189" i="6"/>
  <c r="U188" i="6"/>
  <c r="U187" i="6"/>
  <c r="U186" i="6"/>
  <c r="U185" i="6"/>
  <c r="U184" i="6"/>
  <c r="U183" i="6"/>
  <c r="U182" i="6"/>
  <c r="U181" i="6"/>
  <c r="U180" i="6"/>
  <c r="U179" i="6"/>
  <c r="U178" i="6"/>
  <c r="U177" i="6"/>
  <c r="U176" i="6"/>
  <c r="U175" i="6"/>
  <c r="U174" i="6"/>
  <c r="U173" i="6"/>
  <c r="U172" i="6"/>
  <c r="U171" i="6"/>
  <c r="U170" i="6"/>
  <c r="U169" i="6"/>
  <c r="U168" i="6"/>
  <c r="U167" i="6"/>
  <c r="U166" i="6"/>
  <c r="U165" i="6"/>
  <c r="U164" i="6"/>
  <c r="U163" i="6"/>
  <c r="U162" i="6"/>
  <c r="U161" i="6"/>
  <c r="U160" i="6"/>
  <c r="U159" i="6"/>
  <c r="U158" i="6"/>
  <c r="U157" i="6"/>
  <c r="U156" i="6"/>
  <c r="U155" i="6"/>
  <c r="U154" i="6"/>
  <c r="U153" i="6"/>
  <c r="U152" i="6"/>
  <c r="U151" i="6"/>
  <c r="U150" i="6"/>
  <c r="U149" i="6"/>
  <c r="U148" i="6"/>
  <c r="U147" i="6"/>
  <c r="U146" i="6"/>
  <c r="U145" i="6"/>
  <c r="U144" i="6"/>
  <c r="U143" i="6"/>
  <c r="U142" i="6"/>
  <c r="U141" i="6"/>
  <c r="U140" i="6"/>
  <c r="U139" i="6"/>
  <c r="U138" i="6"/>
  <c r="U137" i="6"/>
  <c r="U136" i="6"/>
  <c r="U135" i="6"/>
  <c r="U134" i="6"/>
  <c r="U133" i="6"/>
  <c r="U132" i="6"/>
  <c r="U131" i="6"/>
  <c r="U130" i="6"/>
  <c r="U129" i="6"/>
  <c r="U128" i="6"/>
  <c r="U127" i="6"/>
  <c r="U126" i="6"/>
  <c r="U125" i="6"/>
  <c r="U124" i="6"/>
  <c r="U123" i="6"/>
  <c r="U122" i="6"/>
  <c r="U121" i="6"/>
  <c r="U120" i="6"/>
  <c r="U119" i="6"/>
  <c r="U118" i="6"/>
  <c r="U117" i="6"/>
  <c r="U116" i="6"/>
  <c r="U115" i="6"/>
  <c r="U114" i="6"/>
  <c r="U113" i="6"/>
  <c r="U112" i="6"/>
  <c r="U111" i="6"/>
  <c r="U110" i="6"/>
  <c r="U109" i="6"/>
  <c r="U108" i="6"/>
  <c r="U107" i="6"/>
  <c r="U106" i="6"/>
  <c r="U105" i="6"/>
  <c r="U104" i="6"/>
  <c r="U103" i="6"/>
  <c r="U102" i="6"/>
  <c r="U101" i="6"/>
  <c r="U100" i="6"/>
  <c r="U99" i="6"/>
  <c r="U98" i="6"/>
  <c r="U97" i="6"/>
  <c r="U96" i="6"/>
  <c r="U95" i="6"/>
  <c r="U94" i="6"/>
  <c r="U93" i="6"/>
  <c r="U92" i="6"/>
  <c r="U91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8" i="5"/>
  <c r="AK4" i="8" a="1"/>
  <c r="AJ4" i="8" a="1"/>
  <c r="AI4" i="8" a="1"/>
  <c r="AH4" i="8" a="1"/>
  <c r="AG4" i="8" a="1"/>
  <c r="AF4" i="8" a="1"/>
  <c r="AE4" i="8" a="1"/>
  <c r="AD4" i="8" a="1"/>
  <c r="AC4" i="8" a="1"/>
  <c r="AB4" i="8" a="1"/>
  <c r="AA4" i="8" a="1"/>
  <c r="Z4" i="8" a="1"/>
  <c r="Y4" i="8" a="1"/>
  <c r="X4" i="8" a="1"/>
  <c r="W4" i="8" a="1"/>
  <c r="V4" i="8" a="1"/>
  <c r="U4" i="8" a="1"/>
  <c r="T4" i="8" a="1"/>
  <c r="S4" i="8" a="1"/>
  <c r="R4" i="8" a="1"/>
  <c r="Q4" i="8" a="1"/>
  <c r="P4" i="8" a="1"/>
  <c r="O4" i="8" a="1"/>
  <c r="N4" i="8" a="1"/>
  <c r="M4" i="8" a="1"/>
  <c r="L4" i="8" a="1"/>
  <c r="K4" i="8" a="1"/>
  <c r="J4" i="8" a="1"/>
  <c r="I4" i="8" a="1"/>
  <c r="H4" i="8" a="1"/>
  <c r="G4" i="8" a="1"/>
  <c r="F4" i="8" a="1"/>
  <c r="E4" i="8" a="1"/>
  <c r="A363" i="6" a="1"/>
  <c r="A364" i="6" a="1"/>
  <c r="A365" i="6" a="1"/>
  <c r="A366" i="6" a="1"/>
  <c r="A367" i="6" a="1"/>
  <c r="A368" i="6" a="1"/>
  <c r="A369" i="6" a="1"/>
  <c r="A370" i="6" a="1"/>
  <c r="A371" i="6" a="1"/>
  <c r="A372" i="6" a="1"/>
  <c r="A373" i="6" a="1"/>
  <c r="A374" i="6" a="1"/>
  <c r="A375" i="6" a="1"/>
  <c r="A376" i="6" a="1"/>
  <c r="A377" i="6" a="1"/>
  <c r="A378" i="6" a="1"/>
  <c r="A379" i="6" a="1"/>
  <c r="A380" i="6" a="1"/>
  <c r="A381" i="6" a="1"/>
  <c r="A382" i="6" a="1"/>
  <c r="A383" i="6" a="1"/>
  <c r="A384" i="6" a="1"/>
  <c r="A385" i="6" a="1"/>
  <c r="A386" i="6" a="1"/>
  <c r="A387" i="6" a="1"/>
  <c r="A388" i="6" a="1"/>
  <c r="A389" i="6" a="1"/>
  <c r="A390" i="6" a="1"/>
  <c r="A391" i="6" a="1"/>
  <c r="A392" i="6" a="1"/>
  <c r="A393" i="6" a="1"/>
  <c r="A394" i="6" a="1"/>
  <c r="A395" i="6" a="1"/>
  <c r="A396" i="6" a="1"/>
  <c r="A397" i="6" a="1"/>
  <c r="A398" i="6" a="1"/>
  <c r="A399" i="6" a="1"/>
  <c r="A400" i="6" a="1"/>
  <c r="A401" i="6" a="1"/>
  <c r="A402" i="6" a="1"/>
  <c r="A403" i="6" a="1"/>
  <c r="A404" i="6" a="1"/>
  <c r="A405" i="6" a="1"/>
  <c r="A406" i="6" a="1"/>
  <c r="A407" i="6" a="1"/>
  <c r="A408" i="6" a="1"/>
  <c r="A409" i="6" a="1"/>
  <c r="A410" i="6" a="1"/>
  <c r="A411" i="6" a="1"/>
  <c r="A412" i="6" a="1"/>
  <c r="A413" i="6" a="1"/>
  <c r="A414" i="6" a="1"/>
  <c r="A415" i="6" a="1"/>
  <c r="A416" i="6" a="1"/>
  <c r="A417" i="6" a="1"/>
  <c r="A418" i="6" a="1"/>
  <c r="A419" i="6" a="1"/>
  <c r="A420" i="6" a="1"/>
  <c r="A421" i="6" a="1"/>
  <c r="A422" i="6" a="1"/>
  <c r="A423" i="6" a="1"/>
  <c r="A424" i="6" a="1"/>
  <c r="A425" i="6" a="1"/>
  <c r="A426" i="6" a="1"/>
  <c r="A427" i="6" a="1"/>
  <c r="A428" i="6" a="1"/>
  <c r="A429" i="6" a="1"/>
  <c r="A430" i="6" a="1"/>
  <c r="A431" i="6" a="1"/>
  <c r="A432" i="6" a="1"/>
  <c r="A433" i="6" a="1"/>
  <c r="A434" i="6" a="1"/>
  <c r="A435" i="6" a="1"/>
  <c r="A436" i="6" a="1"/>
  <c r="A437" i="6" a="1"/>
  <c r="A438" i="6" a="1"/>
  <c r="A439" i="6" a="1"/>
  <c r="A440" i="6" a="1"/>
  <c r="A441" i="6" a="1"/>
  <c r="A442" i="6" a="1"/>
  <c r="A443" i="6" a="1"/>
  <c r="A444" i="6" a="1"/>
  <c r="A445" i="6" a="1"/>
  <c r="A446" i="6" a="1"/>
  <c r="A447" i="6" a="1"/>
  <c r="A448" i="6" a="1"/>
  <c r="A449" i="6" a="1"/>
  <c r="A450" i="6" a="1"/>
  <c r="A451" i="6" a="1"/>
  <c r="A452" i="6" a="1"/>
  <c r="A453" i="6" a="1"/>
  <c r="A454" i="6" a="1"/>
  <c r="A455" i="6" a="1"/>
  <c r="A456" i="6" a="1"/>
  <c r="A457" i="6" a="1"/>
  <c r="A458" i="6" a="1"/>
  <c r="A459" i="6" a="1"/>
  <c r="A460" i="6" a="1"/>
  <c r="A461" i="6" a="1"/>
  <c r="A462" i="6" a="1"/>
  <c r="A463" i="6" a="1"/>
  <c r="A464" i="6" a="1"/>
  <c r="A465" i="6" a="1"/>
  <c r="A466" i="6" a="1"/>
  <c r="A467" i="6" a="1"/>
  <c r="A468" i="6" a="1"/>
  <c r="A469" i="6" a="1"/>
  <c r="A470" i="6" a="1"/>
  <c r="A471" i="6" a="1"/>
  <c r="A472" i="6" a="1"/>
  <c r="A473" i="6" a="1"/>
  <c r="A474" i="6" a="1"/>
  <c r="A475" i="6" a="1"/>
  <c r="A476" i="6" a="1"/>
  <c r="A477" i="6" a="1"/>
  <c r="A478" i="6" a="1"/>
  <c r="A479" i="6" a="1"/>
  <c r="A480" i="6" a="1"/>
  <c r="A481" i="6" a="1"/>
  <c r="A482" i="6" a="1"/>
  <c r="A483" i="6" a="1"/>
  <c r="A484" i="6" a="1"/>
  <c r="A485" i="6" a="1"/>
  <c r="A486" i="6" a="1"/>
  <c r="A487" i="6" a="1"/>
  <c r="A488" i="6" a="1"/>
  <c r="A489" i="6" a="1"/>
  <c r="A490" i="6" a="1"/>
  <c r="A491" i="6" a="1"/>
  <c r="A492" i="6" a="1"/>
  <c r="A493" i="6" a="1"/>
  <c r="A494" i="6" a="1"/>
  <c r="A495" i="6" a="1"/>
  <c r="A496" i="6" a="1"/>
  <c r="A497" i="6" a="1"/>
  <c r="A498" i="6" a="1"/>
  <c r="A499" i="6" a="1"/>
  <c r="A500" i="6" a="1"/>
  <c r="A501" i="6" a="1"/>
  <c r="A502" i="6" a="1"/>
  <c r="A503" i="6" a="1"/>
  <c r="A504" i="6" a="1"/>
  <c r="A505" i="6" a="1"/>
  <c r="A506" i="6" a="1"/>
  <c r="A507" i="6" a="1"/>
  <c r="A508" i="6" a="1"/>
  <c r="A509" i="6" a="1"/>
  <c r="A510" i="6" a="1"/>
  <c r="A511" i="6" a="1"/>
  <c r="A512" i="6" a="1"/>
  <c r="A513" i="6" a="1"/>
  <c r="A514" i="6" a="1"/>
  <c r="A515" i="6" a="1"/>
  <c r="A516" i="6" a="1"/>
  <c r="A517" i="6" a="1"/>
  <c r="A518" i="6" a="1"/>
  <c r="A519" i="6" a="1"/>
  <c r="A520" i="6" a="1"/>
  <c r="A521" i="6" a="1"/>
  <c r="A522" i="6" a="1"/>
  <c r="A523" i="6" a="1"/>
  <c r="A524" i="6" a="1"/>
  <c r="A525" i="6" a="1"/>
  <c r="A526" i="6" a="1"/>
  <c r="A527" i="6" a="1"/>
  <c r="A528" i="6" a="1"/>
  <c r="A529" i="6" a="1"/>
  <c r="A530" i="6" a="1"/>
  <c r="A531" i="6" a="1"/>
  <c r="A532" i="6" a="1"/>
  <c r="A533" i="6" a="1"/>
  <c r="A534" i="6" a="1"/>
  <c r="A535" i="6" a="1"/>
  <c r="A536" i="6" a="1"/>
  <c r="A537" i="6" a="1"/>
  <c r="A538" i="6" a="1"/>
  <c r="A539" i="6" a="1"/>
  <c r="A540" i="6" a="1"/>
  <c r="A541" i="6" a="1"/>
  <c r="A542" i="6" a="1"/>
  <c r="A543" i="6" a="1"/>
  <c r="A544" i="6" a="1"/>
  <c r="A545" i="6" a="1"/>
  <c r="A546" i="6" a="1"/>
  <c r="A547" i="6" a="1"/>
  <c r="A548" i="6" a="1"/>
  <c r="A549" i="6" a="1"/>
  <c r="A550" i="6" a="1"/>
  <c r="A551" i="6" a="1"/>
  <c r="A552" i="6" a="1"/>
  <c r="A553" i="6" a="1"/>
  <c r="A554" i="6" a="1"/>
  <c r="A555" i="6" a="1"/>
  <c r="A556" i="6" a="1"/>
  <c r="A557" i="6" a="1"/>
  <c r="A558" i="6" a="1"/>
  <c r="A559" i="6" a="1"/>
  <c r="A560" i="6" a="1"/>
  <c r="A561" i="6" a="1"/>
  <c r="A562" i="6" a="1"/>
  <c r="A563" i="6" a="1"/>
  <c r="A564" i="6" a="1"/>
  <c r="A565" i="6" a="1"/>
  <c r="A566" i="6" a="1"/>
  <c r="A567" i="6" a="1"/>
  <c r="A568" i="6" a="1"/>
  <c r="A569" i="6" a="1"/>
  <c r="A570" i="6" a="1"/>
  <c r="A571" i="6" a="1"/>
  <c r="A572" i="6" a="1"/>
  <c r="A573" i="6" a="1"/>
  <c r="A574" i="6" a="1"/>
  <c r="A575" i="6" a="1"/>
  <c r="A576" i="6" a="1"/>
  <c r="A577" i="6" a="1"/>
  <c r="A578" i="6" a="1"/>
  <c r="A579" i="6" a="1"/>
  <c r="A580" i="6" a="1"/>
  <c r="A581" i="6" a="1"/>
  <c r="A582" i="6" a="1"/>
  <c r="A583" i="6" a="1"/>
  <c r="A584" i="6" a="1"/>
  <c r="A585" i="6" a="1"/>
  <c r="A586" i="6" a="1"/>
  <c r="A587" i="6" a="1"/>
  <c r="A588" i="6" a="1"/>
  <c r="A589" i="6" a="1"/>
  <c r="A590" i="6" a="1"/>
  <c r="A591" i="6" a="1"/>
  <c r="A592" i="6" a="1"/>
  <c r="A593" i="6" a="1"/>
  <c r="A594" i="6" a="1"/>
  <c r="A595" i="6" a="1"/>
  <c r="A596" i="6" a="1"/>
  <c r="A597" i="6" a="1"/>
  <c r="A598" i="6" a="1"/>
  <c r="A599" i="6" a="1"/>
  <c r="A600" i="6" a="1"/>
  <c r="A601" i="6" a="1"/>
  <c r="A602" i="6" a="1"/>
  <c r="A603" i="6" a="1"/>
  <c r="A604" i="6" a="1"/>
  <c r="A605" i="6" a="1"/>
  <c r="A606" i="6" a="1"/>
  <c r="A607" i="6" a="1"/>
  <c r="A608" i="6" a="1"/>
  <c r="A609" i="6" a="1"/>
  <c r="A610" i="6" a="1"/>
  <c r="A611" i="6" a="1"/>
  <c r="A612" i="6" a="1"/>
  <c r="A613" i="6" a="1"/>
  <c r="A614" i="6" a="1"/>
  <c r="A615" i="6" a="1"/>
  <c r="A616" i="6" a="1"/>
  <c r="A617" i="6" a="1"/>
  <c r="A618" i="6" a="1"/>
  <c r="A619" i="6" a="1"/>
  <c r="A620" i="6" a="1"/>
  <c r="A621" i="6" a="1"/>
  <c r="A622" i="6" a="1"/>
  <c r="A623" i="6" a="1"/>
  <c r="A624" i="6" a="1"/>
  <c r="A625" i="6" a="1"/>
  <c r="A626" i="6" a="1"/>
  <c r="A627" i="6" a="1"/>
  <c r="A628" i="6" a="1"/>
  <c r="A629" i="6" a="1"/>
  <c r="A630" i="6" a="1"/>
  <c r="A631" i="6" a="1"/>
  <c r="A632" i="6" a="1"/>
  <c r="A633" i="6" a="1"/>
  <c r="A634" i="6" a="1"/>
  <c r="A635" i="6" a="1"/>
  <c r="A636" i="6" a="1"/>
  <c r="A637" i="6" a="1"/>
  <c r="A638" i="6" a="1"/>
  <c r="A639" i="6" a="1"/>
  <c r="A640" i="6" a="1"/>
  <c r="A641" i="6" a="1"/>
  <c r="A642" i="6" a="1"/>
  <c r="A643" i="6" a="1"/>
  <c r="A644" i="6" a="1"/>
  <c r="A645" i="6" a="1"/>
  <c r="A646" i="6" a="1"/>
  <c r="A647" i="6" a="1"/>
  <c r="A648" i="6" a="1"/>
  <c r="A649" i="6" a="1"/>
  <c r="A650" i="6" a="1"/>
  <c r="A651" i="6" a="1"/>
  <c r="A652" i="6" a="1"/>
  <c r="A653" i="6" a="1"/>
  <c r="A654" i="6" a="1"/>
  <c r="A655" i="6" a="1"/>
  <c r="A656" i="6" a="1"/>
  <c r="A657" i="6" a="1"/>
  <c r="A658" i="6" a="1"/>
  <c r="A659" i="6" a="1"/>
  <c r="A660" i="6" a="1"/>
  <c r="A661" i="6" a="1"/>
  <c r="A662" i="6" a="1"/>
  <c r="A663" i="6" a="1"/>
  <c r="A664" i="6" a="1"/>
  <c r="A665" i="6" a="1"/>
  <c r="A666" i="6" a="1"/>
  <c r="A667" i="6" a="1"/>
  <c r="A668" i="6" a="1"/>
  <c r="A669" i="6" a="1"/>
  <c r="A670" i="6" a="1"/>
  <c r="A671" i="6" a="1"/>
  <c r="A672" i="6" a="1"/>
  <c r="A673" i="6" a="1"/>
  <c r="A674" i="6" a="1"/>
  <c r="A675" i="6" a="1"/>
  <c r="A676" i="6" a="1"/>
  <c r="A677" i="6" a="1"/>
  <c r="A678" i="6" a="1"/>
  <c r="A679" i="6" a="1"/>
  <c r="A680" i="6" a="1"/>
  <c r="A681" i="6" a="1"/>
  <c r="A682" i="6" a="1"/>
  <c r="A683" i="6" a="1"/>
  <c r="A684" i="6" a="1"/>
  <c r="A685" i="6" a="1"/>
  <c r="A686" i="6" a="1"/>
  <c r="A687" i="6" a="1"/>
  <c r="A688" i="6" a="1"/>
  <c r="A689" i="6" a="1"/>
  <c r="A690" i="6" a="1"/>
  <c r="A691" i="6" a="1"/>
  <c r="A692" i="6" a="1"/>
  <c r="A693" i="6" a="1"/>
  <c r="A694" i="6" a="1"/>
  <c r="A695" i="6" a="1"/>
  <c r="A696" i="6" a="1"/>
  <c r="A697" i="6" a="1"/>
  <c r="A698" i="6" a="1"/>
  <c r="A699" i="6" a="1"/>
  <c r="A700" i="6" a="1"/>
  <c r="A701" i="6" a="1"/>
  <c r="A702" i="6" a="1"/>
  <c r="A703" i="6" a="1"/>
  <c r="A704" i="6" a="1"/>
  <c r="A705" i="6" a="1"/>
  <c r="A706" i="6" a="1"/>
  <c r="A707" i="6" a="1"/>
  <c r="A708" i="6" a="1"/>
  <c r="A709" i="6" a="1"/>
  <c r="A710" i="6" a="1"/>
  <c r="A711" i="6" a="1"/>
  <c r="A712" i="6" a="1"/>
  <c r="A713" i="6" a="1"/>
  <c r="A714" i="6" a="1"/>
  <c r="A715" i="6" a="1"/>
  <c r="A716" i="6" a="1"/>
  <c r="A717" i="6" a="1"/>
  <c r="A718" i="6" a="1"/>
  <c r="A719" i="6" a="1"/>
  <c r="A720" i="6" a="1"/>
  <c r="A721" i="6" a="1"/>
  <c r="A722" i="6" a="1"/>
  <c r="A723" i="6" a="1"/>
  <c r="A724" i="6" a="1"/>
  <c r="A725" i="6" a="1"/>
  <c r="A726" i="6" a="1"/>
  <c r="A727" i="6" a="1"/>
  <c r="A728" i="6" a="1"/>
  <c r="A729" i="6" a="1"/>
  <c r="A730" i="6" a="1"/>
  <c r="A731" i="6" a="1"/>
  <c r="A732" i="6" a="1"/>
  <c r="A733" i="6" a="1"/>
  <c r="A734" i="6" a="1"/>
  <c r="A735" i="6" a="1"/>
  <c r="A736" i="6" a="1"/>
  <c r="A737" i="6" a="1"/>
  <c r="A738" i="6" a="1"/>
  <c r="A739" i="6" a="1"/>
  <c r="A740" i="6" a="1"/>
  <c r="A741" i="6" a="1"/>
  <c r="A742" i="6" a="1"/>
  <c r="A743" i="6" a="1"/>
  <c r="A744" i="6" a="1"/>
  <c r="A745" i="6" a="1"/>
  <c r="A746" i="6" a="1"/>
  <c r="A747" i="6" a="1"/>
  <c r="A748" i="6" a="1"/>
  <c r="A749" i="6" a="1"/>
  <c r="A750" i="6" a="1"/>
  <c r="A751" i="6" a="1"/>
  <c r="A752" i="6" a="1"/>
  <c r="A753" i="6" a="1"/>
  <c r="A754" i="6" a="1"/>
  <c r="A755" i="6" a="1"/>
  <c r="A756" i="6" a="1"/>
  <c r="A757" i="6" a="1"/>
  <c r="A758" i="6" a="1"/>
  <c r="A759" i="6" a="1"/>
  <c r="A760" i="6" a="1"/>
  <c r="A761" i="6" a="1"/>
  <c r="A762" i="6" a="1"/>
  <c r="A763" i="6" a="1"/>
  <c r="A764" i="6" a="1"/>
  <c r="A765" i="6" a="1"/>
  <c r="A766" i="6" a="1"/>
  <c r="A767" i="6" a="1"/>
  <c r="A768" i="6" a="1"/>
  <c r="A769" i="6" a="1"/>
  <c r="A770" i="6" a="1"/>
  <c r="A771" i="6" a="1"/>
  <c r="A772" i="6" a="1"/>
  <c r="A773" i="6" a="1"/>
  <c r="A774" i="6" a="1"/>
  <c r="A775" i="6" a="1"/>
  <c r="A776" i="6" a="1"/>
  <c r="A777" i="6" a="1"/>
  <c r="A778" i="6" a="1"/>
  <c r="A779" i="6" a="1"/>
  <c r="A780" i="6" a="1"/>
  <c r="A781" i="6" a="1"/>
  <c r="A782" i="6" a="1"/>
  <c r="A783" i="6" a="1"/>
  <c r="A784" i="6" a="1"/>
  <c r="A785" i="6" a="1"/>
  <c r="A786" i="6" a="1"/>
  <c r="A787" i="6" a="1"/>
  <c r="A788" i="6" a="1"/>
  <c r="A789" i="6" a="1"/>
  <c r="A790" i="6" a="1"/>
  <c r="A791" i="6" a="1"/>
  <c r="A792" i="6" a="1"/>
  <c r="A793" i="6" a="1"/>
  <c r="A794" i="6" a="1"/>
  <c r="A795" i="6" a="1"/>
  <c r="A796" i="6" a="1"/>
  <c r="A797" i="6" a="1"/>
  <c r="A798" i="6" a="1"/>
  <c r="A799" i="6" a="1"/>
  <c r="A800" i="6" a="1"/>
  <c r="A801" i="6" a="1"/>
  <c r="A802" i="6" a="1"/>
  <c r="A803" i="6" a="1"/>
  <c r="A804" i="6" a="1"/>
  <c r="A805" i="6" a="1"/>
  <c r="A806" i="6" a="1"/>
  <c r="A807" i="6" a="1"/>
  <c r="A808" i="6" a="1"/>
  <c r="A809" i="6" a="1"/>
  <c r="A810" i="6" a="1"/>
  <c r="A811" i="6" a="1"/>
  <c r="A812" i="6" a="1"/>
  <c r="A813" i="6" a="1"/>
  <c r="A814" i="6" a="1"/>
  <c r="A815" i="6" a="1"/>
  <c r="A816" i="6" a="1"/>
  <c r="A817" i="6" a="1"/>
  <c r="A818" i="6" a="1"/>
  <c r="A819" i="6" a="1"/>
  <c r="A820" i="6" a="1"/>
  <c r="A821" i="6" a="1"/>
  <c r="A822" i="6" a="1"/>
  <c r="A823" i="6" a="1"/>
  <c r="A824" i="6" a="1"/>
  <c r="A825" i="6" a="1"/>
  <c r="A826" i="6" a="1"/>
  <c r="A827" i="6" a="1"/>
  <c r="A828" i="6" a="1"/>
  <c r="A829" i="6" a="1"/>
  <c r="A830" i="6" a="1"/>
  <c r="A831" i="6" a="1"/>
  <c r="A832" i="6" a="1"/>
  <c r="A833" i="6" a="1"/>
  <c r="A834" i="6" a="1"/>
  <c r="A835" i="6" a="1"/>
  <c r="A836" i="6" a="1"/>
  <c r="A837" i="6" a="1"/>
  <c r="A838" i="6" a="1"/>
  <c r="A839" i="6" a="1"/>
  <c r="A840" i="6" a="1"/>
  <c r="A841" i="6" a="1"/>
  <c r="A842" i="6" a="1"/>
  <c r="A843" i="6" a="1"/>
  <c r="A844" i="6" a="1"/>
  <c r="A845" i="6" a="1"/>
  <c r="A846" i="6" a="1"/>
  <c r="A847" i="6" a="1"/>
  <c r="A848" i="6" a="1"/>
  <c r="A849" i="6" a="1"/>
  <c r="A850" i="6" a="1"/>
  <c r="A851" i="6" a="1"/>
  <c r="A852" i="6" a="1"/>
  <c r="A853" i="6" a="1"/>
  <c r="A854" i="6" a="1"/>
  <c r="A855" i="6" a="1"/>
  <c r="A856" i="6" a="1"/>
  <c r="A857" i="6" a="1"/>
  <c r="A858" i="6" a="1"/>
  <c r="A859" i="6" a="1"/>
  <c r="A860" i="6" a="1"/>
  <c r="A861" i="6" a="1"/>
  <c r="A862" i="6" a="1"/>
  <c r="A863" i="6" a="1"/>
  <c r="A864" i="6" a="1"/>
  <c r="A865" i="6" a="1"/>
  <c r="A866" i="6" a="1"/>
  <c r="A867" i="6" a="1"/>
  <c r="A868" i="6" a="1"/>
  <c r="A869" i="6" a="1"/>
  <c r="A870" i="6" a="1"/>
  <c r="A871" i="6" a="1"/>
  <c r="A872" i="6" a="1"/>
  <c r="A873" i="6" a="1"/>
  <c r="A874" i="6" a="1"/>
  <c r="A875" i="6" a="1"/>
  <c r="A876" i="6" a="1"/>
  <c r="A877" i="6" a="1"/>
  <c r="A878" i="6" a="1"/>
  <c r="A879" i="6" a="1"/>
  <c r="A880" i="6" a="1"/>
  <c r="A881" i="6" a="1"/>
  <c r="A882" i="6" a="1"/>
  <c r="A883" i="6" a="1"/>
  <c r="A884" i="6" a="1"/>
  <c r="A885" i="6" a="1"/>
  <c r="A886" i="6" a="1"/>
  <c r="A887" i="6" a="1"/>
  <c r="A888" i="6" a="1"/>
  <c r="A889" i="6" a="1"/>
  <c r="A890" i="6" a="1"/>
  <c r="A891" i="6" a="1"/>
  <c r="A892" i="6" a="1"/>
  <c r="A893" i="6" a="1"/>
  <c r="A894" i="6" a="1"/>
  <c r="A895" i="6" a="1"/>
  <c r="A896" i="6" a="1"/>
  <c r="A897" i="6" a="1"/>
  <c r="A898" i="6" a="1"/>
  <c r="A899" i="6" a="1"/>
  <c r="A900" i="6" a="1"/>
  <c r="A901" i="6" a="1"/>
  <c r="A902" i="6" a="1"/>
  <c r="A903" i="6" a="1"/>
  <c r="A904" i="6" a="1"/>
  <c r="A905" i="6" a="1"/>
  <c r="A906" i="6" a="1"/>
  <c r="A907" i="6" a="1"/>
  <c r="A908" i="6" a="1"/>
  <c r="A909" i="6" a="1"/>
  <c r="A910" i="6" a="1"/>
  <c r="A911" i="6" a="1"/>
  <c r="A912" i="6" a="1"/>
  <c r="A913" i="6" a="1"/>
  <c r="A914" i="6" a="1"/>
  <c r="A915" i="6" a="1"/>
  <c r="A916" i="6" a="1"/>
  <c r="A917" i="6" a="1"/>
  <c r="A918" i="6" a="1"/>
  <c r="A919" i="6" a="1"/>
  <c r="A920" i="6" a="1"/>
  <c r="A921" i="6" a="1"/>
  <c r="A922" i="6" a="1"/>
  <c r="A923" i="6" a="1"/>
  <c r="A924" i="6" a="1"/>
  <c r="A925" i="6" a="1"/>
  <c r="A926" i="6" a="1"/>
  <c r="A927" i="6" a="1"/>
  <c r="A928" i="6" a="1"/>
  <c r="A929" i="6" a="1"/>
  <c r="A930" i="6" a="1"/>
  <c r="A931" i="6" a="1"/>
  <c r="A932" i="6" a="1"/>
  <c r="A933" i="6" a="1"/>
  <c r="A934" i="6" a="1"/>
  <c r="A935" i="6" a="1"/>
  <c r="A936" i="6" a="1"/>
  <c r="A937" i="6" a="1"/>
  <c r="A938" i="6" a="1"/>
  <c r="A939" i="6" a="1"/>
  <c r="A940" i="6" a="1"/>
  <c r="A941" i="6" a="1"/>
  <c r="A942" i="6" a="1"/>
  <c r="A943" i="6" a="1"/>
  <c r="A944" i="6" a="1"/>
  <c r="A945" i="6" a="1"/>
  <c r="A946" i="6" a="1"/>
  <c r="A947" i="6" a="1"/>
  <c r="A948" i="6" a="1"/>
  <c r="A949" i="6" a="1"/>
  <c r="A950" i="6" a="1"/>
  <c r="A951" i="6" a="1"/>
  <c r="A952" i="6" a="1"/>
  <c r="A953" i="6" a="1"/>
  <c r="A954" i="6" a="1"/>
  <c r="A955" i="6" a="1"/>
  <c r="A956" i="6" a="1"/>
  <c r="A957" i="6" a="1"/>
  <c r="A958" i="6" a="1"/>
  <c r="A959" i="6" a="1"/>
  <c r="A960" i="6" a="1"/>
  <c r="A961" i="6" a="1"/>
  <c r="A962" i="6" a="1"/>
  <c r="A963" i="6" a="1"/>
  <c r="A964" i="6" a="1"/>
  <c r="A965" i="6" a="1"/>
  <c r="A966" i="6" a="1"/>
  <c r="A967" i="6" a="1"/>
  <c r="A968" i="6" a="1"/>
  <c r="A969" i="6" a="1"/>
  <c r="A970" i="6" a="1"/>
  <c r="A971" i="6" a="1"/>
  <c r="A972" i="6" a="1"/>
  <c r="A973" i="6" a="1"/>
  <c r="A974" i="6" a="1"/>
  <c r="A975" i="6" a="1"/>
  <c r="A976" i="6" a="1"/>
  <c r="A977" i="6" a="1"/>
  <c r="A978" i="6" a="1"/>
  <c r="A979" i="6" a="1"/>
  <c r="A980" i="6" a="1"/>
  <c r="A981" i="6" a="1"/>
  <c r="A982" i="6" a="1"/>
  <c r="A983" i="6" a="1"/>
  <c r="A984" i="6" a="1"/>
  <c r="A985" i="6" a="1"/>
  <c r="A986" i="6" a="1"/>
  <c r="A987" i="6" a="1"/>
  <c r="A988" i="6" a="1"/>
  <c r="A989" i="6" a="1"/>
  <c r="A990" i="6" a="1"/>
  <c r="A991" i="6" a="1"/>
  <c r="A992" i="6" a="1"/>
  <c r="A993" i="6" a="1"/>
  <c r="A994" i="6" a="1"/>
  <c r="A995" i="6" a="1"/>
  <c r="A996" i="6" a="1"/>
  <c r="A997" i="6" a="1"/>
  <c r="A998" i="6" a="1"/>
  <c r="A999" i="6" a="1"/>
  <c r="A1000" i="6" a="1"/>
  <c r="A1001" i="6" a="1"/>
  <c r="A1002" i="6" a="1"/>
  <c r="A1003" i="6" a="1"/>
  <c r="A1004" i="6" a="1"/>
  <c r="A1005" i="6" a="1"/>
  <c r="A1006" i="6" a="1"/>
  <c r="A1007" i="6" a="1"/>
  <c r="A1008" i="6" a="1"/>
  <c r="A1009" i="6" a="1"/>
  <c r="A1010" i="6" a="1"/>
  <c r="A1011" i="6" a="1"/>
  <c r="A1012" i="6" a="1"/>
  <c r="A1013" i="6" a="1"/>
  <c r="A1014" i="6" a="1"/>
  <c r="A1015" i="6" a="1"/>
  <c r="A1016" i="6" a="1"/>
  <c r="A1017" i="6" a="1"/>
  <c r="A1018" i="6" a="1"/>
  <c r="A1019" i="6" a="1"/>
  <c r="A1020" i="6" a="1"/>
  <c r="A1021" i="6" a="1"/>
  <c r="A1022" i="6" a="1"/>
  <c r="A1023" i="6" a="1"/>
  <c r="A1024" i="6" a="1"/>
  <c r="A1025" i="6" a="1"/>
  <c r="A1026" i="6" a="1"/>
  <c r="A1027" i="6" a="1"/>
  <c r="A1028" i="6" a="1"/>
  <c r="A1029" i="6" a="1"/>
  <c r="A1030" i="6" a="1"/>
  <c r="A1031" i="6" a="1"/>
  <c r="A1032" i="6" a="1"/>
  <c r="A1033" i="6" a="1"/>
  <c r="A1034" i="6" a="1"/>
  <c r="A1035" i="6" a="1"/>
  <c r="A1036" i="6" a="1"/>
  <c r="A1037" i="6" a="1"/>
  <c r="A1038" i="6" a="1"/>
  <c r="A1039" i="6" a="1"/>
  <c r="A1040" i="6" a="1"/>
  <c r="A1041" i="6" a="1"/>
  <c r="A1042" i="6" a="1"/>
  <c r="A1043" i="6" a="1"/>
  <c r="A1044" i="6" a="1"/>
  <c r="A1045" i="6" a="1"/>
  <c r="A1046" i="6" a="1"/>
  <c r="A1047" i="6" a="1"/>
  <c r="A1048" i="6" a="1"/>
  <c r="A1049" i="6" a="1"/>
  <c r="A1050" i="6" a="1"/>
  <c r="A1051" i="6" a="1"/>
  <c r="A1052" i="6" a="1"/>
  <c r="A1053" i="6" a="1"/>
  <c r="A1054" i="6" a="1"/>
  <c r="A1055" i="6" a="1"/>
  <c r="A1056" i="6" a="1"/>
  <c r="A1057" i="6" a="1"/>
  <c r="A1058" i="6" a="1"/>
  <c r="A1059" i="6" a="1"/>
  <c r="A1060" i="6" a="1"/>
  <c r="A1061" i="6" a="1"/>
  <c r="A1062" i="6" a="1"/>
  <c r="A1063" i="6" a="1"/>
  <c r="A1064" i="6" a="1"/>
  <c r="A1065" i="6" a="1"/>
  <c r="A1066" i="6" a="1"/>
  <c r="A1067" i="6" a="1"/>
  <c r="A1068" i="6" a="1"/>
  <c r="A1069" i="6" a="1"/>
  <c r="A1070" i="6" a="1"/>
  <c r="A1071" i="6" a="1"/>
  <c r="A1072" i="6" a="1"/>
  <c r="A1073" i="6" a="1"/>
  <c r="A1074" i="6" a="1"/>
  <c r="A1075" i="6" a="1"/>
  <c r="A1076" i="6" a="1"/>
  <c r="A1077" i="6" a="1"/>
  <c r="A1078" i="6" a="1"/>
  <c r="A1079" i="6" a="1"/>
  <c r="A1080" i="6" a="1"/>
  <c r="A1081" i="6" a="1"/>
  <c r="A1082" i="6" a="1"/>
  <c r="A1083" i="6" a="1"/>
  <c r="A1084" i="6" a="1"/>
  <c r="A1085" i="6" a="1"/>
  <c r="A1086" i="6" a="1"/>
  <c r="A1087" i="6" a="1"/>
  <c r="A1088" i="6" a="1"/>
  <c r="A1089" i="6" a="1"/>
  <c r="A1090" i="6" a="1"/>
  <c r="A1091" i="6" a="1"/>
  <c r="A1092" i="6" a="1"/>
  <c r="A1093" i="6" a="1"/>
  <c r="A1094" i="6" a="1"/>
  <c r="A1095" i="6" a="1"/>
  <c r="A1096" i="6" a="1"/>
  <c r="A1097" i="6" a="1"/>
  <c r="A1098" i="6" a="1"/>
  <c r="A1099" i="6" a="1"/>
  <c r="A1100" i="6" a="1"/>
  <c r="A1101" i="6" a="1"/>
  <c r="A1102" i="6" a="1"/>
  <c r="A1103" i="6" a="1"/>
  <c r="A1104" i="6" a="1"/>
  <c r="A1105" i="6" a="1"/>
  <c r="A1106" i="6" a="1"/>
  <c r="A1107" i="6" a="1"/>
  <c r="A1108" i="6" a="1"/>
  <c r="A1109" i="6" a="1"/>
  <c r="A1110" i="6" a="1"/>
  <c r="A1111" i="6" a="1"/>
  <c r="A1112" i="6" a="1"/>
  <c r="A1113" i="6" a="1"/>
  <c r="A1114" i="6" a="1"/>
  <c r="A1115" i="6" a="1"/>
  <c r="A1116" i="6" a="1"/>
  <c r="A1117" i="6" a="1"/>
  <c r="A1118" i="6" a="1"/>
  <c r="A1119" i="6" a="1"/>
  <c r="A1120" i="6" a="1"/>
  <c r="A1121" i="6" a="1"/>
  <c r="A1122" i="6" a="1"/>
  <c r="A1123" i="6" a="1"/>
  <c r="A1124" i="6" a="1"/>
  <c r="A1125" i="6" a="1"/>
  <c r="A1126" i="6" a="1"/>
  <c r="A1127" i="6" a="1"/>
  <c r="A1128" i="6" a="1"/>
  <c r="A1129" i="6" a="1"/>
  <c r="A1130" i="6" a="1"/>
  <c r="A1131" i="6" a="1"/>
  <c r="A1132" i="6" a="1"/>
  <c r="A1133" i="6" a="1"/>
  <c r="A1134" i="6" a="1"/>
  <c r="A1135" i="6" a="1"/>
  <c r="A1136" i="6" a="1"/>
  <c r="A1137" i="6" a="1"/>
  <c r="A1138" i="6" a="1"/>
  <c r="A1139" i="6" a="1"/>
  <c r="A1140" i="6" a="1"/>
  <c r="A1141" i="6" a="1"/>
  <c r="A1142" i="6" a="1"/>
  <c r="A1143" i="6" a="1"/>
  <c r="A1144" i="6" a="1"/>
  <c r="A1145" i="6" a="1"/>
  <c r="A1146" i="6" a="1"/>
  <c r="A1147" i="6" a="1"/>
  <c r="A1148" i="6" a="1"/>
  <c r="A1149" i="6" a="1"/>
  <c r="A1150" i="6" a="1"/>
  <c r="A1151" i="6" a="1"/>
  <c r="A1152" i="6" a="1"/>
  <c r="A1153" i="6" a="1"/>
  <c r="A1154" i="6" a="1"/>
  <c r="A1155" i="6" a="1"/>
  <c r="A1156" i="6" a="1"/>
  <c r="A1157" i="6" a="1"/>
  <c r="A1158" i="6" a="1"/>
  <c r="A1159" i="6" a="1"/>
  <c r="A1160" i="6" a="1"/>
  <c r="A1161" i="6" a="1"/>
  <c r="A1162" i="6" a="1"/>
  <c r="A1163" i="6" a="1"/>
  <c r="A1164" i="6" a="1"/>
  <c r="A1165" i="6" a="1"/>
  <c r="A1166" i="6" a="1"/>
  <c r="A1167" i="6" a="1"/>
  <c r="A1168" i="6" a="1"/>
  <c r="A1169" i="6" a="1"/>
  <c r="A1170" i="6" a="1"/>
  <c r="A1171" i="6" a="1"/>
  <c r="A1172" i="6" a="1"/>
  <c r="A1173" i="6" a="1"/>
  <c r="A1174" i="6" a="1"/>
  <c r="A1175" i="6" a="1"/>
  <c r="A1176" i="6" a="1"/>
  <c r="A1177" i="6" a="1"/>
  <c r="A1178" i="6" a="1"/>
  <c r="A1179" i="6" a="1"/>
  <c r="A1180" i="6" a="1"/>
  <c r="A1181" i="6" a="1"/>
  <c r="A1182" i="6" a="1"/>
  <c r="A1183" i="6" a="1"/>
  <c r="A1184" i="6" a="1"/>
  <c r="A1185" i="6" a="1"/>
  <c r="A1186" i="6" a="1"/>
  <c r="A1187" i="6" a="1"/>
  <c r="A1188" i="6" a="1"/>
  <c r="A1189" i="6" a="1"/>
  <c r="A1190" i="6" a="1"/>
  <c r="A1191" i="6" a="1"/>
  <c r="A1192" i="6" a="1"/>
  <c r="A1193" i="6" a="1"/>
  <c r="A1194" i="6" a="1"/>
  <c r="A1195" i="6" a="1"/>
  <c r="A1196" i="6" a="1"/>
  <c r="A1197" i="6" a="1"/>
  <c r="A1198" i="6" a="1"/>
  <c r="A1199" i="6" a="1"/>
  <c r="A1200" i="6" a="1"/>
  <c r="A1201" i="6" a="1"/>
  <c r="A1202" i="6" a="1"/>
  <c r="A1203" i="6" a="1"/>
  <c r="A1204" i="6" a="1"/>
  <c r="A1205" i="6" a="1"/>
  <c r="A1206" i="6" a="1"/>
  <c r="A1207" i="6" a="1"/>
  <c r="A1208" i="6" a="1"/>
  <c r="A1209" i="6" a="1"/>
  <c r="A1210" i="6" a="1"/>
  <c r="A1211" i="6" a="1"/>
  <c r="A1212" i="6" a="1"/>
  <c r="A1213" i="6" a="1"/>
  <c r="A1214" i="6" a="1"/>
  <c r="A1215" i="6" a="1"/>
  <c r="A1216" i="6" a="1"/>
  <c r="A1217" i="6" a="1"/>
  <c r="A1218" i="6" a="1"/>
  <c r="A1219" i="6" a="1"/>
  <c r="A1220" i="6" a="1"/>
  <c r="A1221" i="6" a="1"/>
  <c r="A1222" i="6" a="1"/>
  <c r="A1223" i="6" a="1"/>
  <c r="A1224" i="6" a="1"/>
  <c r="A1225" i="6" a="1"/>
  <c r="A1226" i="6" a="1"/>
  <c r="A1227" i="6" a="1"/>
  <c r="A1228" i="6" a="1"/>
  <c r="A1229" i="6" a="1"/>
  <c r="A1230" i="6" a="1"/>
  <c r="A1231" i="6" a="1"/>
  <c r="A1232" i="6" a="1"/>
  <c r="A1233" i="6" a="1"/>
  <c r="A1234" i="6" a="1"/>
  <c r="A1235" i="6" a="1"/>
  <c r="A1236" i="6" a="1"/>
  <c r="A1237" i="6" a="1"/>
  <c r="A1238" i="6" a="1"/>
  <c r="A1239" i="6" a="1"/>
  <c r="A1240" i="6" a="1"/>
  <c r="A1241" i="6" a="1"/>
  <c r="A1242" i="6" a="1"/>
  <c r="A1243" i="6" a="1"/>
  <c r="A1244" i="6" a="1"/>
  <c r="A1245" i="6" a="1"/>
  <c r="A1246" i="6" a="1"/>
  <c r="A1247" i="6" a="1"/>
  <c r="A1248" i="6" a="1"/>
  <c r="A1249" i="6" a="1"/>
  <c r="A1250" i="6" a="1"/>
  <c r="A1251" i="6" a="1"/>
  <c r="A1252" i="6" a="1"/>
  <c r="A1253" i="6" a="1"/>
  <c r="A1254" i="6" a="1"/>
  <c r="A1255" i="6" a="1"/>
  <c r="A1256" i="6" a="1"/>
  <c r="A1257" i="6" a="1"/>
  <c r="A1258" i="6" a="1"/>
  <c r="A1259" i="6" a="1"/>
  <c r="A1260" i="6" a="1"/>
  <c r="A1261" i="6" a="1"/>
  <c r="A1262" i="6" a="1"/>
  <c r="A1263" i="6" a="1"/>
  <c r="A1264" i="6" a="1"/>
  <c r="A1265" i="6" a="1"/>
  <c r="A1266" i="6" a="1"/>
  <c r="A1267" i="6" a="1"/>
  <c r="A1268" i="6" a="1"/>
  <c r="A1269" i="6" a="1"/>
  <c r="A1270" i="6" a="1"/>
  <c r="A1271" i="6" a="1"/>
  <c r="A1272" i="6" a="1"/>
  <c r="A1273" i="6" a="1"/>
  <c r="A1274" i="6" a="1"/>
  <c r="A1275" i="6" a="1"/>
  <c r="A1276" i="6" a="1"/>
  <c r="A1277" i="6" a="1"/>
  <c r="A1278" i="6" a="1"/>
  <c r="A1279" i="6" a="1"/>
  <c r="A1280" i="6" a="1"/>
  <c r="A1281" i="6" a="1"/>
  <c r="A1282" i="6" a="1"/>
  <c r="A1283" i="6" a="1"/>
  <c r="A1284" i="6" a="1"/>
  <c r="A1285" i="6" a="1"/>
  <c r="A1286" i="6" a="1"/>
  <c r="A1287" i="6" a="1"/>
  <c r="A1288" i="6" a="1"/>
  <c r="A1289" i="6" a="1"/>
  <c r="A1290" i="6" a="1"/>
  <c r="A1291" i="6" a="1"/>
  <c r="A1292" i="6" a="1"/>
  <c r="A1293" i="6" a="1"/>
  <c r="A1294" i="6" a="1"/>
  <c r="A1295" i="6" a="1"/>
  <c r="A1296" i="6" a="1"/>
  <c r="A1297" i="6" a="1"/>
  <c r="A1298" i="6" a="1"/>
  <c r="A1299" i="6" a="1"/>
  <c r="A1300" i="6" a="1"/>
  <c r="A1301" i="6" a="1"/>
  <c r="A1302" i="6" a="1"/>
  <c r="A1303" i="6" a="1"/>
  <c r="A1304" i="6" a="1"/>
  <c r="A1305" i="6" a="1"/>
  <c r="A1306" i="6" a="1"/>
  <c r="A1307" i="6" a="1"/>
  <c r="A1308" i="6" a="1"/>
  <c r="A1309" i="6" a="1"/>
  <c r="A1310" i="6" a="1"/>
  <c r="A1311" i="6" a="1"/>
  <c r="A1312" i="6" a="1"/>
  <c r="A1313" i="6" a="1"/>
  <c r="A1314" i="6" a="1"/>
  <c r="A1315" i="6" a="1"/>
  <c r="A1316" i="6" a="1"/>
  <c r="A1317" i="6" a="1"/>
  <c r="A1318" i="6" a="1"/>
  <c r="A1319" i="6" a="1"/>
  <c r="A1320" i="6" a="1"/>
  <c r="A1321" i="6" a="1"/>
  <c r="A1322" i="6" a="1"/>
  <c r="A1323" i="6" a="1"/>
  <c r="A1324" i="6" a="1"/>
  <c r="A1325" i="6" a="1"/>
  <c r="A1326" i="6" a="1"/>
  <c r="A1327" i="6" a="1"/>
  <c r="A1328" i="6" a="1"/>
  <c r="A1329" i="6" a="1"/>
  <c r="A1330" i="6" a="1"/>
  <c r="A1331" i="6" a="1"/>
  <c r="A1332" i="6" a="1"/>
  <c r="A1333" i="6" a="1"/>
  <c r="A1334" i="6" a="1"/>
  <c r="A1335" i="6" a="1"/>
  <c r="A1336" i="6" a="1"/>
  <c r="A1337" i="6" a="1"/>
  <c r="A1338" i="6" a="1"/>
  <c r="A1339" i="6" a="1"/>
  <c r="A1340" i="6" a="1"/>
  <c r="A1341" i="6" a="1"/>
  <c r="A1342" i="6" a="1"/>
  <c r="A1343" i="6" a="1"/>
  <c r="A1344" i="6" a="1"/>
  <c r="A1345" i="6" a="1"/>
  <c r="A1346" i="6" a="1"/>
  <c r="A1347" i="6" a="1"/>
  <c r="A1348" i="6" a="1"/>
  <c r="A1349" i="6" a="1"/>
  <c r="A1350" i="6" a="1"/>
  <c r="A1351" i="6" a="1"/>
  <c r="A1352" i="6" a="1"/>
  <c r="A1353" i="6" a="1"/>
  <c r="A1354" i="6" a="1"/>
  <c r="A1355" i="6" a="1"/>
  <c r="A1356" i="6" a="1"/>
  <c r="A1357" i="6" a="1"/>
  <c r="A1358" i="6" a="1"/>
  <c r="A1359" i="6" a="1"/>
  <c r="A1360" i="6" a="1"/>
  <c r="A1361" i="6" a="1"/>
  <c r="A1362" i="6" a="1"/>
  <c r="A1363" i="6" a="1"/>
  <c r="A1364" i="6" a="1"/>
  <c r="A1365" i="6" a="1"/>
  <c r="A1366" i="6" a="1"/>
  <c r="A1367" i="6" a="1"/>
  <c r="A1368" i="6" a="1"/>
  <c r="A1369" i="6" a="1"/>
  <c r="A1370" i="6" a="1"/>
  <c r="A1371" i="6" a="1"/>
  <c r="A1372" i="6" a="1"/>
  <c r="A1373" i="6" a="1"/>
  <c r="A1374" i="6" a="1"/>
  <c r="A1375" i="6" a="1"/>
  <c r="A1376" i="6" a="1"/>
  <c r="A1377" i="6" a="1"/>
  <c r="A1378" i="6" a="1"/>
  <c r="A1379" i="6" a="1"/>
  <c r="A1380" i="6" a="1"/>
  <c r="A1381" i="6" a="1"/>
  <c r="A1382" i="6" a="1"/>
  <c r="A1383" i="6" a="1"/>
  <c r="A1384" i="6" a="1"/>
  <c r="A1385" i="6" a="1"/>
  <c r="A1386" i="6" a="1"/>
  <c r="A1387" i="6" a="1"/>
  <c r="A1388" i="6" a="1"/>
  <c r="A1389" i="6" a="1"/>
  <c r="A1390" i="6" a="1"/>
  <c r="A1391" i="6" a="1"/>
  <c r="A1392" i="6" a="1"/>
  <c r="A1393" i="6" a="1"/>
  <c r="A1394" i="6" a="1"/>
  <c r="A1395" i="6" a="1"/>
  <c r="A1396" i="6" a="1"/>
  <c r="A1397" i="6" a="1"/>
  <c r="A1398" i="6" a="1"/>
  <c r="A1399" i="6" a="1"/>
  <c r="A1400" i="6" a="1"/>
  <c r="A1401" i="6" a="1"/>
  <c r="A1402" i="6" a="1"/>
  <c r="A1403" i="6" a="1"/>
  <c r="A1404" i="6" a="1"/>
  <c r="A1405" i="6" a="1"/>
  <c r="A1406" i="6" a="1"/>
  <c r="A1407" i="6" a="1"/>
  <c r="A1408" i="6" a="1"/>
  <c r="A1409" i="6" a="1"/>
  <c r="A1410" i="6" a="1"/>
  <c r="A1411" i="6" a="1"/>
  <c r="A1412" i="6" a="1"/>
  <c r="A1413" i="6" a="1"/>
  <c r="A1414" i="6" a="1"/>
  <c r="A1415" i="6" a="1"/>
  <c r="A1416" i="6" a="1"/>
  <c r="A1417" i="6" a="1"/>
  <c r="A1418" i="6" a="1"/>
  <c r="A1419" i="6" a="1"/>
  <c r="A1420" i="6" a="1"/>
  <c r="A1421" i="6" a="1"/>
  <c r="A1422" i="6" a="1"/>
  <c r="A1423" i="6" a="1"/>
  <c r="A1424" i="6" a="1"/>
  <c r="A1425" i="6" a="1"/>
  <c r="A1426" i="6" a="1"/>
  <c r="A1427" i="6" a="1"/>
  <c r="A1428" i="6" a="1"/>
  <c r="A1429" i="6" a="1"/>
  <c r="A1430" i="6" a="1"/>
  <c r="A1431" i="6" a="1"/>
  <c r="A1432" i="6" a="1"/>
  <c r="A1433" i="6" a="1"/>
  <c r="A1434" i="6" a="1"/>
  <c r="A1435" i="6" a="1"/>
  <c r="A1436" i="6" a="1"/>
  <c r="A1437" i="6" a="1"/>
  <c r="A1438" i="6" a="1"/>
  <c r="A1439" i="6" a="1"/>
  <c r="A1440" i="6" a="1"/>
  <c r="A1441" i="6" a="1"/>
  <c r="A1442" i="6" a="1"/>
  <c r="A1443" i="6" a="1"/>
  <c r="A1444" i="6" a="1"/>
  <c r="A1445" i="6" a="1"/>
  <c r="A1446" i="6" a="1"/>
  <c r="A1447" i="6" a="1"/>
  <c r="A1448" i="6" a="1"/>
  <c r="A1449" i="6" a="1"/>
  <c r="A1450" i="6" a="1"/>
  <c r="A1451" i="6" a="1"/>
  <c r="A1452" i="6" a="1"/>
  <c r="A1453" i="6" a="1"/>
  <c r="A1454" i="6" a="1"/>
  <c r="A1455" i="6" a="1"/>
  <c r="A1456" i="6" a="1"/>
  <c r="A1457" i="6" a="1"/>
  <c r="A1458" i="6" a="1"/>
  <c r="A1459" i="6" a="1"/>
  <c r="A1460" i="6" a="1"/>
  <c r="A1461" i="6" a="1"/>
  <c r="A1462" i="6" a="1"/>
  <c r="A1463" i="6" a="1"/>
  <c r="A1464" i="6" a="1"/>
  <c r="A1465" i="6" a="1"/>
  <c r="A1466" i="6" a="1"/>
  <c r="A1467" i="6" a="1"/>
  <c r="A1468" i="6" a="1"/>
  <c r="A1469" i="6" a="1"/>
  <c r="A1470" i="6" a="1"/>
  <c r="A1471" i="6" a="1"/>
  <c r="A1472" i="6" a="1"/>
  <c r="A1473" i="6" a="1"/>
  <c r="A1474" i="6" a="1"/>
  <c r="A1475" i="6" a="1"/>
  <c r="A1476" i="6" a="1"/>
  <c r="A1477" i="6" a="1"/>
  <c r="A1478" i="6" a="1"/>
  <c r="A1479" i="6" a="1"/>
  <c r="A1480" i="6" a="1"/>
  <c r="A1481" i="6" a="1"/>
  <c r="A1482" i="6" a="1"/>
  <c r="A1483" i="6" a="1"/>
  <c r="A1484" i="6" a="1"/>
  <c r="A1485" i="6" a="1"/>
  <c r="A1486" i="6" a="1"/>
  <c r="A1487" i="6" a="1"/>
  <c r="A1488" i="6" a="1"/>
  <c r="A1489" i="6" a="1"/>
  <c r="A1490" i="6" a="1"/>
  <c r="A1491" i="6" a="1"/>
  <c r="A1492" i="6" a="1"/>
  <c r="A1493" i="6" a="1"/>
  <c r="A1494" i="6" a="1"/>
  <c r="A1495" i="6" a="1"/>
  <c r="A1496" i="6" a="1"/>
  <c r="A1497" i="6" a="1"/>
  <c r="A1498" i="6" a="1"/>
  <c r="A1499" i="6" a="1"/>
  <c r="A1500" i="6" a="1"/>
  <c r="A1501" i="6" a="1"/>
  <c r="A1502" i="6" a="1"/>
  <c r="A1503" i="6" a="1"/>
  <c r="A1504" i="6" a="1"/>
  <c r="A1505" i="6" a="1"/>
  <c r="A1506" i="6" a="1"/>
  <c r="A1507" i="6" a="1"/>
  <c r="A1508" i="6" a="1"/>
  <c r="A1509" i="6" a="1"/>
  <c r="A1510" i="6" a="1"/>
  <c r="A1511" i="6" a="1"/>
  <c r="A1512" i="6" a="1"/>
  <c r="A1513" i="6" a="1"/>
  <c r="A1514" i="6" a="1"/>
  <c r="A1515" i="6" a="1"/>
  <c r="A1516" i="6" a="1"/>
  <c r="A1517" i="6" a="1"/>
  <c r="A1518" i="6" a="1"/>
  <c r="A1519" i="6" a="1"/>
  <c r="A1520" i="6" a="1"/>
  <c r="A1521" i="6" a="1"/>
  <c r="A1522" i="6" a="1"/>
  <c r="A1523" i="6" a="1"/>
  <c r="A1524" i="6" a="1"/>
  <c r="A1525" i="6" a="1"/>
  <c r="A1526" i="6" a="1"/>
  <c r="A1527" i="6" a="1"/>
  <c r="A1528" i="6" a="1"/>
  <c r="A1529" i="6" a="1"/>
  <c r="A1530" i="6" a="1"/>
  <c r="A1531" i="6" a="1"/>
  <c r="A1532" i="6" a="1"/>
  <c r="A1533" i="6" a="1"/>
  <c r="A1534" i="6" a="1"/>
  <c r="A1535" i="6" a="1"/>
  <c r="A1536" i="6" a="1"/>
  <c r="A1537" i="6" a="1"/>
  <c r="A1538" i="6" a="1"/>
  <c r="A1539" i="6" a="1"/>
  <c r="A1540" i="6" a="1"/>
  <c r="A1541" i="6" a="1"/>
  <c r="A1542" i="6" a="1"/>
  <c r="A1543" i="6" a="1"/>
  <c r="A1544" i="6" a="1"/>
  <c r="A1545" i="6" a="1"/>
  <c r="A1546" i="6" a="1"/>
  <c r="A1547" i="6" a="1"/>
  <c r="A1548" i="6" a="1"/>
  <c r="A1549" i="6" a="1"/>
  <c r="A1550" i="6" a="1"/>
  <c r="A1551" i="6" a="1"/>
  <c r="A1552" i="6" a="1"/>
  <c r="A1553" i="6" a="1"/>
  <c r="A1554" i="6" a="1"/>
  <c r="A1555" i="6" a="1"/>
  <c r="A1556" i="6" a="1"/>
  <c r="A1557" i="6" a="1"/>
  <c r="A1558" i="6" a="1"/>
  <c r="A1559" i="6" a="1"/>
  <c r="A1560" i="6" a="1"/>
  <c r="A1561" i="6" a="1"/>
  <c r="A1562" i="6" a="1"/>
  <c r="A1563" i="6" a="1"/>
  <c r="A1564" i="6" a="1"/>
  <c r="A1565" i="6" a="1"/>
  <c r="A1566" i="6" a="1"/>
  <c r="A1567" i="6" a="1"/>
  <c r="A1568" i="6" a="1"/>
  <c r="A1569" i="6" a="1"/>
  <c r="A1570" i="6" a="1"/>
  <c r="A1571" i="6" a="1"/>
  <c r="A1572" i="6" a="1"/>
  <c r="A1573" i="6" a="1"/>
  <c r="A1574" i="6" a="1"/>
  <c r="A1575" i="6" a="1"/>
  <c r="A1576" i="6" a="1"/>
  <c r="A1577" i="6" a="1"/>
  <c r="A1578" i="6" a="1"/>
  <c r="A1579" i="6" a="1"/>
  <c r="A1580" i="6" a="1"/>
  <c r="A1581" i="6" a="1"/>
  <c r="A1582" i="6" a="1"/>
  <c r="A1583" i="6" a="1"/>
  <c r="A1584" i="6" a="1"/>
  <c r="A1585" i="6" a="1"/>
  <c r="A1586" i="6" a="1"/>
  <c r="A1587" i="6" a="1"/>
  <c r="A1588" i="6" a="1"/>
  <c r="A1589" i="6" a="1"/>
  <c r="A1590" i="6" a="1"/>
  <c r="A1591" i="6" a="1"/>
  <c r="A1592" i="6" a="1"/>
  <c r="A1593" i="6" a="1"/>
  <c r="A1594" i="6" a="1"/>
  <c r="A1595" i="6" a="1"/>
  <c r="A1596" i="6" a="1"/>
  <c r="A1597" i="6" a="1"/>
  <c r="A1598" i="6" a="1"/>
  <c r="A1599" i="6" a="1"/>
  <c r="A1600" i="6" a="1"/>
  <c r="A1601" i="6" a="1"/>
  <c r="A1602" i="6" a="1"/>
  <c r="A1603" i="6" a="1"/>
  <c r="A1604" i="6" a="1"/>
  <c r="A1605" i="6" a="1"/>
  <c r="A1606" i="6" a="1"/>
  <c r="A1607" i="6" a="1"/>
  <c r="A1608" i="6" a="1"/>
  <c r="A1609" i="6" a="1"/>
  <c r="A1610" i="6" a="1"/>
  <c r="A1611" i="6" a="1"/>
  <c r="A1612" i="6" a="1"/>
  <c r="A1613" i="6" a="1"/>
  <c r="A1614" i="6" a="1"/>
  <c r="A1615" i="6" a="1"/>
  <c r="A1616" i="6" a="1"/>
  <c r="A1617" i="6" a="1"/>
  <c r="A1618" i="6" a="1"/>
  <c r="A1619" i="6" a="1"/>
  <c r="A1620" i="6" a="1"/>
  <c r="A1621" i="6" a="1"/>
  <c r="A1622" i="6" a="1"/>
  <c r="A1623" i="6" a="1"/>
  <c r="A1624" i="6" a="1"/>
  <c r="A1625" i="6" a="1"/>
  <c r="A1626" i="6" a="1"/>
  <c r="A1627" i="6" a="1"/>
  <c r="A1628" i="6" a="1"/>
  <c r="A1629" i="6" a="1"/>
  <c r="A1630" i="6" a="1"/>
  <c r="A1631" i="6" a="1"/>
  <c r="A1632" i="6" a="1"/>
  <c r="A1633" i="6" a="1"/>
  <c r="A1634" i="6" a="1"/>
  <c r="A1635" i="6" a="1"/>
  <c r="A1636" i="6" a="1"/>
  <c r="A1637" i="6" a="1"/>
  <c r="A1638" i="6" a="1"/>
  <c r="A1639" i="6" a="1"/>
  <c r="A1640" i="6" a="1"/>
  <c r="A1641" i="6" a="1"/>
  <c r="A1642" i="6" a="1"/>
  <c r="A1643" i="6" a="1"/>
  <c r="A1644" i="6" a="1"/>
  <c r="A1645" i="6" a="1"/>
  <c r="A1646" i="6" a="1"/>
  <c r="A1647" i="6" a="1"/>
  <c r="A1648" i="6" a="1"/>
  <c r="A1649" i="6" a="1"/>
  <c r="A1650" i="6" a="1"/>
  <c r="A1651" i="6" a="1"/>
  <c r="A1652" i="6" a="1"/>
  <c r="A1653" i="6" a="1"/>
  <c r="A1654" i="6" a="1"/>
  <c r="A1655" i="6" a="1"/>
  <c r="A1656" i="6" a="1"/>
  <c r="A1657" i="6" a="1"/>
  <c r="A1658" i="6" a="1"/>
  <c r="A1659" i="6" a="1"/>
  <c r="A1660" i="6" a="1"/>
  <c r="A1661" i="6" a="1"/>
  <c r="A1662" i="6" a="1"/>
  <c r="A1663" i="6" a="1"/>
  <c r="A1664" i="6" a="1"/>
  <c r="A1665" i="6" a="1"/>
  <c r="A1666" i="6" a="1"/>
  <c r="A1667" i="6" a="1"/>
  <c r="A1668" i="6" a="1"/>
  <c r="A1669" i="6" a="1"/>
  <c r="A1670" i="6" a="1"/>
  <c r="A1671" i="6" a="1"/>
  <c r="A1672" i="6" a="1"/>
  <c r="A1673" i="6" a="1"/>
  <c r="A1674" i="6" a="1"/>
  <c r="A1675" i="6" a="1"/>
  <c r="A1676" i="6" a="1"/>
  <c r="A1677" i="6" a="1"/>
  <c r="A1678" i="6" a="1"/>
  <c r="A1679" i="6" a="1"/>
  <c r="A1680" i="6" a="1"/>
  <c r="A1681" i="6" a="1"/>
  <c r="A1682" i="6" a="1"/>
  <c r="A1683" i="6" a="1"/>
  <c r="A1684" i="6" a="1"/>
  <c r="A1685" i="6" a="1"/>
  <c r="A1686" i="6" a="1"/>
  <c r="A1687" i="6" a="1"/>
  <c r="A1688" i="6" a="1"/>
  <c r="A1689" i="6" a="1"/>
  <c r="A1690" i="6" a="1"/>
  <c r="A1691" i="6" a="1"/>
  <c r="A1692" i="6" a="1"/>
  <c r="A1693" i="6" a="1"/>
  <c r="A1694" i="6" a="1"/>
  <c r="A1695" i="6" a="1"/>
  <c r="A1696" i="6" a="1"/>
  <c r="A1697" i="6" a="1"/>
  <c r="A1698" i="6" a="1"/>
  <c r="A1699" i="6" a="1"/>
  <c r="A1700" i="6" a="1"/>
  <c r="A1701" i="6" a="1"/>
  <c r="A1702" i="6" a="1"/>
  <c r="A1703" i="6" a="1"/>
  <c r="A1704" i="6" a="1"/>
  <c r="A1705" i="6" a="1"/>
  <c r="A1706" i="6" a="1"/>
  <c r="A1707" i="6" a="1"/>
  <c r="A1708" i="6" a="1"/>
  <c r="A1709" i="6" a="1"/>
  <c r="A1710" i="6" a="1"/>
  <c r="A1711" i="6" a="1"/>
  <c r="A1712" i="6" a="1"/>
  <c r="A1713" i="6" a="1"/>
  <c r="A1714" i="6" a="1"/>
  <c r="A1715" i="6" a="1"/>
  <c r="A1716" i="6" a="1"/>
  <c r="A1717" i="6" a="1"/>
  <c r="A1718" i="6" a="1"/>
  <c r="A1719" i="6" a="1"/>
  <c r="A1720" i="6" a="1"/>
  <c r="A1721" i="6" a="1"/>
  <c r="A1722" i="6" a="1"/>
  <c r="A1723" i="6" a="1"/>
  <c r="A1724" i="6" a="1"/>
  <c r="A1725" i="6" a="1"/>
  <c r="A1726" i="6" a="1"/>
  <c r="A1727" i="6" a="1"/>
  <c r="A1728" i="6" a="1"/>
  <c r="A1729" i="6" a="1"/>
  <c r="A1730" i="6" a="1"/>
  <c r="A1731" i="6" a="1"/>
  <c r="A1732" i="6" a="1"/>
  <c r="A1733" i="6" a="1"/>
  <c r="A1734" i="6" a="1"/>
  <c r="A1735" i="6" a="1"/>
  <c r="A1736" i="6" a="1"/>
  <c r="A1737" i="6" a="1"/>
  <c r="A1738" i="6" a="1"/>
  <c r="A1739" i="6" a="1"/>
  <c r="A1740" i="6" a="1"/>
  <c r="A1741" i="6" a="1"/>
  <c r="A1742" i="6" a="1"/>
  <c r="A1743" i="6" a="1"/>
  <c r="A1744" i="6" a="1"/>
  <c r="A1745" i="6" a="1"/>
  <c r="A1746" i="6" a="1"/>
  <c r="A1747" i="6" a="1"/>
  <c r="A1748" i="6" a="1"/>
  <c r="A1749" i="6" a="1"/>
  <c r="A1750" i="6" a="1"/>
  <c r="A1751" i="6" a="1"/>
  <c r="A1752" i="6" a="1"/>
  <c r="A1753" i="6" a="1"/>
  <c r="A1754" i="6" a="1"/>
  <c r="A1755" i="6" a="1"/>
  <c r="A1756" i="6" a="1"/>
  <c r="A1757" i="6" a="1"/>
  <c r="A1758" i="6" a="1"/>
  <c r="A1759" i="6" a="1"/>
  <c r="A1760" i="6" a="1"/>
  <c r="A1761" i="6" a="1"/>
  <c r="A1762" i="6" a="1"/>
  <c r="A1763" i="6" a="1"/>
  <c r="A1764" i="6" a="1"/>
  <c r="A1765" i="6" a="1"/>
  <c r="A1766" i="6" a="1"/>
  <c r="A1767" i="6" a="1"/>
  <c r="A1768" i="6" a="1"/>
  <c r="A1769" i="6" a="1"/>
  <c r="A1770" i="6" a="1"/>
  <c r="A1771" i="6" a="1"/>
  <c r="A1772" i="6" a="1"/>
  <c r="A1773" i="6" a="1"/>
  <c r="A1774" i="6" a="1"/>
  <c r="A1775" i="6" a="1"/>
  <c r="A1776" i="6" a="1"/>
  <c r="A1777" i="6" a="1"/>
  <c r="A1778" i="6" a="1"/>
  <c r="A1779" i="6" a="1"/>
  <c r="A1780" i="6" a="1"/>
  <c r="A1781" i="6" a="1"/>
  <c r="A1782" i="6" a="1"/>
  <c r="A1783" i="6" a="1"/>
  <c r="A1784" i="6" a="1"/>
  <c r="A1785" i="6" a="1"/>
  <c r="A1786" i="6" a="1"/>
  <c r="A1787" i="6" a="1"/>
  <c r="A1788" i="6" a="1"/>
  <c r="A1789" i="6" a="1"/>
  <c r="A1790" i="6" a="1"/>
  <c r="A1791" i="6" a="1"/>
  <c r="A1792" i="6" a="1"/>
  <c r="A1793" i="6" a="1"/>
  <c r="A1794" i="6" a="1"/>
  <c r="A1795" i="6" a="1"/>
  <c r="A1796" i="6" a="1"/>
  <c r="A1797" i="6" a="1"/>
  <c r="A1798" i="6" a="1"/>
  <c r="A1799" i="6" a="1"/>
  <c r="A1800" i="6" a="1"/>
  <c r="A1801" i="6" a="1"/>
  <c r="A1802" i="6" a="1"/>
  <c r="A1803" i="6" a="1"/>
  <c r="A1804" i="6" a="1"/>
  <c r="A1805" i="6" a="1"/>
  <c r="A1806" i="6" a="1"/>
  <c r="A1807" i="6" a="1"/>
  <c r="A1808" i="6" a="1"/>
  <c r="A1809" i="6" a="1"/>
  <c r="A1810" i="6" a="1"/>
  <c r="A1811" i="6" a="1"/>
  <c r="A1812" i="6" a="1"/>
  <c r="A1813" i="6" a="1"/>
  <c r="A1814" i="6" a="1"/>
  <c r="A1815" i="6" a="1"/>
  <c r="A1816" i="6" a="1"/>
  <c r="A1817" i="6" a="1"/>
  <c r="A1818" i="6" a="1"/>
  <c r="A1819" i="6" a="1"/>
  <c r="A1820" i="6" a="1"/>
  <c r="A1821" i="6" a="1"/>
  <c r="A1822" i="6" a="1"/>
  <c r="A1823" i="6" a="1"/>
  <c r="A1824" i="6" a="1"/>
  <c r="A1825" i="6" a="1"/>
  <c r="A1826" i="6" a="1"/>
  <c r="A1827" i="6" a="1"/>
  <c r="A1828" i="6" a="1"/>
  <c r="A1829" i="6" a="1"/>
  <c r="A1830" i="6" a="1"/>
  <c r="A1831" i="6" a="1"/>
  <c r="A1832" i="6" a="1"/>
  <c r="A1833" i="6" a="1"/>
  <c r="A1834" i="6" a="1"/>
  <c r="A1835" i="6" a="1"/>
  <c r="A1836" i="6" a="1"/>
  <c r="A1837" i="6" a="1"/>
  <c r="A1838" i="6" a="1"/>
  <c r="A1839" i="6" a="1"/>
  <c r="A1840" i="6" a="1"/>
  <c r="A1841" i="6" a="1"/>
  <c r="A1842" i="6" a="1"/>
  <c r="A1843" i="6" a="1"/>
  <c r="A1844" i="6" a="1"/>
  <c r="A1845" i="6" a="1"/>
  <c r="A1846" i="6" a="1"/>
  <c r="A1847" i="6" a="1"/>
  <c r="A1848" i="6" a="1"/>
  <c r="A1849" i="6" a="1"/>
  <c r="A1850" i="6" a="1"/>
  <c r="A1851" i="6" a="1"/>
  <c r="A1852" i="6" a="1"/>
  <c r="A1853" i="6" a="1"/>
  <c r="A1854" i="6" a="1"/>
  <c r="A1855" i="6" a="1"/>
  <c r="A1856" i="6" a="1"/>
  <c r="A1857" i="6" a="1"/>
  <c r="A1858" i="6" a="1"/>
  <c r="A1859" i="6" a="1"/>
  <c r="A1860" i="6" a="1"/>
  <c r="A1861" i="6" a="1"/>
  <c r="A1862" i="6" a="1"/>
  <c r="A1863" i="6" a="1"/>
  <c r="A1864" i="6" a="1"/>
  <c r="A1865" i="6" a="1"/>
  <c r="A1866" i="6" a="1"/>
  <c r="A1867" i="6" a="1"/>
  <c r="A1868" i="6" a="1"/>
  <c r="A1869" i="6" a="1"/>
  <c r="A1870" i="6" a="1"/>
  <c r="A1871" i="6" a="1"/>
  <c r="A1872" i="6" a="1"/>
  <c r="A1873" i="6" a="1"/>
  <c r="A1874" i="6" a="1"/>
  <c r="A1875" i="6" a="1"/>
  <c r="A1876" i="6" a="1"/>
  <c r="A1877" i="6" a="1"/>
  <c r="A1878" i="6" a="1"/>
  <c r="A1879" i="6" a="1"/>
  <c r="A1880" i="6" a="1"/>
  <c r="A1881" i="6" a="1"/>
  <c r="A1882" i="6" a="1"/>
  <c r="A1883" i="6" a="1"/>
  <c r="A1884" i="6" a="1"/>
  <c r="A1885" i="6" a="1"/>
  <c r="A1886" i="6" a="1"/>
  <c r="A1887" i="6" a="1"/>
  <c r="A1888" i="6" a="1"/>
  <c r="A1889" i="6" a="1"/>
  <c r="A1890" i="6" a="1"/>
  <c r="A1891" i="6" a="1"/>
  <c r="A1892" i="6" a="1"/>
  <c r="A1893" i="6" a="1"/>
  <c r="A1894" i="6" a="1"/>
  <c r="A1895" i="6" a="1"/>
  <c r="A1896" i="6" a="1"/>
  <c r="A1897" i="6" a="1"/>
  <c r="A1898" i="6" a="1"/>
  <c r="A1899" i="6" a="1"/>
  <c r="A1900" i="6" a="1"/>
  <c r="A1901" i="6" a="1"/>
  <c r="A1902" i="6" a="1"/>
  <c r="A1903" i="6" a="1"/>
  <c r="A1904" i="6" a="1"/>
  <c r="A1905" i="6" a="1"/>
  <c r="A1906" i="6" a="1"/>
  <c r="A1907" i="6" a="1"/>
  <c r="A1908" i="6" a="1"/>
  <c r="A1909" i="6" a="1"/>
  <c r="A1910" i="6" a="1"/>
  <c r="A1911" i="6" a="1"/>
  <c r="A1912" i="6" a="1"/>
  <c r="A1913" i="6" a="1"/>
  <c r="A1914" i="6" a="1"/>
  <c r="A1915" i="6" a="1"/>
  <c r="A1916" i="6" a="1"/>
  <c r="A1917" i="6" a="1"/>
  <c r="A1918" i="6" a="1"/>
  <c r="A1919" i="6" a="1"/>
  <c r="A1920" i="6" a="1"/>
  <c r="A1921" i="6" a="1"/>
  <c r="A1922" i="6" a="1"/>
  <c r="A1923" i="6" a="1"/>
  <c r="A1924" i="6" a="1"/>
  <c r="A1925" i="6" a="1"/>
  <c r="A1926" i="6" a="1"/>
  <c r="A1927" i="6" a="1"/>
  <c r="A1928" i="6" a="1"/>
  <c r="A1929" i="6" a="1"/>
  <c r="A1930" i="6" a="1"/>
  <c r="A1931" i="6" a="1"/>
  <c r="A1932" i="6" a="1"/>
  <c r="A1933" i="6" a="1"/>
  <c r="A1934" i="6" a="1"/>
  <c r="A1935" i="6" a="1"/>
  <c r="A1936" i="6" a="1"/>
  <c r="A1937" i="6" a="1"/>
  <c r="A1938" i="6" a="1"/>
  <c r="A1939" i="6" a="1"/>
  <c r="A1940" i="6" a="1"/>
  <c r="A1941" i="6" a="1"/>
  <c r="A1942" i="6" a="1"/>
  <c r="A1943" i="6" a="1"/>
  <c r="A1944" i="6" a="1"/>
  <c r="A1945" i="6" a="1"/>
  <c r="A1946" i="6" a="1"/>
  <c r="A1947" i="6" a="1"/>
  <c r="A1948" i="6" a="1"/>
  <c r="A1949" i="6" a="1"/>
  <c r="A1950" i="6" a="1"/>
  <c r="A1951" i="6" a="1"/>
  <c r="A1952" i="6" a="1"/>
  <c r="A1953" i="6" a="1"/>
  <c r="A1954" i="6" a="1"/>
  <c r="A1955" i="6" a="1"/>
  <c r="A1956" i="6" a="1"/>
  <c r="A1957" i="6" a="1"/>
  <c r="A1958" i="6" a="1"/>
  <c r="A1959" i="6" a="1"/>
  <c r="A1960" i="6" a="1"/>
  <c r="A1961" i="6" a="1"/>
  <c r="A1962" i="6" a="1"/>
  <c r="A1963" i="6" a="1"/>
  <c r="A1964" i="6" a="1"/>
  <c r="A1965" i="6" a="1"/>
  <c r="A1966" i="6" a="1"/>
  <c r="A1967" i="6" a="1"/>
  <c r="A1968" i="6" a="1"/>
  <c r="A1969" i="6" a="1"/>
  <c r="A1970" i="6" a="1"/>
  <c r="A1971" i="6" a="1"/>
  <c r="A1972" i="6" a="1"/>
  <c r="A1973" i="6" a="1"/>
  <c r="A1974" i="6" a="1"/>
  <c r="A1975" i="6" a="1"/>
  <c r="A1976" i="6" a="1"/>
  <c r="A1977" i="6" a="1"/>
  <c r="A1978" i="6" a="1"/>
  <c r="A1979" i="6" a="1"/>
  <c r="A1980" i="6" a="1"/>
  <c r="A1981" i="6" a="1"/>
  <c r="A1982" i="6" a="1"/>
  <c r="A1983" i="6" a="1"/>
  <c r="A1984" i="6" a="1"/>
  <c r="A1985" i="6" a="1"/>
  <c r="A1986" i="6" a="1"/>
  <c r="A1987" i="6" a="1"/>
  <c r="A1988" i="6" a="1"/>
  <c r="A1989" i="6" a="1"/>
  <c r="A1990" i="6" a="1"/>
  <c r="A1991" i="6" a="1"/>
  <c r="A1992" i="6" a="1"/>
  <c r="A1993" i="6" a="1"/>
  <c r="A1994" i="6" a="1"/>
  <c r="A1995" i="6" a="1"/>
  <c r="A1996" i="6" a="1"/>
  <c r="A1997" i="6" a="1"/>
  <c r="A1998" i="6" a="1"/>
  <c r="A1999" i="6" a="1"/>
  <c r="A2000" i="6" a="1"/>
  <c r="A2001" i="6" a="1"/>
  <c r="A2002" i="6" a="1"/>
  <c r="A2003" i="6" a="1"/>
  <c r="A2004" i="6" a="1"/>
  <c r="A2005" i="6" a="1"/>
  <c r="A2006" i="6" a="1"/>
  <c r="A2007" i="6" a="1"/>
  <c r="A2008" i="6" a="1"/>
  <c r="A2009" i="6" a="1"/>
  <c r="A2010" i="6" a="1"/>
  <c r="A2011" i="6" a="1"/>
  <c r="A2012" i="6" a="1"/>
  <c r="A2013" i="6" a="1"/>
  <c r="A2014" i="6" a="1"/>
  <c r="A2015" i="6" a="1"/>
  <c r="A2016" i="6" a="1"/>
  <c r="A2017" i="6" a="1"/>
  <c r="A2018" i="6" a="1"/>
  <c r="A2019" i="6" a="1"/>
  <c r="A2020" i="6" a="1"/>
  <c r="A2021" i="6" a="1"/>
  <c r="A2022" i="6" a="1"/>
  <c r="A2023" i="6" a="1"/>
  <c r="A2024" i="6" a="1"/>
  <c r="A2025" i="6" a="1"/>
  <c r="A2026" i="6" a="1"/>
  <c r="A2027" i="6" a="1"/>
  <c r="A2028" i="6" a="1"/>
  <c r="A2029" i="6" a="1"/>
  <c r="A2030" i="6" a="1"/>
  <c r="A2031" i="6" a="1"/>
  <c r="A2032" i="6" a="1"/>
  <c r="A2033" i="6" a="1"/>
  <c r="A2034" i="6" a="1"/>
  <c r="A2035" i="6" a="1"/>
  <c r="A2036" i="6" a="1"/>
  <c r="A2037" i="6" a="1"/>
  <c r="A2038" i="6" a="1"/>
  <c r="A2039" i="6" a="1"/>
  <c r="A2040" i="6" a="1"/>
  <c r="A2041" i="6" a="1"/>
  <c r="A2042" i="6" a="1"/>
  <c r="A2043" i="6" a="1"/>
  <c r="A2044" i="6" a="1"/>
  <c r="A2045" i="6" a="1"/>
  <c r="A2046" i="6" a="1"/>
  <c r="A2047" i="6" a="1"/>
  <c r="A2048" i="6" a="1"/>
  <c r="A2049" i="6" a="1"/>
  <c r="A2050" i="6" a="1"/>
  <c r="A2051" i="6" a="1"/>
  <c r="A2052" i="6" a="1"/>
  <c r="A2053" i="6" a="1"/>
  <c r="A2054" i="6" a="1"/>
  <c r="A2055" i="6" a="1"/>
  <c r="A2056" i="6" a="1"/>
  <c r="A2057" i="6" a="1"/>
  <c r="A2058" i="6" a="1"/>
  <c r="A2059" i="6" a="1"/>
  <c r="A2060" i="6" a="1"/>
  <c r="A2061" i="6" a="1"/>
  <c r="A2062" i="6" a="1"/>
  <c r="A2063" i="6" a="1"/>
  <c r="A2064" i="6" a="1"/>
  <c r="A2065" i="6" a="1"/>
  <c r="A2066" i="6" a="1"/>
  <c r="A2067" i="6" a="1"/>
  <c r="A2068" i="6" a="1"/>
  <c r="A2069" i="6" a="1"/>
  <c r="A2070" i="6" a="1"/>
  <c r="A2071" i="6" a="1"/>
  <c r="A2072" i="6" a="1"/>
  <c r="A2073" i="6" a="1"/>
  <c r="A2074" i="6" a="1"/>
  <c r="A2075" i="6" a="1"/>
  <c r="A2076" i="6" a="1"/>
  <c r="A2077" i="6" a="1"/>
  <c r="A2078" i="6" a="1"/>
  <c r="A2079" i="6" a="1"/>
  <c r="A2080" i="6" a="1"/>
  <c r="A2081" i="6" a="1"/>
  <c r="A2082" i="6" a="1"/>
  <c r="A2083" i="6" a="1"/>
  <c r="A2084" i="6" a="1"/>
  <c r="A2085" i="6" a="1"/>
  <c r="A2086" i="6" a="1"/>
  <c r="A2087" i="6" a="1"/>
  <c r="A2088" i="6" a="1"/>
  <c r="A2089" i="6" a="1"/>
  <c r="A2090" i="6" a="1"/>
  <c r="A2091" i="6" a="1"/>
  <c r="A2092" i="6" a="1"/>
  <c r="A2093" i="6" a="1"/>
  <c r="A2094" i="6" a="1"/>
  <c r="A2095" i="6" a="1"/>
  <c r="A2096" i="6" a="1"/>
  <c r="A2097" i="6" a="1"/>
  <c r="A2098" i="6" a="1"/>
  <c r="A2099" i="6" a="1"/>
  <c r="A2100" i="6" a="1"/>
  <c r="A2101" i="6" a="1"/>
  <c r="A2102" i="6" a="1"/>
  <c r="A2103" i="6" a="1"/>
  <c r="A2104" i="6" a="1"/>
  <c r="A2105" i="6" a="1"/>
  <c r="A2106" i="6" a="1"/>
  <c r="A2107" i="6" a="1"/>
  <c r="A2108" i="6" a="1"/>
  <c r="A2109" i="6" a="1"/>
  <c r="A2110" i="6" a="1"/>
  <c r="A2111" i="6" a="1"/>
  <c r="A2112" i="6" a="1"/>
  <c r="A2113" i="6" a="1"/>
  <c r="A2114" i="6" a="1"/>
  <c r="A2115" i="6" a="1"/>
  <c r="A2116" i="6" a="1"/>
  <c r="A2117" i="6" a="1"/>
  <c r="A2118" i="6" a="1"/>
  <c r="A2119" i="6" a="1"/>
  <c r="A2120" i="6" a="1"/>
  <c r="A2121" i="6" a="1"/>
  <c r="A2122" i="6" a="1"/>
  <c r="A2123" i="6" a="1"/>
  <c r="A2124" i="6" a="1"/>
  <c r="A2125" i="6" a="1"/>
  <c r="A2126" i="6" a="1"/>
  <c r="A2127" i="6" a="1"/>
  <c r="A2128" i="6" a="1"/>
  <c r="A2129" i="6" a="1"/>
  <c r="A2130" i="6" a="1"/>
  <c r="A2131" i="6" a="1"/>
  <c r="A2132" i="6" a="1"/>
  <c r="A2133" i="6" a="1"/>
  <c r="A2134" i="6" a="1"/>
  <c r="A2135" i="6" a="1"/>
  <c r="A2136" i="6" a="1"/>
  <c r="A2137" i="6" a="1"/>
  <c r="A2138" i="6" a="1"/>
  <c r="A2139" i="6" a="1"/>
  <c r="A2140" i="6" a="1"/>
  <c r="A2141" i="6" a="1"/>
  <c r="A2142" i="6" a="1"/>
  <c r="A2143" i="6" a="1"/>
  <c r="A2144" i="6" a="1"/>
  <c r="A2145" i="6" a="1"/>
  <c r="A2146" i="6" a="1"/>
  <c r="A2147" i="6" a="1"/>
  <c r="A2148" i="6" a="1"/>
  <c r="A2149" i="6" a="1"/>
  <c r="A2150" i="6" a="1"/>
  <c r="A2151" i="6" a="1"/>
  <c r="A2152" i="6" a="1"/>
  <c r="A2153" i="6" a="1"/>
  <c r="A2154" i="6" a="1"/>
  <c r="A2155" i="6" a="1"/>
  <c r="A2156" i="6" a="1"/>
  <c r="A2157" i="6" a="1"/>
  <c r="A2158" i="6" a="1"/>
  <c r="A2159" i="6" a="1"/>
  <c r="A2160" i="6" a="1"/>
  <c r="A2161" i="6" a="1"/>
  <c r="A2162" i="6" a="1"/>
  <c r="A2163" i="6" a="1"/>
  <c r="A2164" i="6" a="1"/>
  <c r="A2165" i="6" a="1"/>
  <c r="A2166" i="6" a="1"/>
  <c r="A2167" i="6" a="1"/>
  <c r="A2168" i="6" a="1"/>
  <c r="A2169" i="6" a="1"/>
  <c r="A2170" i="6" a="1"/>
  <c r="A2171" i="6" a="1"/>
  <c r="A2172" i="6" a="1"/>
  <c r="A2173" i="6" a="1"/>
  <c r="A2174" i="6" a="1"/>
  <c r="A2175" i="6" a="1"/>
  <c r="A2176" i="6" a="1"/>
  <c r="A2177" i="6" a="1"/>
  <c r="A2178" i="6" a="1"/>
  <c r="A2179" i="6" a="1"/>
  <c r="A2180" i="6" a="1"/>
  <c r="A2181" i="6" a="1"/>
  <c r="A2182" i="6" a="1"/>
  <c r="A2183" i="6" a="1"/>
  <c r="A2184" i="6" a="1"/>
  <c r="A2185" i="6" a="1"/>
  <c r="A2186" i="6" a="1"/>
  <c r="A2187" i="6" a="1"/>
  <c r="A2188" i="6" a="1"/>
  <c r="A2189" i="6" a="1"/>
  <c r="A2190" i="6" a="1"/>
  <c r="A2191" i="6" a="1"/>
  <c r="A2192" i="6" a="1"/>
  <c r="A2193" i="6" a="1"/>
  <c r="A2194" i="6" a="1"/>
  <c r="A2195" i="6" a="1"/>
  <c r="A2196" i="6" a="1"/>
  <c r="A2197" i="6" a="1"/>
  <c r="A2198" i="6" a="1"/>
  <c r="A2199" i="6" a="1"/>
  <c r="A2200" i="6" a="1"/>
  <c r="A2201" i="6" a="1"/>
  <c r="A2202" i="6" a="1"/>
  <c r="A2203" i="6" a="1"/>
  <c r="A2204" i="6" a="1"/>
  <c r="A2205" i="6" a="1"/>
  <c r="A2206" i="6" a="1"/>
  <c r="A2207" i="6" a="1"/>
  <c r="A2208" i="6" a="1"/>
  <c r="A2209" i="6" a="1"/>
  <c r="A2210" i="6" a="1"/>
  <c r="A2211" i="6" a="1"/>
  <c r="A2212" i="6" a="1"/>
  <c r="A2213" i="6" a="1"/>
  <c r="A2214" i="6" a="1"/>
  <c r="A2215" i="6" a="1"/>
  <c r="A2216" i="6" a="1"/>
  <c r="A2217" i="6" a="1"/>
  <c r="A2218" i="6" a="1"/>
  <c r="A2219" i="6" a="1"/>
  <c r="A2220" i="6" a="1"/>
  <c r="A2221" i="6" a="1"/>
  <c r="A2222" i="6" a="1"/>
  <c r="A2223" i="6" a="1"/>
  <c r="A2224" i="6" a="1"/>
  <c r="A2225" i="6" a="1"/>
  <c r="A2226" i="6" a="1"/>
  <c r="A2227" i="6" a="1"/>
  <c r="A2228" i="6" a="1"/>
  <c r="A2229" i="6" a="1"/>
  <c r="A2230" i="6" a="1"/>
  <c r="A2231" i="6" a="1"/>
  <c r="A2232" i="6" a="1"/>
  <c r="A2233" i="6" a="1"/>
  <c r="A2234" i="6" a="1"/>
  <c r="A2235" i="6" a="1"/>
  <c r="A2236" i="6" a="1"/>
  <c r="A2237" i="6" a="1"/>
  <c r="A2238" i="6" a="1"/>
  <c r="A2239" i="6" a="1"/>
  <c r="A2240" i="6" a="1"/>
  <c r="A2241" i="6" a="1"/>
  <c r="A2242" i="6" a="1"/>
  <c r="A2243" i="6" a="1"/>
  <c r="A2244" i="6" a="1"/>
  <c r="A2245" i="6" a="1"/>
  <c r="A2246" i="6" a="1"/>
  <c r="A2247" i="6" a="1"/>
  <c r="A2248" i="6" a="1"/>
  <c r="A2249" i="6" a="1"/>
  <c r="A2250" i="6" a="1"/>
  <c r="A2251" i="6" a="1"/>
  <c r="A2252" i="6" a="1"/>
  <c r="A2253" i="6" a="1"/>
  <c r="A2254" i="6" a="1"/>
  <c r="A2255" i="6" a="1"/>
  <c r="A2256" i="6" a="1"/>
  <c r="A2257" i="6" a="1"/>
  <c r="A2258" i="6" a="1"/>
  <c r="A2259" i="6" a="1"/>
  <c r="A2260" i="6" a="1"/>
  <c r="A2261" i="6" a="1"/>
  <c r="A2262" i="6" a="1"/>
  <c r="A2263" i="6" a="1"/>
  <c r="A2264" i="6" a="1"/>
  <c r="A2265" i="6" a="1"/>
  <c r="A2266" i="6" a="1"/>
  <c r="A2267" i="6" a="1"/>
  <c r="A2268" i="6" a="1"/>
  <c r="A2269" i="6" a="1"/>
  <c r="A2270" i="6" a="1"/>
  <c r="A2271" i="6" a="1"/>
  <c r="A2272" i="6" a="1"/>
  <c r="A2273" i="6" a="1"/>
  <c r="A2274" i="6" a="1"/>
  <c r="A2275" i="6" a="1"/>
  <c r="A2276" i="6" a="1"/>
  <c r="A2277" i="6" a="1"/>
  <c r="A2278" i="6" a="1"/>
  <c r="A2279" i="6" a="1"/>
  <c r="A2280" i="6" a="1"/>
  <c r="A2281" i="6" a="1"/>
  <c r="A2282" i="6" a="1"/>
  <c r="A2283" i="6" a="1"/>
  <c r="A2284" i="6" a="1"/>
  <c r="A2285" i="6" a="1"/>
  <c r="A2286" i="6" a="1"/>
  <c r="A2287" i="6" a="1"/>
  <c r="A2288" i="6" a="1"/>
  <c r="A2289" i="6" a="1"/>
  <c r="A2290" i="6" a="1"/>
  <c r="A2291" i="6" a="1"/>
  <c r="A2292" i="6" a="1"/>
  <c r="A2293" i="6" a="1"/>
  <c r="A2294" i="6" a="1"/>
  <c r="A2295" i="6" a="1"/>
  <c r="A2296" i="6" a="1"/>
  <c r="A2297" i="6" a="1"/>
  <c r="A2298" i="6" a="1"/>
  <c r="A2299" i="6" a="1"/>
  <c r="A2300" i="6" a="1"/>
  <c r="A2301" i="6" a="1"/>
  <c r="A2302" i="6" a="1"/>
  <c r="A2303" i="6" a="1"/>
  <c r="A2304" i="6" a="1"/>
  <c r="A2305" i="6" a="1"/>
  <c r="A2306" i="6" a="1"/>
  <c r="A2307" i="6" a="1"/>
  <c r="A2308" i="6" a="1"/>
  <c r="A2309" i="6" a="1"/>
  <c r="A2310" i="6" a="1"/>
  <c r="A2311" i="6" a="1"/>
  <c r="A2312" i="6" a="1"/>
  <c r="A2313" i="6" a="1"/>
  <c r="A2314" i="6" a="1"/>
  <c r="A2315" i="6" a="1"/>
  <c r="A2316" i="6" a="1"/>
  <c r="A2317" i="6" a="1"/>
  <c r="A2318" i="6" a="1"/>
  <c r="A2319" i="6" a="1"/>
  <c r="A2320" i="6" a="1"/>
  <c r="A2321" i="6" a="1"/>
  <c r="A2322" i="6" a="1"/>
  <c r="A2323" i="6" a="1"/>
  <c r="A2324" i="6" a="1"/>
  <c r="A2325" i="6" a="1"/>
  <c r="A2326" i="6" a="1"/>
  <c r="A2327" i="6" a="1"/>
  <c r="A2328" i="6" a="1"/>
  <c r="A2329" i="6" a="1"/>
  <c r="A2330" i="6" a="1"/>
  <c r="A2331" i="6" a="1"/>
  <c r="A2332" i="6" a="1"/>
  <c r="A2333" i="6" a="1"/>
  <c r="A2334" i="6" a="1"/>
  <c r="A2335" i="6" a="1"/>
  <c r="A2336" i="6" a="1"/>
  <c r="A2337" i="6" a="1"/>
  <c r="A2338" i="6" a="1"/>
  <c r="A2339" i="6" a="1"/>
  <c r="A2340" i="6" a="1"/>
  <c r="A2341" i="6" a="1"/>
  <c r="A2342" i="6" a="1"/>
  <c r="A2343" i="6" a="1"/>
  <c r="A2344" i="6" a="1"/>
  <c r="A2345" i="6" a="1"/>
  <c r="A2346" i="6" a="1"/>
  <c r="A2347" i="6" a="1"/>
  <c r="A2348" i="6" a="1"/>
  <c r="A2349" i="6" a="1"/>
  <c r="A2350" i="6" a="1"/>
  <c r="A2351" i="6" a="1"/>
  <c r="A2352" i="6" a="1"/>
  <c r="A2353" i="6" a="1"/>
  <c r="A2354" i="6" a="1"/>
  <c r="A2355" i="6" a="1"/>
  <c r="A2356" i="6" a="1"/>
  <c r="A2357" i="6" a="1"/>
  <c r="A2358" i="6" a="1"/>
  <c r="A2359" i="6" a="1"/>
  <c r="A2360" i="6" a="1"/>
  <c r="A2361" i="6" a="1"/>
  <c r="A2362" i="6" a="1"/>
  <c r="A2363" i="6" a="1"/>
  <c r="A2364" i="6" a="1"/>
  <c r="A2365" i="6" a="1"/>
  <c r="A2366" i="6" a="1"/>
  <c r="A2367" i="6" a="1"/>
  <c r="A2368" i="6" a="1"/>
  <c r="A2369" i="6" a="1"/>
  <c r="A2370" i="6" a="1"/>
  <c r="A2371" i="6" a="1"/>
  <c r="A2372" i="6" a="1"/>
  <c r="A2373" i="6" a="1"/>
  <c r="A2374" i="6" a="1"/>
  <c r="A2375" i="6" a="1"/>
  <c r="A2376" i="6" a="1"/>
  <c r="A2377" i="6" a="1"/>
  <c r="A2378" i="6" a="1"/>
  <c r="A2379" i="6" a="1"/>
  <c r="A2380" i="6" a="1"/>
  <c r="A2381" i="6" a="1"/>
  <c r="A2382" i="6" a="1"/>
  <c r="A2383" i="6" a="1"/>
  <c r="A2384" i="6" a="1"/>
  <c r="A2385" i="6" a="1"/>
  <c r="A2386" i="6" a="1"/>
  <c r="A2387" i="6" a="1"/>
  <c r="A2388" i="6" a="1"/>
  <c r="A2389" i="6" a="1"/>
  <c r="A2390" i="6" a="1"/>
  <c r="A2391" i="6" a="1"/>
  <c r="A2392" i="6" a="1"/>
  <c r="A2393" i="6" a="1"/>
  <c r="A2394" i="6" a="1"/>
  <c r="A2395" i="6" a="1"/>
  <c r="A2396" i="6" a="1"/>
  <c r="A2397" i="6" a="1"/>
  <c r="A2398" i="6" a="1"/>
  <c r="A2399" i="6" a="1"/>
  <c r="A2400" i="6" a="1"/>
  <c r="A2401" i="6" a="1"/>
  <c r="A2402" i="6" a="1"/>
  <c r="A2403" i="6" a="1"/>
  <c r="A2404" i="6" a="1"/>
  <c r="A2405" i="6" a="1"/>
  <c r="A2406" i="6" a="1"/>
  <c r="A2407" i="6" a="1"/>
  <c r="A2408" i="6" a="1"/>
  <c r="A2409" i="6" a="1"/>
  <c r="A2410" i="6" a="1"/>
  <c r="A2411" i="6" a="1"/>
  <c r="A2412" i="6" a="1"/>
  <c r="A2413" i="6" a="1"/>
  <c r="A2414" i="6" a="1"/>
  <c r="A2415" i="6" a="1"/>
  <c r="A2416" i="6" a="1"/>
  <c r="A2417" i="6" a="1"/>
  <c r="A2418" i="6" a="1"/>
  <c r="A2419" i="6" a="1"/>
  <c r="A2420" i="6" a="1"/>
  <c r="A2421" i="6" a="1"/>
  <c r="A2422" i="6" a="1"/>
  <c r="A2423" i="6" a="1"/>
  <c r="A2424" i="6" a="1"/>
  <c r="A2425" i="6" a="1"/>
  <c r="A2426" i="6" a="1"/>
  <c r="A2427" i="6" a="1"/>
  <c r="A2428" i="6" a="1"/>
  <c r="A2429" i="6" a="1"/>
  <c r="A2430" i="6" a="1"/>
  <c r="A2431" i="6" a="1"/>
  <c r="A2432" i="6" a="1"/>
  <c r="A2433" i="6" a="1"/>
  <c r="A2434" i="6" a="1"/>
  <c r="A2435" i="6" a="1"/>
  <c r="A2436" i="6" a="1"/>
  <c r="A2437" i="6" a="1"/>
  <c r="A2438" i="6" a="1"/>
  <c r="A2439" i="6" a="1"/>
  <c r="A2440" i="6" a="1"/>
  <c r="A2441" i="6" a="1"/>
  <c r="A2442" i="6" a="1"/>
  <c r="A2443" i="6" a="1"/>
  <c r="A2444" i="6" a="1"/>
  <c r="A2445" i="6" a="1"/>
  <c r="A2446" i="6" a="1"/>
  <c r="A2447" i="6" a="1"/>
  <c r="A2448" i="6" a="1"/>
  <c r="A2449" i="6" a="1"/>
  <c r="A2450" i="6" a="1"/>
  <c r="A2451" i="6" a="1"/>
  <c r="A2452" i="6" a="1"/>
  <c r="A2453" i="6" a="1"/>
  <c r="A2454" i="6" a="1"/>
  <c r="A2455" i="6" a="1"/>
  <c r="A2456" i="6" a="1"/>
  <c r="A2457" i="6" a="1"/>
  <c r="A2458" i="6" a="1"/>
  <c r="A2459" i="6" a="1"/>
  <c r="A2460" i="6" a="1"/>
  <c r="A2461" i="6" a="1"/>
  <c r="A2462" i="6" a="1"/>
  <c r="A2463" i="6" a="1"/>
  <c r="A2464" i="6" a="1"/>
  <c r="A2465" i="6" a="1"/>
  <c r="A2466" i="6" a="1"/>
  <c r="A2467" i="6" a="1"/>
  <c r="A2468" i="6" a="1"/>
  <c r="A2469" i="6" a="1"/>
  <c r="A2470" i="6" a="1"/>
  <c r="A2471" i="6" a="1"/>
  <c r="A2472" i="6" a="1"/>
  <c r="A2473" i="6" a="1"/>
  <c r="A2474" i="6" a="1"/>
  <c r="A2475" i="6" a="1"/>
  <c r="A2476" i="6" a="1"/>
  <c r="A2477" i="6" a="1"/>
  <c r="A2478" i="6" a="1"/>
  <c r="A2479" i="6" a="1"/>
  <c r="A2480" i="6" a="1"/>
  <c r="A2481" i="6" a="1"/>
  <c r="A2482" i="6" a="1"/>
  <c r="A2483" i="6" a="1"/>
  <c r="A2484" i="6" a="1"/>
  <c r="A2485" i="6" a="1"/>
  <c r="A2486" i="6" a="1"/>
  <c r="A2487" i="6" a="1"/>
  <c r="A2488" i="6" a="1"/>
  <c r="A2489" i="6" a="1"/>
  <c r="A2490" i="6" a="1"/>
  <c r="A2491" i="6" a="1"/>
  <c r="A2492" i="6" a="1"/>
  <c r="A2493" i="6" a="1"/>
  <c r="A2494" i="6" a="1"/>
  <c r="A2495" i="6" a="1"/>
  <c r="A2496" i="6" a="1"/>
  <c r="A2497" i="6" a="1"/>
  <c r="A2498" i="6" a="1"/>
  <c r="A2499" i="6" a="1"/>
  <c r="A2500" i="6" a="1"/>
  <c r="A2501" i="6" a="1"/>
  <c r="A2502" i="6" a="1"/>
  <c r="A2503" i="6" a="1"/>
  <c r="A2504" i="6" a="1"/>
  <c r="A2505" i="6" a="1"/>
  <c r="A2506" i="6" a="1"/>
  <c r="A2507" i="6" a="1"/>
  <c r="A2508" i="6" a="1"/>
  <c r="A2509" i="6" a="1"/>
  <c r="A2510" i="6" a="1"/>
  <c r="A2511" i="6" a="1"/>
  <c r="A2512" i="6" a="1"/>
  <c r="A2513" i="6" a="1"/>
  <c r="A2514" i="6" a="1"/>
  <c r="A2515" i="6" a="1"/>
  <c r="A2516" i="6" a="1"/>
  <c r="A2517" i="6" a="1"/>
  <c r="A2518" i="6" a="1"/>
  <c r="A2519" i="6" a="1"/>
  <c r="A2520" i="6" a="1"/>
  <c r="A2521" i="6" a="1"/>
  <c r="A2522" i="6" a="1"/>
  <c r="A2523" i="6" a="1"/>
  <c r="A2524" i="6" a="1"/>
  <c r="A2525" i="6" a="1"/>
  <c r="A2526" i="6" a="1"/>
  <c r="A2527" i="6" a="1"/>
  <c r="A2528" i="6" a="1"/>
  <c r="A2529" i="6" a="1"/>
  <c r="A2530" i="6" a="1"/>
  <c r="A2531" i="6" a="1"/>
  <c r="A2532" i="6" a="1"/>
  <c r="A2533" i="6" a="1"/>
  <c r="A2534" i="6" a="1"/>
  <c r="A2535" i="6" a="1"/>
  <c r="A2536" i="6" a="1"/>
  <c r="A2537" i="6" a="1"/>
  <c r="A2538" i="6" a="1"/>
  <c r="A2539" i="6" a="1"/>
  <c r="A2540" i="6" a="1"/>
  <c r="A2541" i="6" a="1"/>
  <c r="A2542" i="6" a="1"/>
  <c r="A2543" i="6" a="1"/>
  <c r="A2544" i="6" a="1"/>
  <c r="A2545" i="6" a="1"/>
  <c r="A2546" i="6" a="1"/>
  <c r="A2547" i="6" a="1"/>
  <c r="A2548" i="6" a="1"/>
  <c r="A2549" i="6" a="1"/>
  <c r="A2550" i="6" a="1"/>
  <c r="A2551" i="6" a="1"/>
  <c r="A2552" i="6" a="1"/>
  <c r="A2553" i="6" a="1"/>
  <c r="A2554" i="6" a="1"/>
  <c r="A2555" i="6" a="1"/>
  <c r="A2556" i="6" a="1"/>
  <c r="A2557" i="6" a="1"/>
  <c r="A2558" i="6" a="1"/>
  <c r="A2559" i="6" a="1"/>
  <c r="A2560" i="6" a="1"/>
  <c r="A2561" i="6" a="1"/>
  <c r="A2562" i="6" a="1"/>
  <c r="A2563" i="6" a="1"/>
  <c r="A2564" i="6" a="1"/>
  <c r="A2565" i="6" a="1"/>
  <c r="A2566" i="6" a="1"/>
  <c r="A2567" i="6" a="1"/>
  <c r="A2568" i="6" a="1"/>
  <c r="A2569" i="6" a="1"/>
  <c r="A2570" i="6" a="1"/>
  <c r="A2571" i="6" a="1"/>
  <c r="A2572" i="6" a="1"/>
  <c r="A2573" i="6" a="1"/>
  <c r="A2574" i="6" a="1"/>
  <c r="A2575" i="6" a="1"/>
  <c r="A2576" i="6" a="1"/>
  <c r="A2577" i="6" a="1"/>
  <c r="A2578" i="6" a="1"/>
  <c r="A2579" i="6" a="1"/>
  <c r="A2580" i="6" a="1"/>
  <c r="A2581" i="6" a="1"/>
  <c r="A2582" i="6" a="1"/>
  <c r="A2583" i="6" a="1"/>
  <c r="A2584" i="6" a="1"/>
  <c r="A2585" i="6" a="1"/>
  <c r="A2586" i="6" a="1"/>
  <c r="A2587" i="6" a="1"/>
  <c r="A2588" i="6" a="1"/>
  <c r="A2589" i="6" a="1"/>
  <c r="A2590" i="6" a="1"/>
  <c r="A2591" i="6" a="1"/>
  <c r="A2592" i="6" a="1"/>
  <c r="A2593" i="6" a="1"/>
  <c r="A2594" i="6" a="1"/>
  <c r="A2595" i="6" a="1"/>
  <c r="A2596" i="6" a="1"/>
  <c r="A2597" i="6" a="1"/>
  <c r="A2598" i="6" a="1"/>
  <c r="A2599" i="6" a="1"/>
  <c r="A2600" i="6" a="1"/>
  <c r="A2601" i="6" a="1"/>
  <c r="A2602" i="6" a="1"/>
  <c r="A2603" i="6" a="1"/>
  <c r="A2604" i="6" a="1"/>
  <c r="A2605" i="6" a="1"/>
  <c r="A2606" i="6" a="1"/>
  <c r="A2607" i="6" a="1"/>
  <c r="A2608" i="6" a="1"/>
  <c r="A2609" i="6" a="1"/>
  <c r="A2610" i="6" a="1"/>
  <c r="A2611" i="6" a="1"/>
  <c r="A2612" i="6" a="1"/>
  <c r="A2613" i="6" a="1"/>
  <c r="A2614" i="6" a="1"/>
  <c r="A2615" i="6" a="1"/>
  <c r="A2616" i="6" a="1"/>
  <c r="A2617" i="6" a="1"/>
  <c r="A2618" i="6" a="1"/>
  <c r="A2619" i="6" a="1"/>
  <c r="A2620" i="6" a="1"/>
  <c r="A2621" i="6" a="1"/>
  <c r="A2622" i="6" a="1"/>
  <c r="A2623" i="6" a="1"/>
  <c r="A2624" i="6" a="1"/>
  <c r="A2625" i="6" a="1"/>
  <c r="A2626" i="6" a="1"/>
  <c r="A2627" i="6" a="1"/>
  <c r="A2628" i="6" a="1"/>
  <c r="A2629" i="6" a="1"/>
  <c r="A2630" i="6" a="1"/>
  <c r="A2631" i="6" a="1"/>
  <c r="A2632" i="6" a="1"/>
  <c r="A2633" i="6" a="1"/>
  <c r="A2634" i="6" a="1"/>
  <c r="A2635" i="6" a="1"/>
  <c r="A2636" i="6" a="1"/>
  <c r="A2637" i="6" a="1"/>
  <c r="A2638" i="6" a="1"/>
  <c r="A2639" i="6" a="1"/>
  <c r="A2640" i="6" a="1"/>
  <c r="A2641" i="6" a="1"/>
  <c r="A2642" i="6" a="1"/>
  <c r="A2643" i="6" a="1"/>
  <c r="A2644" i="6" a="1"/>
  <c r="A2645" i="6" a="1"/>
  <c r="A2646" i="6" a="1"/>
  <c r="A2647" i="6" a="1"/>
  <c r="A2648" i="6" a="1"/>
  <c r="A2649" i="6" a="1"/>
  <c r="A2650" i="6" a="1"/>
  <c r="A2651" i="6" a="1"/>
  <c r="A2652" i="6" a="1"/>
  <c r="A2653" i="6" a="1"/>
  <c r="A2654" i="6" a="1"/>
  <c r="A2655" i="6" a="1"/>
  <c r="A2656" i="6" a="1"/>
  <c r="A2657" i="6" a="1"/>
  <c r="A2658" i="6" a="1"/>
  <c r="A2659" i="6" a="1"/>
  <c r="A2660" i="6" a="1"/>
  <c r="A2661" i="6" a="1"/>
  <c r="A2662" i="6" a="1"/>
  <c r="A2663" i="6" a="1"/>
  <c r="A2664" i="6" a="1"/>
  <c r="A2665" i="6" a="1"/>
  <c r="A2666" i="6" a="1"/>
  <c r="A2667" i="6" a="1"/>
  <c r="A2668" i="6" a="1"/>
  <c r="A2669" i="6" a="1"/>
  <c r="A2670" i="6" a="1"/>
  <c r="A2671" i="6" a="1"/>
  <c r="A2672" i="6" a="1"/>
  <c r="A2673" i="6" a="1"/>
  <c r="A2674" i="6" a="1"/>
  <c r="A2675" i="6" a="1"/>
  <c r="A2676" i="6" a="1"/>
  <c r="A2677" i="6" a="1"/>
  <c r="A2678" i="6" a="1"/>
  <c r="A2679" i="6" a="1"/>
  <c r="A2680" i="6" a="1"/>
  <c r="A2681" i="6" a="1"/>
  <c r="A2682" i="6" a="1"/>
  <c r="A2683" i="6" a="1"/>
  <c r="A2684" i="6" a="1"/>
  <c r="A2685" i="6" a="1"/>
  <c r="A2686" i="6" a="1"/>
  <c r="A2687" i="6" a="1"/>
  <c r="A2688" i="6" a="1"/>
  <c r="A2689" i="6" a="1"/>
  <c r="A2690" i="6" a="1"/>
  <c r="A2691" i="6" a="1"/>
  <c r="A2692" i="6" a="1"/>
  <c r="A2693" i="6" a="1"/>
  <c r="A2694" i="6" a="1"/>
  <c r="A2695" i="6" a="1"/>
  <c r="A2696" i="6" a="1"/>
  <c r="A2697" i="6" a="1"/>
  <c r="A2698" i="6" a="1"/>
  <c r="A2699" i="6" a="1"/>
  <c r="A2700" i="6" a="1"/>
  <c r="A2701" i="6" a="1"/>
  <c r="A2702" i="6" a="1"/>
  <c r="A2703" i="6" a="1"/>
  <c r="A2704" i="6" a="1"/>
  <c r="A2705" i="6" a="1"/>
  <c r="A2706" i="6" a="1"/>
  <c r="A2707" i="6" a="1"/>
  <c r="A2708" i="6" a="1"/>
  <c r="A2709" i="6" a="1"/>
  <c r="A2710" i="6" a="1"/>
  <c r="A2711" i="6" a="1"/>
  <c r="A2712" i="6" a="1"/>
  <c r="A2713" i="6" a="1"/>
  <c r="A2714" i="6" a="1"/>
  <c r="A2715" i="6" a="1"/>
  <c r="A2716" i="6" a="1"/>
  <c r="A2717" i="6" a="1"/>
  <c r="A2718" i="6" a="1"/>
  <c r="A2719" i="6" a="1"/>
  <c r="A2720" i="6" a="1"/>
  <c r="A2721" i="6" a="1"/>
  <c r="A2722" i="6" a="1"/>
  <c r="A2723" i="6" a="1"/>
  <c r="A2724" i="6" a="1"/>
  <c r="A2725" i="6" a="1"/>
  <c r="A2726" i="6" a="1"/>
  <c r="A2727" i="6" a="1"/>
  <c r="A2728" i="6" a="1"/>
  <c r="A2729" i="6" a="1"/>
  <c r="A2730" i="6" a="1"/>
  <c r="A2731" i="6" a="1"/>
  <c r="A2732" i="6" a="1"/>
  <c r="A2733" i="6" a="1"/>
  <c r="A2734" i="6" a="1"/>
  <c r="A2735" i="6" a="1"/>
  <c r="A2736" i="6" a="1"/>
  <c r="A2737" i="6" a="1"/>
  <c r="A2738" i="6" a="1"/>
  <c r="A2739" i="6" a="1"/>
  <c r="A2740" i="6" a="1"/>
  <c r="A2741" i="6" a="1"/>
  <c r="A2742" i="6" a="1"/>
  <c r="A2743" i="6" a="1"/>
  <c r="A2744" i="6" a="1"/>
  <c r="A2745" i="6" a="1"/>
  <c r="A2746" i="6" a="1"/>
  <c r="A2747" i="6" a="1"/>
  <c r="A2748" i="6" a="1"/>
  <c r="A2749" i="6" a="1"/>
  <c r="A2750" i="6" a="1"/>
  <c r="A2751" i="6" a="1"/>
  <c r="A2752" i="6" a="1"/>
  <c r="A2753" i="6" a="1"/>
  <c r="A2754" i="6" a="1"/>
  <c r="A2755" i="6" a="1"/>
  <c r="A2756" i="6" a="1"/>
  <c r="A2757" i="6" a="1"/>
  <c r="A2758" i="6" a="1"/>
  <c r="A2759" i="6" a="1"/>
  <c r="A2760" i="6" a="1"/>
  <c r="A2761" i="6" a="1"/>
  <c r="A2762" i="6" a="1"/>
  <c r="A2763" i="6" a="1"/>
  <c r="A2764" i="6" a="1"/>
  <c r="A2765" i="6" a="1"/>
  <c r="A2766" i="6" a="1"/>
  <c r="A2767" i="6" a="1"/>
  <c r="A2768" i="6" a="1"/>
  <c r="A2769" i="6" a="1"/>
  <c r="A2770" i="6" a="1"/>
  <c r="A2771" i="6" a="1"/>
  <c r="A2772" i="6" a="1"/>
  <c r="A2773" i="6" a="1"/>
  <c r="A2774" i="6" a="1"/>
  <c r="A2775" i="6" a="1"/>
  <c r="A2776" i="6" a="1"/>
  <c r="A2777" i="6" a="1"/>
  <c r="A2778" i="6" a="1"/>
  <c r="A2779" i="6" a="1"/>
  <c r="A2780" i="6" a="1"/>
  <c r="A2781" i="6" a="1"/>
  <c r="A2782" i="6" a="1"/>
  <c r="A2783" i="6" a="1"/>
  <c r="A2784" i="6" a="1"/>
  <c r="A2785" i="6" a="1"/>
  <c r="A2786" i="6" a="1"/>
  <c r="A2787" i="6" a="1"/>
  <c r="A2788" i="6" a="1"/>
  <c r="A2789" i="6" a="1"/>
  <c r="A2790" i="6" a="1"/>
  <c r="A2791" i="6" a="1"/>
  <c r="A2792" i="6" a="1"/>
  <c r="A2793" i="6" a="1"/>
  <c r="A2794" i="6" a="1"/>
  <c r="A2795" i="6" a="1"/>
  <c r="A2796" i="6" a="1"/>
  <c r="A2797" i="6" a="1"/>
  <c r="A2798" i="6" a="1"/>
  <c r="A2799" i="6" a="1"/>
  <c r="A2800" i="6" a="1"/>
  <c r="A2801" i="6" a="1"/>
  <c r="A2802" i="6" a="1"/>
  <c r="A2803" i="6" a="1"/>
  <c r="A2804" i="6" a="1"/>
  <c r="A2805" i="6" a="1"/>
  <c r="A2806" i="6" a="1"/>
  <c r="A2807" i="6" a="1"/>
  <c r="A2808" i="6" a="1"/>
  <c r="A2809" i="6" a="1"/>
  <c r="A2810" i="6" a="1"/>
  <c r="A2811" i="6" a="1"/>
  <c r="A2812" i="6" a="1"/>
  <c r="A2813" i="6" a="1"/>
  <c r="A2814" i="6" a="1"/>
  <c r="A2815" i="6" a="1"/>
  <c r="A2816" i="6" a="1"/>
  <c r="A2817" i="6" a="1"/>
  <c r="A2818" i="6" a="1"/>
  <c r="A2819" i="6" a="1"/>
  <c r="A2820" i="6" a="1"/>
  <c r="A2821" i="6" a="1"/>
  <c r="A2822" i="6" a="1"/>
  <c r="A2823" i="6" a="1"/>
  <c r="A2824" i="6" a="1"/>
  <c r="A2825" i="6" a="1"/>
  <c r="A2826" i="6" a="1"/>
  <c r="A2827" i="6" a="1"/>
  <c r="A2828" i="6" a="1"/>
  <c r="A2829" i="6" a="1"/>
  <c r="A2830" i="6" a="1"/>
  <c r="A2831" i="6" a="1"/>
  <c r="A2832" i="6" a="1"/>
  <c r="A2833" i="6" a="1"/>
  <c r="A2834" i="6" a="1"/>
  <c r="A2835" i="6" a="1"/>
  <c r="A2836" i="6" a="1"/>
  <c r="A2837" i="6" a="1"/>
  <c r="A2838" i="6" a="1"/>
  <c r="A2839" i="6" a="1"/>
  <c r="A2840" i="6" a="1"/>
  <c r="A2841" i="6" a="1"/>
  <c r="A2842" i="6" a="1"/>
  <c r="A2843" i="6" a="1"/>
  <c r="A2844" i="6" a="1"/>
  <c r="A2845" i="6" a="1"/>
  <c r="A2846" i="6" a="1"/>
  <c r="A2847" i="6" a="1"/>
  <c r="A2848" i="6" a="1"/>
  <c r="A2849" i="6" a="1"/>
  <c r="A2850" i="6" a="1"/>
  <c r="A2851" i="6" a="1"/>
  <c r="A2852" i="6" a="1"/>
  <c r="A2853" i="6" a="1"/>
  <c r="A2854" i="6" a="1"/>
  <c r="A2855" i="6" a="1"/>
  <c r="A2856" i="6" a="1"/>
  <c r="A2857" i="6" a="1"/>
  <c r="A2858" i="6" a="1"/>
  <c r="A2859" i="6" a="1"/>
  <c r="A2860" i="6" a="1"/>
  <c r="A2861" i="6" a="1"/>
  <c r="A2862" i="6" a="1"/>
  <c r="A2863" i="6" a="1"/>
  <c r="A2864" i="6" a="1"/>
  <c r="A2865" i="6" a="1"/>
  <c r="A2866" i="6" a="1"/>
  <c r="A2867" i="6" a="1"/>
  <c r="A2868" i="6" a="1"/>
  <c r="A2869" i="6" a="1"/>
  <c r="A2870" i="6" a="1"/>
  <c r="A2871" i="6" a="1"/>
  <c r="A2872" i="6" a="1"/>
  <c r="A2873" i="6" a="1"/>
  <c r="A2874" i="6" a="1"/>
  <c r="A2875" i="6" a="1"/>
  <c r="A2876" i="6" a="1"/>
  <c r="A2877" i="6" a="1"/>
  <c r="A2878" i="6" a="1"/>
  <c r="A2879" i="6" a="1"/>
  <c r="A2880" i="6" a="1"/>
  <c r="A2881" i="6" a="1"/>
  <c r="A2882" i="6" a="1"/>
  <c r="A2883" i="6" a="1"/>
  <c r="A2884" i="6" a="1"/>
  <c r="A2885" i="6" a="1"/>
  <c r="A2886" i="6" a="1"/>
  <c r="A2887" i="6" a="1"/>
  <c r="A2888" i="6" a="1"/>
  <c r="A2889" i="6" a="1"/>
  <c r="A2890" i="6" a="1"/>
  <c r="A2891" i="6" a="1"/>
  <c r="A2892" i="6" a="1"/>
  <c r="A2893" i="6" a="1"/>
  <c r="A2894" i="6" a="1"/>
  <c r="A2895" i="6" a="1"/>
  <c r="A2896" i="6" a="1"/>
  <c r="A2897" i="6" a="1"/>
  <c r="A2898" i="6" a="1"/>
  <c r="A2899" i="6" a="1"/>
  <c r="A2900" i="6" a="1"/>
  <c r="A2901" i="6" a="1"/>
  <c r="A2902" i="6" a="1"/>
  <c r="A2903" i="6" a="1"/>
  <c r="A2904" i="6" a="1"/>
  <c r="A2905" i="6" a="1"/>
  <c r="A2906" i="6" a="1"/>
  <c r="A2907" i="6" a="1"/>
  <c r="A2908" i="6" a="1"/>
  <c r="A2909" i="6" a="1"/>
  <c r="A2910" i="6" a="1"/>
  <c r="A2911" i="6" a="1"/>
  <c r="A2912" i="6" a="1"/>
  <c r="A2913" i="6" a="1"/>
  <c r="A2914" i="6" a="1"/>
  <c r="A2915" i="6" a="1"/>
  <c r="A2916" i="6" a="1"/>
  <c r="A2917" i="6" a="1"/>
  <c r="A2918" i="6" a="1"/>
  <c r="A2919" i="6" a="1"/>
  <c r="A2920" i="6" a="1"/>
  <c r="A2921" i="6" a="1"/>
  <c r="A2922" i="6" a="1"/>
  <c r="A2923" i="6" a="1"/>
  <c r="A2924" i="6" a="1"/>
  <c r="A2925" i="6" a="1"/>
  <c r="A2926" i="6" a="1"/>
  <c r="A2927" i="6" a="1"/>
  <c r="A2928" i="6" a="1"/>
  <c r="A2929" i="6" a="1"/>
  <c r="A2930" i="6" a="1"/>
  <c r="A2931" i="6" a="1"/>
  <c r="A2932" i="6" a="1"/>
  <c r="A2933" i="6" a="1"/>
  <c r="A2934" i="6" a="1"/>
  <c r="A2935" i="6" a="1"/>
  <c r="A2936" i="6" a="1"/>
  <c r="A2937" i="6" a="1"/>
  <c r="A2938" i="6" a="1"/>
  <c r="A2939" i="6" a="1"/>
  <c r="A2940" i="6" a="1"/>
  <c r="A2941" i="6" a="1"/>
  <c r="A2942" i="6" a="1"/>
  <c r="A2943" i="6" a="1"/>
  <c r="A2944" i="6" a="1"/>
  <c r="A2945" i="6" a="1"/>
  <c r="A2946" i="6" a="1"/>
  <c r="A2947" i="6" a="1"/>
  <c r="A2948" i="6" a="1"/>
  <c r="A2949" i="6" a="1"/>
  <c r="A2950" i="6" a="1"/>
  <c r="A2951" i="6" a="1"/>
  <c r="A2952" i="6" a="1"/>
  <c r="A2953" i="6" a="1"/>
  <c r="A2954" i="6" a="1"/>
  <c r="A2955" i="6" a="1"/>
  <c r="A2956" i="6" a="1"/>
  <c r="A2957" i="6" a="1"/>
  <c r="A2958" i="6" a="1"/>
  <c r="A2959" i="6" a="1"/>
  <c r="A2960" i="6" a="1"/>
  <c r="A2961" i="6" a="1"/>
  <c r="A2962" i="6" a="1"/>
  <c r="A2963" i="6" a="1"/>
  <c r="A2964" i="6" a="1"/>
  <c r="A2965" i="6" a="1"/>
  <c r="A2966" i="6" a="1"/>
  <c r="A2967" i="6" a="1"/>
  <c r="A2968" i="6" a="1"/>
  <c r="A2969" i="6" a="1"/>
  <c r="A2970" i="6" a="1"/>
  <c r="A2971" i="6" a="1"/>
  <c r="A2972" i="6" a="1"/>
  <c r="A2973" i="6" a="1"/>
  <c r="A2974" i="6" a="1"/>
  <c r="A2975" i="6" a="1"/>
  <c r="A2976" i="6" a="1"/>
  <c r="A2977" i="6" a="1"/>
  <c r="A2978" i="6" a="1"/>
  <c r="A2979" i="6" a="1"/>
  <c r="A2980" i="6" a="1"/>
  <c r="A2981" i="6" a="1"/>
  <c r="A2982" i="6" a="1"/>
  <c r="A2983" i="6" a="1"/>
  <c r="A2984" i="6" a="1"/>
  <c r="A2985" i="6" a="1"/>
  <c r="A2986" i="6" a="1"/>
  <c r="A2987" i="6" a="1"/>
  <c r="A2988" i="6" a="1"/>
  <c r="A2989" i="6" a="1"/>
  <c r="A2990" i="6" a="1"/>
  <c r="A2991" i="6" a="1"/>
  <c r="A2992" i="6" a="1"/>
  <c r="A2993" i="6" a="1"/>
  <c r="A2994" i="6" a="1"/>
  <c r="A2995" i="6" a="1"/>
  <c r="A2996" i="6" a="1"/>
  <c r="A2997" i="6" a="1"/>
  <c r="A2998" i="6" a="1"/>
  <c r="A2999" i="6" a="1"/>
  <c r="A3000" i="6" a="1"/>
  <c r="A3001" i="6" a="1"/>
  <c r="A3002" i="6" a="1"/>
  <c r="A3003" i="6" a="1"/>
  <c r="A3004" i="6" a="1"/>
  <c r="A3005" i="6" a="1"/>
  <c r="A3006" i="6" a="1"/>
  <c r="A3007" i="6" a="1"/>
  <c r="A3008" i="6" a="1"/>
  <c r="A3009" i="6" a="1"/>
  <c r="A3010" i="6" a="1"/>
  <c r="A3011" i="6" a="1"/>
  <c r="A3012" i="6" a="1"/>
  <c r="A3013" i="6" a="1"/>
  <c r="A3014" i="6" a="1"/>
  <c r="A3015" i="6" a="1"/>
  <c r="A3016" i="6" a="1"/>
  <c r="A3017" i="6" a="1"/>
  <c r="A3018" i="6" a="1"/>
  <c r="A3019" i="6" a="1"/>
  <c r="A3020" i="6" a="1"/>
  <c r="A3021" i="6" a="1"/>
  <c r="A3022" i="6" a="1"/>
  <c r="A3023" i="6" a="1"/>
  <c r="A3024" i="6" a="1"/>
  <c r="A3025" i="6" a="1"/>
  <c r="A3026" i="6" a="1"/>
  <c r="A3027" i="6" a="1"/>
  <c r="A3028" i="6" a="1"/>
  <c r="A3029" i="6" a="1"/>
  <c r="A3030" i="6" a="1"/>
  <c r="A3031" i="6" a="1"/>
  <c r="A3032" i="6" a="1"/>
  <c r="A3033" i="6" a="1"/>
  <c r="A3034" i="6" a="1"/>
  <c r="A3035" i="6" a="1"/>
  <c r="A3036" i="6" a="1"/>
  <c r="A3037" i="6" a="1"/>
  <c r="A3038" i="6" a="1"/>
  <c r="A3039" i="6" a="1"/>
  <c r="A3040" i="6" a="1"/>
  <c r="A3041" i="6" a="1"/>
  <c r="A3042" i="6" a="1"/>
  <c r="A3043" i="6" a="1"/>
  <c r="A3044" i="6" a="1"/>
  <c r="A3045" i="6" a="1"/>
  <c r="A3046" i="6" a="1"/>
  <c r="A3047" i="6" a="1"/>
  <c r="A3048" i="6" a="1"/>
  <c r="A3049" i="6" a="1"/>
  <c r="A3050" i="6" a="1"/>
  <c r="A3051" i="6" a="1"/>
  <c r="A3052" i="6" a="1"/>
  <c r="A3053" i="6" a="1"/>
  <c r="A3054" i="6" a="1"/>
  <c r="A3055" i="6" a="1"/>
  <c r="A3056" i="6" a="1"/>
  <c r="A3057" i="6" a="1"/>
  <c r="A3058" i="6" a="1"/>
  <c r="A3059" i="6" a="1"/>
  <c r="A3060" i="6" a="1"/>
  <c r="A3061" i="6" a="1"/>
  <c r="A3062" i="6" a="1"/>
  <c r="A3063" i="6" a="1"/>
  <c r="A3064" i="6" a="1"/>
  <c r="A3065" i="6" a="1"/>
  <c r="A3066" i="6" a="1"/>
  <c r="A3067" i="6" a="1"/>
  <c r="A3068" i="6" a="1"/>
  <c r="A3069" i="6" a="1"/>
  <c r="A3070" i="6" a="1"/>
  <c r="A3071" i="6" a="1"/>
  <c r="A3072" i="6" a="1"/>
  <c r="A3073" i="6" a="1"/>
  <c r="A3074" i="6" a="1"/>
  <c r="A3075" i="6" a="1"/>
  <c r="A3076" i="6" a="1"/>
  <c r="A3077" i="6" a="1"/>
  <c r="A3078" i="6" a="1"/>
  <c r="A3079" i="6" a="1"/>
  <c r="A3080" i="6" a="1"/>
  <c r="A3081" i="6" a="1"/>
  <c r="A3082" i="6" a="1"/>
  <c r="A3083" i="6" a="1"/>
  <c r="A3084" i="6" a="1"/>
  <c r="A3085" i="6" a="1"/>
  <c r="A3086" i="6" a="1"/>
  <c r="A3087" i="6" a="1"/>
  <c r="A3088" i="6" a="1"/>
  <c r="A3089" i="6" a="1"/>
  <c r="A3090" i="6" a="1"/>
  <c r="A3091" i="6" a="1"/>
  <c r="A3092" i="6" a="1"/>
  <c r="A3093" i="6" a="1"/>
  <c r="A3094" i="6" a="1"/>
  <c r="A3095" i="6" a="1"/>
  <c r="A3096" i="6" a="1"/>
  <c r="A3097" i="6" a="1"/>
  <c r="A3098" i="6" a="1"/>
  <c r="A3099" i="6" a="1"/>
  <c r="A3100" i="6" a="1"/>
  <c r="A3101" i="6" a="1"/>
  <c r="A3102" i="6" a="1"/>
  <c r="A3103" i="6" a="1"/>
  <c r="A3104" i="6" a="1"/>
  <c r="A3105" i="6" a="1"/>
  <c r="A3106" i="6" a="1"/>
  <c r="A3107" i="6" a="1"/>
  <c r="A3108" i="6" a="1"/>
  <c r="A3109" i="6" a="1"/>
  <c r="A3110" i="6" a="1"/>
  <c r="A3111" i="6" a="1"/>
  <c r="A3112" i="6" a="1"/>
  <c r="A3113" i="6" a="1"/>
  <c r="A3114" i="6" a="1"/>
  <c r="A3115" i="6" a="1"/>
  <c r="A3116" i="6" a="1"/>
  <c r="A3117" i="6" a="1"/>
  <c r="A3118" i="6" a="1"/>
  <c r="A3119" i="6" a="1"/>
  <c r="A3120" i="6" a="1"/>
  <c r="A3121" i="6" a="1"/>
  <c r="A3122" i="6" a="1"/>
  <c r="A3123" i="6" a="1"/>
  <c r="A3124" i="6" a="1"/>
  <c r="A3125" i="6" a="1"/>
  <c r="A3126" i="6" a="1"/>
  <c r="A3127" i="6" a="1"/>
  <c r="A3128" i="6" a="1"/>
  <c r="A3129" i="6" a="1"/>
  <c r="A3130" i="6" a="1"/>
  <c r="A3131" i="6" a="1"/>
  <c r="A3132" i="6" a="1"/>
  <c r="A3133" i="6" a="1"/>
  <c r="A3134" i="6" a="1"/>
  <c r="A3135" i="6" a="1"/>
  <c r="A3136" i="6" a="1"/>
  <c r="A3137" i="6" a="1"/>
  <c r="A3138" i="6" a="1"/>
  <c r="A3139" i="6" a="1"/>
  <c r="A3140" i="6" a="1"/>
  <c r="A3141" i="6" a="1"/>
  <c r="A3142" i="6" a="1"/>
  <c r="A3143" i="6" a="1"/>
  <c r="A3144" i="6" a="1"/>
  <c r="A3145" i="6" a="1"/>
  <c r="A3146" i="6" a="1"/>
  <c r="A3147" i="6" a="1"/>
  <c r="A3148" i="6" a="1"/>
  <c r="A3149" i="6" a="1"/>
  <c r="A3150" i="6" a="1"/>
  <c r="A3151" i="6" a="1"/>
  <c r="A3152" i="6" a="1"/>
  <c r="A3153" i="6" a="1"/>
  <c r="A3154" i="6" a="1"/>
  <c r="A3155" i="6" a="1"/>
  <c r="A3156" i="6" a="1"/>
  <c r="A3157" i="6" a="1"/>
  <c r="A3158" i="6" a="1"/>
  <c r="A3159" i="6" a="1"/>
  <c r="A3160" i="6" a="1"/>
  <c r="A3161" i="6" a="1"/>
  <c r="A3162" i="6" a="1"/>
  <c r="A3163" i="6" a="1"/>
  <c r="A3164" i="6" a="1"/>
  <c r="A3165" i="6" a="1"/>
  <c r="A3166" i="6" a="1"/>
  <c r="A3167" i="6" a="1"/>
  <c r="A3168" i="6" a="1"/>
  <c r="A3169" i="6" a="1"/>
  <c r="A3170" i="6" a="1"/>
  <c r="A3171" i="6" a="1"/>
  <c r="A3172" i="6" a="1"/>
  <c r="A3173" i="6" a="1"/>
  <c r="A3174" i="6" a="1"/>
  <c r="A3175" i="6" a="1"/>
  <c r="A3176" i="6" a="1"/>
  <c r="A3177" i="6" a="1"/>
  <c r="A3178" i="6" a="1"/>
  <c r="A3179" i="6" a="1"/>
  <c r="A3180" i="6" a="1"/>
  <c r="A3181" i="6" a="1"/>
  <c r="A3182" i="6" a="1"/>
  <c r="A3183" i="6" a="1"/>
  <c r="A3184" i="6" a="1"/>
  <c r="A3185" i="6" a="1"/>
  <c r="A3186" i="6" a="1"/>
  <c r="A3187" i="6" a="1"/>
  <c r="A3188" i="6" a="1"/>
  <c r="A3189" i="6" a="1"/>
  <c r="A3190" i="6" a="1"/>
  <c r="A3191" i="6" a="1"/>
  <c r="A3192" i="6" a="1"/>
  <c r="A3193" i="6" a="1"/>
  <c r="A3194" i="6" a="1"/>
  <c r="A3195" i="6" a="1"/>
  <c r="A3196" i="6" a="1"/>
  <c r="A3197" i="6" a="1"/>
  <c r="A3198" i="6" a="1"/>
  <c r="A3199" i="6" a="1"/>
  <c r="A3200" i="6" a="1"/>
  <c r="A3201" i="6" a="1"/>
  <c r="A3202" i="6" a="1"/>
  <c r="A3203" i="6" a="1"/>
  <c r="A3204" i="6" a="1"/>
  <c r="A3205" i="6" a="1"/>
  <c r="A3206" i="6" a="1"/>
  <c r="A3207" i="6" a="1"/>
  <c r="A3208" i="6" a="1"/>
  <c r="A3209" i="6" a="1"/>
  <c r="A3210" i="6" a="1"/>
  <c r="A3211" i="6" a="1"/>
  <c r="A3212" i="6" a="1"/>
  <c r="A3213" i="6" a="1"/>
  <c r="A3214" i="6" a="1"/>
  <c r="A3215" i="6" a="1"/>
  <c r="A3216" i="6" a="1"/>
  <c r="A3217" i="6" a="1"/>
  <c r="A3218" i="6" a="1"/>
  <c r="A3219" i="6" a="1"/>
  <c r="A3220" i="6" a="1"/>
  <c r="A3221" i="6" a="1"/>
  <c r="A3222" i="6" a="1"/>
  <c r="A3223" i="6" a="1"/>
  <c r="A3224" i="6" a="1"/>
  <c r="A3225" i="6" a="1"/>
  <c r="A3226" i="6" a="1"/>
  <c r="A3227" i="6" a="1"/>
  <c r="A3228" i="6" a="1"/>
  <c r="A3229" i="6" a="1"/>
  <c r="A3230" i="6" a="1"/>
  <c r="A3231" i="6" a="1"/>
  <c r="A3232" i="6" a="1"/>
  <c r="A3233" i="6" a="1"/>
  <c r="A3234" i="6" a="1"/>
  <c r="A3235" i="6" a="1"/>
  <c r="A3236" i="6" a="1"/>
  <c r="A3237" i="6" a="1"/>
  <c r="A3238" i="6" a="1"/>
  <c r="A3239" i="6" a="1"/>
  <c r="A3240" i="6" a="1"/>
  <c r="A3241" i="6" a="1"/>
  <c r="A3242" i="6" a="1"/>
  <c r="A3243" i="6" a="1"/>
  <c r="A3244" i="6" a="1"/>
  <c r="A3245" i="6" a="1"/>
  <c r="A3246" i="6" a="1"/>
  <c r="A3247" i="6" a="1"/>
  <c r="A3248" i="6" a="1"/>
  <c r="A3249" i="6" a="1"/>
  <c r="A3250" i="6" a="1"/>
  <c r="A3251" i="6" a="1"/>
  <c r="A3252" i="6" a="1"/>
  <c r="A3253" i="6" a="1"/>
  <c r="A3254" i="6" a="1"/>
  <c r="A3255" i="6" a="1"/>
  <c r="A3256" i="6" a="1"/>
  <c r="A3257" i="6" a="1"/>
  <c r="A3258" i="6" a="1"/>
  <c r="A3259" i="6" a="1"/>
  <c r="A3260" i="6" a="1"/>
  <c r="A3261" i="6" a="1"/>
  <c r="A3262" i="6" a="1"/>
  <c r="A3263" i="6" a="1"/>
  <c r="A3264" i="6" a="1"/>
  <c r="A3265" i="6" a="1"/>
  <c r="A3266" i="6" a="1"/>
  <c r="A3267" i="6" a="1"/>
  <c r="A3268" i="6" a="1"/>
  <c r="A3269" i="6" a="1"/>
  <c r="A3270" i="6" a="1"/>
  <c r="A3271" i="6" a="1"/>
  <c r="A3272" i="6" a="1"/>
  <c r="A3273" i="6" a="1"/>
  <c r="A3274" i="6" a="1"/>
  <c r="A3275" i="6" a="1"/>
  <c r="A3276" i="6" a="1"/>
  <c r="A3277" i="6" a="1"/>
  <c r="A3278" i="6" a="1"/>
  <c r="A3279" i="6" a="1"/>
  <c r="A3280" i="6" a="1"/>
  <c r="A3281" i="6" a="1"/>
  <c r="A3282" i="6" a="1"/>
  <c r="A3283" i="6" a="1"/>
  <c r="A3284" i="6" a="1"/>
  <c r="A3285" i="6" a="1"/>
  <c r="A3286" i="6" a="1"/>
  <c r="A3287" i="6" a="1"/>
  <c r="A3288" i="6" a="1"/>
  <c r="A3289" i="6" a="1"/>
  <c r="A3290" i="6" a="1"/>
  <c r="A3291" i="6" a="1"/>
  <c r="A3292" i="6" a="1"/>
  <c r="A3293" i="6" a="1"/>
  <c r="A3294" i="6" a="1"/>
  <c r="A3295" i="6" a="1"/>
  <c r="A3296" i="6" a="1"/>
  <c r="A3297" i="6" a="1"/>
  <c r="A3298" i="6" a="1"/>
  <c r="A3299" i="6" a="1"/>
  <c r="A3300" i="6" a="1"/>
  <c r="A3301" i="6" a="1"/>
  <c r="A3302" i="6" a="1"/>
  <c r="A3303" i="6" a="1"/>
  <c r="A3304" i="6" a="1"/>
  <c r="A3305" i="6" a="1"/>
  <c r="A3306" i="6" a="1"/>
  <c r="A3307" i="6" a="1"/>
  <c r="A3308" i="6" a="1"/>
  <c r="A3309" i="6" a="1"/>
  <c r="A3310" i="6" a="1"/>
  <c r="A3311" i="6" a="1"/>
  <c r="A3312" i="6" a="1"/>
  <c r="A3313" i="6" a="1"/>
  <c r="A3314" i="6" a="1"/>
  <c r="A3315" i="6" a="1"/>
  <c r="A3316" i="6" a="1"/>
  <c r="A3317" i="6" a="1"/>
  <c r="A3318" i="6" a="1"/>
  <c r="A3319" i="6" a="1"/>
  <c r="A3320" i="6" a="1"/>
  <c r="A3321" i="6" a="1"/>
  <c r="A3322" i="6" a="1"/>
  <c r="A3323" i="6" a="1"/>
  <c r="A3324" i="6" a="1"/>
  <c r="A3325" i="6" a="1"/>
  <c r="A3326" i="6" a="1"/>
  <c r="A3327" i="6" a="1"/>
  <c r="A3328" i="6" a="1"/>
  <c r="A3329" i="6" a="1"/>
  <c r="A3330" i="6" a="1"/>
  <c r="A3331" i="6" a="1"/>
  <c r="A3332" i="6" a="1"/>
  <c r="A3333" i="6" a="1"/>
  <c r="A3334" i="6" a="1"/>
  <c r="A3335" i="6" a="1"/>
  <c r="A3336" i="6" a="1"/>
  <c r="A3337" i="6" a="1"/>
  <c r="A3338" i="6" a="1"/>
  <c r="A3339" i="6" a="1"/>
  <c r="A3340" i="6" a="1"/>
  <c r="A3341" i="6" a="1"/>
  <c r="A3342" i="6" a="1"/>
  <c r="A3343" i="6" a="1"/>
  <c r="A3344" i="6" a="1"/>
  <c r="A3345" i="6" a="1"/>
  <c r="A3346" i="6" a="1"/>
  <c r="A3347" i="6" a="1"/>
  <c r="A3348" i="6" a="1"/>
  <c r="A3349" i="6" a="1"/>
  <c r="A3350" i="6" a="1"/>
  <c r="A3351" i="6" a="1"/>
  <c r="A3352" i="6" a="1"/>
  <c r="A3353" i="6" a="1"/>
  <c r="A3354" i="6" a="1"/>
  <c r="A3355" i="6" a="1"/>
  <c r="A3356" i="6" a="1"/>
  <c r="A3357" i="6" a="1"/>
  <c r="A3358" i="6" a="1"/>
  <c r="A3359" i="6" a="1"/>
  <c r="A3360" i="6" a="1"/>
  <c r="A3361" i="6" a="1"/>
  <c r="A3362" i="6" a="1"/>
  <c r="A3363" i="6" a="1"/>
  <c r="A3364" i="6" a="1"/>
  <c r="A3365" i="6" a="1"/>
  <c r="A3366" i="6" a="1"/>
  <c r="A3367" i="6" a="1"/>
  <c r="A3368" i="6" a="1"/>
  <c r="A3369" i="6" a="1"/>
  <c r="A3370" i="6" a="1"/>
  <c r="A3371" i="6" a="1"/>
  <c r="A3372" i="6" a="1"/>
  <c r="A3373" i="6" a="1"/>
  <c r="A3374" i="6" a="1"/>
  <c r="A3375" i="6" a="1"/>
  <c r="A3376" i="6" a="1"/>
  <c r="A3377" i="6" a="1"/>
  <c r="A3378" i="6" a="1"/>
  <c r="A3379" i="6" a="1"/>
  <c r="A3380" i="6" a="1"/>
  <c r="A3381" i="6" a="1"/>
  <c r="A3382" i="6" a="1"/>
  <c r="A3383" i="6" a="1"/>
  <c r="A3384" i="6" a="1"/>
  <c r="A3385" i="6" a="1"/>
  <c r="A3386" i="6" a="1"/>
  <c r="A3387" i="6" a="1"/>
  <c r="A3388" i="6" a="1"/>
  <c r="A3389" i="6" a="1"/>
  <c r="A3390" i="6" a="1"/>
  <c r="A3391" i="6" a="1"/>
  <c r="A3392" i="6" a="1"/>
  <c r="A3393" i="6" a="1"/>
  <c r="A3394" i="6" a="1"/>
  <c r="A3395" i="6" a="1"/>
  <c r="A3396" i="6" a="1"/>
  <c r="A3397" i="6" a="1"/>
  <c r="A3398" i="6" a="1"/>
  <c r="A3399" i="6" a="1"/>
  <c r="A3400" i="6" a="1"/>
  <c r="A3401" i="6" a="1"/>
  <c r="A3402" i="6" a="1"/>
  <c r="A3403" i="6" a="1"/>
  <c r="A3404" i="6" a="1"/>
  <c r="A3405" i="6" a="1"/>
  <c r="A3406" i="6" a="1"/>
  <c r="A3407" i="6" a="1"/>
  <c r="A3408" i="6" a="1"/>
  <c r="A3409" i="6" a="1"/>
  <c r="A3410" i="6" a="1"/>
  <c r="A3411" i="6" a="1"/>
  <c r="A3412" i="6" a="1"/>
  <c r="A3413" i="6" a="1"/>
  <c r="A3414" i="6" a="1"/>
  <c r="A3415" i="6" a="1"/>
  <c r="A3416" i="6" a="1"/>
  <c r="A3417" i="6" a="1"/>
  <c r="A3418" i="6" a="1"/>
  <c r="A3419" i="6" a="1"/>
  <c r="A3420" i="6" a="1"/>
  <c r="A3421" i="6" a="1"/>
  <c r="A3422" i="6" a="1"/>
  <c r="A3423" i="6" a="1"/>
  <c r="A3424" i="6" a="1"/>
  <c r="A3425" i="6" a="1"/>
  <c r="A3426" i="6" a="1"/>
  <c r="A3427" i="6" a="1"/>
  <c r="A3428" i="6" a="1"/>
  <c r="A3429" i="6" a="1"/>
  <c r="A3430" i="6" a="1"/>
  <c r="A3431" i="6" a="1"/>
  <c r="A3432" i="6" a="1"/>
  <c r="A3433" i="6" a="1"/>
  <c r="A3434" i="6" a="1"/>
  <c r="A3435" i="6" a="1"/>
  <c r="A3436" i="6" a="1"/>
  <c r="A3437" i="6" a="1"/>
  <c r="A3438" i="6" a="1"/>
  <c r="A3439" i="6" a="1"/>
  <c r="A3440" i="6" a="1"/>
  <c r="A3441" i="6" a="1"/>
  <c r="A3442" i="6" a="1"/>
  <c r="A3443" i="6" a="1"/>
  <c r="A3444" i="6" a="1"/>
  <c r="A3445" i="6" a="1"/>
  <c r="A3446" i="6" a="1"/>
  <c r="A3447" i="6" a="1"/>
  <c r="A3448" i="6" a="1"/>
  <c r="A3449" i="6" a="1"/>
  <c r="A3450" i="6" a="1"/>
  <c r="A3451" i="6" a="1"/>
  <c r="A3452" i="6" a="1"/>
  <c r="A3453" i="6" a="1"/>
  <c r="A3454" i="6" a="1"/>
  <c r="A3455" i="6" a="1"/>
  <c r="A3456" i="6" a="1"/>
  <c r="A3457" i="6" a="1"/>
  <c r="A3458" i="6" a="1"/>
  <c r="A3459" i="6" a="1"/>
  <c r="A3460" i="6" a="1"/>
  <c r="A3461" i="6" a="1"/>
  <c r="A3462" i="6" a="1"/>
  <c r="A3463" i="6" a="1"/>
  <c r="A3464" i="6" a="1"/>
  <c r="A3465" i="6" a="1"/>
  <c r="A3466" i="6" a="1"/>
  <c r="A3467" i="6" a="1"/>
  <c r="A3468" i="6" a="1"/>
  <c r="A3469" i="6" a="1"/>
  <c r="A3470" i="6" a="1"/>
  <c r="A3471" i="6" a="1"/>
  <c r="A3472" i="6" a="1"/>
  <c r="A3473" i="6" a="1"/>
  <c r="A3474" i="6" a="1"/>
  <c r="A3475" i="6" a="1"/>
  <c r="A3476" i="6" a="1"/>
  <c r="A362" i="6" a="1"/>
  <c r="A3" i="5" a="1"/>
  <c r="A4" i="5" a="1"/>
  <c r="A5" i="5" a="1"/>
  <c r="A6" i="5" a="1"/>
  <c r="A7" i="5" a="1"/>
  <c r="A8" i="5" a="1"/>
  <c r="A9" i="5" a="1"/>
  <c r="A10" i="5" a="1"/>
  <c r="A11" i="5" a="1"/>
  <c r="A12" i="5" a="1"/>
  <c r="A13" i="5" a="1"/>
  <c r="A14" i="5" a="1"/>
  <c r="A15" i="5" a="1"/>
  <c r="A16" i="5" a="1"/>
  <c r="A17" i="5" a="1"/>
  <c r="A18" i="5" a="1"/>
  <c r="A19" i="5" a="1"/>
  <c r="A20" i="5" a="1"/>
  <c r="A21" i="5" a="1"/>
  <c r="A22" i="5" a="1"/>
  <c r="A23" i="5" a="1"/>
  <c r="A24" i="5" a="1"/>
  <c r="A25" i="5" a="1"/>
  <c r="A26" i="5" a="1"/>
  <c r="A27" i="5" a="1"/>
  <c r="A28" i="5" a="1"/>
  <c r="A29" i="5" a="1"/>
  <c r="A30" i="5" a="1"/>
  <c r="A31" i="5" a="1"/>
  <c r="A32" i="5" a="1"/>
  <c r="A33" i="5" a="1"/>
  <c r="A34" i="5" a="1"/>
  <c r="A35" i="5" a="1"/>
  <c r="A36" i="5" a="1"/>
  <c r="A37" i="5" a="1"/>
  <c r="A38" i="5" a="1"/>
  <c r="A39" i="5" a="1"/>
  <c r="A40" i="5" a="1"/>
  <c r="A41" i="5" a="1"/>
  <c r="A42" i="5" a="1"/>
  <c r="A43" i="5" a="1"/>
  <c r="A44" i="5" a="1"/>
  <c r="A45" i="5" a="1"/>
  <c r="A46" i="5" a="1"/>
  <c r="A47" i="5" a="1"/>
  <c r="A48" i="5" a="1"/>
  <c r="A49" i="5" a="1"/>
  <c r="A50" i="5" a="1"/>
  <c r="A51" i="5" a="1"/>
  <c r="A52" i="5" a="1"/>
  <c r="A53" i="5" a="1"/>
  <c r="A54" i="5" a="1"/>
  <c r="A55" i="5" a="1"/>
  <c r="A56" i="5" a="1"/>
  <c r="A57" i="5" a="1"/>
  <c r="A58" i="5" a="1"/>
  <c r="A59" i="5" a="1"/>
  <c r="A60" i="5" a="1"/>
  <c r="A61" i="5" a="1"/>
  <c r="A62" i="5" a="1"/>
  <c r="A63" i="5" a="1"/>
  <c r="A64" i="5" a="1"/>
  <c r="A65" i="5" a="1"/>
  <c r="A66" i="5" a="1"/>
  <c r="A67" i="5" a="1"/>
  <c r="A68" i="5" a="1"/>
  <c r="A69" i="5" a="1"/>
  <c r="A70" i="5" a="1"/>
  <c r="A71" i="5" a="1"/>
  <c r="A72" i="5" a="1"/>
  <c r="A73" i="5" a="1"/>
  <c r="A74" i="5" a="1"/>
  <c r="A75" i="5" a="1"/>
  <c r="A76" i="5" a="1"/>
  <c r="A77" i="5" a="1"/>
  <c r="A78" i="5" a="1"/>
  <c r="A79" i="5" a="1"/>
  <c r="A80" i="5" a="1"/>
  <c r="A81" i="5" a="1"/>
  <c r="A82" i="5" a="1"/>
  <c r="A83" i="5" a="1"/>
  <c r="A84" i="5" a="1"/>
  <c r="A85" i="5" a="1"/>
  <c r="A86" i="5" a="1"/>
  <c r="A87" i="5" a="1"/>
  <c r="A88" i="5" a="1"/>
  <c r="A89" i="5" a="1"/>
  <c r="A90" i="5" a="1"/>
  <c r="A91" i="5" a="1"/>
  <c r="A92" i="5" a="1"/>
  <c r="A93" i="5" a="1"/>
  <c r="A94" i="5" a="1"/>
  <c r="A95" i="5" a="1"/>
  <c r="A96" i="5" a="1"/>
  <c r="A97" i="5" a="1"/>
  <c r="A98" i="5" a="1"/>
  <c r="A99" i="5" a="1"/>
  <c r="A100" i="5" a="1"/>
  <c r="A101" i="5" a="1"/>
  <c r="A102" i="5" a="1"/>
  <c r="A103" i="5" a="1"/>
  <c r="A104" i="5" a="1"/>
  <c r="A105" i="5" a="1"/>
  <c r="A106" i="5" a="1"/>
  <c r="A107" i="5" a="1"/>
  <c r="A108" i="5" a="1"/>
  <c r="A109" i="5" a="1"/>
  <c r="A110" i="5" a="1"/>
  <c r="A111" i="5" a="1"/>
  <c r="A112" i="5" a="1"/>
  <c r="A113" i="5" a="1"/>
  <c r="A114" i="5" a="1"/>
  <c r="A115" i="5" a="1"/>
  <c r="A116" i="5" a="1"/>
  <c r="A117" i="5" a="1"/>
  <c r="A118" i="5" a="1"/>
  <c r="A119" i="5" a="1"/>
  <c r="A120" i="5" a="1"/>
  <c r="A121" i="5" a="1"/>
  <c r="A122" i="5" a="1"/>
  <c r="A123" i="5" a="1"/>
  <c r="A124" i="5" a="1"/>
  <c r="A125" i="5" a="1"/>
  <c r="A126" i="5" a="1"/>
  <c r="A127" i="5" a="1"/>
  <c r="A128" i="5" a="1"/>
  <c r="A129" i="5" a="1"/>
  <c r="A130" i="5" a="1"/>
  <c r="A131" i="5" a="1"/>
  <c r="A132" i="5" a="1"/>
  <c r="A133" i="5" a="1"/>
  <c r="A134" i="5" a="1"/>
  <c r="A135" i="5" a="1"/>
  <c r="A136" i="5" a="1"/>
  <c r="A137" i="5" a="1"/>
  <c r="A138" i="5" a="1"/>
  <c r="A139" i="5" a="1"/>
  <c r="A140" i="5" a="1"/>
  <c r="A141" i="5" a="1"/>
  <c r="A142" i="5" a="1"/>
  <c r="A143" i="5" a="1"/>
  <c r="A144" i="5" a="1"/>
  <c r="A145" i="5" a="1"/>
  <c r="A146" i="5" a="1"/>
  <c r="A147" i="5" a="1"/>
  <c r="A148" i="5" a="1"/>
  <c r="A149" i="5" a="1"/>
  <c r="A150" i="5" a="1"/>
  <c r="A151" i="5" a="1"/>
  <c r="A152" i="5" a="1"/>
  <c r="A153" i="5" a="1"/>
  <c r="A154" i="5" a="1"/>
  <c r="A155" i="5" a="1"/>
  <c r="A156" i="5" a="1"/>
  <c r="A157" i="5" a="1"/>
  <c r="A158" i="5" a="1"/>
  <c r="A159" i="5" a="1"/>
  <c r="A160" i="5" a="1"/>
  <c r="A161" i="5" a="1"/>
  <c r="A162" i="5" a="1"/>
  <c r="A163" i="5" a="1"/>
  <c r="A164" i="5" a="1"/>
  <c r="A165" i="5" a="1"/>
  <c r="A166" i="5" a="1"/>
  <c r="A167" i="5" a="1"/>
  <c r="A168" i="5" a="1"/>
  <c r="A169" i="5" a="1"/>
  <c r="A170" i="5" a="1"/>
  <c r="A171" i="5" a="1"/>
  <c r="A172" i="5" a="1"/>
  <c r="A173" i="5" a="1"/>
  <c r="A174" i="5" a="1"/>
  <c r="A175" i="5" a="1"/>
  <c r="A176" i="5" a="1"/>
  <c r="A177" i="5" a="1"/>
  <c r="A178" i="5" a="1"/>
  <c r="A179" i="5" a="1"/>
  <c r="A180" i="5" a="1"/>
  <c r="A181" i="5" a="1"/>
  <c r="A182" i="5" a="1"/>
  <c r="A183" i="5" a="1"/>
  <c r="A184" i="5" a="1"/>
  <c r="A185" i="5" a="1"/>
  <c r="A186" i="5" a="1"/>
  <c r="A187" i="5" a="1"/>
  <c r="A188" i="5" a="1"/>
  <c r="A189" i="5" a="1"/>
  <c r="A190" i="5" a="1"/>
  <c r="A191" i="5" a="1"/>
  <c r="A192" i="5" a="1"/>
  <c r="A193" i="5" a="1"/>
  <c r="A194" i="5" a="1"/>
  <c r="A195" i="5" a="1"/>
  <c r="A196" i="5" a="1"/>
  <c r="A197" i="5" a="1"/>
  <c r="A198" i="5" a="1"/>
  <c r="A199" i="5" a="1"/>
  <c r="A200" i="5" a="1"/>
  <c r="A201" i="5" a="1"/>
  <c r="A202" i="5" a="1"/>
  <c r="A203" i="5" a="1"/>
  <c r="A204" i="5" a="1"/>
  <c r="A205" i="5" a="1"/>
  <c r="A206" i="5" a="1"/>
  <c r="A207" i="5" a="1"/>
  <c r="A208" i="5" a="1"/>
  <c r="A209" i="5" a="1"/>
  <c r="A210" i="5" a="1"/>
  <c r="A211" i="5" a="1"/>
  <c r="A212" i="5" a="1"/>
  <c r="A213" i="5" a="1"/>
  <c r="A214" i="5" a="1"/>
  <c r="A215" i="5" a="1"/>
  <c r="A216" i="5" a="1"/>
  <c r="A217" i="5" a="1"/>
  <c r="A218" i="5" a="1"/>
  <c r="A219" i="5" a="1"/>
  <c r="A220" i="5" a="1"/>
  <c r="A221" i="5" a="1"/>
  <c r="A222" i="5" a="1"/>
  <c r="A223" i="5" a="1"/>
  <c r="A224" i="5" a="1"/>
  <c r="A225" i="5" a="1"/>
  <c r="A226" i="5" a="1"/>
  <c r="A227" i="5" a="1"/>
  <c r="A228" i="5" a="1"/>
  <c r="A229" i="5" a="1"/>
  <c r="A230" i="5" a="1"/>
  <c r="A231" i="5" a="1"/>
  <c r="A232" i="5" a="1"/>
  <c r="A233" i="5" a="1"/>
  <c r="A234" i="5" a="1"/>
  <c r="A235" i="5" a="1"/>
  <c r="A236" i="5" a="1"/>
  <c r="A237" i="5" a="1"/>
  <c r="A238" i="5" a="1"/>
  <c r="A239" i="5" a="1"/>
  <c r="A240" i="5" a="1"/>
  <c r="A241" i="5" a="1"/>
  <c r="A242" i="5" a="1"/>
  <c r="A243" i="5" a="1"/>
  <c r="A244" i="5" a="1"/>
  <c r="A245" i="5" a="1"/>
  <c r="A246" i="5" a="1"/>
  <c r="A247" i="5" a="1"/>
  <c r="A248" i="5" a="1"/>
  <c r="A249" i="5" a="1"/>
  <c r="A250" i="5" a="1"/>
  <c r="A251" i="5" a="1"/>
  <c r="A252" i="5" a="1"/>
  <c r="A253" i="5" a="1"/>
  <c r="A254" i="5" a="1"/>
  <c r="A255" i="5" a="1"/>
  <c r="A256" i="5" a="1"/>
  <c r="A257" i="5" a="1"/>
  <c r="A258" i="5" a="1"/>
  <c r="A259" i="5" a="1"/>
  <c r="A260" i="5" a="1"/>
  <c r="A261" i="5" a="1"/>
  <c r="A262" i="5" a="1"/>
  <c r="A263" i="5" a="1"/>
  <c r="A264" i="5" a="1"/>
  <c r="A265" i="5" a="1"/>
  <c r="A266" i="5" a="1"/>
  <c r="A267" i="5" a="1"/>
  <c r="A268" i="5" a="1"/>
  <c r="A269" i="5" a="1"/>
  <c r="A270" i="5" a="1"/>
  <c r="A271" i="5" a="1"/>
  <c r="A272" i="5" a="1"/>
  <c r="A273" i="5" a="1"/>
  <c r="A274" i="5" a="1"/>
  <c r="A275" i="5" a="1"/>
  <c r="A276" i="5" a="1"/>
  <c r="A277" i="5" a="1"/>
  <c r="A278" i="5" a="1"/>
  <c r="A279" i="5" a="1"/>
  <c r="A280" i="5" a="1"/>
  <c r="A281" i="5" a="1"/>
  <c r="A282" i="5" a="1"/>
  <c r="A283" i="5" a="1"/>
  <c r="A284" i="5" a="1"/>
  <c r="A285" i="5" a="1"/>
  <c r="A286" i="5" a="1"/>
  <c r="A287" i="5" a="1"/>
  <c r="A288" i="5" a="1"/>
  <c r="A289" i="5" a="1"/>
  <c r="A290" i="5" a="1"/>
  <c r="A291" i="5" a="1"/>
  <c r="A292" i="5" a="1"/>
  <c r="A293" i="5" a="1"/>
  <c r="A294" i="5" a="1"/>
  <c r="A295" i="5" a="1"/>
  <c r="A296" i="5" a="1"/>
  <c r="A297" i="5" a="1"/>
  <c r="A298" i="5" a="1"/>
  <c r="A299" i="5" a="1"/>
  <c r="A300" i="5" a="1"/>
  <c r="A301" i="5" a="1"/>
  <c r="A302" i="5" a="1"/>
  <c r="A303" i="5" a="1"/>
  <c r="A304" i="5" a="1"/>
  <c r="A305" i="5" a="1"/>
  <c r="A306" i="5" a="1"/>
  <c r="A307" i="5" a="1"/>
  <c r="A308" i="5" a="1"/>
  <c r="A309" i="5" a="1"/>
  <c r="A310" i="5" a="1"/>
  <c r="A311" i="5" a="1"/>
  <c r="A312" i="5" a="1"/>
  <c r="A313" i="5" a="1"/>
  <c r="A314" i="5" a="1"/>
  <c r="A315" i="5" a="1"/>
  <c r="A316" i="5" a="1"/>
  <c r="A317" i="5" a="1"/>
  <c r="A318" i="5" a="1"/>
  <c r="A319" i="5" a="1"/>
  <c r="A320" i="5" a="1"/>
  <c r="A321" i="5" a="1"/>
  <c r="A322" i="5" a="1"/>
  <c r="A323" i="5" a="1"/>
  <c r="A324" i="5" a="1"/>
  <c r="A325" i="5" a="1"/>
  <c r="A326" i="5" a="1"/>
  <c r="A327" i="5" a="1"/>
  <c r="A328" i="5" a="1"/>
  <c r="A329" i="5" a="1"/>
  <c r="A330" i="5" a="1"/>
  <c r="A331" i="5" a="1"/>
  <c r="A332" i="5" a="1"/>
  <c r="A333" i="5" a="1"/>
  <c r="A334" i="5" a="1"/>
  <c r="A335" i="5" a="1"/>
  <c r="A336" i="5" a="1"/>
  <c r="A337" i="5" a="1"/>
  <c r="A338" i="5" a="1"/>
  <c r="A339" i="5" a="1"/>
  <c r="A340" i="5" a="1"/>
  <c r="A341" i="5" a="1"/>
  <c r="A342" i="5" a="1"/>
  <c r="A343" i="5" a="1"/>
  <c r="A344" i="5" a="1"/>
  <c r="A345" i="5" a="1"/>
  <c r="A346" i="5" a="1"/>
  <c r="A347" i="5" a="1"/>
  <c r="A348" i="5" a="1"/>
  <c r="A349" i="5" a="1"/>
  <c r="A350" i="5" a="1"/>
  <c r="A351" i="5" a="1"/>
  <c r="A352" i="5" a="1"/>
  <c r="A353" i="5" a="1"/>
  <c r="A354" i="5" a="1"/>
  <c r="A355" i="5" a="1"/>
  <c r="A356" i="5" a="1"/>
  <c r="A357" i="5" a="1"/>
  <c r="A358" i="5" a="1"/>
  <c r="A359" i="5" a="1"/>
  <c r="A360" i="5" a="1"/>
  <c r="A361" i="5" a="1"/>
  <c r="A362" i="5" a="1"/>
  <c r="A363" i="5" a="1"/>
  <c r="A364" i="5" a="1"/>
  <c r="A365" i="5" a="1"/>
  <c r="A366" i="5" a="1"/>
  <c r="A367" i="5" a="1"/>
  <c r="A368" i="5" a="1"/>
  <c r="A369" i="5" a="1"/>
  <c r="A370" i="5" a="1"/>
  <c r="A371" i="5" a="1"/>
  <c r="A372" i="5" a="1"/>
  <c r="A373" i="5" a="1"/>
  <c r="A374" i="5" a="1"/>
  <c r="A375" i="5" a="1"/>
  <c r="A376" i="5" a="1"/>
  <c r="A377" i="5" a="1"/>
  <c r="A378" i="5" a="1"/>
  <c r="A379" i="5" a="1"/>
  <c r="A380" i="5" a="1"/>
  <c r="A381" i="5" a="1"/>
  <c r="A382" i="5" a="1"/>
  <c r="A383" i="5" a="1"/>
  <c r="A384" i="5" a="1"/>
  <c r="A385" i="5" a="1"/>
  <c r="A386" i="5" a="1"/>
  <c r="A387" i="5" a="1"/>
  <c r="A388" i="5" a="1"/>
  <c r="A389" i="5" a="1"/>
  <c r="A390" i="5" a="1"/>
  <c r="A391" i="5" a="1"/>
  <c r="A392" i="5" a="1"/>
  <c r="A393" i="5" a="1"/>
  <c r="A394" i="5" a="1"/>
  <c r="A395" i="5" a="1"/>
  <c r="A396" i="5" a="1"/>
  <c r="A397" i="5" a="1"/>
  <c r="A398" i="5" a="1"/>
  <c r="A399" i="5" a="1"/>
  <c r="A400" i="5" a="1"/>
  <c r="A401" i="5" a="1"/>
  <c r="A402" i="5" a="1"/>
  <c r="A403" i="5" a="1"/>
  <c r="A404" i="5" a="1"/>
  <c r="A405" i="5" a="1"/>
  <c r="A406" i="5" a="1"/>
  <c r="A407" i="5" a="1"/>
  <c r="A408" i="5" a="1"/>
  <c r="A409" i="5" a="1"/>
  <c r="A410" i="5" a="1"/>
  <c r="A411" i="5" a="1"/>
  <c r="A412" i="5" a="1"/>
  <c r="A413" i="5" a="1"/>
  <c r="A414" i="5" a="1"/>
  <c r="A415" i="5" a="1"/>
  <c r="A416" i="5" a="1"/>
  <c r="A417" i="5" a="1"/>
  <c r="A418" i="5" a="1"/>
  <c r="A419" i="5" a="1"/>
  <c r="A420" i="5" a="1"/>
  <c r="A421" i="5" a="1"/>
  <c r="A422" i="5" a="1"/>
  <c r="A423" i="5" a="1"/>
  <c r="A424" i="5" a="1"/>
  <c r="A425" i="5" a="1"/>
  <c r="A426" i="5" a="1"/>
  <c r="A427" i="5" a="1"/>
  <c r="A428" i="5" a="1"/>
  <c r="A429" i="5" a="1"/>
  <c r="A430" i="5" a="1"/>
  <c r="A431" i="5" a="1"/>
  <c r="A432" i="5" a="1"/>
  <c r="A433" i="5" a="1"/>
  <c r="A434" i="5" a="1"/>
  <c r="A435" i="5" a="1"/>
  <c r="A436" i="5" a="1"/>
  <c r="A437" i="5" a="1"/>
  <c r="A438" i="5" a="1"/>
  <c r="A439" i="5" a="1"/>
  <c r="A440" i="5" a="1"/>
  <c r="A441" i="5" a="1"/>
  <c r="A442" i="5" a="1"/>
  <c r="A443" i="5" a="1"/>
  <c r="A444" i="5" a="1"/>
  <c r="A445" i="5" a="1"/>
  <c r="A446" i="5" a="1"/>
  <c r="A447" i="5" a="1"/>
  <c r="A448" i="5" a="1"/>
  <c r="A449" i="5" a="1"/>
  <c r="A450" i="5" a="1"/>
  <c r="A451" i="5" a="1"/>
  <c r="A452" i="5" a="1"/>
  <c r="A453" i="5" a="1"/>
  <c r="A454" i="5" a="1"/>
  <c r="A455" i="5" a="1"/>
  <c r="A456" i="5" a="1"/>
  <c r="A457" i="5" a="1"/>
  <c r="A458" i="5" a="1"/>
  <c r="A459" i="5" a="1"/>
  <c r="A460" i="5" a="1"/>
  <c r="A461" i="5" a="1"/>
  <c r="A462" i="5" a="1"/>
  <c r="A463" i="5" a="1"/>
  <c r="A464" i="5" a="1"/>
  <c r="A465" i="5" a="1"/>
  <c r="A466" i="5" a="1"/>
  <c r="A467" i="5" a="1"/>
  <c r="A468" i="5" a="1"/>
  <c r="A469" i="5" a="1"/>
  <c r="A470" i="5" a="1"/>
  <c r="A471" i="5" a="1"/>
  <c r="A472" i="5" a="1"/>
  <c r="A473" i="5" a="1"/>
  <c r="A474" i="5" a="1"/>
  <c r="A475" i="5" a="1"/>
  <c r="A476" i="5" a="1"/>
  <c r="A477" i="5" a="1"/>
  <c r="A478" i="5" a="1"/>
  <c r="A479" i="5" a="1"/>
  <c r="A480" i="5" a="1"/>
  <c r="A481" i="5" a="1"/>
  <c r="A482" i="5" a="1"/>
  <c r="A483" i="5" a="1"/>
  <c r="A484" i="5" a="1"/>
  <c r="A485" i="5" a="1"/>
  <c r="A486" i="5" a="1"/>
  <c r="A487" i="5" a="1"/>
  <c r="A488" i="5" a="1"/>
  <c r="A489" i="5" a="1"/>
  <c r="A490" i="5" a="1"/>
  <c r="A491" i="5" a="1"/>
  <c r="A492" i="5" a="1"/>
  <c r="A493" i="5" a="1"/>
  <c r="A494" i="5" a="1"/>
  <c r="A495" i="5" a="1"/>
  <c r="A496" i="5" a="1"/>
  <c r="A497" i="5" a="1"/>
  <c r="A498" i="5" a="1"/>
  <c r="A499" i="5" a="1"/>
  <c r="A500" i="5" a="1"/>
  <c r="A501" i="5" a="1"/>
  <c r="A502" i="5" a="1"/>
  <c r="A503" i="5" a="1"/>
  <c r="A504" i="5" a="1"/>
  <c r="A505" i="5" a="1"/>
  <c r="A506" i="5" a="1"/>
  <c r="A507" i="5" a="1"/>
  <c r="A508" i="5" a="1"/>
  <c r="A509" i="5" a="1"/>
  <c r="A510" i="5" a="1"/>
  <c r="A511" i="5" a="1"/>
  <c r="A512" i="5" a="1"/>
  <c r="A513" i="5" a="1"/>
  <c r="A514" i="5" a="1"/>
  <c r="A515" i="5" a="1"/>
  <c r="A516" i="5" a="1"/>
  <c r="A517" i="5" a="1"/>
  <c r="A518" i="5" a="1"/>
  <c r="A519" i="5" a="1"/>
  <c r="A520" i="5" a="1"/>
  <c r="A521" i="5" a="1"/>
  <c r="A522" i="5" a="1"/>
  <c r="A523" i="5" a="1"/>
  <c r="A524" i="5" a="1"/>
  <c r="A525" i="5" a="1"/>
  <c r="A526" i="5" a="1"/>
  <c r="A527" i="5" a="1"/>
  <c r="A528" i="5" a="1"/>
  <c r="A529" i="5" a="1"/>
  <c r="A530" i="5" a="1"/>
  <c r="A531" i="5" a="1"/>
  <c r="A532" i="5" a="1"/>
  <c r="A533" i="5" a="1"/>
  <c r="A534" i="5" a="1"/>
  <c r="A535" i="5" a="1"/>
  <c r="A536" i="5" a="1"/>
  <c r="A537" i="5" a="1"/>
  <c r="A538" i="5" a="1"/>
  <c r="A539" i="5" a="1"/>
  <c r="A540" i="5" a="1"/>
  <c r="A541" i="5" a="1"/>
  <c r="A542" i="5" a="1"/>
  <c r="A543" i="5" a="1"/>
  <c r="A544" i="5" a="1"/>
  <c r="A545" i="5" a="1"/>
  <c r="A546" i="5" a="1"/>
  <c r="A547" i="5" a="1"/>
  <c r="A548" i="5" a="1"/>
  <c r="A549" i="5" a="1"/>
  <c r="A550" i="5" a="1"/>
  <c r="A551" i="5" a="1"/>
  <c r="A552" i="5" a="1"/>
  <c r="A553" i="5" a="1"/>
  <c r="A554" i="5" a="1"/>
  <c r="A555" i="5" a="1"/>
  <c r="A556" i="5" a="1"/>
  <c r="A557" i="5" a="1"/>
  <c r="A558" i="5" a="1"/>
  <c r="A559" i="5" a="1"/>
  <c r="A560" i="5" a="1"/>
  <c r="A561" i="5" a="1"/>
  <c r="A562" i="5" a="1"/>
  <c r="A563" i="5" a="1"/>
  <c r="A564" i="5" a="1"/>
  <c r="A565" i="5" a="1"/>
  <c r="A566" i="5" a="1"/>
  <c r="A567" i="5" a="1"/>
  <c r="A568" i="5" a="1"/>
  <c r="A569" i="5" a="1"/>
  <c r="A570" i="5" a="1"/>
  <c r="A571" i="5" a="1"/>
  <c r="A572" i="5" a="1"/>
  <c r="A573" i="5" a="1"/>
  <c r="A574" i="5" a="1"/>
  <c r="A575" i="5" a="1"/>
  <c r="A576" i="5" a="1"/>
  <c r="A577" i="5" a="1"/>
  <c r="A578" i="5" a="1"/>
  <c r="A579" i="5" a="1"/>
  <c r="A580" i="5" a="1"/>
  <c r="A581" i="5" a="1"/>
  <c r="A582" i="5" a="1"/>
  <c r="A583" i="5" a="1"/>
  <c r="A584" i="5" a="1"/>
  <c r="A585" i="5" a="1"/>
  <c r="A586" i="5" a="1"/>
  <c r="A587" i="5" a="1"/>
  <c r="A588" i="5" a="1"/>
  <c r="A589" i="5" a="1"/>
  <c r="A590" i="5" a="1"/>
  <c r="A591" i="5" a="1"/>
  <c r="A592" i="5" a="1"/>
  <c r="A593" i="5" a="1"/>
  <c r="A594" i="5" a="1"/>
  <c r="A595" i="5" a="1"/>
  <c r="A596" i="5" a="1"/>
  <c r="A597" i="5" a="1"/>
  <c r="A598" i="5" a="1"/>
  <c r="A599" i="5" a="1"/>
  <c r="A600" i="5" a="1"/>
  <c r="A601" i="5" a="1"/>
  <c r="A602" i="5" a="1"/>
  <c r="A603" i="5" a="1"/>
  <c r="A604" i="5" a="1"/>
  <c r="A605" i="5" a="1"/>
  <c r="A606" i="5" a="1"/>
  <c r="A607" i="5" a="1"/>
  <c r="A608" i="5" a="1"/>
  <c r="A609" i="5" a="1"/>
  <c r="A610" i="5" a="1"/>
  <c r="A611" i="5" a="1"/>
  <c r="A612" i="5" a="1"/>
  <c r="A613" i="5" a="1"/>
  <c r="A614" i="5" a="1"/>
  <c r="A615" i="5" a="1"/>
  <c r="A616" i="5" a="1"/>
  <c r="A617" i="5" a="1"/>
  <c r="A618" i="5" a="1"/>
  <c r="A619" i="5" a="1"/>
  <c r="A620" i="5" a="1"/>
  <c r="A621" i="5" a="1"/>
  <c r="A622" i="5" a="1"/>
  <c r="A623" i="5" a="1"/>
  <c r="A624" i="5" a="1"/>
  <c r="A625" i="5" a="1"/>
  <c r="A626" i="5" a="1"/>
  <c r="A627" i="5" a="1"/>
  <c r="A628" i="5" a="1"/>
  <c r="A629" i="5" a="1"/>
  <c r="A630" i="5" a="1"/>
  <c r="A631" i="5" a="1"/>
  <c r="A632" i="5" a="1"/>
  <c r="A633" i="5" a="1"/>
  <c r="A634" i="5" a="1"/>
  <c r="A635" i="5" a="1"/>
  <c r="A636" i="5" a="1"/>
  <c r="A637" i="5" a="1"/>
  <c r="A638" i="5" a="1"/>
  <c r="A639" i="5" a="1"/>
  <c r="A640" i="5" a="1"/>
  <c r="A641" i="5" a="1"/>
  <c r="A642" i="5" a="1"/>
  <c r="A643" i="5" a="1"/>
  <c r="A644" i="5" a="1"/>
  <c r="A645" i="5" a="1"/>
  <c r="A646" i="5" a="1"/>
  <c r="A647" i="5" a="1"/>
  <c r="A648" i="5" a="1"/>
  <c r="A649" i="5" a="1"/>
  <c r="A650" i="5" a="1"/>
  <c r="A651" i="5" a="1"/>
  <c r="A652" i="5" a="1"/>
  <c r="A653" i="5" a="1"/>
  <c r="A654" i="5" a="1"/>
  <c r="A655" i="5" a="1"/>
  <c r="A656" i="5" a="1"/>
  <c r="A657" i="5" a="1"/>
  <c r="A658" i="5" a="1"/>
  <c r="A659" i="5" a="1"/>
  <c r="A660" i="5" a="1"/>
  <c r="A661" i="5" a="1"/>
  <c r="A662" i="5" a="1"/>
  <c r="A663" i="5" a="1"/>
  <c r="A664" i="5" a="1"/>
  <c r="A665" i="5" a="1"/>
  <c r="A666" i="5" a="1"/>
  <c r="A667" i="5" a="1"/>
  <c r="A668" i="5" a="1"/>
  <c r="A669" i="5" a="1"/>
  <c r="A670" i="5" a="1"/>
  <c r="A671" i="5" a="1"/>
  <c r="A672" i="5" a="1"/>
  <c r="A673" i="5" a="1"/>
  <c r="A674" i="5" a="1"/>
  <c r="A675" i="5" a="1"/>
  <c r="A676" i="5" a="1"/>
  <c r="A677" i="5" a="1"/>
  <c r="A678" i="5" a="1"/>
  <c r="A679" i="5" a="1"/>
  <c r="A680" i="5" a="1"/>
  <c r="A681" i="5" a="1"/>
  <c r="A682" i="5" a="1"/>
  <c r="A683" i="5" a="1"/>
  <c r="A684" i="5" a="1"/>
  <c r="A685" i="5" a="1"/>
  <c r="A686" i="5" a="1"/>
  <c r="A687" i="5" a="1"/>
  <c r="A688" i="5" a="1"/>
  <c r="A689" i="5" a="1"/>
  <c r="A690" i="5" a="1"/>
  <c r="A691" i="5" a="1"/>
  <c r="A692" i="5" a="1"/>
  <c r="A693" i="5" a="1"/>
  <c r="A694" i="5" a="1"/>
  <c r="A695" i="5" a="1"/>
  <c r="A696" i="5" a="1"/>
  <c r="A697" i="5" a="1"/>
  <c r="A698" i="5" a="1"/>
  <c r="A699" i="5" a="1"/>
  <c r="A700" i="5" a="1"/>
  <c r="A701" i="5" a="1"/>
  <c r="A702" i="5" a="1"/>
  <c r="A703" i="5" a="1"/>
  <c r="A704" i="5" a="1"/>
  <c r="A705" i="5" a="1"/>
  <c r="A706" i="5" a="1"/>
  <c r="A707" i="5" a="1"/>
  <c r="A708" i="5" a="1"/>
  <c r="A709" i="5" a="1"/>
  <c r="A710" i="5" a="1"/>
  <c r="A711" i="5" a="1"/>
  <c r="A712" i="5" a="1"/>
  <c r="A713" i="5" a="1"/>
  <c r="A714" i="5" a="1"/>
  <c r="A715" i="5" a="1"/>
  <c r="A716" i="5" a="1"/>
  <c r="A717" i="5" a="1"/>
  <c r="A718" i="5" a="1"/>
  <c r="A719" i="5" a="1"/>
  <c r="A720" i="5" a="1"/>
  <c r="A721" i="5" a="1"/>
  <c r="A722" i="5" a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2" i="1"/>
  <c r="E4" i="4"/>
  <c r="E5" i="4"/>
  <c r="E6" i="4"/>
  <c r="E7" i="4"/>
  <c r="E8" i="4"/>
  <c r="E9" i="4"/>
  <c r="D5" i="4"/>
  <c r="D6" i="4"/>
  <c r="D7" i="4"/>
  <c r="D8" i="4"/>
  <c r="D9" i="4"/>
  <c r="D4" i="4"/>
  <c r="H27" i="4" l="1"/>
  <c r="J26" i="4" a="1"/>
  <c r="K26" i="4" a="1"/>
  <c r="K22" i="4" a="1"/>
  <c r="H23" i="4"/>
  <c r="J22" i="4" a="1"/>
  <c r="H19" i="4"/>
  <c r="K18" i="4" a="1"/>
  <c r="J18" i="4" a="1"/>
  <c r="H15" i="4"/>
  <c r="J14" i="4" a="1"/>
  <c r="K14" i="4" a="1"/>
  <c r="K10" i="4" a="1"/>
  <c r="J10" i="4" a="1"/>
  <c r="H11" i="4"/>
  <c r="J7" i="4" a="1"/>
  <c r="K7" i="4" a="1"/>
  <c r="K27" i="4" a="1"/>
  <c r="J27" i="4" a="1"/>
  <c r="J23" i="4" a="1"/>
  <c r="K23" i="4" a="1"/>
  <c r="J19" i="4" a="1"/>
  <c r="K19" i="4" a="1"/>
  <c r="J15" i="4" a="1"/>
  <c r="K15" i="4" a="1"/>
  <c r="K11" i="4" a="1"/>
  <c r="J11" i="4" a="1"/>
  <c r="P14" i="8"/>
  <c r="I14" i="8"/>
  <c r="AB14" i="8"/>
  <c r="W14" i="8"/>
  <c r="M11" i="8"/>
  <c r="AH11" i="8"/>
  <c r="N14" i="8"/>
  <c r="L14" i="8"/>
  <c r="AH14" i="8"/>
  <c r="U14" i="8"/>
  <c r="P11" i="8"/>
  <c r="L11" i="8"/>
  <c r="AA11" i="8"/>
  <c r="U11" i="8"/>
  <c r="O14" i="8"/>
  <c r="AC14" i="8"/>
  <c r="X14" i="8"/>
  <c r="N11" i="8"/>
  <c r="J11" i="8"/>
  <c r="AE11" i="8"/>
  <c r="AC11" i="8"/>
  <c r="W11" i="8"/>
  <c r="R14" i="8"/>
  <c r="AJ14" i="8"/>
  <c r="AG14" i="8"/>
  <c r="AD14" i="8"/>
  <c r="Y14" i="8"/>
  <c r="O11" i="8"/>
  <c r="AB11" i="8"/>
  <c r="V11" i="8"/>
  <c r="AJ11" i="8"/>
  <c r="Q14" i="8"/>
  <c r="H14" i="8"/>
  <c r="S11" i="8"/>
  <c r="K11" i="8"/>
  <c r="Y11" i="8"/>
  <c r="T11" i="8"/>
  <c r="M14" i="8"/>
  <c r="K14" i="8"/>
  <c r="AK14" i="8"/>
  <c r="AI14" i="8"/>
  <c r="AE14" i="8"/>
  <c r="Z14" i="8"/>
  <c r="T14" i="8"/>
  <c r="Q11" i="8"/>
  <c r="H11" i="8"/>
  <c r="Z11" i="8"/>
  <c r="AI11" i="8"/>
  <c r="J14" i="8"/>
  <c r="AF14" i="8"/>
  <c r="AA14" i="8"/>
  <c r="V14" i="8"/>
  <c r="R11" i="8"/>
  <c r="I11" i="8"/>
  <c r="AF11" i="8"/>
  <c r="AD11" i="8"/>
  <c r="X11" i="8"/>
  <c r="G14" i="8"/>
  <c r="F14" i="8"/>
  <c r="E14" i="8"/>
  <c r="B14" i="8"/>
  <c r="F11" i="8"/>
  <c r="G11" i="8"/>
  <c r="B11" i="8"/>
  <c r="AI18" i="8"/>
  <c r="AD18" i="8"/>
  <c r="W18" i="8"/>
  <c r="AH17" i="8"/>
  <c r="AB17" i="8"/>
  <c r="V18" i="8"/>
  <c r="T17" i="8"/>
  <c r="AH8" i="8"/>
  <c r="AE8" i="8"/>
  <c r="Z8" i="8"/>
  <c r="W8" i="8"/>
  <c r="AJ6" i="8"/>
  <c r="AD6" i="8"/>
  <c r="D41" i="4"/>
  <c r="D39" i="4"/>
  <c r="D36" i="4"/>
  <c r="D35" i="4"/>
  <c r="D32" i="4"/>
  <c r="D19" i="4"/>
  <c r="D15" i="4"/>
  <c r="AK18" i="8"/>
  <c r="AA18" i="8"/>
  <c r="Y18" i="8"/>
  <c r="AI17" i="8"/>
  <c r="AE17" i="8"/>
  <c r="Z17" i="8"/>
  <c r="U17" i="8"/>
  <c r="AK8" i="8"/>
  <c r="AD8" i="8"/>
  <c r="Y8" i="8"/>
  <c r="T6" i="8"/>
  <c r="AE6" i="8"/>
  <c r="AH18" i="8"/>
  <c r="AB18" i="8"/>
  <c r="AK17" i="8"/>
  <c r="AG17" i="8"/>
  <c r="AC17" i="8"/>
  <c r="Y17" i="8"/>
  <c r="U18" i="8"/>
  <c r="AI8" i="8"/>
  <c r="AA8" i="8"/>
  <c r="X8" i="8"/>
  <c r="T8" i="8"/>
  <c r="AH6" i="8"/>
  <c r="D25" i="4"/>
  <c r="D22" i="4"/>
  <c r="D20" i="4"/>
  <c r="D18" i="4"/>
  <c r="D16" i="4"/>
  <c r="AG18" i="8"/>
  <c r="AF18" i="8"/>
  <c r="AE18" i="8"/>
  <c r="Z18" i="8"/>
  <c r="AJ17" i="8"/>
  <c r="AD17" i="8"/>
  <c r="X17" i="8"/>
  <c r="T18" i="8"/>
  <c r="AG8" i="8"/>
  <c r="AC8" i="8"/>
  <c r="V8" i="8"/>
  <c r="AK6" i="8"/>
  <c r="AG6" i="8"/>
  <c r="AJ18" i="8"/>
  <c r="AC18" i="8"/>
  <c r="X18" i="8"/>
  <c r="AF17" i="8"/>
  <c r="AA17" i="8"/>
  <c r="W17" i="8"/>
  <c r="V17" i="8"/>
  <c r="AJ8" i="8"/>
  <c r="AF8" i="8"/>
  <c r="AB8" i="8"/>
  <c r="U8" i="8"/>
  <c r="AI6" i="8"/>
  <c r="AF6" i="8"/>
  <c r="AC6" i="8"/>
  <c r="D40" i="4"/>
  <c r="D38" i="4"/>
  <c r="D37" i="4"/>
  <c r="D34" i="4"/>
  <c r="D33" i="4"/>
  <c r="D31" i="4"/>
  <c r="D30" i="4"/>
  <c r="D24" i="4"/>
  <c r="D23" i="4"/>
  <c r="D21" i="4"/>
  <c r="D17" i="4"/>
  <c r="AB6" i="8"/>
  <c r="AA6" i="8"/>
  <c r="Z6" i="8"/>
  <c r="Y6" i="8"/>
  <c r="X6" i="8"/>
  <c r="W6" i="8"/>
  <c r="V6" i="8"/>
  <c r="U6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D14" i="4"/>
  <c r="P8" i="8"/>
  <c r="F8" i="8"/>
  <c r="R6" i="8"/>
  <c r="P6" i="8"/>
  <c r="K6" i="8"/>
  <c r="G6" i="8"/>
  <c r="S5" i="8"/>
  <c r="L8" i="8"/>
  <c r="H8" i="8"/>
  <c r="S6" i="8"/>
  <c r="O6" i="8"/>
  <c r="G18" i="8"/>
  <c r="N8" i="8"/>
  <c r="G8" i="8"/>
  <c r="H17" i="8"/>
  <c r="B18" i="8"/>
  <c r="O8" i="8"/>
  <c r="I8" i="8"/>
  <c r="L6" i="8"/>
  <c r="H6" i="8"/>
  <c r="E6" i="8"/>
  <c r="R5" i="8"/>
  <c r="N5" i="8"/>
  <c r="M5" i="8"/>
  <c r="H5" i="8"/>
  <c r="F5" i="8"/>
  <c r="B5" i="8"/>
  <c r="I17" i="8"/>
  <c r="G17" i="8"/>
  <c r="B17" i="8"/>
  <c r="B8" i="8"/>
  <c r="S8" i="8"/>
  <c r="R8" i="8"/>
  <c r="Q8" i="8"/>
  <c r="K8" i="8"/>
  <c r="E8" i="8"/>
  <c r="Q6" i="8"/>
  <c r="N6" i="8"/>
  <c r="J6" i="8"/>
  <c r="B6" i="8"/>
  <c r="O5" i="8"/>
  <c r="L5" i="8"/>
  <c r="J5" i="8"/>
  <c r="E5" i="8"/>
  <c r="S18" i="8"/>
  <c r="R18" i="8"/>
  <c r="Q18" i="8"/>
  <c r="P18" i="8"/>
  <c r="O18" i="8"/>
  <c r="N18" i="8"/>
  <c r="M18" i="8"/>
  <c r="L18" i="8"/>
  <c r="K18" i="8"/>
  <c r="J18" i="8"/>
  <c r="I18" i="8"/>
  <c r="H18" i="8"/>
  <c r="S17" i="8"/>
  <c r="R17" i="8"/>
  <c r="Q17" i="8"/>
  <c r="P17" i="8"/>
  <c r="O17" i="8"/>
  <c r="N17" i="8"/>
  <c r="M17" i="8"/>
  <c r="L17" i="8"/>
  <c r="K17" i="8"/>
  <c r="J17" i="8"/>
  <c r="F18" i="8"/>
  <c r="F17" i="8"/>
  <c r="E18" i="8"/>
  <c r="E17" i="8"/>
  <c r="M8" i="8"/>
  <c r="J8" i="8"/>
  <c r="M6" i="8"/>
  <c r="I6" i="8"/>
  <c r="F6" i="8"/>
  <c r="Q5" i="8"/>
  <c r="P5" i="8"/>
  <c r="K5" i="8"/>
  <c r="I5" i="8"/>
  <c r="G5" i="8"/>
  <c r="E41" i="4"/>
  <c r="E40" i="4"/>
  <c r="E39" i="4"/>
  <c r="E38" i="4"/>
  <c r="E37" i="4"/>
  <c r="E35" i="4"/>
  <c r="E34" i="4"/>
  <c r="E32" i="4"/>
  <c r="E30" i="4"/>
  <c r="E22" i="4"/>
  <c r="E19" i="4"/>
  <c r="E18" i="4"/>
  <c r="E14" i="4"/>
  <c r="E36" i="4"/>
  <c r="E33" i="4"/>
  <c r="E31" i="4"/>
  <c r="E25" i="4"/>
  <c r="E24" i="4"/>
  <c r="E23" i="4"/>
  <c r="E21" i="4"/>
  <c r="E20" i="4"/>
  <c r="E17" i="4"/>
  <c r="E16" i="4"/>
  <c r="E1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Watson</author>
  </authors>
  <commentList>
    <comment ref="A19" authorId="0" shapeId="0" xr:uid="{66164233-F7C7-42EE-8F49-D3532283B82A}">
      <text>
        <r>
          <rPr>
            <b/>
            <sz val="9"/>
            <color indexed="81"/>
            <rFont val="Tahoma"/>
            <family val="2"/>
          </rPr>
          <t>Ben Watson:</t>
        </r>
        <r>
          <rPr>
            <sz val="9"/>
            <color indexed="81"/>
            <rFont val="Tahoma"/>
            <family val="2"/>
          </rPr>
          <t xml:space="preserve">
Takes the highest rolling average over six consecutive readings, representing a minute of processing time.</t>
        </r>
      </text>
    </comment>
    <comment ref="A21" authorId="0" shapeId="0" xr:uid="{10B18DEE-355D-4D8E-B02C-0836BD822F38}">
      <text>
        <r>
          <rPr>
            <b/>
            <sz val="9"/>
            <color indexed="81"/>
            <rFont val="Tahoma"/>
            <family val="2"/>
          </rPr>
          <t>Ben Watson:</t>
        </r>
        <r>
          <rPr>
            <sz val="9"/>
            <color indexed="81"/>
            <rFont val="Tahoma"/>
            <family val="2"/>
          </rPr>
          <t xml:space="preserve">
Takes the highest rolling average over six consecutive readings, representing a minute of processing time.</t>
        </r>
      </text>
    </comment>
    <comment ref="A23" authorId="0" shapeId="0" xr:uid="{8E9E1AE7-493C-45A3-8D84-CED877CE4774}">
      <text>
        <r>
          <rPr>
            <b/>
            <sz val="9"/>
            <color indexed="81"/>
            <rFont val="Tahoma"/>
            <family val="2"/>
          </rPr>
          <t>Ben Watson:</t>
        </r>
        <r>
          <rPr>
            <sz val="9"/>
            <color indexed="81"/>
            <rFont val="Tahoma"/>
            <family val="2"/>
          </rPr>
          <t xml:space="preserve">
Takes the highest rolling average over six consecutive readings, representing a minute of processing time.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<sst xmlns="http://schemas.openxmlformats.org/spreadsheetml/2006/main" count="732" uniqueCount="82">
  <si>
    <t>q1_top_cities</t>
  </si>
  <si>
    <t>connection_lost</t>
  </si>
  <si>
    <t>q2_avg_order_city</t>
  </si>
  <si>
    <t>success</t>
  </si>
  <si>
    <t>q3_customer_spend_stats</t>
  </si>
  <si>
    <t>q4_category_revenue</t>
  </si>
  <si>
    <t>q5_top_customers</t>
  </si>
  <si>
    <t>q6_inactive_customers</t>
  </si>
  <si>
    <t>System</t>
  </si>
  <si>
    <t>MongoDB</t>
  </si>
  <si>
    <t>MySQL</t>
  </si>
  <si>
    <t>Iteration</t>
  </si>
  <si>
    <t>Status</t>
  </si>
  <si>
    <t>Start_Timestamp_UTC</t>
  </si>
  <si>
    <t>End_Timestamp_UTC</t>
  </si>
  <si>
    <t>Latency_Seconds</t>
  </si>
  <si>
    <t>Spilled_To_Disk</t>
  </si>
  <si>
    <t>Sys_RAM_Usage_Percent</t>
  </si>
  <si>
    <t>Disk_Read_MB</t>
  </si>
  <si>
    <t>Disk_Write_MB</t>
  </si>
  <si>
    <t>Query</t>
  </si>
  <si>
    <t>Query Identifier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</si>
  <si>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</si>
  <si>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</si>
  <si>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</si>
  <si>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</si>
  <si>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</si>
  <si>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</si>
  <si>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</si>
  <si>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</si>
  <si>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</si>
  <si>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</si>
  <si>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</si>
  <si>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</si>
  <si>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</si>
  <si>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</si>
  <si>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</si>
  <si>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</si>
  <si>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</si>
  <si>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UTC</t>
  </si>
  <si>
    <t>Timestamp</t>
  </si>
  <si>
    <t>CPU</t>
  </si>
  <si>
    <t>I/O</t>
  </si>
  <si>
    <t>Swap</t>
  </si>
  <si>
    <t>Memory</t>
  </si>
  <si>
    <t>Procs</t>
  </si>
  <si>
    <t>Query Details</t>
  </si>
  <si>
    <t>Average CPU usage %</t>
  </si>
  <si>
    <t>Average CPU wait %</t>
  </si>
  <si>
    <t>Latency (seconds)</t>
  </si>
  <si>
    <t>CPU usage</t>
  </si>
  <si>
    <t>Metric</t>
  </si>
  <si>
    <t>Memory usage</t>
  </si>
  <si>
    <t>Avg. free mem. (MB)</t>
  </si>
  <si>
    <t>Min. free mem. (MB)</t>
  </si>
  <si>
    <t>Min free memory (KB)</t>
  </si>
  <si>
    <t>DNR</t>
  </si>
  <si>
    <t>N/A</t>
  </si>
  <si>
    <t>Latency (secs)</t>
  </si>
  <si>
    <t>Average blocks in</t>
  </si>
  <si>
    <t>Peak blocks in</t>
  </si>
  <si>
    <t>Peak run queue length</t>
  </si>
  <si>
    <t>Max processes blocked</t>
  </si>
  <si>
    <t>Average CPU idle %</t>
  </si>
  <si>
    <t>Peak sustained run queue length</t>
  </si>
  <si>
    <t>Calculated</t>
  </si>
  <si>
    <t>Rolling r</t>
  </si>
  <si>
    <t>Peak sustained blocks in</t>
  </si>
  <si>
    <t>Rolling bi</t>
  </si>
  <si>
    <t>Rolling b</t>
  </si>
  <si>
    <t>Max sustained processes blocked</t>
  </si>
  <si>
    <t>Cache at query start (KB)</t>
  </si>
  <si>
    <t>Cache at query end (KB)</t>
  </si>
  <si>
    <t>Δ Cache (KB)</t>
  </si>
  <si>
    <t>Swapped memory at query start (KB)</t>
  </si>
  <si>
    <t>Swapped memory at query end (KB)</t>
  </si>
  <si>
    <t>Δ swpd (KB)</t>
  </si>
  <si>
    <t>Average swap in (KB/sec)</t>
  </si>
  <si>
    <t>Average swap out (KB/sec)</t>
  </si>
  <si>
    <t>Per Query Averages</t>
  </si>
  <si>
    <t>Avg. CPU usage %</t>
  </si>
  <si>
    <t>Avg. CPU wait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</si>
</sst>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"/>
    <numFmt numFmtId="165" formatCode="yyyy\-mm\-dd\ hh:mm:ss;@"/>
    <numFmt numFmtId="166" formatCode="_-* #,##0_-;\-* #,##0_-;_-* &quot;-&quot;??_-;_-@_-"/>
    <numFmt numFmtId="167" formatCode="_-* #,##0.0000_-;\-* #,##0.0000_-;_-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right" indent="1"/>
    </xf>
    <xf numFmtId="164" fontId="0" fillId="2" borderId="6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right" inden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0" xfId="0" applyNumberFormat="1"/>
    <xf numFmtId="0" fontId="0" fillId="0" borderId="3" xfId="0" applyBorder="1" applyAlignment="1">
      <alignment horizontal="center"/>
    </xf>
    <xf numFmtId="165" fontId="0" fillId="0" borderId="6" xfId="0" applyNumberFormat="1" applyBorder="1"/>
    <xf numFmtId="0" fontId="1" fillId="0" borderId="11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0" fillId="3" borderId="12" xfId="0" applyFill="1" applyBorder="1" applyAlignment="1">
      <alignment horizontal="right" indent="1"/>
    </xf>
    <xf numFmtId="164" fontId="0" fillId="3" borderId="14" xfId="0" applyNumberFormat="1" applyFill="1" applyBorder="1" applyAlignment="1">
      <alignment horizontal="center"/>
    </xf>
    <xf numFmtId="0" fontId="0" fillId="3" borderId="10" xfId="0" applyFill="1" applyBorder="1" applyAlignment="1">
      <alignment horizontal="right" indent="1"/>
    </xf>
    <xf numFmtId="164" fontId="0" fillId="3" borderId="11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6" xfId="0" applyFill="1" applyBorder="1" applyAlignment="1">
      <alignment horizontal="right" inden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2" borderId="13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3" borderId="15" xfId="0" applyNumberFormat="1" applyFill="1" applyBorder="1" applyAlignment="1">
      <alignment horizontal="center"/>
    </xf>
    <xf numFmtId="164" fontId="0" fillId="2" borderId="16" xfId="0" applyNumberForma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1" xfId="0" applyBorder="1"/>
    <xf numFmtId="0" fontId="1" fillId="0" borderId="0" xfId="0" applyFont="1" applyAlignment="1">
      <alignment horizontal="right" indent="1"/>
    </xf>
    <xf numFmtId="0" fontId="1" fillId="0" borderId="1" xfId="0" applyFont="1" applyBorder="1" applyAlignment="1">
      <alignment horizontal="right" indent="1"/>
    </xf>
    <xf numFmtId="0" fontId="0" fillId="0" borderId="0" xfId="0" applyAlignment="1">
      <alignment horizontal="right" indent="1"/>
    </xf>
    <xf numFmtId="166" fontId="0" fillId="0" borderId="7" xfId="1" applyNumberFormat="1" applyFont="1" applyBorder="1"/>
    <xf numFmtId="166" fontId="0" fillId="0" borderId="0" xfId="1" applyNumberFormat="1" applyFont="1" applyBorder="1"/>
    <xf numFmtId="166" fontId="0" fillId="0" borderId="5" xfId="1" applyNumberFormat="1" applyFont="1" applyBorder="1"/>
    <xf numFmtId="167" fontId="0" fillId="0" borderId="7" xfId="1" applyNumberFormat="1" applyFont="1" applyBorder="1"/>
    <xf numFmtId="43" fontId="0" fillId="0" borderId="7" xfId="1" applyFont="1" applyBorder="1"/>
    <xf numFmtId="164" fontId="0" fillId="0" borderId="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167" fontId="0" fillId="0" borderId="0" xfId="1" applyNumberFormat="1" applyFont="1" applyBorder="1"/>
    <xf numFmtId="167" fontId="0" fillId="0" borderId="5" xfId="1" applyNumberFormat="1" applyFont="1" applyBorder="1"/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5" xfId="0" applyNumberFormat="1" applyBorder="1" applyAlignment="1">
      <alignment horizontal="center"/>
    </xf>
    <xf numFmtId="43" fontId="0" fillId="0" borderId="0" xfId="1" applyFont="1" applyBorder="1"/>
    <xf numFmtId="43" fontId="0" fillId="0" borderId="5" xfId="1" applyFont="1" applyBorder="1"/>
    <xf numFmtId="166" fontId="0" fillId="0" borderId="7" xfId="0" applyNumberFormat="1" applyBorder="1"/>
    <xf numFmtId="0" fontId="0" fillId="3" borderId="8" xfId="0" applyFill="1" applyBorder="1" applyAlignment="1">
      <alignment horizontal="right" indent="1"/>
    </xf>
    <xf numFmtId="0" fontId="0" fillId="3" borderId="0" xfId="0" applyFill="1" applyAlignment="1">
      <alignment horizontal="right" indent="1"/>
    </xf>
    <xf numFmtId="0" fontId="0" fillId="3" borderId="20" xfId="0" applyFill="1" applyBorder="1" applyAlignment="1">
      <alignment horizontal="right" indent="1"/>
    </xf>
    <xf numFmtId="166" fontId="0" fillId="3" borderId="6" xfId="1" applyNumberFormat="1" applyFont="1" applyFill="1" applyBorder="1" applyAlignment="1">
      <alignment horizontal="center"/>
    </xf>
    <xf numFmtId="164" fontId="0" fillId="3" borderId="0" xfId="0" applyNumberFormat="1" applyFill="1"/>
    <xf numFmtId="0" fontId="1" fillId="4" borderId="0" xfId="0" applyFont="1" applyFill="1" applyAlignment="1">
      <alignment horizontal="right" indent="1"/>
    </xf>
    <xf numFmtId="0" fontId="0" fillId="4" borderId="7" xfId="0" applyFill="1" applyBorder="1"/>
    <xf numFmtId="0" fontId="0" fillId="4" borderId="0" xfId="0" applyFill="1"/>
    <xf numFmtId="0" fontId="0" fillId="4" borderId="5" xfId="0" applyFill="1" applyBorder="1"/>
    <xf numFmtId="43" fontId="0" fillId="0" borderId="7" xfId="0" applyNumberFormat="1" applyBorder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5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3" borderId="5" xfId="0" applyFont="1" applyFill="1" applyBorder="1" applyAlignment="1">
      <alignment horizontal="right" indent="1"/>
    </xf>
    <xf numFmtId="0" fontId="5" fillId="3" borderId="10" xfId="0" applyFont="1" applyFill="1" applyBorder="1" applyAlignment="1">
      <alignment horizontal="right" indent="1"/>
    </xf>
    <xf numFmtId="43" fontId="0" fillId="3" borderId="6" xfId="1" applyNumberFormat="1" applyFont="1" applyFill="1" applyBorder="1" applyAlignment="1">
      <alignment horizontal="center"/>
    </xf>
    <xf numFmtId="43" fontId="0" fillId="3" borderId="13" xfId="1" applyNumberFormat="1" applyFont="1" applyFill="1" applyBorder="1" applyAlignment="1">
      <alignment horizontal="center"/>
    </xf>
    <xf numFmtId="43" fontId="0" fillId="3" borderId="15" xfId="1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right" indent="1"/>
    </xf>
  </cellXfs>
  <cellStyles count="2">
    <cellStyle name="Comma" xfId="1" builtinId="3"/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FE29-CFE7-4BB3-A652-D9C6C29C8F3E}">
  <dimension ref="A1:T69"/>
  <sheetViews>
    <sheetView tabSelected="1" topLeftCell="A2" workbookViewId="0">
      <selection activeCell="R12" sqref="R12"/>
    </sheetView>
  </sheetViews>
  <sheetFormatPr defaultRowHeight="14.4" x14ac:dyDescent="0.3"/>
  <cols>
    <col min="2" max="2" width="23.109375" bestFit="1" customWidth="1"/>
    <col min="3" max="3" width="17" style="2" customWidth="1"/>
    <col min="4" max="5" width="11.5546875" bestFit="1" customWidth="1"/>
    <col min="6" max="6" width="2.109375" customWidth="1"/>
    <col min="7" max="7" width="2.77734375" customWidth="1"/>
    <col min="8" max="8" width="23.109375" bestFit="1" customWidth="1"/>
    <col min="9" max="9" width="24" bestFit="1" customWidth="1"/>
    <col min="10" max="10" width="11.5546875" bestFit="1" customWidth="1"/>
    <col min="11" max="11" width="11.109375" customWidth="1"/>
    <col min="12" max="12" width="3.77734375" customWidth="1"/>
    <col min="13" max="13" width="4.21875" bestFit="1" customWidth="1"/>
    <col min="14" max="15" width="3.77734375" customWidth="1"/>
    <col min="16" max="16" width="9.21875" customWidth="1"/>
    <col min="17" max="20" width="3.77734375" customWidth="1"/>
  </cols>
  <sheetData>
    <row r="1" spans="1:20" x14ac:dyDescent="0.3">
      <c r="A1" s="3"/>
      <c r="B1" s="3"/>
      <c r="C1" s="3" t="s">
        <v>49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x14ac:dyDescent="0.3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5" thickBot="1" x14ac:dyDescent="0.35">
      <c r="A3" s="3"/>
      <c r="B3" s="3"/>
      <c r="C3" s="12" t="s">
        <v>20</v>
      </c>
      <c r="D3" s="5" t="s">
        <v>10</v>
      </c>
      <c r="E3" s="6" t="s">
        <v>9</v>
      </c>
      <c r="F3" s="3"/>
      <c r="G3" s="3"/>
      <c r="H3" s="12" t="s">
        <v>20</v>
      </c>
      <c r="I3" s="12" t="s">
        <v>51</v>
      </c>
      <c r="J3" s="5" t="s">
        <v>10</v>
      </c>
      <c r="K3" s="5" t="s">
        <v>9</v>
      </c>
      <c r="L3" s="3"/>
      <c r="M3" s="3"/>
      <c r="N3" s="3"/>
      <c r="O3" s="3"/>
      <c r="P3" s="3"/>
      <c r="Q3" s="3"/>
      <c r="R3" s="3"/>
      <c r="S3" s="3"/>
      <c r="T3" s="3"/>
    </row>
    <row r="4" spans="1:20" x14ac:dyDescent="0.3">
      <c r="A4" s="3"/>
      <c r="B4" s="3"/>
      <c r="C4" s="7" t="s">
        <v>0</v>
      </c>
      <c r="D4" s="8">
        <f>IFERROR(AVERAGEIFS(BenchmarkResults!$H:$H,BenchmarkResults!$C:$C,Tables!D$3,BenchmarkResults!$B:$B,Tables!$C4),"N/A")</f>
        <v>676.72130000000004</v>
      </c>
      <c r="E4" s="9" t="str">
        <f>IFERROR(AVERAGEIFS(BenchmarkResults!$H:$H,BenchmarkResults!$C:$C,Tables!E$3,BenchmarkResults!$B:$B,Tables!$C4),"N/A")</f>
        <v>N/A</v>
      </c>
      <c r="F4" s="3"/>
      <c r="G4" s="3"/>
      <c r="H4" s="25" t="s">
        <v>0</v>
      </c>
      <c r="I4" s="67" t="s">
        <v>63</v>
      </c>
      <c r="J4" s="90" cm="1">
        <f t="array" aca="1" ref="J4" ca="1">_xlfn.XLOOKUP($I4,CalculatedMetrics!$A$25:$A$40,OFFSET(CalculatedMetrics!$A$25:$A$40,0,MATCH(1,(CalculatedMetrics!$A$1:$AK$1=Tables!J$3)*(CalculatedMetrics!$A$2:$AK$2=Tables!$H4),0)-1))</f>
        <v>62.83459115347825</v>
      </c>
      <c r="K4" s="90" cm="1">
        <f t="array" aca="1" ref="K4" ca="1">_xlfn.XLOOKUP($I4,CalculatedMetrics!$A$25:$A$40,OFFSET(CalculatedMetrics!$A$25:$A$40,0,MATCH(1,(CalculatedMetrics!$A$1:$AK$1=Tables!K$3)*(CalculatedMetrics!$A$2:$AK$2=Tables!$H4),0)-1))</f>
        <v>46.983286908077993</v>
      </c>
      <c r="L4" s="3"/>
      <c r="M4" s="3"/>
      <c r="N4" s="3"/>
      <c r="O4" s="3"/>
      <c r="P4" s="69"/>
      <c r="Q4" s="3"/>
      <c r="R4" s="3"/>
      <c r="S4" s="3"/>
      <c r="T4" s="3"/>
    </row>
    <row r="5" spans="1:20" x14ac:dyDescent="0.3">
      <c r="A5" s="3"/>
      <c r="B5" s="3"/>
      <c r="C5" s="7" t="s">
        <v>2</v>
      </c>
      <c r="D5" s="8">
        <f>IFERROR(AVERAGEIFS(BenchmarkResults!$H:$H,BenchmarkResults!$C:$C,Tables!D$3,BenchmarkResults!$B:$B,Tables!$C5),"N/A")</f>
        <v>383.16443333333336</v>
      </c>
      <c r="E5" s="9">
        <f>IFERROR(AVERAGEIFS(BenchmarkResults!$H:$H,BenchmarkResults!$C:$C,Tables!E$3,BenchmarkResults!$B:$B,Tables!$C5),"N/A")</f>
        <v>3289.5419999999999</v>
      </c>
      <c r="F5" s="3"/>
      <c r="G5" s="3"/>
      <c r="H5" s="87" t="str">
        <f>H4</f>
        <v>q1_top_cities</v>
      </c>
      <c r="I5" s="92" t="s">
        <v>76</v>
      </c>
      <c r="J5" s="68" cm="1">
        <f t="array" aca="1" ref="J5" ca="1">_xlfn.XLOOKUP($I5,CalculatedMetrics!$A$25:$A$40,OFFSET(CalculatedMetrics!$A$25:$A$40,0,MATCH(1,(CalculatedMetrics!$A$1:$AK$1=Tables!J$3)*(CalculatedMetrics!$A$2:$AK$2=Tables!$H5),0)-1))</f>
        <v>790993.33333333337</v>
      </c>
      <c r="K5" s="68" cm="1">
        <f t="array" aca="1" ref="K5" ca="1">_xlfn.XLOOKUP($I5,CalculatedMetrics!$A$25:$A$40,OFFSET(CalculatedMetrics!$A$25:$A$40,0,MATCH(1,(CalculatedMetrics!$A$1:$AK$1=Tables!K$3)*(CalculatedMetrics!$A$2:$AK$2=Tables!$H5),0)-1))</f>
        <v>80896</v>
      </c>
      <c r="L5" s="3"/>
      <c r="M5" s="3"/>
      <c r="N5" s="3"/>
      <c r="O5" s="3"/>
      <c r="P5" s="3"/>
      <c r="Q5" s="3"/>
      <c r="R5" s="3"/>
      <c r="S5" s="3"/>
      <c r="T5" s="3"/>
    </row>
    <row r="6" spans="1:20" x14ac:dyDescent="0.3">
      <c r="A6" s="3"/>
      <c r="B6" s="3"/>
      <c r="C6" s="7" t="s">
        <v>4</v>
      </c>
      <c r="D6" s="8">
        <f>IFERROR(AVERAGEIFS(BenchmarkResults!$H:$H,BenchmarkResults!$C:$C,Tables!D$3,BenchmarkResults!$B:$B,Tables!$C6),"N/A")</f>
        <v>123.3866</v>
      </c>
      <c r="E6" s="9">
        <f>IFERROR(AVERAGEIFS(BenchmarkResults!$H:$H,BenchmarkResults!$C:$C,Tables!E$3,BenchmarkResults!$B:$B,Tables!$C6),"N/A")</f>
        <v>226.09473333333335</v>
      </c>
      <c r="F6" s="3"/>
      <c r="G6" s="3"/>
      <c r="H6" s="87" t="str">
        <f>H5</f>
        <v>q1_top_cities</v>
      </c>
      <c r="I6" s="66" t="s">
        <v>77</v>
      </c>
      <c r="J6" s="89" cm="1">
        <f t="array" aca="1" ref="J6" ca="1">_xlfn.XLOOKUP($I6,CalculatedMetrics!$A$25:$A$40,OFFSET(CalculatedMetrics!$A$25:$A$40,0,MATCH(1,(CalculatedMetrics!$A$1:$AK$1=Tables!J$3)*(CalculatedMetrics!$A$2:$AK$2=Tables!$H6),0)-1))</f>
        <v>16.098390342052316</v>
      </c>
      <c r="K6" s="89" cm="1">
        <f t="array" aca="1" ref="K6" ca="1">_xlfn.XLOOKUP($I6,CalculatedMetrics!$A$25:$A$40,OFFSET(CalculatedMetrics!$A$25:$A$40,0,MATCH(1,(CalculatedMetrics!$A$1:$AK$1=Tables!K$3)*(CalculatedMetrics!$A$2:$AK$2=Tables!$H6),0)-1))</f>
        <v>6.6044568245125346</v>
      </c>
      <c r="L6" s="3"/>
      <c r="M6" s="3"/>
      <c r="N6" s="3"/>
      <c r="O6" s="3"/>
      <c r="P6" s="3"/>
      <c r="Q6" s="3"/>
      <c r="R6" s="3"/>
      <c r="S6" s="3"/>
      <c r="T6" s="3"/>
    </row>
    <row r="7" spans="1:20" x14ac:dyDescent="0.3">
      <c r="A7" s="3"/>
      <c r="B7" s="3"/>
      <c r="C7" s="7" t="s">
        <v>5</v>
      </c>
      <c r="D7" s="8">
        <f>IFERROR(AVERAGEIFS(BenchmarkResults!$H:$H,BenchmarkResults!$C:$C,Tables!D$3,BenchmarkResults!$B:$B,Tables!$C7),"N/A")</f>
        <v>197.92570000000001</v>
      </c>
      <c r="E7" s="9">
        <f>IFERROR(AVERAGEIFS(BenchmarkResults!$H:$H,BenchmarkResults!$C:$C,Tables!E$3,BenchmarkResults!$B:$B,Tables!$C7),"N/A")</f>
        <v>2491.3991333333333</v>
      </c>
      <c r="F7" s="3"/>
      <c r="G7" s="3"/>
      <c r="H7" s="88" t="str">
        <f>H6</f>
        <v>q1_top_cities</v>
      </c>
      <c r="I7" s="65" t="s">
        <v>78</v>
      </c>
      <c r="J7" s="89" cm="1">
        <f t="array" aca="1" ref="J7" ca="1">_xlfn.XLOOKUP($I7,CalculatedMetrics!$A$25:$A$40,OFFSET(CalculatedMetrics!$A$25:$A$40,0,MATCH(1,(CalculatedMetrics!$A$1:$AK$1=Tables!J$3)*(CalculatedMetrics!$A$2:$AK$2=Tables!$H7),0)-1))</f>
        <v>29</v>
      </c>
      <c r="K7" s="89" cm="1">
        <f t="array" aca="1" ref="K7" ca="1">_xlfn.XLOOKUP($I7,CalculatedMetrics!$A$25:$A$40,OFFSET(CalculatedMetrics!$A$25:$A$40,0,MATCH(1,(CalculatedMetrics!$A$1:$AK$1=Tables!K$3)*(CalculatedMetrics!$A$2:$AK$2=Tables!$H7),0)-1))</f>
        <v>5527</v>
      </c>
      <c r="L7" s="3"/>
      <c r="M7" s="3"/>
      <c r="N7" s="3"/>
      <c r="O7" s="3"/>
      <c r="P7" s="3"/>
      <c r="Q7" s="3"/>
      <c r="R7" s="3"/>
      <c r="S7" s="3"/>
      <c r="T7" s="3"/>
    </row>
    <row r="8" spans="1:20" x14ac:dyDescent="0.3">
      <c r="A8" s="3"/>
      <c r="B8" s="3"/>
      <c r="C8" s="7" t="s">
        <v>6</v>
      </c>
      <c r="D8" s="10">
        <f>IFERROR(AVERAGEIFS(BenchmarkResults!$H:$H,BenchmarkResults!$C:$C,Tables!D$3,BenchmarkResults!$B:$B,Tables!$C8),"N/A")</f>
        <v>553.50059999999996</v>
      </c>
      <c r="E8" s="11">
        <f>IFERROR(AVERAGEIFS(BenchmarkResults!$H:$H,BenchmarkResults!$C:$C,Tables!E$3,BenchmarkResults!$B:$B,Tables!$C8),"N/A")</f>
        <v>176.9879</v>
      </c>
      <c r="F8" s="3"/>
      <c r="G8" s="3"/>
      <c r="H8" s="7" t="s">
        <v>2</v>
      </c>
      <c r="I8" s="66" t="s">
        <v>63</v>
      </c>
      <c r="J8" s="91" cm="1">
        <f t="array" aca="1" ref="J8" ca="1">_xlfn.XLOOKUP($I8,CalculatedMetrics!$A$25:$A$40,OFFSET(CalculatedMetrics!$A$25:$A$40,0,MATCH(1,(CalculatedMetrics!$A$1:$AK$1=Tables!J$3)*(CalculatedMetrics!$A$2:$AK$2=Tables!$H8),0)-1))</f>
        <v>62.333564333564333</v>
      </c>
      <c r="K8" s="91" cm="1">
        <f t="array" aca="1" ref="K8" ca="1">_xlfn.XLOOKUP($I8,CalculatedMetrics!$A$25:$A$40,OFFSET(CalculatedMetrics!$A$25:$A$40,0,MATCH(1,(CalculatedMetrics!$A$1:$AK$1=Tables!K$3)*(CalculatedMetrics!$A$2:$AK$2=Tables!$H8),0)-1))</f>
        <v>64.467526381759626</v>
      </c>
      <c r="L8" s="3"/>
      <c r="M8" s="3"/>
      <c r="N8" s="3"/>
      <c r="O8" s="3"/>
      <c r="P8" s="3"/>
      <c r="Q8" s="3"/>
      <c r="R8" s="3"/>
      <c r="S8" s="3"/>
      <c r="T8" s="3"/>
    </row>
    <row r="9" spans="1:20" x14ac:dyDescent="0.3">
      <c r="A9" s="3"/>
      <c r="B9" s="3"/>
      <c r="C9" s="7" t="s">
        <v>7</v>
      </c>
      <c r="D9" s="8">
        <f>IFERROR(AVERAGEIFS(BenchmarkResults!$H:$H,BenchmarkResults!$C:$C,Tables!D$3,BenchmarkResults!$B:$B,Tables!$C9),"N/A")</f>
        <v>466.39043333333331</v>
      </c>
      <c r="E9" s="9">
        <f>IFERROR(AVERAGEIFS(BenchmarkResults!$H:$H,BenchmarkResults!$C:$C,Tables!E$3,BenchmarkResults!$B:$B,Tables!$C9),"N/A")</f>
        <v>2554.9402333333333</v>
      </c>
      <c r="F9" s="3"/>
      <c r="G9" s="3"/>
      <c r="H9" s="87" t="str">
        <f>H8</f>
        <v>q2_avg_order_city</v>
      </c>
      <c r="I9" s="66" t="s">
        <v>76</v>
      </c>
      <c r="J9" s="68" cm="1">
        <f t="array" aca="1" ref="J9" ca="1">_xlfn.XLOOKUP($I9,CalculatedMetrics!$A$25:$A$40,OFFSET(CalculatedMetrics!$A$25:$A$40,0,MATCH(1,(CalculatedMetrics!$A$1:$AK$1=Tables!J$3)*(CalculatedMetrics!$A$2:$AK$2=Tables!$H9),0)-1))</f>
        <v>-226286.66666666666</v>
      </c>
      <c r="K9" s="68" cm="1">
        <f t="array" aca="1" ref="K9" ca="1">_xlfn.XLOOKUP($I9,CalculatedMetrics!$A$25:$A$40,OFFSET(CalculatedMetrics!$A$25:$A$40,0,MATCH(1,(CalculatedMetrics!$A$1:$AK$1=Tables!K$3)*(CalculatedMetrics!$A$2:$AK$2=Tables!$H9),0)-1))</f>
        <v>-682.66666666666663</v>
      </c>
      <c r="L9" s="3"/>
      <c r="M9" s="3"/>
      <c r="N9" s="3"/>
      <c r="O9" s="3"/>
      <c r="P9" s="3"/>
      <c r="Q9" s="3"/>
      <c r="R9" s="3"/>
      <c r="S9" s="3"/>
      <c r="T9" s="3"/>
    </row>
    <row r="10" spans="1:20" x14ac:dyDescent="0.3">
      <c r="A10" s="3"/>
      <c r="B10" s="3"/>
      <c r="C10" s="4"/>
      <c r="D10" s="3"/>
      <c r="E10" s="3"/>
      <c r="F10" s="3"/>
      <c r="G10" s="3"/>
      <c r="H10" s="87" t="str">
        <f>H9</f>
        <v>q2_avg_order_city</v>
      </c>
      <c r="I10" s="66" t="s">
        <v>77</v>
      </c>
      <c r="J10" s="89" cm="1">
        <f t="array" aca="1" ref="J10" ca="1">_xlfn.XLOOKUP($I10,CalculatedMetrics!$A$25:$A$40,OFFSET(CalculatedMetrics!$A$25:$A$40,0,MATCH(1,(CalculatedMetrics!$A$1:$AK$1=Tables!J$3)*(CalculatedMetrics!$A$2:$AK$2=Tables!$H10),0)-1))</f>
        <v>7.4920304920304917</v>
      </c>
      <c r="K10" s="89" cm="1">
        <f t="array" aca="1" ref="K10" ca="1">_xlfn.XLOOKUP($I10,CalculatedMetrics!$A$25:$A$40,OFFSET(CalculatedMetrics!$A$25:$A$40,0,MATCH(1,(CalculatedMetrics!$A$1:$AK$1=Tables!K$3)*(CalculatedMetrics!$A$2:$AK$2=Tables!$H10),0)-1))</f>
        <v>0.45254605827941763</v>
      </c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3">
      <c r="A11" s="3"/>
      <c r="B11" s="3"/>
      <c r="C11" s="4" t="s">
        <v>50</v>
      </c>
      <c r="D11" s="3"/>
      <c r="E11" s="3"/>
      <c r="F11" s="3"/>
      <c r="G11" s="3"/>
      <c r="H11" s="88" t="str">
        <f>H10</f>
        <v>q2_avg_order_city</v>
      </c>
      <c r="I11" s="65" t="s">
        <v>78</v>
      </c>
      <c r="J11" s="89" cm="1">
        <f t="array" aca="1" ref="J11" ca="1">_xlfn.XLOOKUP($I11,CalculatedMetrics!$A$25:$A$40,OFFSET(CalculatedMetrics!$A$25:$A$40,0,MATCH(1,(CalculatedMetrics!$A$1:$AK$1=Tables!J$3)*(CalculatedMetrics!$A$2:$AK$2=Tables!$H11),0)-1))</f>
        <v>0</v>
      </c>
      <c r="K11" s="89" cm="1">
        <f t="array" aca="1" ref="K11" ca="1">_xlfn.XLOOKUP($I11,CalculatedMetrics!$A$25:$A$40,OFFSET(CalculatedMetrics!$A$25:$A$40,0,MATCH(1,(CalculatedMetrics!$A$1:$AK$1=Tables!K$3)*(CalculatedMetrics!$A$2:$AK$2=Tables!$H11),0)-1))</f>
        <v>10.333333333333334</v>
      </c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3">
      <c r="A12" s="3"/>
      <c r="B12" s="3"/>
      <c r="C12" s="4"/>
      <c r="D12" s="3"/>
      <c r="E12" s="3"/>
      <c r="F12" s="3"/>
      <c r="G12" s="3"/>
      <c r="H12" s="7" t="s">
        <v>4</v>
      </c>
      <c r="I12" s="66" t="s">
        <v>63</v>
      </c>
      <c r="J12" s="91" cm="1">
        <f t="array" aca="1" ref="J12" ca="1">_xlfn.XLOOKUP($I12,CalculatedMetrics!$A$25:$A$40,OFFSET(CalculatedMetrics!$A$25:$A$40,0,MATCH(1,(CalculatedMetrics!$A$1:$AK$1=Tables!J$3)*(CalculatedMetrics!$A$2:$AK$2=Tables!$H12),0)-1))</f>
        <v>81.553535353535366</v>
      </c>
      <c r="K12" s="91" cm="1">
        <f t="array" aca="1" ref="K12" ca="1">_xlfn.XLOOKUP($I12,CalculatedMetrics!$A$25:$A$40,OFFSET(CalculatedMetrics!$A$25:$A$40,0,MATCH(1,(CalculatedMetrics!$A$1:$AK$1=Tables!K$3)*(CalculatedMetrics!$A$2:$AK$2=Tables!$H12),0)-1))</f>
        <v>62.314393939393938</v>
      </c>
      <c r="L12" s="3"/>
      <c r="M12" s="3"/>
      <c r="N12" s="3"/>
      <c r="O12" s="3"/>
      <c r="P12" s="3"/>
      <c r="Q12" s="3"/>
      <c r="R12" s="3"/>
      <c r="S12" s="3"/>
      <c r="T12" s="3"/>
    </row>
    <row r="13" spans="1:20" ht="15" thickBot="1" x14ac:dyDescent="0.35">
      <c r="A13" s="3"/>
      <c r="B13" s="12" t="s">
        <v>20</v>
      </c>
      <c r="C13" s="12" t="s">
        <v>51</v>
      </c>
      <c r="D13" s="5" t="s">
        <v>10</v>
      </c>
      <c r="E13" s="6" t="s">
        <v>9</v>
      </c>
      <c r="F13" s="3"/>
      <c r="G13" s="3"/>
      <c r="H13" s="87" t="str">
        <f>H12</f>
        <v>q3_customer_spend_stats</v>
      </c>
      <c r="I13" s="66" t="s">
        <v>76</v>
      </c>
      <c r="J13" s="68" cm="1">
        <f t="array" aca="1" ref="J13" ca="1">_xlfn.XLOOKUP($I13,CalculatedMetrics!$A$25:$A$40,OFFSET(CalculatedMetrics!$A$25:$A$40,0,MATCH(1,(CalculatedMetrics!$A$1:$AK$1=Tables!J$3)*(CalculatedMetrics!$A$2:$AK$2=Tables!$H13),0)-1))</f>
        <v>70625.333333333328</v>
      </c>
      <c r="K13" s="68" cm="1">
        <f t="array" aca="1" ref="K13" ca="1">_xlfn.XLOOKUP($I13,CalculatedMetrics!$A$25:$A$40,OFFSET(CalculatedMetrics!$A$25:$A$40,0,MATCH(1,(CalculatedMetrics!$A$1:$AK$1=Tables!K$3)*(CalculatedMetrics!$A$2:$AK$2=Tables!$H13),0)-1))</f>
        <v>-1621.3333333333333</v>
      </c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3">
      <c r="A14" s="3"/>
      <c r="B14" s="25" t="s">
        <v>0</v>
      </c>
      <c r="C14" s="25" t="s">
        <v>80</v>
      </c>
      <c r="D14" s="33">
        <f>IFERROR(AVERAGEIFS(mysql_hardware_log!$O$3:$O$722,mysql_hardware_log!$A$3:$A$722,B14),"N/A")</f>
        <v>32.267326732673268</v>
      </c>
      <c r="E14" s="26">
        <f>IFERROR(AVERAGEIFS(mongodb_hardware_log!$O$3:$O$3476,mongodb_hardware_log!$A$3:$A$3476,B14),"N/A")</f>
        <v>20.32033426183844</v>
      </c>
      <c r="F14" s="3"/>
      <c r="G14" s="3"/>
      <c r="H14" s="87" t="str">
        <f>H13</f>
        <v>q3_customer_spend_stats</v>
      </c>
      <c r="I14" s="66" t="s">
        <v>77</v>
      </c>
      <c r="J14" s="89" cm="1">
        <f t="array" aca="1" ref="J14" ca="1">_xlfn.XLOOKUP($I14,CalculatedMetrics!$A$25:$A$40,OFFSET(CalculatedMetrics!$A$25:$A$40,0,MATCH(1,(CalculatedMetrics!$A$1:$AK$1=Tables!J$3)*(CalculatedMetrics!$A$2:$AK$2=Tables!$H14),0)-1))</f>
        <v>0.17171717171717171</v>
      </c>
      <c r="K14" s="89" cm="1">
        <f t="array" aca="1" ref="K14" ca="1">_xlfn.XLOOKUP($I14,CalculatedMetrics!$A$25:$A$40,OFFSET(CalculatedMetrics!$A$25:$A$40,0,MATCH(1,(CalculatedMetrics!$A$1:$AK$1=Tables!K$3)*(CalculatedMetrics!$A$2:$AK$2=Tables!$H14),0)-1))</f>
        <v>20.877525252525253</v>
      </c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3">
      <c r="A15" s="3"/>
      <c r="B15" s="27"/>
      <c r="C15" s="27" t="s">
        <v>81</v>
      </c>
      <c r="D15" s="28">
        <f>IFERROR(AVERAGEIFS(mysql_hardware_log!$R$3:$R$722,mysql_hardware_log!$A$3:$A$722,B14),"N/A")</f>
        <v>1.2722772277227723</v>
      </c>
      <c r="E15" s="34">
        <f>IFERROR(AVERAGEIFS(mongodb_hardware_log!$R$3:$R$3476,mongodb_hardware_log!$A$3:$A$3476,B14),"N/A")</f>
        <v>24.827298050139277</v>
      </c>
      <c r="F15" s="3"/>
      <c r="G15" s="3"/>
      <c r="H15" s="88" t="str">
        <f>H14</f>
        <v>q3_customer_spend_stats</v>
      </c>
      <c r="I15" s="65" t="s">
        <v>78</v>
      </c>
      <c r="J15" s="89" cm="1">
        <f t="array" aca="1" ref="J15" ca="1">_xlfn.XLOOKUP($I15,CalculatedMetrics!$A$25:$A$40,OFFSET(CalculatedMetrics!$A$25:$A$40,0,MATCH(1,(CalculatedMetrics!$A$1:$AK$1=Tables!J$3)*(CalculatedMetrics!$A$2:$AK$2=Tables!$H15),0)-1))</f>
        <v>0</v>
      </c>
      <c r="K15" s="89" cm="1">
        <f t="array" aca="1" ref="K15" ca="1">_xlfn.XLOOKUP($I15,CalculatedMetrics!$A$25:$A$40,OFFSET(CalculatedMetrics!$A$25:$A$40,0,MATCH(1,(CalculatedMetrics!$A$1:$AK$1=Tables!K$3)*(CalculatedMetrics!$A$2:$AK$2=Tables!$H15),0)-1))</f>
        <v>310</v>
      </c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3">
      <c r="A16" s="3"/>
      <c r="B16" s="7" t="s">
        <v>2</v>
      </c>
      <c r="C16" s="7" t="s">
        <v>80</v>
      </c>
      <c r="D16" s="24">
        <f>IFERROR(AVERAGEIFS(mysql_hardware_log!$O$3:$O$722,mysql_hardware_log!$A$3:$A$722,B16),"N/A")</f>
        <v>30.095652173913045</v>
      </c>
      <c r="E16" s="11">
        <f>IFERROR(AVERAGEIFS(mongodb_hardware_log!$O$3:$O$3476,mongodb_hardware_log!$A$3:$A$3476,B16),"N/A")</f>
        <v>33.256332320162109</v>
      </c>
      <c r="F16" s="3"/>
      <c r="G16" s="3"/>
      <c r="H16" s="7" t="s">
        <v>5</v>
      </c>
      <c r="I16" s="66" t="s">
        <v>63</v>
      </c>
      <c r="J16" s="91" cm="1">
        <f t="array" aca="1" ref="J16" ca="1">_xlfn.XLOOKUP($I16,CalculatedMetrics!$A$25:$A$40,OFFSET(CalculatedMetrics!$A$25:$A$40,0,MATCH(1,(CalculatedMetrics!$A$1:$AK$1=Tables!J$3)*(CalculatedMetrics!$A$2:$AK$2=Tables!$H16),0)-1))</f>
        <v>60.944444444444436</v>
      </c>
      <c r="K16" s="91" cm="1">
        <f t="array" aca="1" ref="K16" ca="1">_xlfn.XLOOKUP($I16,CalculatedMetrics!$A$25:$A$40,OFFSET(CalculatedMetrics!$A$25:$A$40,0,MATCH(1,(CalculatedMetrics!$A$1:$AK$1=Tables!K$3)*(CalculatedMetrics!$A$2:$AK$2=Tables!$H16),0)-1))</f>
        <v>47.50536936002937</v>
      </c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3">
      <c r="A17" s="3"/>
      <c r="B17" s="27"/>
      <c r="C17" s="27" t="s">
        <v>81</v>
      </c>
      <c r="D17" s="35">
        <f>IFERROR(AVERAGEIFS(mysql_hardware_log!$R$3:$R$722,mysql_hardware_log!$A$3:$A$722,B16),"N/A")</f>
        <v>3.5304347826086957</v>
      </c>
      <c r="E17" s="29">
        <f>IFERROR(AVERAGEIFS(mongodb_hardware_log!$R$3:$R$3476,mongodb_hardware_log!$A$3:$A$3476,B16),"N/A")</f>
        <v>0.28368794326241137</v>
      </c>
      <c r="F17" s="3"/>
      <c r="G17" s="3"/>
      <c r="H17" s="87" t="str">
        <f>H16</f>
        <v>q4_category_revenue</v>
      </c>
      <c r="I17" s="66" t="s">
        <v>76</v>
      </c>
      <c r="J17" s="68" cm="1">
        <f t="array" aca="1" ref="J17" ca="1">_xlfn.XLOOKUP($I17,CalculatedMetrics!$A$25:$A$40,OFFSET(CalculatedMetrics!$A$25:$A$40,0,MATCH(1,(CalculatedMetrics!$A$1:$AK$1=Tables!J$3)*(CalculatedMetrics!$A$2:$AK$2=Tables!$H17),0)-1))</f>
        <v>-110541.33333333333</v>
      </c>
      <c r="K17" s="68" cm="1">
        <f t="array" aca="1" ref="K17" ca="1">_xlfn.XLOOKUP($I17,CalculatedMetrics!$A$25:$A$40,OFFSET(CalculatedMetrics!$A$25:$A$40,0,MATCH(1,(CalculatedMetrics!$A$1:$AK$1=Tables!K$3)*(CalculatedMetrics!$A$2:$AK$2=Tables!$H17),0)-1))</f>
        <v>25770.666666666668</v>
      </c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3">
      <c r="A18" s="3"/>
      <c r="B18" s="7" t="s">
        <v>4</v>
      </c>
      <c r="C18" s="7" t="s">
        <v>80</v>
      </c>
      <c r="D18" s="24">
        <f>IFERROR(AVERAGEIFS(mysql_hardware_log!$O$3:$O$722,mysql_hardware_log!$A$3:$A$722,B18),"N/A")</f>
        <v>11.891891891891891</v>
      </c>
      <c r="E18" s="11">
        <f>IFERROR(AVERAGEIFS(mongodb_hardware_log!$O$3:$O$3476,mongodb_hardware_log!$A$3:$A$3476,B18),"N/A")</f>
        <v>30.617647058823529</v>
      </c>
      <c r="F18" s="3"/>
      <c r="G18" s="3"/>
      <c r="H18" s="87" t="str">
        <f>H17</f>
        <v>q4_category_revenue</v>
      </c>
      <c r="I18" s="66" t="s">
        <v>77</v>
      </c>
      <c r="J18" s="89" cm="1">
        <f t="array" aca="1" ref="J18" ca="1">_xlfn.XLOOKUP($I18,CalculatedMetrics!$A$25:$A$40,OFFSET(CalculatedMetrics!$A$25:$A$40,0,MATCH(1,(CalculatedMetrics!$A$1:$AK$1=Tables!J$3)*(CalculatedMetrics!$A$2:$AK$2=Tables!$H18),0)-1))</f>
        <v>30.958333333333339</v>
      </c>
      <c r="K18" s="89" cm="1">
        <f t="array" aca="1" ref="K18" ca="1">_xlfn.XLOOKUP($I18,CalculatedMetrics!$A$25:$A$40,OFFSET(CalculatedMetrics!$A$25:$A$40,0,MATCH(1,(CalculatedMetrics!$A$1:$AK$1=Tables!K$3)*(CalculatedMetrics!$A$2:$AK$2=Tables!$H18),0)-1))</f>
        <v>15.018425322361175</v>
      </c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3">
      <c r="A19" s="3"/>
      <c r="B19" s="27"/>
      <c r="C19" s="27" t="s">
        <v>81</v>
      </c>
      <c r="D19" s="35">
        <f>IFERROR(AVERAGEIFS(mysql_hardware_log!$R$3:$R$722,mysql_hardware_log!$A$3:$A$722,B18),"N/A")</f>
        <v>4.3243243243243246</v>
      </c>
      <c r="E19" s="29">
        <f>IFERROR(AVERAGEIFS(mongodb_hardware_log!$R$3:$R$3476,mongodb_hardware_log!$A$3:$A$3476,B18),"N/A")</f>
        <v>3.7352941176470589</v>
      </c>
      <c r="F19" s="3"/>
      <c r="G19" s="3"/>
      <c r="H19" s="88" t="str">
        <f>H18</f>
        <v>q4_category_revenue</v>
      </c>
      <c r="I19" s="65" t="s">
        <v>78</v>
      </c>
      <c r="J19" s="89" cm="1">
        <f t="array" aca="1" ref="J19" ca="1">_xlfn.XLOOKUP($I19,CalculatedMetrics!$A$25:$A$40,OFFSET(CalculatedMetrics!$A$25:$A$40,0,MATCH(1,(CalculatedMetrics!$A$1:$AK$1=Tables!J$3)*(CalculatedMetrics!$A$2:$AK$2=Tables!$H19),0)-1))</f>
        <v>0</v>
      </c>
      <c r="K19" s="89" cm="1">
        <f t="array" aca="1" ref="K19" ca="1">_xlfn.XLOOKUP($I19,CalculatedMetrics!$A$25:$A$40,OFFSET(CalculatedMetrics!$A$25:$A$40,0,MATCH(1,(CalculatedMetrics!$A$1:$AK$1=Tables!K$3)*(CalculatedMetrics!$A$2:$AK$2=Tables!$H19),0)-1))</f>
        <v>2103.6666666666665</v>
      </c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3">
      <c r="A20" s="3"/>
      <c r="B20" s="7" t="s">
        <v>5</v>
      </c>
      <c r="C20" s="7" t="s">
        <v>80</v>
      </c>
      <c r="D20" s="8">
        <f>IFERROR(AVERAGEIFS(mysql_hardware_log!$O$3:$O$722,mysql_hardware_log!$A$3:$A$722,B20),"N/A")</f>
        <v>36.216666666666669</v>
      </c>
      <c r="E20" s="9">
        <f>IFERROR(AVERAGEIFS(mongodb_hardware_log!$O$3:$O$3476,mongodb_hardware_log!$A$3:$A$3476,B20),"N/A")</f>
        <v>19.481927710843372</v>
      </c>
      <c r="F20" s="3"/>
      <c r="G20" s="3"/>
      <c r="H20" s="7" t="s">
        <v>6</v>
      </c>
      <c r="I20" s="66" t="s">
        <v>63</v>
      </c>
      <c r="J20" s="91" cm="1">
        <f t="array" aca="1" ref="J20" ca="1">_xlfn.XLOOKUP($I20,CalculatedMetrics!$A$25:$A$40,OFFSET(CalculatedMetrics!$A$25:$A$40,0,MATCH(1,(CalculatedMetrics!$A$1:$AK$1=Tables!J$3)*(CalculatedMetrics!$A$2:$AK$2=Tables!$H20),0)-1))</f>
        <v>56.090998517450011</v>
      </c>
      <c r="K20" s="91" cm="1">
        <f t="array" aca="1" ref="K20" ca="1">_xlfn.XLOOKUP($I20,CalculatedMetrics!$A$25:$A$40,OFFSET(CalculatedMetrics!$A$25:$A$40,0,MATCH(1,(CalculatedMetrics!$A$1:$AK$1=Tables!K$3)*(CalculatedMetrics!$A$2:$AK$2=Tables!$H20),0)-1))</f>
        <v>60.485838779956424</v>
      </c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3">
      <c r="A21" s="3"/>
      <c r="B21" s="27"/>
      <c r="C21" s="27" t="s">
        <v>81</v>
      </c>
      <c r="D21" s="28">
        <f>IFERROR(AVERAGEIFS(mysql_hardware_log!$R$3:$R$722,mysql_hardware_log!$A$3:$A$722,B20),"N/A")</f>
        <v>0.05</v>
      </c>
      <c r="E21" s="34">
        <f>IFERROR(AVERAGEIFS(mongodb_hardware_log!$R$3:$R$3476,mongodb_hardware_log!$A$3:$A$3476,B20),"N/A")</f>
        <v>24.635876840696117</v>
      </c>
      <c r="F21" s="3"/>
      <c r="G21" s="3"/>
      <c r="H21" s="87" t="str">
        <f>H20</f>
        <v>q5_top_customers</v>
      </c>
      <c r="I21" s="66" t="s">
        <v>76</v>
      </c>
      <c r="J21" s="68" cm="1">
        <f t="array" aca="1" ref="J21" ca="1">_xlfn.XLOOKUP($I21,CalculatedMetrics!$A$25:$A$40,OFFSET(CalculatedMetrics!$A$25:$A$40,0,MATCH(1,(CalculatedMetrics!$A$1:$AK$1=Tables!J$3)*(CalculatedMetrics!$A$2:$AK$2=Tables!$H21),0)-1))</f>
        <v>189834.66666666666</v>
      </c>
      <c r="K21" s="68" cm="1">
        <f t="array" aca="1" ref="K21" ca="1">_xlfn.XLOOKUP($I21,CalculatedMetrics!$A$25:$A$40,OFFSET(CalculatedMetrics!$A$25:$A$40,0,MATCH(1,(CalculatedMetrics!$A$1:$AK$1=Tables!K$3)*(CalculatedMetrics!$A$2:$AK$2=Tables!$H21),0)-1))</f>
        <v>0</v>
      </c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3">
      <c r="A22" s="3"/>
      <c r="B22" s="7" t="s">
        <v>6</v>
      </c>
      <c r="C22" s="7" t="s">
        <v>80</v>
      </c>
      <c r="D22" s="8">
        <f>IFERROR(AVERAGEIFS(mysql_hardware_log!$O$3:$O$722,mysql_hardware_log!$A$3:$A$722,B22),"N/A")</f>
        <v>36.102409638554214</v>
      </c>
      <c r="E22" s="9">
        <f>IFERROR(AVERAGEIFS(mongodb_hardware_log!$O$3:$O$3476,mongodb_hardware_log!$A$3:$A$3476,B22),"N/A")</f>
        <v>30</v>
      </c>
      <c r="F22" s="3"/>
      <c r="G22" s="3"/>
      <c r="H22" s="87" t="str">
        <f>H21</f>
        <v>q5_top_customers</v>
      </c>
      <c r="I22" s="66" t="s">
        <v>77</v>
      </c>
      <c r="J22" s="89" cm="1">
        <f t="array" aca="1" ref="J22" ca="1">_xlfn.XLOOKUP($I22,CalculatedMetrics!$A$25:$A$40,OFFSET(CalculatedMetrics!$A$25:$A$40,0,MATCH(1,(CalculatedMetrics!$A$1:$AK$1=Tables!J$3)*(CalculatedMetrics!$A$2:$AK$2=Tables!$H22),0)-1))</f>
        <v>15.729148134791842</v>
      </c>
      <c r="K22" s="89" cm="1">
        <f t="array" aca="1" ref="K22" ca="1">_xlfn.XLOOKUP($I22,CalculatedMetrics!$A$25:$A$40,OFFSET(CalculatedMetrics!$A$25:$A$40,0,MATCH(1,(CalculatedMetrics!$A$1:$AK$1=Tables!K$3)*(CalculatedMetrics!$A$2:$AK$2=Tables!$H22),0)-1))</f>
        <v>35.274509803921568</v>
      </c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3">
      <c r="A23" s="3"/>
      <c r="B23" s="27"/>
      <c r="C23" s="27" t="s">
        <v>81</v>
      </c>
      <c r="D23" s="28">
        <f>IFERROR(AVERAGEIFS(mysql_hardware_log!$R$3:$R$722,mysql_hardware_log!$A$3:$A$722,B22),"N/A")</f>
        <v>2.8373493975903616</v>
      </c>
      <c r="E23" s="34">
        <f>IFERROR(AVERAGEIFS(mongodb_hardware_log!$R$3:$R$3476,mongodb_hardware_log!$A$3:$A$3476,B22),"N/A")</f>
        <v>6.2264150943396226</v>
      </c>
      <c r="F23" s="3"/>
      <c r="G23" s="3"/>
      <c r="H23" s="88" t="str">
        <f>H22</f>
        <v>q5_top_customers</v>
      </c>
      <c r="I23" s="65" t="s">
        <v>78</v>
      </c>
      <c r="J23" s="89" cm="1">
        <f t="array" aca="1" ref="J23" ca="1">_xlfn.XLOOKUP($I23,CalculatedMetrics!$A$25:$A$40,OFFSET(CalculatedMetrics!$A$25:$A$40,0,MATCH(1,(CalculatedMetrics!$A$1:$AK$1=Tables!J$3)*(CalculatedMetrics!$A$2:$AK$2=Tables!$H23),0)-1))</f>
        <v>37</v>
      </c>
      <c r="K23" s="89" cm="1">
        <f t="array" aca="1" ref="K23" ca="1">_xlfn.XLOOKUP($I23,CalculatedMetrics!$A$25:$A$40,OFFSET(CalculatedMetrics!$A$25:$A$40,0,MATCH(1,(CalculatedMetrics!$A$1:$AK$1=Tables!K$3)*(CalculatedMetrics!$A$2:$AK$2=Tables!$H23),0)-1))</f>
        <v>460.33333333333331</v>
      </c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3">
      <c r="A24" s="3"/>
      <c r="B24" s="7" t="s">
        <v>7</v>
      </c>
      <c r="C24" s="7" t="s">
        <v>80</v>
      </c>
      <c r="D24" s="24">
        <f>IFERROR(AVERAGEIFS(mysql_hardware_log!$O$3:$O$722,mysql_hardware_log!$A$3:$A$722,B24),"N/A")</f>
        <v>22.735714285714284</v>
      </c>
      <c r="E24" s="11">
        <f>IFERROR(AVERAGEIFS(mongodb_hardware_log!$O$3:$O$3476,mongodb_hardware_log!$A$3:$A$3476,B24),"N/A")</f>
        <v>33.839682539682542</v>
      </c>
      <c r="F24" s="3"/>
      <c r="G24" s="3"/>
      <c r="H24" s="7" t="s">
        <v>7</v>
      </c>
      <c r="I24" s="66" t="s">
        <v>63</v>
      </c>
      <c r="J24" s="91" cm="1">
        <f t="array" aca="1" ref="J24" ca="1">_xlfn.XLOOKUP($I24,CalculatedMetrics!$A$25:$A$40,OFFSET(CalculatedMetrics!$A$25:$A$40,0,MATCH(1,(CalculatedMetrics!$A$1:$AK$1=Tables!J$3)*(CalculatedMetrics!$A$2:$AK$2=Tables!$H24),0)-1))</f>
        <v>61.85144927536232</v>
      </c>
      <c r="K24" s="91" cm="1">
        <f t="array" aca="1" ref="K24" ca="1">_xlfn.XLOOKUP($I24,CalculatedMetrics!$A$25:$A$40,OFFSET(CalculatedMetrics!$A$25:$A$40,0,MATCH(1,(CalculatedMetrics!$A$1:$AK$1=Tables!K$3)*(CalculatedMetrics!$A$2:$AK$2=Tables!$H24),0)-1))</f>
        <v>63.498675710023043</v>
      </c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3">
      <c r="A25" s="3"/>
      <c r="B25" s="7"/>
      <c r="C25" s="31" t="s">
        <v>81</v>
      </c>
      <c r="D25" s="36">
        <f>IFERROR(AVERAGEIFS(mysql_hardware_log!$R$3:$R$722,mysql_hardware_log!$A$3:$A$722,B24),"N/A")</f>
        <v>3.4714285714285715</v>
      </c>
      <c r="E25" s="30">
        <f>IFERROR(AVERAGEIFS(mongodb_hardware_log!$R$3:$R$3476,mongodb_hardware_log!$A$3:$A$3476,B24),"N/A")</f>
        <v>0.6785714285714286</v>
      </c>
      <c r="F25" s="3"/>
      <c r="G25" s="3"/>
      <c r="H25" s="87" t="str">
        <f>H24</f>
        <v>q6_inactive_customers</v>
      </c>
      <c r="I25" s="66" t="s">
        <v>76</v>
      </c>
      <c r="J25" s="68" cm="1">
        <f t="array" aca="1" ref="J25" ca="1">_xlfn.XLOOKUP($I25,CalculatedMetrics!$A$25:$A$40,OFFSET(CalculatedMetrics!$A$25:$A$40,0,MATCH(1,(CalculatedMetrics!$A$1:$AK$1=Tables!J$3)*(CalculatedMetrics!$A$2:$AK$2=Tables!$H25),0)-1))</f>
        <v>-187777.33333333334</v>
      </c>
      <c r="K25" s="68" cm="1">
        <f t="array" aca="1" ref="K25" ca="1">_xlfn.XLOOKUP($I25,CalculatedMetrics!$A$25:$A$40,OFFSET(CalculatedMetrics!$A$25:$A$40,0,MATCH(1,(CalculatedMetrics!$A$1:$AK$1=Tables!K$3)*(CalculatedMetrics!$A$2:$AK$2=Tables!$H25),0)-1))</f>
        <v>-7850.666666666667</v>
      </c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3">
      <c r="A26" s="3"/>
      <c r="B26" s="3"/>
      <c r="C26" s="4"/>
      <c r="D26" s="3"/>
      <c r="E26" s="3"/>
      <c r="F26" s="3"/>
      <c r="H26" s="87" t="str">
        <f>H25</f>
        <v>q6_inactive_customers</v>
      </c>
      <c r="I26" s="66" t="s">
        <v>77</v>
      </c>
      <c r="J26" s="89" cm="1">
        <f t="array" aca="1" ref="J26" ca="1">_xlfn.XLOOKUP($I26,CalculatedMetrics!$A$25:$A$40,OFFSET(CalculatedMetrics!$A$25:$A$40,0,MATCH(1,(CalculatedMetrics!$A$1:$AK$1=Tables!J$3)*(CalculatedMetrics!$A$2:$AK$2=Tables!$H26),0)-1))</f>
        <v>0.15791062801932368</v>
      </c>
      <c r="K26" s="89" cm="1">
        <f t="array" aca="1" ref="K26" ca="1">_xlfn.XLOOKUP($I26,CalculatedMetrics!$A$25:$A$40,OFFSET(CalculatedMetrics!$A$25:$A$40,0,MATCH(1,(CalculatedMetrics!$A$1:$AK$1=Tables!K$3)*(CalculatedMetrics!$A$2:$AK$2=Tables!$H26),0)-1))</f>
        <v>3.2302342332700404</v>
      </c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3">
      <c r="A27" s="3"/>
      <c r="B27" s="3"/>
      <c r="C27" s="4" t="s">
        <v>52</v>
      </c>
      <c r="D27" s="3"/>
      <c r="E27" s="3"/>
      <c r="F27" s="3"/>
      <c r="H27" s="87" t="str">
        <f>H26</f>
        <v>q6_inactive_customers</v>
      </c>
      <c r="I27" s="68" t="s">
        <v>78</v>
      </c>
      <c r="J27" s="89" cm="1">
        <f t="array" aca="1" ref="J27" ca="1">_xlfn.XLOOKUP($I27,CalculatedMetrics!$A$25:$A$40,OFFSET(CalculatedMetrics!$A$25:$A$40,0,MATCH(1,(CalculatedMetrics!$A$1:$AK$1=Tables!J$3)*(CalculatedMetrics!$A$2:$AK$2=Tables!$H27),0)-1))</f>
        <v>236</v>
      </c>
      <c r="K27" s="89" cm="1">
        <f t="array" aca="1" ref="K27" ca="1">_xlfn.XLOOKUP($I27,CalculatedMetrics!$A$25:$A$40,OFFSET(CalculatedMetrics!$A$25:$A$40,0,MATCH(1,(CalculatedMetrics!$A$1:$AK$1=Tables!K$3)*(CalculatedMetrics!$A$2:$AK$2=Tables!$H27),0)-1))</f>
        <v>0</v>
      </c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3">
      <c r="A28" s="3"/>
      <c r="B28" s="3"/>
      <c r="C28" s="4"/>
      <c r="D28" s="3"/>
      <c r="E28" s="3"/>
      <c r="F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" thickBot="1" x14ac:dyDescent="0.35">
      <c r="A29" s="3"/>
      <c r="B29" s="12" t="s">
        <v>20</v>
      </c>
      <c r="C29" s="12" t="s">
        <v>51</v>
      </c>
      <c r="D29" s="5" t="s">
        <v>10</v>
      </c>
      <c r="E29" s="6" t="s">
        <v>9</v>
      </c>
      <c r="F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3">
      <c r="A30" s="3"/>
      <c r="B30" s="25" t="s">
        <v>0</v>
      </c>
      <c r="C30" s="25" t="s">
        <v>53</v>
      </c>
      <c r="D30" s="33">
        <f>AVERAGEIFS(mysql_hardware_log!$F$3:$F$722,mysql_hardware_log!$A$3:$A$722,B30)/1024</f>
        <v>335.94589263613864</v>
      </c>
      <c r="E30" s="26">
        <f>AVERAGEIFS(mongodb_hardware_log!$F$3:$F$3476,mongodb_hardware_log!$A$3:$A$3476,B30)/1024</f>
        <v>149.01238248607243</v>
      </c>
      <c r="F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3">
      <c r="A31" s="3"/>
      <c r="B31" s="27"/>
      <c r="C31" s="27" t="s">
        <v>54</v>
      </c>
      <c r="D31" s="28">
        <f>_xlfn.MINIFS(mysql_hardware_log!$F$3:$F$722,mysql_hardware_log!$A$3:$A$722,B30)/1024</f>
        <v>95.19921875</v>
      </c>
      <c r="E31" s="34">
        <f>_xlfn.MINIFS(mongodb_hardware_log!$F$3:$F$3476,mongodb_hardware_log!$A$3:$A$3476,B30)/1024</f>
        <v>97.078125</v>
      </c>
      <c r="F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3">
      <c r="A32" s="3"/>
      <c r="B32" s="7" t="s">
        <v>2</v>
      </c>
      <c r="C32" s="7" t="s">
        <v>53</v>
      </c>
      <c r="D32" s="37">
        <f>AVERAGEIFS(mysql_hardware_log!$F$3:$F$722,mysql_hardware_log!$A$3:$A$722,B32)/1024</f>
        <v>199.13427309782608</v>
      </c>
      <c r="E32" s="38">
        <f>AVERAGEIFS(mongodb_hardware_log!$F$3:$F$3476,mongodb_hardware_log!$A$3:$A$3476,B32)/1024</f>
        <v>489.2923632218845</v>
      </c>
      <c r="F32" s="3"/>
    </row>
    <row r="33" spans="1:6" x14ac:dyDescent="0.3">
      <c r="A33" s="3"/>
      <c r="B33" s="27"/>
      <c r="C33" s="27" t="s">
        <v>54</v>
      </c>
      <c r="D33" s="35">
        <f>_xlfn.MINIFS(mysql_hardware_log!$F$3:$F$722,mysql_hardware_log!$A$3:$A$722,B32)/1024</f>
        <v>101.7890625</v>
      </c>
      <c r="E33" s="29">
        <f>_xlfn.MINIFS(mongodb_hardware_log!$F$3:$F$3476,mongodb_hardware_log!$A$3:$A$3476,B32)/1024</f>
        <v>97.6171875</v>
      </c>
      <c r="F33" s="3"/>
    </row>
    <row r="34" spans="1:6" x14ac:dyDescent="0.3">
      <c r="A34" s="3"/>
      <c r="B34" s="7" t="s">
        <v>4</v>
      </c>
      <c r="C34" s="7" t="s">
        <v>53</v>
      </c>
      <c r="D34" s="8">
        <f>AVERAGEIFS(mysql_hardware_log!$F$3:$F$722,mysql_hardware_log!$A$3:$A$722,B34)/1024</f>
        <v>556.35673564189187</v>
      </c>
      <c r="E34" s="9">
        <f>AVERAGEIFS(mongodb_hardware_log!$F$3:$F$3476,mongodb_hardware_log!$A$3:$A$3476,B34)/1024</f>
        <v>180.68824678308823</v>
      </c>
      <c r="F34" s="3"/>
    </row>
    <row r="35" spans="1:6" x14ac:dyDescent="0.3">
      <c r="A35" s="3"/>
      <c r="B35" s="27"/>
      <c r="C35" s="27" t="s">
        <v>54</v>
      </c>
      <c r="D35" s="35">
        <f>_xlfn.MINIFS(mysql_hardware_log!$F$3:$F$722,mysql_hardware_log!$A$3:$A$722,B34)/1024</f>
        <v>104.0703125</v>
      </c>
      <c r="E35" s="29">
        <f>_xlfn.MINIFS(mongodb_hardware_log!$F$3:$F$3476,mongodb_hardware_log!$A$3:$A$3476,B34)/1024</f>
        <v>100.6640625</v>
      </c>
      <c r="F35" s="3"/>
    </row>
    <row r="36" spans="1:6" x14ac:dyDescent="0.3">
      <c r="A36" s="3"/>
      <c r="B36" s="7" t="s">
        <v>5</v>
      </c>
      <c r="C36" s="7" t="s">
        <v>53</v>
      </c>
      <c r="D36" s="8">
        <f>AVERAGEIFS(mysql_hardware_log!$F$3:$F$722,mysql_hardware_log!$A$3:$A$722,B36)/1024</f>
        <v>1084.8530598958334</v>
      </c>
      <c r="E36" s="9">
        <f>AVERAGEIFS(mongodb_hardware_log!$F$3:$F$3476,mongodb_hardware_log!$A$3:$A$3476,B36)/1024</f>
        <v>143.15699778279784</v>
      </c>
      <c r="F36" s="3"/>
    </row>
    <row r="37" spans="1:6" x14ac:dyDescent="0.3">
      <c r="A37" s="3"/>
      <c r="B37" s="27"/>
      <c r="C37" s="27" t="s">
        <v>54</v>
      </c>
      <c r="D37" s="35">
        <f>_xlfn.MINIFS(mysql_hardware_log!$F$3:$F$722,mysql_hardware_log!$A$3:$A$722,B36)/1024</f>
        <v>176.4453125</v>
      </c>
      <c r="E37" s="29">
        <f>_xlfn.MINIFS(mongodb_hardware_log!$F$3:$F$3476,mongodb_hardware_log!$A$3:$A$3476,B36)/1024</f>
        <v>96.05859375</v>
      </c>
      <c r="F37" s="3"/>
    </row>
    <row r="38" spans="1:6" x14ac:dyDescent="0.3">
      <c r="A38" s="3"/>
      <c r="B38" s="7" t="s">
        <v>6</v>
      </c>
      <c r="C38" s="7" t="s">
        <v>53</v>
      </c>
      <c r="D38" s="8">
        <f>AVERAGEIFS(mysql_hardware_log!$F$3:$F$722,mysql_hardware_log!$A$3:$A$722,B38)/1024</f>
        <v>532.32353633283128</v>
      </c>
      <c r="E38" s="9">
        <f>AVERAGEIFS(mongodb_hardware_log!$F$3:$F$3476,mongodb_hardware_log!$A$3:$A$3476,B38)/1024</f>
        <v>149.46123231132074</v>
      </c>
      <c r="F38" s="3"/>
    </row>
    <row r="39" spans="1:6" x14ac:dyDescent="0.3">
      <c r="A39" s="3"/>
      <c r="B39" s="27"/>
      <c r="C39" s="27" t="s">
        <v>54</v>
      </c>
      <c r="D39" s="28">
        <f>_xlfn.MINIFS(mysql_hardware_log!$F$3:$F$722,mysql_hardware_log!$A$3:$A$722,B38)/1024</f>
        <v>97.00390625</v>
      </c>
      <c r="E39" s="34">
        <f>_xlfn.MINIFS(mongodb_hardware_log!$F$3:$F$3476,mongodb_hardware_log!$A$3:$A$3476,B38)/1024</f>
        <v>102.6796875</v>
      </c>
      <c r="F39" s="3"/>
    </row>
    <row r="40" spans="1:6" x14ac:dyDescent="0.3">
      <c r="A40" s="3"/>
      <c r="B40" s="7" t="s">
        <v>7</v>
      </c>
      <c r="C40" s="7" t="s">
        <v>53</v>
      </c>
      <c r="D40" s="8">
        <f>AVERAGEIFS(mysql_hardware_log!$F$3:$F$722,mysql_hardware_log!$A$3:$A$722,B40)/1024</f>
        <v>1076.7035714285714</v>
      </c>
      <c r="E40" s="9">
        <f>AVERAGEIFS(mongodb_hardware_log!$F$3:$F$3476,mongodb_hardware_log!$A$3:$A$3476,B40)/1024</f>
        <v>311.12909846230161</v>
      </c>
      <c r="F40" s="3"/>
    </row>
    <row r="41" spans="1:6" x14ac:dyDescent="0.3">
      <c r="A41" s="3"/>
      <c r="B41" s="7"/>
      <c r="C41" s="31" t="s">
        <v>54</v>
      </c>
      <c r="D41" s="8">
        <f>_xlfn.MINIFS(mysql_hardware_log!$F$3:$F$722,mysql_hardware_log!$A$3:$A$722,B40)/1024</f>
        <v>104.85546875</v>
      </c>
      <c r="E41" s="9">
        <f>_xlfn.MINIFS(mongodb_hardware_log!$F$3:$F$3476,mongodb_hardware_log!$A$3:$A$3476,B40)/1024</f>
        <v>101.92578125</v>
      </c>
      <c r="F41" s="3"/>
    </row>
    <row r="42" spans="1:6" x14ac:dyDescent="0.3">
      <c r="A42" s="3"/>
      <c r="B42" s="3"/>
      <c r="C42" s="4"/>
      <c r="D42" s="3"/>
      <c r="E42" s="3"/>
      <c r="F42" s="3"/>
    </row>
    <row r="43" spans="1:6" x14ac:dyDescent="0.3">
      <c r="A43" s="3"/>
      <c r="B43" s="3"/>
      <c r="C43" s="4"/>
      <c r="D43" s="3"/>
      <c r="E43" s="3"/>
      <c r="F43" s="3"/>
    </row>
    <row r="44" spans="1:6" x14ac:dyDescent="0.3">
      <c r="A44" s="3"/>
      <c r="B44" s="3"/>
      <c r="C44" s="4"/>
      <c r="D44" s="3"/>
      <c r="E44" s="3"/>
      <c r="F44" s="3"/>
    </row>
    <row r="45" spans="1:6" x14ac:dyDescent="0.3">
      <c r="A45" s="3"/>
      <c r="B45" s="3"/>
      <c r="C45" s="4"/>
      <c r="D45" s="3"/>
      <c r="E45" s="3"/>
      <c r="F45" s="3"/>
    </row>
    <row r="46" spans="1:6" x14ac:dyDescent="0.3">
      <c r="A46" s="3"/>
      <c r="B46" s="3"/>
      <c r="C46" s="4"/>
      <c r="D46" s="3"/>
      <c r="E46" s="3"/>
      <c r="F46" s="3"/>
    </row>
    <row r="47" spans="1:6" x14ac:dyDescent="0.3">
      <c r="A47" s="3"/>
      <c r="B47" s="3"/>
      <c r="C47" s="4"/>
      <c r="D47" s="3"/>
      <c r="E47" s="3"/>
      <c r="F47" s="3"/>
    </row>
    <row r="48" spans="1:6" x14ac:dyDescent="0.3">
      <c r="A48" s="3"/>
      <c r="B48" s="3"/>
      <c r="C48" s="4"/>
      <c r="D48" s="3"/>
      <c r="E48" s="3"/>
      <c r="F48" s="3"/>
    </row>
    <row r="49" spans="1:6" x14ac:dyDescent="0.3">
      <c r="A49" s="3"/>
      <c r="B49" s="3"/>
      <c r="C49" s="4"/>
      <c r="D49" s="3"/>
      <c r="E49" s="3"/>
      <c r="F49" s="3"/>
    </row>
    <row r="50" spans="1:6" x14ac:dyDescent="0.3">
      <c r="A50" s="3"/>
      <c r="B50" s="3"/>
      <c r="C50" s="4"/>
      <c r="D50" s="3"/>
      <c r="E50" s="3"/>
      <c r="F50" s="3"/>
    </row>
    <row r="51" spans="1:6" x14ac:dyDescent="0.3">
      <c r="A51" s="3"/>
      <c r="B51" s="3"/>
      <c r="C51" s="4"/>
      <c r="D51" s="3"/>
      <c r="E51" s="3"/>
      <c r="F51" s="3"/>
    </row>
    <row r="52" spans="1:6" x14ac:dyDescent="0.3">
      <c r="A52" s="3"/>
      <c r="B52" s="3"/>
      <c r="C52" s="4"/>
      <c r="D52" s="3"/>
      <c r="E52" s="3"/>
      <c r="F52" s="3"/>
    </row>
    <row r="53" spans="1:6" x14ac:dyDescent="0.3">
      <c r="A53" s="3"/>
      <c r="B53" s="3"/>
      <c r="C53" s="4"/>
      <c r="D53" s="3"/>
      <c r="E53" s="3"/>
      <c r="F53" s="3"/>
    </row>
    <row r="54" spans="1:6" x14ac:dyDescent="0.3">
      <c r="A54" s="3"/>
      <c r="B54" s="3"/>
      <c r="C54" s="4"/>
      <c r="D54" s="3"/>
      <c r="E54" s="3"/>
      <c r="F54" s="3"/>
    </row>
    <row r="55" spans="1:6" x14ac:dyDescent="0.3">
      <c r="A55" s="3"/>
      <c r="B55" s="3"/>
      <c r="C55" s="4"/>
      <c r="D55" s="3"/>
      <c r="E55" s="3"/>
      <c r="F55" s="3"/>
    </row>
    <row r="56" spans="1:6" x14ac:dyDescent="0.3">
      <c r="A56" s="3"/>
      <c r="B56" s="3"/>
      <c r="C56" s="4"/>
      <c r="D56" s="3"/>
      <c r="E56" s="3"/>
      <c r="F56" s="3"/>
    </row>
    <row r="57" spans="1:6" x14ac:dyDescent="0.3">
      <c r="A57" s="3"/>
      <c r="B57" s="3"/>
      <c r="C57" s="4"/>
      <c r="D57" s="3"/>
      <c r="E57" s="3"/>
      <c r="F57" s="3"/>
    </row>
    <row r="58" spans="1:6" x14ac:dyDescent="0.3">
      <c r="A58" s="3"/>
      <c r="B58" s="3"/>
      <c r="C58" s="4"/>
      <c r="D58" s="3"/>
      <c r="E58" s="3"/>
      <c r="F58" s="3"/>
    </row>
    <row r="59" spans="1:6" x14ac:dyDescent="0.3">
      <c r="A59" s="3"/>
      <c r="B59" s="3"/>
      <c r="C59" s="4"/>
      <c r="D59" s="3"/>
      <c r="E59" s="3"/>
      <c r="F59" s="3"/>
    </row>
    <row r="60" spans="1:6" x14ac:dyDescent="0.3">
      <c r="A60" s="3"/>
      <c r="B60" s="3"/>
      <c r="C60" s="4"/>
      <c r="D60" s="3"/>
      <c r="E60" s="3"/>
      <c r="F60" s="3"/>
    </row>
    <row r="61" spans="1:6" x14ac:dyDescent="0.3">
      <c r="A61" s="3"/>
      <c r="B61" s="3"/>
      <c r="C61" s="4"/>
      <c r="D61" s="3"/>
      <c r="E61" s="3"/>
      <c r="F61" s="3"/>
    </row>
    <row r="62" spans="1:6" x14ac:dyDescent="0.3">
      <c r="A62" s="3"/>
      <c r="B62" s="3"/>
      <c r="C62" s="4"/>
      <c r="D62" s="3"/>
      <c r="E62" s="3"/>
      <c r="F62" s="3"/>
    </row>
    <row r="63" spans="1:6" x14ac:dyDescent="0.3">
      <c r="A63" s="3"/>
      <c r="B63" s="3"/>
      <c r="C63" s="4"/>
      <c r="D63" s="3"/>
      <c r="E63" s="3"/>
      <c r="F63" s="3"/>
    </row>
    <row r="64" spans="1:6" x14ac:dyDescent="0.3">
      <c r="A64" s="3"/>
      <c r="B64" s="3"/>
      <c r="C64" s="4"/>
      <c r="D64" s="3"/>
      <c r="E64" s="3"/>
      <c r="F64" s="3"/>
    </row>
    <row r="65" spans="1:6" x14ac:dyDescent="0.3">
      <c r="A65" s="3"/>
      <c r="B65" s="3"/>
      <c r="C65" s="4"/>
      <c r="D65" s="3"/>
      <c r="E65" s="3"/>
      <c r="F65" s="3"/>
    </row>
    <row r="66" spans="1:6" x14ac:dyDescent="0.3">
      <c r="A66" s="3"/>
      <c r="B66" s="3"/>
      <c r="C66" s="4"/>
      <c r="D66" s="3"/>
      <c r="E66" s="3"/>
      <c r="F66" s="3"/>
    </row>
    <row r="67" spans="1:6" x14ac:dyDescent="0.3">
      <c r="A67" s="3"/>
      <c r="B67" s="3"/>
      <c r="C67" s="4"/>
      <c r="D67" s="3"/>
      <c r="E67" s="3"/>
      <c r="F67" s="3"/>
    </row>
    <row r="68" spans="1:6" x14ac:dyDescent="0.3">
      <c r="A68" s="3"/>
      <c r="B68" s="3"/>
      <c r="C68" s="4"/>
      <c r="D68" s="3"/>
      <c r="E68" s="3"/>
      <c r="F68" s="3"/>
    </row>
    <row r="69" spans="1:6" x14ac:dyDescent="0.3">
      <c r="A69" s="3"/>
      <c r="B69" s="3"/>
      <c r="C69" s="4"/>
      <c r="D69" s="3"/>
      <c r="E69" s="3"/>
      <c r="F69" s="3"/>
    </row>
  </sheetData>
  <conditionalFormatting sqref="I27 J4:K27">
    <cfRule type="cellIs" dxfId="2" priority="1" operator="lessThan">
      <formula>0</formula>
    </cfRule>
  </conditionalFormatting>
  <pageMargins left="0.7" right="0.7" top="0.75" bottom="0.75" header="0.3" footer="0.3"/>
  <ignoredErrors>
    <ignoredError sqref="D15:E15 D17:E17 D19:E19 D21:E21 D23:E2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20AC-E18F-4F48-8132-A350831D5F97}">
  <dimension ref="A1:AK40"/>
  <sheetViews>
    <sheetView workbookViewId="0">
      <pane xSplit="1" ySplit="3" topLeftCell="K13" activePane="bottomRight" state="frozen"/>
      <selection pane="topRight" activeCell="B1" sqref="B1"/>
      <selection pane="bottomLeft" activeCell="A4" sqref="A4"/>
      <selection pane="bottomRight" activeCell="A31" sqref="A31"/>
    </sheetView>
  </sheetViews>
  <sheetFormatPr defaultRowHeight="14.4" x14ac:dyDescent="0.3"/>
  <cols>
    <col min="1" max="1" width="33" style="44" bestFit="1" customWidth="1"/>
    <col min="2" max="2" width="12.44140625" style="39" bestFit="1" customWidth="1"/>
    <col min="4" max="4" width="8.88671875" style="40" customWidth="1"/>
    <col min="5" max="5" width="11.44140625" style="39" bestFit="1" customWidth="1"/>
    <col min="6" max="6" width="11.5546875" bestFit="1" customWidth="1"/>
    <col min="7" max="7" width="11.44140625" style="40" bestFit="1" customWidth="1"/>
    <col min="8" max="8" width="11.5546875" style="39" bestFit="1" customWidth="1"/>
    <col min="9" max="9" width="12.44140625" bestFit="1" customWidth="1"/>
    <col min="10" max="10" width="11.5546875" style="40" bestFit="1" customWidth="1"/>
    <col min="11" max="11" width="12.44140625" style="39" bestFit="1" customWidth="1"/>
    <col min="12" max="12" width="12.44140625" bestFit="1" customWidth="1"/>
    <col min="13" max="13" width="12.44140625" style="40" bestFit="1" customWidth="1"/>
    <col min="14" max="14" width="11.5546875" style="39" bestFit="1" customWidth="1"/>
    <col min="15" max="15" width="11.5546875" bestFit="1" customWidth="1"/>
    <col min="16" max="16" width="11.5546875" style="40" bestFit="1" customWidth="1"/>
    <col min="17" max="17" width="11.5546875" style="39" bestFit="1" customWidth="1"/>
    <col min="18" max="18" width="11.5546875" bestFit="1" customWidth="1"/>
    <col min="19" max="19" width="11.5546875" style="40" bestFit="1" customWidth="1"/>
    <col min="20" max="20" width="12.44140625" style="39" bestFit="1" customWidth="1"/>
    <col min="21" max="21" width="11.5546875" bestFit="1" customWidth="1"/>
    <col min="22" max="22" width="12.44140625" style="40" bestFit="1" customWidth="1"/>
    <col min="23" max="23" width="12.44140625" style="39" bestFit="1" customWidth="1"/>
    <col min="24" max="24" width="12.44140625" bestFit="1" customWidth="1"/>
    <col min="25" max="25" width="12.44140625" style="40" bestFit="1" customWidth="1"/>
    <col min="26" max="26" width="11.44140625" style="39" bestFit="1" customWidth="1"/>
    <col min="27" max="27" width="11.5546875" bestFit="1" customWidth="1"/>
    <col min="28" max="28" width="11.5546875" style="40" bestFit="1" customWidth="1"/>
    <col min="29" max="29" width="11.5546875" style="39" bestFit="1" customWidth="1"/>
    <col min="30" max="30" width="11.5546875" bestFit="1" customWidth="1"/>
    <col min="31" max="31" width="13.21875" style="40" bestFit="1" customWidth="1"/>
    <col min="32" max="32" width="11.5546875" style="39" bestFit="1" customWidth="1"/>
    <col min="33" max="33" width="11.5546875" bestFit="1" customWidth="1"/>
    <col min="34" max="34" width="11.44140625" style="40" bestFit="1" customWidth="1"/>
    <col min="35" max="35" width="11.5546875" style="39" bestFit="1" customWidth="1"/>
    <col min="36" max="36" width="11.5546875" bestFit="1" customWidth="1"/>
    <col min="37" max="37" width="11.5546875" style="40" bestFit="1" customWidth="1"/>
  </cols>
  <sheetData>
    <row r="1" spans="1:37" x14ac:dyDescent="0.3">
      <c r="A1" s="42" t="s">
        <v>8</v>
      </c>
      <c r="B1" s="83" t="s">
        <v>9</v>
      </c>
      <c r="C1" s="80"/>
      <c r="D1" s="81"/>
      <c r="E1" s="83" t="s">
        <v>9</v>
      </c>
      <c r="F1" s="80"/>
      <c r="G1" s="81"/>
      <c r="H1" s="83" t="s">
        <v>9</v>
      </c>
      <c r="I1" s="80"/>
      <c r="J1" s="81"/>
      <c r="K1" s="83" t="s">
        <v>9</v>
      </c>
      <c r="L1" s="80"/>
      <c r="M1" s="81"/>
      <c r="N1" s="83" t="s">
        <v>9</v>
      </c>
      <c r="O1" s="80"/>
      <c r="P1" s="81"/>
      <c r="Q1" s="83" t="s">
        <v>9</v>
      </c>
      <c r="R1" s="80"/>
      <c r="S1" s="81"/>
      <c r="T1" s="83" t="s">
        <v>10</v>
      </c>
      <c r="U1" s="80"/>
      <c r="V1" s="81"/>
      <c r="W1" s="83" t="s">
        <v>10</v>
      </c>
      <c r="X1" s="80"/>
      <c r="Y1" s="81"/>
      <c r="Z1" s="83" t="s">
        <v>10</v>
      </c>
      <c r="AA1" s="80"/>
      <c r="AB1" s="81"/>
      <c r="AC1" s="83" t="s">
        <v>10</v>
      </c>
      <c r="AD1" s="80"/>
      <c r="AE1" s="81"/>
      <c r="AF1" s="83" t="s">
        <v>10</v>
      </c>
      <c r="AG1" s="80"/>
      <c r="AH1" s="81"/>
      <c r="AI1" s="83" t="s">
        <v>10</v>
      </c>
      <c r="AJ1" s="80"/>
      <c r="AK1" s="81"/>
    </row>
    <row r="2" spans="1:37" x14ac:dyDescent="0.3">
      <c r="A2" s="42" t="s">
        <v>20</v>
      </c>
      <c r="B2" s="83" t="s">
        <v>0</v>
      </c>
      <c r="C2" s="80"/>
      <c r="D2" s="81"/>
      <c r="E2" s="83" t="s">
        <v>2</v>
      </c>
      <c r="F2" s="80"/>
      <c r="G2" s="81"/>
      <c r="H2" s="83" t="s">
        <v>4</v>
      </c>
      <c r="I2" s="80"/>
      <c r="J2" s="81"/>
      <c r="K2" s="83" t="s">
        <v>5</v>
      </c>
      <c r="L2" s="80"/>
      <c r="M2" s="81"/>
      <c r="N2" s="83" t="s">
        <v>6</v>
      </c>
      <c r="O2" s="80"/>
      <c r="P2" s="81"/>
      <c r="Q2" s="83" t="s">
        <v>7</v>
      </c>
      <c r="R2" s="80"/>
      <c r="S2" s="81"/>
      <c r="T2" s="83" t="s">
        <v>0</v>
      </c>
      <c r="U2" s="80"/>
      <c r="V2" s="81"/>
      <c r="W2" s="83" t="s">
        <v>2</v>
      </c>
      <c r="X2" s="80"/>
      <c r="Y2" s="81"/>
      <c r="Z2" s="83" t="s">
        <v>4</v>
      </c>
      <c r="AA2" s="80"/>
      <c r="AB2" s="81"/>
      <c r="AC2" s="83" t="s">
        <v>5</v>
      </c>
      <c r="AD2" s="80"/>
      <c r="AE2" s="81"/>
      <c r="AF2" s="83" t="s">
        <v>6</v>
      </c>
      <c r="AG2" s="80"/>
      <c r="AH2" s="81"/>
      <c r="AI2" s="83" t="s">
        <v>7</v>
      </c>
      <c r="AJ2" s="80"/>
      <c r="AK2" s="81"/>
    </row>
    <row r="3" spans="1:37" s="41" customFormat="1" ht="15" thickBot="1" x14ac:dyDescent="0.35">
      <c r="A3" s="43" t="s">
        <v>11</v>
      </c>
      <c r="B3" s="15">
        <v>1</v>
      </c>
      <c r="C3" s="14">
        <v>2</v>
      </c>
      <c r="D3" s="17">
        <v>3</v>
      </c>
      <c r="E3" s="15">
        <v>1</v>
      </c>
      <c r="F3" s="14">
        <v>2</v>
      </c>
      <c r="G3" s="17">
        <v>3</v>
      </c>
      <c r="H3" s="15">
        <v>1</v>
      </c>
      <c r="I3" s="14">
        <v>2</v>
      </c>
      <c r="J3" s="17">
        <v>3</v>
      </c>
      <c r="K3" s="15">
        <v>1</v>
      </c>
      <c r="L3" s="14">
        <v>2</v>
      </c>
      <c r="M3" s="17">
        <v>3</v>
      </c>
      <c r="N3" s="15">
        <v>1</v>
      </c>
      <c r="O3" s="14">
        <v>2</v>
      </c>
      <c r="P3" s="17">
        <v>3</v>
      </c>
      <c r="Q3" s="15">
        <v>1</v>
      </c>
      <c r="R3" s="14">
        <v>2</v>
      </c>
      <c r="S3" s="17">
        <v>3</v>
      </c>
      <c r="T3" s="15">
        <v>1</v>
      </c>
      <c r="U3" s="14">
        <v>2</v>
      </c>
      <c r="V3" s="17">
        <v>3</v>
      </c>
      <c r="W3" s="15">
        <v>1</v>
      </c>
      <c r="X3" s="14">
        <v>2</v>
      </c>
      <c r="Y3" s="17">
        <v>3</v>
      </c>
      <c r="Z3" s="15">
        <v>1</v>
      </c>
      <c r="AA3" s="14">
        <v>2</v>
      </c>
      <c r="AB3" s="17">
        <v>3</v>
      </c>
      <c r="AC3" s="15">
        <v>1</v>
      </c>
      <c r="AD3" s="14">
        <v>2</v>
      </c>
      <c r="AE3" s="17">
        <v>3</v>
      </c>
      <c r="AF3" s="15">
        <v>1</v>
      </c>
      <c r="AG3" s="14">
        <v>2</v>
      </c>
      <c r="AH3" s="17">
        <v>3</v>
      </c>
      <c r="AI3" s="15">
        <v>1</v>
      </c>
      <c r="AJ3" s="14">
        <v>2</v>
      </c>
      <c r="AK3" s="17">
        <v>3</v>
      </c>
    </row>
    <row r="4" spans="1:37" x14ac:dyDescent="0.3">
      <c r="A4" s="42" t="s">
        <v>58</v>
      </c>
      <c r="B4" s="50" t="s">
        <v>57</v>
      </c>
      <c r="C4" s="51" t="s">
        <v>56</v>
      </c>
      <c r="D4" s="52" t="s">
        <v>56</v>
      </c>
      <c r="E4" s="48" cm="1">
        <f t="array" ref="E4">INDEX(BenchmarkResults!$B$2:$L$35,MATCH(1,(BenchmarkResults!$C$2:$C$35=CalculatedMetrics!E$1)*(BenchmarkResults!$B$2:$B$35=CalculatedMetrics!E$2)*(BenchmarkResults!$D$2:$D$35=CalculatedMetrics!E$3),0),7)</f>
        <v>3314.6677</v>
      </c>
      <c r="F4" s="53" cm="1">
        <f t="array" ref="F4">INDEX(BenchmarkResults!$B$2:$L$35,MATCH(1,(BenchmarkResults!$C$2:$C$35=CalculatedMetrics!E$1)*(BenchmarkResults!$B$2:$B$35=CalculatedMetrics!E$2)*(BenchmarkResults!$D$2:$D$35=CalculatedMetrics!F$3),0),7)</f>
        <v>3337.8917000000001</v>
      </c>
      <c r="G4" s="54" cm="1">
        <f t="array" ref="G4">INDEX(BenchmarkResults!$B$2:$L$35,MATCH(1,(BenchmarkResults!$C$2:$C$35=CalculatedMetrics!E$1)*(BenchmarkResults!$B$2:$B$35=CalculatedMetrics!E$2)*(BenchmarkResults!$D$2:$D$35=CalculatedMetrics!G$3),0),7)</f>
        <v>3216.0666000000001</v>
      </c>
      <c r="H4" s="48" cm="1">
        <f t="array" ref="H4">INDEX(BenchmarkResults!$B$2:$L$35,MATCH(1,(BenchmarkResults!$C$2:$C$35=CalculatedMetrics!H$1)*(BenchmarkResults!$B$2:$B$35=CalculatedMetrics!H$2)*(BenchmarkResults!$D$2:$D$35=CalculatedMetrics!H$3),0),7)</f>
        <v>236.37440000000001</v>
      </c>
      <c r="I4" s="53" cm="1">
        <f t="array" ref="I4">INDEX(BenchmarkResults!$B$2:$L$35,MATCH(1,(BenchmarkResults!$C$2:$C$35=CalculatedMetrics!H$1)*(BenchmarkResults!$B$2:$B$35=CalculatedMetrics!H$2)*(BenchmarkResults!$D$2:$D$35=CalculatedMetrics!I$3),0),7)</f>
        <v>222.67060000000001</v>
      </c>
      <c r="J4" s="54" cm="1">
        <f t="array" ref="J4">INDEX(BenchmarkResults!$B$2:$L$35,MATCH(1,(BenchmarkResults!$C$2:$C$35=CalculatedMetrics!H$1)*(BenchmarkResults!$B$2:$B$35=CalculatedMetrics!H$2)*(BenchmarkResults!$D$2:$D$35=CalculatedMetrics!J$3),0),7)</f>
        <v>219.23920000000001</v>
      </c>
      <c r="K4" s="48" cm="1">
        <f t="array" ref="K4">INDEX(BenchmarkResults!$B$2:$L$35,MATCH(1,(BenchmarkResults!$C$2:$C$35=CalculatedMetrics!K$1)*(BenchmarkResults!$B$2:$B$35=CalculatedMetrics!K$2)*(BenchmarkResults!$D$2:$D$35=CalculatedMetrics!K$3),0),7)</f>
        <v>2439.8207000000002</v>
      </c>
      <c r="L4" s="53" cm="1">
        <f t="array" ref="L4">INDEX(BenchmarkResults!$B$2:$L$35,MATCH(1,(BenchmarkResults!$C$2:$C$35=CalculatedMetrics!K$1)*(BenchmarkResults!$B$2:$B$35=CalculatedMetrics!K$2)*(BenchmarkResults!$D$2:$D$35=CalculatedMetrics!L$3),0),7)</f>
        <v>2498.857</v>
      </c>
      <c r="M4" s="54" cm="1">
        <f t="array" ref="M4">INDEX(BenchmarkResults!$B$2:$L$35,MATCH(1,(BenchmarkResults!$C$2:$C$35=CalculatedMetrics!K$1)*(BenchmarkResults!$B$2:$B$35=CalculatedMetrics!K$2)*(BenchmarkResults!$D$2:$D$35=CalculatedMetrics!M$3),0),7)</f>
        <v>2535.5196999999998</v>
      </c>
      <c r="N4" s="48" cm="1">
        <f t="array" ref="N4">INDEX(BenchmarkResults!$B$2:$L$35,MATCH(1,(BenchmarkResults!$C$2:$C$35=CalculatedMetrics!N$1)*(BenchmarkResults!$B$2:$B$35=CalculatedMetrics!N$2)*(BenchmarkResults!$D$2:$D$35=CalculatedMetrics!N$3),0),7)</f>
        <v>176.58959999999999</v>
      </c>
      <c r="O4" s="53" cm="1">
        <f t="array" ref="O4">INDEX(BenchmarkResults!$B$2:$L$35,MATCH(1,(BenchmarkResults!$C$2:$C$35=CalculatedMetrics!N$1)*(BenchmarkResults!$B$2:$B$35=CalculatedMetrics!N$2)*(BenchmarkResults!$D$2:$D$35=CalculatedMetrics!O$3),0),7)</f>
        <v>171.45849999999999</v>
      </c>
      <c r="P4" s="54" cm="1">
        <f t="array" ref="P4">INDEX(BenchmarkResults!$B$2:$L$35,MATCH(1,(BenchmarkResults!$C$2:$C$35=CalculatedMetrics!N$1)*(BenchmarkResults!$B$2:$B$35=CalculatedMetrics!N$2)*(BenchmarkResults!$D$2:$D$35=CalculatedMetrics!P$3),0),7)</f>
        <v>182.91560000000001</v>
      </c>
      <c r="Q4" s="48" cm="1">
        <f t="array" ref="Q4">INDEX(BenchmarkResults!$B$2:$L$35,MATCH(1,(BenchmarkResults!$C$2:$C$35=CalculatedMetrics!Q$1)*(BenchmarkResults!$B$2:$B$35=CalculatedMetrics!Q$2)*(BenchmarkResults!$D$2:$D$35=CalculatedMetrics!Q$3),0),7)</f>
        <v>2693.8289</v>
      </c>
      <c r="R4" s="53" cm="1">
        <f t="array" ref="R4">INDEX(BenchmarkResults!$B$2:$L$35,MATCH(1,(BenchmarkResults!$C$2:$C$35=CalculatedMetrics!Q$1)*(BenchmarkResults!$B$2:$B$35=CalculatedMetrics!Q$2)*(BenchmarkResults!$D$2:$D$35=CalculatedMetrics!R$3),0),7)</f>
        <v>2477.4292999999998</v>
      </c>
      <c r="S4" s="54" cm="1">
        <f t="array" ref="S4">INDEX(BenchmarkResults!$B$2:$L$35,MATCH(1,(BenchmarkResults!$C$2:$C$35=CalculatedMetrics!Q$1)*(BenchmarkResults!$B$2:$B$35=CalculatedMetrics!Q$2)*(BenchmarkResults!$D$2:$D$35=CalculatedMetrics!S$3),0),7)</f>
        <v>2493.5625</v>
      </c>
      <c r="T4" s="48" cm="1">
        <f t="array" ref="T4">INDEX(BenchmarkResults!$B$2:$L$35,MATCH(1,(BenchmarkResults!$C$2:$C$35=CalculatedMetrics!T$1)*(BenchmarkResults!$B$2:$B$35=CalculatedMetrics!T$2)*(BenchmarkResults!$D$2:$D$35=CalculatedMetrics!T$3),0),7)</f>
        <v>614.38260000000002</v>
      </c>
      <c r="U4" s="53" cm="1">
        <f t="array" ref="U4">INDEX(BenchmarkResults!$B$2:$L$35,MATCH(1,(BenchmarkResults!$C$2:$C$35=CalculatedMetrics!T$1)*(BenchmarkResults!$B$2:$B$35=CalculatedMetrics!T$2)*(BenchmarkResults!$D$2:$D$35=CalculatedMetrics!U$3),0),7)</f>
        <v>707.70699999999999</v>
      </c>
      <c r="V4" s="54" cm="1">
        <f t="array" ref="V4">INDEX(BenchmarkResults!$B$2:$L$35,MATCH(1,(BenchmarkResults!$C$2:$C$35=CalculatedMetrics!T$1)*(BenchmarkResults!$B$2:$B$35=CalculatedMetrics!T$2)*(BenchmarkResults!$D$2:$D$35=CalculatedMetrics!V$3),0),7)</f>
        <v>708.07429999999999</v>
      </c>
      <c r="W4" s="48" cm="1">
        <f t="array" ref="W4">INDEX(BenchmarkResults!$B$2:$L$35,MATCH(1,(BenchmarkResults!$C$2:$C$35=CalculatedMetrics!W$1)*(BenchmarkResults!$B$2:$B$35=CalculatedMetrics!W$2)*(BenchmarkResults!$D$2:$D$35=CalculatedMetrics!W$3),0),7)</f>
        <v>388.4461</v>
      </c>
      <c r="X4" s="53" cm="1">
        <f t="array" ref="X4">INDEX(BenchmarkResults!$B$2:$L$35,MATCH(1,(BenchmarkResults!$C$2:$C$35=CalculatedMetrics!W$1)*(BenchmarkResults!$B$2:$B$35=CalculatedMetrics!W$2)*(BenchmarkResults!$D$2:$D$35=CalculatedMetrics!X$3),0),7)</f>
        <v>382.49470000000002</v>
      </c>
      <c r="Y4" s="54" cm="1">
        <f t="array" ref="Y4">INDEX(BenchmarkResults!$B$2:$L$35,MATCH(1,(BenchmarkResults!$C$2:$C$35=CalculatedMetrics!W$1)*(BenchmarkResults!$B$2:$B$35=CalculatedMetrics!W$2)*(BenchmarkResults!$D$2:$D$35=CalculatedMetrics!Y$3),0),7)</f>
        <v>378.55250000000001</v>
      </c>
      <c r="Z4" s="48" cm="1">
        <f t="array" ref="Z4">INDEX(BenchmarkResults!$B$2:$L$35,MATCH(1,(BenchmarkResults!$C$2:$C$35=CalculatedMetrics!Z$1)*(BenchmarkResults!$B$2:$B$35=CalculatedMetrics!Z$2)*(BenchmarkResults!$D$2:$D$35=CalculatedMetrics!Z$3),0),7)</f>
        <v>141.85169999999999</v>
      </c>
      <c r="AA4" s="53" cm="1">
        <f t="array" ref="AA4">INDEX(BenchmarkResults!$B$2:$L$35,MATCH(1,(BenchmarkResults!$C$2:$C$35=CalculatedMetrics!Z$1)*(BenchmarkResults!$B$2:$B$35=CalculatedMetrics!Z$2)*(BenchmarkResults!$D$2:$D$35=CalculatedMetrics!AA$3),0),7)</f>
        <v>114.96550000000001</v>
      </c>
      <c r="AB4" s="54" cm="1">
        <f t="array" ref="AB4">INDEX(BenchmarkResults!$B$2:$L$35,MATCH(1,(BenchmarkResults!$C$2:$C$35=CalculatedMetrics!Z$1)*(BenchmarkResults!$B$2:$B$35=CalculatedMetrics!Z$2)*(BenchmarkResults!$D$2:$D$35=CalculatedMetrics!AB$3),0),7)</f>
        <v>113.3426</v>
      </c>
      <c r="AC4" s="48" cm="1">
        <f t="array" ref="AC4">INDEX(BenchmarkResults!$B$2:$L$35,MATCH(1,(BenchmarkResults!$C$2:$C$35=CalculatedMetrics!AC$1)*(BenchmarkResults!$B$2:$B$35=CalculatedMetrics!AC$2)*(BenchmarkResults!$D$2:$D$35=CalculatedMetrics!AC$3),0),7)</f>
        <v>118.0226</v>
      </c>
      <c r="AD4" s="53" cm="1">
        <f t="array" ref="AD4">INDEX(BenchmarkResults!$B$2:$L$35,MATCH(1,(BenchmarkResults!$C$2:$C$35=CalculatedMetrics!AC$1)*(BenchmarkResults!$B$2:$B$35=CalculatedMetrics!AC$2)*(BenchmarkResults!$D$2:$D$35=CalculatedMetrics!AD$3),0),7)</f>
        <v>240.9751</v>
      </c>
      <c r="AE4" s="54" cm="1">
        <f t="array" ref="AE4">INDEX(BenchmarkResults!$B$2:$L$35,MATCH(1,(BenchmarkResults!$C$2:$C$35=CalculatedMetrics!AC$1)*(BenchmarkResults!$B$2:$B$35=CalculatedMetrics!AC$2)*(BenchmarkResults!$D$2:$D$35=CalculatedMetrics!AE$3),0),7)</f>
        <v>234.77940000000001</v>
      </c>
      <c r="AF4" s="48" cm="1">
        <f t="array" ref="AF4">INDEX(BenchmarkResults!$B$2:$L$35,MATCH(1,(BenchmarkResults!$C$2:$C$35=CalculatedMetrics!AF$1)*(BenchmarkResults!$B$2:$B$35=CalculatedMetrics!AF$2)*(BenchmarkResults!$D$2:$D$35=CalculatedMetrics!AF$3),0),7)</f>
        <v>602.67679999999996</v>
      </c>
      <c r="AG4" s="53" cm="1">
        <f t="array" ref="AG4">INDEX(BenchmarkResults!$B$2:$L$35,MATCH(1,(BenchmarkResults!$C$2:$C$35=CalculatedMetrics!AF$1)*(BenchmarkResults!$B$2:$B$35=CalculatedMetrics!AF$2)*(BenchmarkResults!$D$2:$D$35=CalculatedMetrics!AG$3),0),7)</f>
        <v>466.54090000000002</v>
      </c>
      <c r="AH4" s="54" cm="1">
        <f t="array" ref="AH4">INDEX(BenchmarkResults!$B$2:$L$35,MATCH(1,(BenchmarkResults!$C$2:$C$35=CalculatedMetrics!AF$1)*(BenchmarkResults!$B$2:$B$35=CalculatedMetrics!AF$2)*(BenchmarkResults!$D$2:$D$35=CalculatedMetrics!AH$3),0),7)</f>
        <v>591.28409999999997</v>
      </c>
      <c r="AI4" s="48" cm="1">
        <f t="array" ref="AI4">INDEX(BenchmarkResults!$B$2:$L$35,MATCH(1,(BenchmarkResults!$C$2:$C$35=CalculatedMetrics!AI$1)*(BenchmarkResults!$B$2:$B$35=CalculatedMetrics!AI$2)*(BenchmarkResults!$D$2:$D$35=CalculatedMetrics!AI$3),0),7)</f>
        <v>464.80110000000002</v>
      </c>
      <c r="AJ4" s="53" cm="1">
        <f t="array" ref="AJ4">INDEX(BenchmarkResults!$B$2:$L$35,MATCH(1,(BenchmarkResults!$C$2:$C$35=CalculatedMetrics!AI$1)*(BenchmarkResults!$B$2:$B$35=CalculatedMetrics!AI$2)*(BenchmarkResults!$D$2:$D$35=CalculatedMetrics!AJ$3),0),7)</f>
        <v>459.96570000000003</v>
      </c>
      <c r="AK4" s="54" cm="1">
        <f t="array" ref="AK4">INDEX(BenchmarkResults!$B$2:$L$35,MATCH(1,(BenchmarkResults!$C$2:$C$35=CalculatedMetrics!AI$1)*(BenchmarkResults!$B$2:$B$35=CalculatedMetrics!AI$2)*(BenchmarkResults!$D$2:$D$35=CalculatedMetrics!AK$3),0),7)</f>
        <v>474.40449999999998</v>
      </c>
    </row>
    <row r="5" spans="1:37" x14ac:dyDescent="0.3">
      <c r="A5" s="42" t="s">
        <v>47</v>
      </c>
      <c r="B5" s="48">
        <f>IFERROR(AVERAGEIFS(mongodb_hardware_log!$O$3:$O$3476,mongodb_hardware_log!$A$3:$A$3476,B$2,mongodb_hardware_log!$B$3:$B$3476,B$3),"N/A")</f>
        <v>20.32033426183844</v>
      </c>
      <c r="C5" s="51" t="s">
        <v>56</v>
      </c>
      <c r="D5" s="52" t="s">
        <v>56</v>
      </c>
      <c r="E5" s="48">
        <f>IFERROR(AVERAGEIFS(mongodb_hardware_log!$O$3:$O$3476,mongodb_hardware_log!$A$3:$A$3476,E$2,mongodb_hardware_log!$B$3:$B$3476,E$3),"N/A")</f>
        <v>33.246987951807228</v>
      </c>
      <c r="F5" s="53">
        <f>IFERROR(AVERAGEIFS(mongodb_hardware_log!$O$3:$O$3476,mongodb_hardware_log!$A$3:$A$3476,E$2,mongodb_hardware_log!$B$3:$B$3476,F$3),"N/A")</f>
        <v>33.248502994011979</v>
      </c>
      <c r="G5" s="54">
        <f>IFERROR(AVERAGEIFS(mongodb_hardware_log!$O$3:$O$3476,mongodb_hardware_log!$A$3:$A$3476,E$2,mongodb_hardware_log!$B$3:$B$3476,G$3),"N/A")</f>
        <v>33.274143302180683</v>
      </c>
      <c r="H5" s="48">
        <f>IFERROR(AVERAGEIFS(mongodb_hardware_log!$O$3:$O$3476,mongodb_hardware_log!$A$3:$A$3476,H$2,mongodb_hardware_log!$B$3:$B$3476,H$3),"N/A")</f>
        <v>30.5</v>
      </c>
      <c r="I5" s="53">
        <f>IFERROR(AVERAGEIFS(mongodb_hardware_log!$O$3:$O$3476,mongodb_hardware_log!$A$3:$A$3476,H$2,mongodb_hardware_log!$B$3:$B$3476,I$3),"N/A")</f>
        <v>30.136363636363637</v>
      </c>
      <c r="J5" s="54">
        <f>IFERROR(AVERAGEIFS(mongodb_hardware_log!$O$3:$O$3476,mongodb_hardware_log!$A$3:$A$3476,H$2,mongodb_hardware_log!$B$3:$B$3476,J$3),"N/A")</f>
        <v>31.227272727272727</v>
      </c>
      <c r="K5" s="48">
        <f>IFERROR(AVERAGEIFS(mongodb_hardware_log!$O$3:$O$3476,mongodb_hardware_log!$A$3:$A$3476,K$2,mongodb_hardware_log!$B$3:$B$3476,K$3),"N/A")</f>
        <v>19.495901639344261</v>
      </c>
      <c r="L5" s="53">
        <f>IFERROR(AVERAGEIFS(mongodb_hardware_log!$O$3:$O$3476,mongodb_hardware_log!$A$3:$A$3476,K$2,mongodb_hardware_log!$B$3:$B$3476,L$3),"N/A")</f>
        <v>19.564</v>
      </c>
      <c r="M5" s="54">
        <f>IFERROR(AVERAGEIFS(mongodb_hardware_log!$O$3:$O$3476,mongodb_hardware_log!$A$3:$A$3476,K$2,mongodb_hardware_log!$B$3:$B$3476,M$3),"N/A")</f>
        <v>19.387351778656125</v>
      </c>
      <c r="N5" s="48">
        <f>IFERROR(AVERAGEIFS(mongodb_hardware_log!$O$3:$O$3476,mongodb_hardware_log!$A$3:$A$3476,N$2,mongodb_hardware_log!$B$3:$B$3476,N$3),"N/A")</f>
        <v>29.166666666666668</v>
      </c>
      <c r="O5" s="53">
        <f>IFERROR(AVERAGEIFS(mongodb_hardware_log!$O$3:$O$3476,mongodb_hardware_log!$A$3:$A$3476,N$2,mongodb_hardware_log!$B$3:$B$3476,O$3),"N/A")</f>
        <v>31.294117647058822</v>
      </c>
      <c r="P5" s="54">
        <f>IFERROR(AVERAGEIFS(mongodb_hardware_log!$O$3:$O$3476,mongodb_hardware_log!$A$3:$A$3476,N$2,mongodb_hardware_log!$B$3:$B$3476,P$3),"N/A")</f>
        <v>29.611111111111111</v>
      </c>
      <c r="Q5" s="48">
        <f>IFERROR(AVERAGEIFS(mongodb_hardware_log!$O$3:$O$3476,mongodb_hardware_log!$A$3:$A$3476,Q$2,mongodb_hardware_log!$B$3:$B$3476,Q$3),"N/A")</f>
        <v>32.43333333333333</v>
      </c>
      <c r="R5" s="53">
        <f>IFERROR(AVERAGEIFS(mongodb_hardware_log!$O$3:$O$3476,mongodb_hardware_log!$A$3:$A$3476,Q$2,mongodb_hardware_log!$B$3:$B$3476,R$3),"N/A")</f>
        <v>35.476578411405292</v>
      </c>
      <c r="S5" s="54">
        <f>IFERROR(AVERAGEIFS(mongodb_hardware_log!$O$3:$O$3476,mongodb_hardware_log!$A$3:$A$3476,Q$2,mongodb_hardware_log!$B$3:$B$3476,S$3),"N/A")</f>
        <v>32.989979959919843</v>
      </c>
      <c r="T5" s="48">
        <f>IFERROR(AVERAGEIFS(mysql_hardware_log!$O$3:$O$722,mysql_hardware_log!$A$3:$A$722,T$2,mysql_hardware_log!$B$3:$B$722,CalculatedMetrics!T$3),"N/A")</f>
        <v>33.655737704918032</v>
      </c>
      <c r="U5" s="53">
        <f>IFERROR(AVERAGEIFS(mysql_hardware_log!$O$3:$O$722,mysql_hardware_log!$A$3:$A$722,T$2,mysql_hardware_log!$B$3:$B$722,CalculatedMetrics!U$3),"N/A")</f>
        <v>31.760563380281692</v>
      </c>
      <c r="V5" s="54">
        <f>IFERROR(AVERAGEIFS(mysql_hardware_log!$O$3:$O$722,mysql_hardware_log!$A$3:$A$722,T$2,mysql_hardware_log!$B$3:$B$722,CalculatedMetrics!V$3),"N/A")</f>
        <v>31.571428571428573</v>
      </c>
      <c r="W5" s="48">
        <f>IFERROR(AVERAGEIFS(mysql_hardware_log!$O$3:$O$722,mysql_hardware_log!$A$3:$A$722,W$2,mysql_hardware_log!$B$3:$B$722,CalculatedMetrics!W$3),"N/A")</f>
        <v>29.743589743589745</v>
      </c>
      <c r="X5" s="53">
        <f>IFERROR(AVERAGEIFS(mysql_hardware_log!$O$3:$O$722,mysql_hardware_log!$A$3:$A$722,W$2,mysql_hardware_log!$B$3:$B$722,CalculatedMetrics!X$3),"N/A")</f>
        <v>29.948717948717949</v>
      </c>
      <c r="Y5" s="54">
        <f>IFERROR(AVERAGEIFS(mysql_hardware_log!$O$3:$O$722,mysql_hardware_log!$A$3:$A$722,W$2,mysql_hardware_log!$B$3:$B$722,CalculatedMetrics!Y$3),"N/A")</f>
        <v>30.621621621621621</v>
      </c>
      <c r="Z5" s="48">
        <f>IFERROR(AVERAGEIFS(mysql_hardware_log!$O$3:$O$722,mysql_hardware_log!$A$3:$A$722,Z$2,mysql_hardware_log!$B$3:$B$722,CalculatedMetrics!Z$3),"N/A")</f>
        <v>12.866666666666667</v>
      </c>
      <c r="AA5" s="53">
        <f>IFERROR(AVERAGEIFS(mysql_hardware_log!$O$3:$O$722,mysql_hardware_log!$A$3:$A$722,Z$2,mysql_hardware_log!$B$3:$B$722,CalculatedMetrics!AA$3),"N/A")</f>
        <v>11.181818181818182</v>
      </c>
      <c r="AB5" s="54">
        <f>IFERROR(AVERAGEIFS(mysql_hardware_log!$O$3:$O$722,mysql_hardware_log!$A$3:$A$722,Z$2,mysql_hardware_log!$B$3:$B$722,CalculatedMetrics!AB$3),"N/A")</f>
        <v>11.272727272727273</v>
      </c>
      <c r="AC5" s="48">
        <f>IFERROR(AVERAGEIFS(mysql_hardware_log!$O$3:$O$722,mysql_hardware_log!$A$3:$A$722,AC$2,mysql_hardware_log!$B$3:$B$722,CalculatedMetrics!AC$3),"N/A")</f>
        <v>45.75</v>
      </c>
      <c r="AD5" s="53">
        <f>IFERROR(AVERAGEIFS(mysql_hardware_log!$O$3:$O$722,mysql_hardware_log!$A$3:$A$722,AC$2,mysql_hardware_log!$B$3:$B$722,CalculatedMetrics!AD$3),"N/A")</f>
        <v>34.458333333333336</v>
      </c>
      <c r="AE5" s="54">
        <f>IFERROR(AVERAGEIFS(mysql_hardware_log!$O$3:$O$722,mysql_hardware_log!$A$3:$A$722,AC$2,mysql_hardware_log!$B$3:$B$722,CalculatedMetrics!AE$3),"N/A")</f>
        <v>33.208333333333336</v>
      </c>
      <c r="AF5" s="48">
        <f>IFERROR(AVERAGEIFS(mysql_hardware_log!$O$3:$O$722,mysql_hardware_log!$A$3:$A$722,AF$2,mysql_hardware_log!$B$3:$B$722,CalculatedMetrics!AF$3),"N/A")</f>
        <v>35.15</v>
      </c>
      <c r="AG5" s="53">
        <f>IFERROR(AVERAGEIFS(mysql_hardware_log!$O$3:$O$722,mysql_hardware_log!$A$3:$A$722,AF$2,mysql_hardware_log!$B$3:$B$722,CalculatedMetrics!AG$3),"N/A")</f>
        <v>38.425531914893618</v>
      </c>
      <c r="AH5" s="54">
        <f>IFERROR(AVERAGEIFS(mysql_hardware_log!$O$3:$O$722,mysql_hardware_log!$A$3:$A$722,AF$2,mysql_hardware_log!$B$3:$B$722,CalculatedMetrics!AH$3),"N/A")</f>
        <v>35.220338983050844</v>
      </c>
      <c r="AI5" s="48">
        <f>IFERROR(AVERAGEIFS(mysql_hardware_log!$O$3:$O$722,mysql_hardware_log!$A$3:$A$722,AI$2,mysql_hardware_log!$B$3:$B$722,CalculatedMetrics!AI$3),"N/A")</f>
        <v>22.5</v>
      </c>
      <c r="AJ5" s="53">
        <f>IFERROR(AVERAGEIFS(mysql_hardware_log!$O$3:$O$722,mysql_hardware_log!$A$3:$A$722,AI$2,mysql_hardware_log!$B$3:$B$722,CalculatedMetrics!AJ$3),"N/A")</f>
        <v>22.847826086956523</v>
      </c>
      <c r="AK5" s="54">
        <f>IFERROR(AVERAGEIFS(mysql_hardware_log!$O$3:$O$722,mysql_hardware_log!$A$3:$A$722,AI$2,mysql_hardware_log!$B$3:$B$722,CalculatedMetrics!AK$3),"N/A")</f>
        <v>22.854166666666668</v>
      </c>
    </row>
    <row r="6" spans="1:37" x14ac:dyDescent="0.3">
      <c r="A6" s="42" t="s">
        <v>48</v>
      </c>
      <c r="B6" s="48">
        <f>IFERROR(AVERAGEIFS(mongodb_hardware_log!$R$3:$R$3476,mongodb_hardware_log!$A$3:$A$3476,B$2,mongodb_hardware_log!$B$3:$B$3476,B$3),"N/A")</f>
        <v>24.827298050139277</v>
      </c>
      <c r="C6" s="51" t="s">
        <v>56</v>
      </c>
      <c r="D6" s="52" t="s">
        <v>56</v>
      </c>
      <c r="E6" s="48">
        <f>IFERROR(AVERAGEIFS(mongodb_hardware_log!$R$3:$R$3476,mongodb_hardware_log!$A$3:$A$3476,E$2,mongodb_hardware_log!$B$3:$B$3476,E$3),"N/A")</f>
        <v>0.34638554216867468</v>
      </c>
      <c r="F6" s="53">
        <f>IFERROR(AVERAGEIFS(mongodb_hardware_log!$R$3:$R$3476,mongodb_hardware_log!$A$3:$A$3476,E$2,mongodb_hardware_log!$B$3:$B$3476,F$3),"N/A")</f>
        <v>0.27245508982035926</v>
      </c>
      <c r="G6" s="54">
        <f>IFERROR(AVERAGEIFS(mongodb_hardware_log!$R$3:$R$3476,mongodb_hardware_log!$A$3:$A$3476,E$2,mongodb_hardware_log!$B$3:$B$3476,G$3),"N/A")</f>
        <v>0.23052959501557632</v>
      </c>
      <c r="H6" s="48">
        <f>IFERROR(AVERAGEIFS(mongodb_hardware_log!$R$3:$R$3476,mongodb_hardware_log!$A$3:$A$3476,H$2,mongodb_hardware_log!$B$3:$B$3476,H$3),"N/A")</f>
        <v>3.4583333333333335</v>
      </c>
      <c r="I6" s="53">
        <f>IFERROR(AVERAGEIFS(mongodb_hardware_log!$R$3:$R$3476,mongodb_hardware_log!$A$3:$A$3476,H$2,mongodb_hardware_log!$B$3:$B$3476,I$3),"N/A")</f>
        <v>4.3636363636363633</v>
      </c>
      <c r="J6" s="54">
        <f>IFERROR(AVERAGEIFS(mongodb_hardware_log!$R$3:$R$3476,mongodb_hardware_log!$A$3:$A$3476,H$2,mongodb_hardware_log!$B$3:$B$3476,J$3),"N/A")</f>
        <v>3.4090909090909092</v>
      </c>
      <c r="K6" s="48">
        <f>IFERROR(AVERAGEIFS(mongodb_hardware_log!$R$3:$R$3476,mongodb_hardware_log!$A$3:$A$3476,K$2,mongodb_hardware_log!$B$3:$B$3476,K$3),"N/A")</f>
        <v>25.151639344262296</v>
      </c>
      <c r="L6" s="53">
        <f>IFERROR(AVERAGEIFS(mongodb_hardware_log!$R$3:$R$3476,mongodb_hardware_log!$A$3:$A$3476,K$2,mongodb_hardware_log!$B$3:$B$3476,L$3),"N/A")</f>
        <v>24.103999999999999</v>
      </c>
      <c r="M6" s="54">
        <f>IFERROR(AVERAGEIFS(mongodb_hardware_log!$R$3:$R$3476,mongodb_hardware_log!$A$3:$A$3476,K$2,mongodb_hardware_log!$B$3:$B$3476,M$3),"N/A")</f>
        <v>24.664031620553359</v>
      </c>
      <c r="N6" s="48">
        <f>IFERROR(AVERAGEIFS(mongodb_hardware_log!$R$3:$R$3476,mongodb_hardware_log!$A$3:$A$3476,N$2,mongodb_hardware_log!$B$3:$B$3476,N$3),"N/A")</f>
        <v>7.166666666666667</v>
      </c>
      <c r="O6" s="53">
        <f>IFERROR(AVERAGEIFS(mongodb_hardware_log!$R$3:$R$3476,mongodb_hardware_log!$A$3:$A$3476,N$2,mongodb_hardware_log!$B$3:$B$3476,O$3),"N/A")</f>
        <v>4.882352941176471</v>
      </c>
      <c r="P6" s="54">
        <f>IFERROR(AVERAGEIFS(mongodb_hardware_log!$R$3:$R$3476,mongodb_hardware_log!$A$3:$A$3476,N$2,mongodb_hardware_log!$B$3:$B$3476,P$3),"N/A")</f>
        <v>6.5555555555555554</v>
      </c>
      <c r="Q6" s="48">
        <f>IFERROR(AVERAGEIFS(mongodb_hardware_log!$R$3:$R$3476,mongodb_hardware_log!$A$3:$A$3476,Q$2,mongodb_hardware_log!$B$3:$B$3476,Q$3),"N/A")</f>
        <v>0.70740740740740737</v>
      </c>
      <c r="R6" s="53">
        <f>IFERROR(AVERAGEIFS(mongodb_hardware_log!$R$3:$R$3476,mongodb_hardware_log!$A$3:$A$3476,Q$2,mongodb_hardware_log!$B$3:$B$3476,R$3),"N/A")</f>
        <v>0.64562118126272916</v>
      </c>
      <c r="S6" s="54">
        <f>IFERROR(AVERAGEIFS(mongodb_hardware_log!$R$3:$R$3476,mongodb_hardware_log!$A$3:$A$3476,Q$2,mongodb_hardware_log!$B$3:$B$3476,S$3),"N/A")</f>
        <v>0.69539078156312628</v>
      </c>
      <c r="T6" s="48">
        <f>IFERROR(AVERAGEIFS(mysql_hardware_log!$R$3:$R$722,mysql_hardware_log!$A$3:$A$722,T$2,mysql_hardware_log!$B$3:$B$722,CalculatedMetrics!T$3),"N/A")</f>
        <v>1.6557377049180328</v>
      </c>
      <c r="U6" s="53">
        <f>IFERROR(AVERAGEIFS(mysql_hardware_log!$R$3:$R$722,mysql_hardware_log!$A$3:$A$722,T$2,mysql_hardware_log!$B$3:$B$722,CalculatedMetrics!U$3),"N/A")</f>
        <v>1.0140845070422535</v>
      </c>
      <c r="V6" s="54">
        <f>IFERROR(AVERAGEIFS(mysql_hardware_log!$R$3:$R$722,mysql_hardware_log!$A$3:$A$722,T$2,mysql_hardware_log!$B$3:$B$722,CalculatedMetrics!V$3),"N/A")</f>
        <v>1.2</v>
      </c>
      <c r="W6" s="48">
        <f>IFERROR(AVERAGEIFS(mysql_hardware_log!$R$3:$R$722,mysql_hardware_log!$A$3:$A$722,W$2,mysql_hardware_log!$B$3:$B$722,CalculatedMetrics!W$3),"N/A")</f>
        <v>4.2564102564102564</v>
      </c>
      <c r="X6" s="53">
        <f>IFERROR(AVERAGEIFS(mysql_hardware_log!$R$3:$R$722,mysql_hardware_log!$A$3:$A$722,W$2,mysql_hardware_log!$B$3:$B$722,CalculatedMetrics!X$3),"N/A")</f>
        <v>3.5641025641025643</v>
      </c>
      <c r="Y6" s="54">
        <f>IFERROR(AVERAGEIFS(mysql_hardware_log!$R$3:$R$722,mysql_hardware_log!$A$3:$A$722,W$2,mysql_hardware_log!$B$3:$B$722,CalculatedMetrics!Y$3),"N/A")</f>
        <v>2.7297297297297298</v>
      </c>
      <c r="Z6" s="48">
        <f>IFERROR(AVERAGEIFS(mysql_hardware_log!$R$3:$R$722,mysql_hardware_log!$A$3:$A$722,Z$2,mysql_hardware_log!$B$3:$B$722,CalculatedMetrics!Z$3),"N/A")</f>
        <v>4.1333333333333337</v>
      </c>
      <c r="AA6" s="53">
        <f>IFERROR(AVERAGEIFS(mysql_hardware_log!$R$3:$R$722,mysql_hardware_log!$A$3:$A$722,Z$2,mysql_hardware_log!$B$3:$B$722,CalculatedMetrics!AA$3),"N/A")</f>
        <v>4.3636363636363633</v>
      </c>
      <c r="AB6" s="54">
        <f>IFERROR(AVERAGEIFS(mysql_hardware_log!$R$3:$R$722,mysql_hardware_log!$A$3:$A$722,Z$2,mysql_hardware_log!$B$3:$B$722,CalculatedMetrics!AB$3),"N/A")</f>
        <v>4.5454545454545459</v>
      </c>
      <c r="AC6" s="48">
        <f>IFERROR(AVERAGEIFS(mysql_hardware_log!$R$3:$R$722,mysql_hardware_log!$A$3:$A$722,AC$2,mysql_hardware_log!$B$3:$B$722,CalculatedMetrics!AC$3),"N/A")</f>
        <v>0.25</v>
      </c>
      <c r="AD6" s="53">
        <f>IFERROR(AVERAGEIFS(mysql_hardware_log!$R$3:$R$722,mysql_hardware_log!$A$3:$A$722,AC$2,mysql_hardware_log!$B$3:$B$722,CalculatedMetrics!AD$3),"N/A")</f>
        <v>0</v>
      </c>
      <c r="AE6" s="54">
        <f>IFERROR(AVERAGEIFS(mysql_hardware_log!$R$3:$R$722,mysql_hardware_log!$A$3:$A$722,AC$2,mysql_hardware_log!$B$3:$B$722,CalculatedMetrics!AE$3),"N/A")</f>
        <v>0</v>
      </c>
      <c r="AF6" s="48">
        <f>IFERROR(AVERAGEIFS(mysql_hardware_log!$R$3:$R$722,mysql_hardware_log!$A$3:$A$722,AF$2,mysql_hardware_log!$B$3:$B$722,CalculatedMetrics!AF$3),"N/A")</f>
        <v>2.9</v>
      </c>
      <c r="AG6" s="53">
        <f>IFERROR(AVERAGEIFS(mysql_hardware_log!$R$3:$R$722,mysql_hardware_log!$A$3:$A$722,AF$2,mysql_hardware_log!$B$3:$B$722,CalculatedMetrics!AG$3),"N/A")</f>
        <v>2.2127659574468086</v>
      </c>
      <c r="AH6" s="54">
        <f>IFERROR(AVERAGEIFS(mysql_hardware_log!$R$3:$R$722,mysql_hardware_log!$A$3:$A$722,AF$2,mysql_hardware_log!$B$3:$B$722,CalculatedMetrics!AH$3),"N/A")</f>
        <v>3.2711864406779663</v>
      </c>
      <c r="AI6" s="48">
        <f>IFERROR(AVERAGEIFS(mysql_hardware_log!$R$3:$R$722,mysql_hardware_log!$A$3:$A$722,AI$2,mysql_hardware_log!$B$3:$B$722,CalculatedMetrics!AI$3),"N/A")</f>
        <v>4.2826086956521738</v>
      </c>
      <c r="AJ6" s="53">
        <f>IFERROR(AVERAGEIFS(mysql_hardware_log!$R$3:$R$722,mysql_hardware_log!$A$3:$A$722,AI$2,mysql_hardware_log!$B$3:$B$722,CalculatedMetrics!AJ$3),"N/A")</f>
        <v>2.8043478260869565</v>
      </c>
      <c r="AK6" s="54">
        <f>IFERROR(AVERAGEIFS(mysql_hardware_log!$R$3:$R$722,mysql_hardware_log!$A$3:$A$722,AI$2,mysql_hardware_log!$B$3:$B$722,CalculatedMetrics!AK$3),"N/A")</f>
        <v>3.3333333333333335</v>
      </c>
    </row>
    <row r="7" spans="1:37" x14ac:dyDescent="0.3">
      <c r="A7" s="42" t="s">
        <v>63</v>
      </c>
      <c r="B7" s="48">
        <f>IFERROR(AVERAGEIFS(mongodb_hardware_log!$Q$3:$Q$3476,mongodb_hardware_log!$A$3:$A$3476,B$2,mongodb_hardware_log!$B$3:$B$3476,B$3),"N/A")</f>
        <v>46.983286908077993</v>
      </c>
      <c r="C7" s="51" t="s">
        <v>56</v>
      </c>
      <c r="D7" s="52" t="s">
        <v>56</v>
      </c>
      <c r="E7" s="48">
        <f>IFERROR(AVERAGEIFS(mongodb_hardware_log!$Q$3:$Q$3476,mongodb_hardware_log!$A$3:$A$3476,E$2,mongodb_hardware_log!$B$3:$B$3476,E$3),"N/A")</f>
        <v>64.403614457831324</v>
      </c>
      <c r="F7" s="53">
        <f>IFERROR(AVERAGEIFS(mongodb_hardware_log!$Q$3:$Q$3476,mongodb_hardware_log!$A$3:$A$3476,E$2,mongodb_hardware_log!$B$3:$B$3476,F$3),"N/A")</f>
        <v>64.410179640718567</v>
      </c>
      <c r="G7" s="54">
        <f>IFERROR(AVERAGEIFS(mongodb_hardware_log!$Q$3:$Q$3476,mongodb_hardware_log!$A$3:$A$3476,E$2,mongodb_hardware_log!$B$3:$B$3476,G$3),"N/A")</f>
        <v>64.588785046728972</v>
      </c>
      <c r="H7" s="48">
        <f>IFERROR(AVERAGEIFS(mongodb_hardware_log!$Q$3:$Q$3476,mongodb_hardware_log!$A$3:$A$3476,H$2,mongodb_hardware_log!$B$3:$B$3476,H$3),"N/A")</f>
        <v>62.125</v>
      </c>
      <c r="I7" s="53">
        <f>IFERROR(AVERAGEIFS(mongodb_hardware_log!$Q$3:$Q$3476,mongodb_hardware_log!$A$3:$A$3476,H$2,mongodb_hardware_log!$B$3:$B$3476,I$3),"N/A")</f>
        <v>62.136363636363633</v>
      </c>
      <c r="J7" s="54">
        <f>IFERROR(AVERAGEIFS(mongodb_hardware_log!$Q$3:$Q$3476,mongodb_hardware_log!$A$3:$A$3476,H$2,mongodb_hardware_log!$B$3:$B$3476,J$3),"N/A")</f>
        <v>62.68181818181818</v>
      </c>
      <c r="K7" s="48">
        <f>IFERROR(AVERAGEIFS(mongodb_hardware_log!$Q$3:$Q$3476,mongodb_hardware_log!$A$3:$A$3476,K$2,mongodb_hardware_log!$B$3:$B$3476,K$3),"N/A")</f>
        <v>47.23770491803279</v>
      </c>
      <c r="L7" s="53">
        <f>IFERROR(AVERAGEIFS(mongodb_hardware_log!$Q$3:$Q$3476,mongodb_hardware_log!$A$3:$A$3476,K$2,mongodb_hardware_log!$B$3:$B$3476,L$3),"N/A")</f>
        <v>47.811999999999998</v>
      </c>
      <c r="M7" s="54">
        <f>IFERROR(AVERAGEIFS(mongodb_hardware_log!$Q$3:$Q$3476,mongodb_hardware_log!$A$3:$A$3476,K$2,mongodb_hardware_log!$B$3:$B$3476,M$3),"N/A")</f>
        <v>47.466403162055336</v>
      </c>
      <c r="N7" s="48">
        <f>IFERROR(AVERAGEIFS(mongodb_hardware_log!$Q$3:$Q$3476,mongodb_hardware_log!$A$3:$A$3476,N$2,mongodb_hardware_log!$B$3:$B$3476,N$3),"N/A")</f>
        <v>60</v>
      </c>
      <c r="O7" s="53">
        <f>IFERROR(AVERAGEIFS(mongodb_hardware_log!$Q$3:$Q$3476,mongodb_hardware_log!$A$3:$A$3476,N$2,mongodb_hardware_log!$B$3:$B$3476,O$3),"N/A")</f>
        <v>61.235294117647058</v>
      </c>
      <c r="P7" s="54">
        <f>IFERROR(AVERAGEIFS(mongodb_hardware_log!$Q$3:$Q$3476,mongodb_hardware_log!$A$3:$A$3476,N$2,mongodb_hardware_log!$B$3:$B$3476,P$3),"N/A")</f>
        <v>60.222222222222221</v>
      </c>
      <c r="Q7" s="48">
        <f>IFERROR(AVERAGEIFS(mongodb_hardware_log!$Q$3:$Q$3476,mongodb_hardware_log!$A$3:$A$3476,Q$2,mongodb_hardware_log!$B$3:$B$3476,Q$3),"N/A")</f>
        <v>64.555555555555557</v>
      </c>
      <c r="R7" s="53">
        <f>IFERROR(AVERAGEIFS(mongodb_hardware_log!$Q$3:$Q$3476,mongodb_hardware_log!$A$3:$A$3476,Q$2,mongodb_hardware_log!$B$3:$B$3476,R$3),"N/A")</f>
        <v>61.661914460285132</v>
      </c>
      <c r="S7" s="54">
        <f>IFERROR(AVERAGEIFS(mongodb_hardware_log!$Q$3:$Q$3476,mongodb_hardware_log!$A$3:$A$3476,Q$2,mongodb_hardware_log!$B$3:$B$3476,S$3),"N/A")</f>
        <v>64.278557114228462</v>
      </c>
      <c r="T7" s="48">
        <f>IFERROR(AVERAGEIFS(mysql_hardware_log!$Q$3:$Q$722,mysql_hardware_log!$A$3:$A$722,T$2,mysql_hardware_log!$B$3:$B$722,CalculatedMetrics!T$3),"N/A")</f>
        <v>60.16393442622951</v>
      </c>
      <c r="U7" s="53">
        <f>IFERROR(AVERAGEIFS(mysql_hardware_log!$Q$3:$Q$722,mysql_hardware_log!$A$3:$A$722,T$2,mysql_hardware_log!$B$3:$B$722,CalculatedMetrics!U$3),"N/A")</f>
        <v>64.211267605633807</v>
      </c>
      <c r="V7" s="54">
        <f>IFERROR(AVERAGEIFS(mysql_hardware_log!$Q$3:$Q$722,mysql_hardware_log!$A$3:$A$722,T$2,mysql_hardware_log!$B$3:$B$722,CalculatedMetrics!V$3),"N/A")</f>
        <v>64.128571428571433</v>
      </c>
      <c r="W7" s="48">
        <f>IFERROR(AVERAGEIFS(mysql_hardware_log!$Q$3:$Q$722,mysql_hardware_log!$A$3:$A$722,W$2,mysql_hardware_log!$B$3:$B$722,CalculatedMetrics!W$3),"N/A")</f>
        <v>62.333333333333336</v>
      </c>
      <c r="X7" s="53">
        <f>IFERROR(AVERAGEIFS(mysql_hardware_log!$Q$3:$Q$722,mysql_hardware_log!$A$3:$A$722,W$2,mysql_hardware_log!$B$3:$B$722,CalculatedMetrics!X$3),"N/A")</f>
        <v>62.153846153846153</v>
      </c>
      <c r="Y7" s="54">
        <f>IFERROR(AVERAGEIFS(mysql_hardware_log!$Q$3:$Q$722,mysql_hardware_log!$A$3:$A$722,W$2,mysql_hardware_log!$B$3:$B$722,CalculatedMetrics!Y$3),"N/A")</f>
        <v>62.513513513513516</v>
      </c>
      <c r="Z7" s="48">
        <f>IFERROR(AVERAGEIFS(mysql_hardware_log!$Q$3:$Q$722,mysql_hardware_log!$A$3:$A$722,Z$2,mysql_hardware_log!$B$3:$B$722,CalculatedMetrics!Z$3),"N/A")</f>
        <v>79.933333333333337</v>
      </c>
      <c r="AA7" s="53">
        <f>IFERROR(AVERAGEIFS(mysql_hardware_log!$Q$3:$Q$722,mysql_hardware_log!$A$3:$A$722,Z$2,mysql_hardware_log!$B$3:$B$722,CalculatedMetrics!AA$3),"N/A")</f>
        <v>82.181818181818187</v>
      </c>
      <c r="AB7" s="54">
        <f>IFERROR(AVERAGEIFS(mysql_hardware_log!$Q$3:$Q$722,mysql_hardware_log!$A$3:$A$722,Z$2,mysql_hardware_log!$B$3:$B$722,CalculatedMetrics!AB$3),"N/A")</f>
        <v>82.545454545454547</v>
      </c>
      <c r="AC7" s="48">
        <f>IFERROR(AVERAGEIFS(mysql_hardware_log!$Q$3:$Q$722,mysql_hardware_log!$A$3:$A$722,AC$2,mysql_hardware_log!$B$3:$B$722,CalculatedMetrics!AC$3),"N/A")</f>
        <v>53.416666666666664</v>
      </c>
      <c r="AD7" s="53">
        <f>IFERROR(AVERAGEIFS(mysql_hardware_log!$Q$3:$Q$722,mysql_hardware_log!$A$3:$A$722,AC$2,mysql_hardware_log!$B$3:$B$722,CalculatedMetrics!AD$3),"N/A")</f>
        <v>63.416666666666664</v>
      </c>
      <c r="AE7" s="54">
        <f>IFERROR(AVERAGEIFS(mysql_hardware_log!$Q$3:$Q$722,mysql_hardware_log!$A$3:$A$722,AC$2,mysql_hardware_log!$B$3:$B$722,CalculatedMetrics!AE$3),"N/A")</f>
        <v>66</v>
      </c>
      <c r="AF7" s="48">
        <f>IFERROR(AVERAGEIFS(mysql_hardware_log!$Q$3:$Q$722,mysql_hardware_log!$A$3:$A$722,AF$2,mysql_hardware_log!$B$3:$B$722,CalculatedMetrics!AF$3),"N/A")</f>
        <v>56.616666666666667</v>
      </c>
      <c r="AG7" s="53">
        <f>IFERROR(AVERAGEIFS(mysql_hardware_log!$Q$3:$Q$722,mysql_hardware_log!$A$3:$A$722,AF$2,mysql_hardware_log!$B$3:$B$722,CalculatedMetrics!AG$3),"N/A")</f>
        <v>54.893617021276597</v>
      </c>
      <c r="AH7" s="54">
        <f>IFERROR(AVERAGEIFS(mysql_hardware_log!$Q$3:$Q$722,mysql_hardware_log!$A$3:$A$722,AF$2,mysql_hardware_log!$B$3:$B$722,CalculatedMetrics!AH$3),"N/A")</f>
        <v>56.762711864406782</v>
      </c>
      <c r="AI7" s="48">
        <f>IFERROR(AVERAGEIFS(mysql_hardware_log!$Q$3:$Q$722,mysql_hardware_log!$A$3:$A$722,AI$2,mysql_hardware_log!$B$3:$B$722,CalculatedMetrics!AI$3),"N/A")</f>
        <v>61.695652173913047</v>
      </c>
      <c r="AJ7" s="53">
        <f>IFERROR(AVERAGEIFS(mysql_hardware_log!$Q$3:$Q$722,mysql_hardware_log!$A$3:$A$722,AI$2,mysql_hardware_log!$B$3:$B$722,CalculatedMetrics!AJ$3),"N/A")</f>
        <v>62.108695652173914</v>
      </c>
      <c r="AK7" s="54">
        <f>IFERROR(AVERAGEIFS(mysql_hardware_log!$Q$3:$Q$722,mysql_hardware_log!$A$3:$A$722,AI$2,mysql_hardware_log!$B$3:$B$722,CalculatedMetrics!AK$3),"N/A")</f>
        <v>61.75</v>
      </c>
    </row>
    <row r="8" spans="1:37" x14ac:dyDescent="0.3">
      <c r="A8" s="42" t="s">
        <v>55</v>
      </c>
      <c r="B8" s="45">
        <f>_xlfn.MINIFS(mongodb_hardware_log!$F$3:$F$3476,mongodb_hardware_log!$A$3:$A$3476,CalculatedMetrics!B$2,mongodb_hardware_log!$B$3:$B$3476,CalculatedMetrics!B$3)</f>
        <v>99408</v>
      </c>
      <c r="C8" s="51" t="s">
        <v>56</v>
      </c>
      <c r="D8" s="52" t="s">
        <v>56</v>
      </c>
      <c r="E8" s="45">
        <f>_xlfn.MINIFS(mongodb_hardware_log!$F$3:$F$3476,mongodb_hardware_log!$A$3:$A$3476,CalculatedMetrics!E$2,mongodb_hardware_log!$B$3:$B$3476,CalculatedMetrics!E$3)</f>
        <v>107560</v>
      </c>
      <c r="F8" s="46">
        <f>_xlfn.MINIFS(mongodb_hardware_log!$F$3:$F$3476,mongodb_hardware_log!$A$3:$A$3476,CalculatedMetrics!E$2,mongodb_hardware_log!$B$3:$B$3476,CalculatedMetrics!F$3)</f>
        <v>115584</v>
      </c>
      <c r="G8" s="47">
        <f>_xlfn.MINIFS(mongodb_hardware_log!$F$3:$F$3476,mongodb_hardware_log!$A$3:$A$3476,CalculatedMetrics!E$2,mongodb_hardware_log!$B$3:$B$3476,CalculatedMetrics!G$3)</f>
        <v>99960</v>
      </c>
      <c r="H8" s="45">
        <f>_xlfn.MINIFS(mongodb_hardware_log!$F$3:$F$3476,mongodb_hardware_log!$A$3:$A$3476,CalculatedMetrics!H$2,mongodb_hardware_log!$B$3:$B$3476,CalculatedMetrics!H$3)</f>
        <v>104264</v>
      </c>
      <c r="I8" s="46">
        <f>_xlfn.MINIFS(mongodb_hardware_log!$F$3:$F$3476,mongodb_hardware_log!$A$3:$A$3476,CalculatedMetrics!H$2,mongodb_hardware_log!$B$3:$B$3476,CalculatedMetrics!I$3)</f>
        <v>103080</v>
      </c>
      <c r="J8" s="47">
        <f>_xlfn.MINIFS(mongodb_hardware_log!$F$3:$F$3476,mongodb_hardware_log!$A$3:$A$3476,CalculatedMetrics!H$2,mongodb_hardware_log!$B$3:$B$3476,CalculatedMetrics!J$3)</f>
        <v>104404</v>
      </c>
      <c r="K8" s="45">
        <f>_xlfn.MINIFS(mongodb_hardware_log!$F$3:$F$3476,mongodb_hardware_log!$A$3:$A$3476,CalculatedMetrics!K$2,mongodb_hardware_log!$B$3:$B$3476,CalculatedMetrics!K$3)</f>
        <v>98364</v>
      </c>
      <c r="L8" s="46">
        <f>_xlfn.MINIFS(mongodb_hardware_log!$F$3:$F$3476,mongodb_hardware_log!$A$3:$A$3476,CalculatedMetrics!K$2,mongodb_hardware_log!$B$3:$B$3476,CalculatedMetrics!L$3)</f>
        <v>100816</v>
      </c>
      <c r="M8" s="47">
        <f>_xlfn.MINIFS(mongodb_hardware_log!$F$3:$F$3476,mongodb_hardware_log!$A$3:$A$3476,CalculatedMetrics!K$2,mongodb_hardware_log!$B$3:$B$3476,CalculatedMetrics!M$3)</f>
        <v>104648</v>
      </c>
      <c r="N8" s="45">
        <f>_xlfn.MINIFS(mongodb_hardware_log!$F$3:$F$3476,mongodb_hardware_log!$A$3:$A$3476,CalculatedMetrics!N$2,mongodb_hardware_log!$B$3:$B$3476,CalculatedMetrics!N$3)</f>
        <v>111216</v>
      </c>
      <c r="O8" s="46">
        <f>_xlfn.MINIFS(mongodb_hardware_log!$F$3:$F$3476,mongodb_hardware_log!$A$3:$A$3476,CalculatedMetrics!N$2,mongodb_hardware_log!$B$3:$B$3476,CalculatedMetrics!O$3)</f>
        <v>105144</v>
      </c>
      <c r="P8" s="47">
        <f>_xlfn.MINIFS(mongodb_hardware_log!$F$3:$F$3476,mongodb_hardware_log!$A$3:$A$3476,CalculatedMetrics!N$2,mongodb_hardware_log!$B$3:$B$3476,CalculatedMetrics!P$3)</f>
        <v>112408</v>
      </c>
      <c r="Q8" s="45">
        <f>_xlfn.MINIFS(mongodb_hardware_log!$F$3:$F$3476,mongodb_hardware_log!$A$3:$A$3476,CalculatedMetrics!Q$2,mongodb_hardware_log!$B$3:$B$3476,CalculatedMetrics!Q$3)</f>
        <v>105228</v>
      </c>
      <c r="R8" s="46">
        <f>_xlfn.MINIFS(mongodb_hardware_log!$F$3:$F$3476,mongodb_hardware_log!$A$3:$A$3476,CalculatedMetrics!Q$2,mongodb_hardware_log!$B$3:$B$3476,CalculatedMetrics!R$3)</f>
        <v>104624</v>
      </c>
      <c r="S8" s="47">
        <f>_xlfn.MINIFS(mongodb_hardware_log!$F$3:$F$3476,mongodb_hardware_log!$A$3:$A$3476,CalculatedMetrics!Q$2,mongodb_hardware_log!$B$3:$B$3476,CalculatedMetrics!S$3)</f>
        <v>104372</v>
      </c>
      <c r="T8" s="45">
        <f>_xlfn.MINIFS(mysql_hardware_log!$F$3:$F$722,mysql_hardware_log!$A$3:$A$722,CalculatedMetrics!T$2,mysql_hardware_log!$B$3:$B$722,CalculatedMetrics!T$3)</f>
        <v>97484</v>
      </c>
      <c r="U8" s="46">
        <f>_xlfn.MINIFS(mysql_hardware_log!$F$3:$F$722,mysql_hardware_log!$A$3:$A$722,CalculatedMetrics!T$2,mysql_hardware_log!$B$3:$B$722,CalculatedMetrics!U$3)</f>
        <v>103820</v>
      </c>
      <c r="V8" s="47">
        <f>_xlfn.MINIFS(mysql_hardware_log!$F$3:$F$722,mysql_hardware_log!$A$3:$A$722,CalculatedMetrics!T$2,mysql_hardware_log!$B$3:$B$722,CalculatedMetrics!V$3)</f>
        <v>103724</v>
      </c>
      <c r="W8" s="45">
        <f>_xlfn.MINIFS(mysql_hardware_log!$F$3:$F$722,mysql_hardware_log!$A$3:$A$722,CalculatedMetrics!W$2,mysql_hardware_log!$B$3:$B$722,CalculatedMetrics!W$3)</f>
        <v>104232</v>
      </c>
      <c r="X8" s="46">
        <f>_xlfn.MINIFS(mysql_hardware_log!$F$3:$F$722,mysql_hardware_log!$A$3:$A$722,CalculatedMetrics!W$2,mysql_hardware_log!$B$3:$B$722,CalculatedMetrics!X$3)</f>
        <v>105140</v>
      </c>
      <c r="Y8" s="47">
        <f>_xlfn.MINIFS(mysql_hardware_log!$F$3:$F$722,mysql_hardware_log!$A$3:$A$722,CalculatedMetrics!W$2,mysql_hardware_log!$B$3:$B$722,CalculatedMetrics!Y$3)</f>
        <v>104340</v>
      </c>
      <c r="Z8" s="45">
        <f>_xlfn.MINIFS(mysql_hardware_log!$F$3:$F$722,mysql_hardware_log!$A$3:$A$722,CalculatedMetrics!Z$2,mysql_hardware_log!$B$3:$B$722,CalculatedMetrics!Z$3)</f>
        <v>119316</v>
      </c>
      <c r="AA8" s="46">
        <f>_xlfn.MINIFS(mysql_hardware_log!$F$3:$F$722,mysql_hardware_log!$A$3:$A$722,CalculatedMetrics!Z$2,mysql_hardware_log!$B$3:$B$722,CalculatedMetrics!AA$3)</f>
        <v>511604</v>
      </c>
      <c r="AB8" s="47">
        <f>_xlfn.MINIFS(mysql_hardware_log!$F$3:$F$722,mysql_hardware_log!$A$3:$A$722,CalculatedMetrics!Z$2,mysql_hardware_log!$B$3:$B$722,CalculatedMetrics!AB$3)</f>
        <v>106568</v>
      </c>
      <c r="AC8" s="45">
        <f>_xlfn.MINIFS(mysql_hardware_log!$F$3:$F$722,mysql_hardware_log!$A$3:$A$722,CalculatedMetrics!AC$2,mysql_hardware_log!$B$3:$B$722,CalculatedMetrics!AC$3)</f>
        <v>686976</v>
      </c>
      <c r="AD8" s="46">
        <f>_xlfn.MINIFS(mysql_hardware_log!$F$3:$F$722,mysql_hardware_log!$A$3:$A$722,CalculatedMetrics!AC$2,mysql_hardware_log!$B$3:$B$722,CalculatedMetrics!AD$3)</f>
        <v>180680</v>
      </c>
      <c r="AE8" s="47">
        <f>_xlfn.MINIFS(mysql_hardware_log!$F$3:$F$722,mysql_hardware_log!$A$3:$A$722,CalculatedMetrics!AC$2,mysql_hardware_log!$B$3:$B$722,CalculatedMetrics!AE$3)</f>
        <v>1176084</v>
      </c>
      <c r="AF8" s="45">
        <f>_xlfn.MINIFS(mysql_hardware_log!$F$3:$F$722,mysql_hardware_log!$A$3:$A$722,CalculatedMetrics!AF$2,mysql_hardware_log!$B$3:$B$722,CalculatedMetrics!AF$3)</f>
        <v>104024</v>
      </c>
      <c r="AG8" s="46">
        <f>_xlfn.MINIFS(mysql_hardware_log!$F$3:$F$722,mysql_hardware_log!$A$3:$A$722,CalculatedMetrics!AF$2,mysql_hardware_log!$B$3:$B$722,CalculatedMetrics!AG$3)</f>
        <v>108816</v>
      </c>
      <c r="AH8" s="47">
        <f>_xlfn.MINIFS(mysql_hardware_log!$F$3:$F$722,mysql_hardware_log!$A$3:$A$722,CalculatedMetrics!AF$2,mysql_hardware_log!$B$3:$B$722,CalculatedMetrics!AH$3)</f>
        <v>99332</v>
      </c>
      <c r="AI8" s="45">
        <f>_xlfn.MINIFS(mysql_hardware_log!$F$3:$F$722,mysql_hardware_log!$A$3:$A$722,CalculatedMetrics!AI$2,mysql_hardware_log!$B$3:$B$722,CalculatedMetrics!AI$3)</f>
        <v>145324</v>
      </c>
      <c r="AJ8" s="46">
        <f>_xlfn.MINIFS(mysql_hardware_log!$F$3:$F$722,mysql_hardware_log!$A$3:$A$722,CalculatedMetrics!AI$2,mysql_hardware_log!$B$3:$B$722,CalculatedMetrics!AJ$3)</f>
        <v>112332</v>
      </c>
      <c r="AK8" s="47">
        <f>_xlfn.MINIFS(mysql_hardware_log!$F$3:$F$722,mysql_hardware_log!$A$3:$A$722,CalculatedMetrics!AI$2,mysql_hardware_log!$B$3:$B$722,CalculatedMetrics!AK$3)</f>
        <v>107372</v>
      </c>
    </row>
    <row r="9" spans="1:37" x14ac:dyDescent="0.3">
      <c r="A9" s="42" t="s">
        <v>71</v>
      </c>
      <c r="B9" s="45" cm="1">
        <f t="array" ref="B9">INDEX(mongodb_hardware_log!$A$3:$T$3476,MATCH(1,(mongodb_hardware_log!$A$3:$A$3476=B$2)*(mongodb_hardware_log!$B$3:$B$3476=B$3),0),8)</f>
        <v>2351504</v>
      </c>
      <c r="C9" s="51" t="s">
        <v>56</v>
      </c>
      <c r="D9" s="52" t="s">
        <v>56</v>
      </c>
      <c r="E9" s="45" cm="1">
        <f t="array" ref="E9">INDEX(mongodb_hardware_log!$A$3:$T$3476,MATCH(1,(mongodb_hardware_log!$A$3:$A$3476=E$2)*(mongodb_hardware_log!$B$3:$B$3476=E$3),0),8)</f>
        <v>2264696</v>
      </c>
      <c r="F9" s="46" cm="1">
        <f t="array" ref="F9">INDEX(mongodb_hardware_log!$A$3:$T$3476,MATCH(1,(mongodb_hardware_log!$A$3:$A$3476=E$2)*(mongodb_hardware_log!$B$3:$B$3476=F$3),0),8)</f>
        <v>2140988</v>
      </c>
      <c r="G9" s="47" cm="1">
        <f t="array" ref="G9">INDEX(mongodb_hardware_log!$A$3:$T$3476,MATCH(1,(mongodb_hardware_log!$A$3:$A$3476=E$2)*(mongodb_hardware_log!$B$3:$B$3476=G$3),0),8)</f>
        <v>1873744</v>
      </c>
      <c r="H9" s="45" cm="1">
        <f t="array" ref="H9">INDEX(mongodb_hardware_log!$A$3:$T$3476,MATCH(1,(mongodb_hardware_log!$A$3:$A$3476=H$2)*(mongodb_hardware_log!$B$3:$B$3476=H$3),0),8)</f>
        <v>2154068</v>
      </c>
      <c r="I9" s="46" cm="1">
        <f t="array" ref="I9">INDEX(mongodb_hardware_log!$A$3:$T$3476,MATCH(1,(mongodb_hardware_log!$A$3:$A$3476=H$2)*(mongodb_hardware_log!$B$3:$B$3476=I$3),0),8)</f>
        <v>1590412</v>
      </c>
      <c r="J9" s="47" cm="1">
        <f t="array" ref="J9">INDEX(mongodb_hardware_log!$A$3:$T$3476,MATCH(1,(mongodb_hardware_log!$A$3:$A$3476=H$2)*(mongodb_hardware_log!$B$3:$B$3476=J$3),0),8)</f>
        <v>1950464</v>
      </c>
      <c r="K9" s="45" cm="1">
        <f t="array" ref="K9">INDEX(mongodb_hardware_log!$A$3:$T$3476,MATCH(1,(mongodb_hardware_log!$A$3:$A$3476=K$2)*(mongodb_hardware_log!$B$3:$B$3476=K$3),0),8)</f>
        <v>2134212</v>
      </c>
      <c r="L9" s="46" cm="1">
        <f t="array" ref="L9">INDEX(mongodb_hardware_log!$A$3:$T$3476,MATCH(1,(mongodb_hardware_log!$A$3:$A$3476=K$2)*(mongodb_hardware_log!$B$3:$B$3476=L$3),0),8)</f>
        <v>2338228</v>
      </c>
      <c r="M9" s="47" cm="1">
        <f t="array" ref="M9">INDEX(mongodb_hardware_log!$A$3:$T$3476,MATCH(1,(mongodb_hardware_log!$A$3:$A$3476=K$2)*(mongodb_hardware_log!$B$3:$B$3476=M$3),0),8)</f>
        <v>2259240</v>
      </c>
      <c r="N9" s="45" cm="1">
        <f t="array" ref="N9">INDEX(mongodb_hardware_log!$A$3:$T$3476,MATCH(1,(mongodb_hardware_log!$A$3:$A$3476=N$2)*(mongodb_hardware_log!$B$3:$B$3476=N$3),0),8)</f>
        <v>1930412</v>
      </c>
      <c r="O9" s="46" cm="1">
        <f t="array" ref="O9">INDEX(mongodb_hardware_log!$A$3:$T$3476,MATCH(1,(mongodb_hardware_log!$A$3:$A$3476=N$2)*(mongodb_hardware_log!$B$3:$B$3476=O$3),0),8)</f>
        <v>2188308</v>
      </c>
      <c r="P9" s="47" cm="1">
        <f t="array" ref="P9">INDEX(mongodb_hardware_log!$A$3:$T$3476,MATCH(1,(mongodb_hardware_log!$A$3:$A$3476=N$2)*(mongodb_hardware_log!$B$3:$B$3476=P$3),0),8)</f>
        <v>2181816</v>
      </c>
      <c r="Q9" s="45" cm="1">
        <f t="array" ref="Q9">INDEX(mongodb_hardware_log!$A$3:$T$3476,MATCH(1,(mongodb_hardware_log!$A$3:$A$3476=Q$2)*(mongodb_hardware_log!$B$3:$B$3476=Q$3),0),8)</f>
        <v>2287240</v>
      </c>
      <c r="R9" s="46" cm="1">
        <f t="array" ref="R9">INDEX(mongodb_hardware_log!$A$3:$T$3476,MATCH(1,(mongodb_hardware_log!$A$3:$A$3476=Q$2)*(mongodb_hardware_log!$B$3:$B$3476=R$3),0),8)</f>
        <v>1592908</v>
      </c>
      <c r="S9" s="47" cm="1">
        <f t="array" ref="S9">INDEX(mongodb_hardware_log!$A$3:$T$3476,MATCH(1,(mongodb_hardware_log!$A$3:$A$3476=Q$2)*(mongodb_hardware_log!$B$3:$B$3476=S$3),0),8)</f>
        <v>1585916</v>
      </c>
      <c r="T9" s="45" cm="1">
        <f t="array" ref="T9">INDEX(mysql_hardware_log!$A$3:$T$722,MATCH(1,(mysql_hardware_log!$A$3:$A$722=T$2)*(mysql_hardware_log!$B$3:$B$722=T$3),0),8)</f>
        <v>1160288</v>
      </c>
      <c r="U9" s="46" cm="1">
        <f t="array" ref="U9">INDEX(mysql_hardware_log!$A$3:$T$722,MATCH(1,(mysql_hardware_log!$A$3:$A$722=T$2)*(mysql_hardware_log!$B$3:$B$722=U$3),0),8)</f>
        <v>3587072</v>
      </c>
      <c r="V9" s="47" cm="1">
        <f t="array" ref="V9">INDEX(mysql_hardware_log!$A$3:$T$722,MATCH(1,(mysql_hardware_log!$A$3:$A$722=T$2)*(mysql_hardware_log!$B$3:$B$722=V$3),0),8)</f>
        <v>3390028</v>
      </c>
      <c r="W9" s="45" cm="1">
        <f t="array" ref="W9">INDEX(mysql_hardware_log!$A$3:$T$722,MATCH(1,(mysql_hardware_log!$A$3:$A$722=W$2)*(mysql_hardware_log!$B$3:$B$722=W$3),0),8)</f>
        <v>3616748</v>
      </c>
      <c r="X9" s="46" cm="1">
        <f t="array" ref="X9">INDEX(mysql_hardware_log!$A$3:$T$722,MATCH(1,(mysql_hardware_log!$A$3:$A$722=W$2)*(mysql_hardware_log!$B$3:$B$722=X$3),0),8)</f>
        <v>3590352</v>
      </c>
      <c r="Y9" s="47" cm="1">
        <f t="array" ref="Y9">INDEX(mysql_hardware_log!$A$3:$T$722,MATCH(1,(mysql_hardware_log!$A$3:$A$722=W$2)*(mysql_hardware_log!$B$3:$B$722=Y$3),0),8)</f>
        <v>3610968</v>
      </c>
      <c r="Z9" s="45" cm="1">
        <f t="array" ref="Z9">INDEX(mysql_hardware_log!$A$3:$T$722,MATCH(1,(mysql_hardware_log!$A$3:$A$722=Z$2)*(mysql_hardware_log!$B$3:$B$722=Z$3),0),8)</f>
        <v>2973836</v>
      </c>
      <c r="AA9" s="46" cm="1">
        <f t="array" ref="AA9">INDEX(mysql_hardware_log!$A$3:$T$722,MATCH(1,(mysql_hardware_log!$A$3:$A$722=Z$2)*(mysql_hardware_log!$B$3:$B$722=AA$3),0),8)</f>
        <v>2980708</v>
      </c>
      <c r="AB9" s="47" cm="1">
        <f t="array" ref="AB9">INDEX(mysql_hardware_log!$A$3:$T$722,MATCH(1,(mysql_hardware_log!$A$3:$A$722=Z$2)*(mysql_hardware_log!$B$3:$B$722=AB$3),0),8)</f>
        <v>2846604</v>
      </c>
      <c r="AC9" s="45" cm="1">
        <f t="array" ref="AC9">INDEX(mysql_hardware_log!$A$3:$T$722,MATCH(1,(mysql_hardware_log!$A$3:$A$722=AC$2)*(mysql_hardware_log!$B$3:$B$722=AC$3),0),8)</f>
        <v>2785056</v>
      </c>
      <c r="AD9" s="46" cm="1">
        <f t="array" ref="AD9">INDEX(mysql_hardware_log!$A$3:$T$722,MATCH(1,(mysql_hardware_log!$A$3:$A$722=AC$2)*(mysql_hardware_log!$B$3:$B$722=AD$3),0),8)</f>
        <v>3027668</v>
      </c>
      <c r="AE9" s="47" cm="1">
        <f t="array" ref="AE9">INDEX(mysql_hardware_log!$A$3:$T$722,MATCH(1,(mysql_hardware_log!$A$3:$A$722=AC$2)*(mysql_hardware_log!$B$3:$B$722=AE$3),0),8)</f>
        <v>2440916</v>
      </c>
      <c r="AF9" s="45" cm="1">
        <f t="array" ref="AF9">INDEX(mysql_hardware_log!$A$3:$T$722,MATCH(1,(mysql_hardware_log!$A$3:$A$722=AF$2)*(mysql_hardware_log!$B$3:$B$722=AF$3),0),8)</f>
        <v>2477680</v>
      </c>
      <c r="AG9" s="46" cm="1">
        <f t="array" ref="AG9">INDEX(mysql_hardware_log!$A$3:$T$722,MATCH(1,(mysql_hardware_log!$A$3:$A$722=AF$2)*(mysql_hardware_log!$B$3:$B$722=AG$3),0),8)</f>
        <v>3411656</v>
      </c>
      <c r="AH9" s="47" cm="1">
        <f t="array" ref="AH9">INDEX(mysql_hardware_log!$A$3:$T$722,MATCH(1,(mysql_hardware_log!$A$3:$A$722=AF$2)*(mysql_hardware_log!$B$3:$B$722=AH$3),0),8)</f>
        <v>3227304</v>
      </c>
      <c r="AI9" s="45" cm="1">
        <f t="array" ref="AI9">INDEX(mysql_hardware_log!$A$3:$T$722,MATCH(1,(mysql_hardware_log!$A$3:$A$722=AI$2)*(mysql_hardware_log!$B$3:$B$722=AI$3),0),8)</f>
        <v>3338532</v>
      </c>
      <c r="AJ9" s="46" cm="1">
        <f t="array" ref="AJ9">INDEX(mysql_hardware_log!$A$3:$T$722,MATCH(1,(mysql_hardware_log!$A$3:$A$722=AI$2)*(mysql_hardware_log!$B$3:$B$722=AJ$3),0),8)</f>
        <v>2609136</v>
      </c>
      <c r="AK9" s="47" cm="1">
        <f t="array" ref="AK9">INDEX(mysql_hardware_log!$A$3:$T$722,MATCH(1,(mysql_hardware_log!$A$3:$A$722=AI$2)*(mysql_hardware_log!$B$3:$B$722=AK$3),0),8)</f>
        <v>2012832</v>
      </c>
    </row>
    <row r="10" spans="1:37" x14ac:dyDescent="0.3">
      <c r="A10" s="42" t="s">
        <v>72</v>
      </c>
      <c r="B10" s="45" cm="1">
        <f t="array" ref="B10">INDEX(mongodb_hardware_log!$A$3:$T$3476,LARGE(IF((mongodb_hardware_log!$A$3:$A$3476=B$2)*(mongodb_hardware_log!$B$3:$B$3476=B$3),ROW(mongodb_hardware_log!$A$3:$A$3476)-2,0),1),8)</f>
        <v>2262244</v>
      </c>
      <c r="C10" s="51" t="s">
        <v>56</v>
      </c>
      <c r="D10" s="52" t="s">
        <v>56</v>
      </c>
      <c r="E10" s="45" cm="1">
        <f t="array" ref="E10">INDEX(mongodb_hardware_log!$A$3:$T$3476,LARGE(IF((mongodb_hardware_log!$A$3:$A$3476=E$2)*(mongodb_hardware_log!$B$3:$B$3476=E$3),ROW(mongodb_hardware_log!$A$3:$A$3476)-2,0),1),8)</f>
        <v>2130956</v>
      </c>
      <c r="F10" s="46" cm="1">
        <f t="array" ref="F10">INDEX(mongodb_hardware_log!$A$3:$T$3476,LARGE(IF((mongodb_hardware_log!$A$3:$A$3476=E$2)*(mongodb_hardware_log!$B$3:$B$3476=F$3),ROW(mongodb_hardware_log!$A$3:$A$3476)-2,0),1),8)</f>
        <v>1861520</v>
      </c>
      <c r="G10" s="47" cm="1">
        <f t="array" ref="G10">INDEX(mongodb_hardware_log!$A$3:$T$3476,LARGE(IF((mongodb_hardware_log!$A$3:$A$3476=E$2)*(mongodb_hardware_log!$B$3:$B$3476=G$3),ROW(mongodb_hardware_log!$A$3:$A$3476)-2,0),1),8)</f>
        <v>2103028</v>
      </c>
      <c r="H10" s="45" cm="1">
        <f t="array" ref="H10">INDEX(mongodb_hardware_log!$A$3:$T$3476,LARGE(IF((mongodb_hardware_log!$A$3:$A$3476=H$2)*(mongodb_hardware_log!$B$3:$B$3476=H$3),ROW(mongodb_hardware_log!$A$3:$A$3476)-2,0),1),8)</f>
        <v>1731764</v>
      </c>
      <c r="I10" s="46" cm="1">
        <f t="array" ref="I10">INDEX(mongodb_hardware_log!$A$3:$T$3476,LARGE(IF((mongodb_hardware_log!$A$3:$A$3476=H$2)*(mongodb_hardware_log!$B$3:$B$3476=I$3),ROW(mongodb_hardware_log!$A$3:$A$3476)-2,0),1),8)</f>
        <v>2211080</v>
      </c>
      <c r="J10" s="47" cm="1">
        <f t="array" ref="J10">INDEX(mongodb_hardware_log!$A$3:$T$3476,LARGE(IF((mongodb_hardware_log!$A$3:$A$3476=H$2)*(mongodb_hardware_log!$B$3:$B$3476=J$3),ROW(mongodb_hardware_log!$A$3:$A$3476)-2,0),1),8)</f>
        <v>2253156</v>
      </c>
      <c r="K10" s="45" cm="1">
        <f t="array" ref="K10">INDEX(mongodb_hardware_log!$A$3:$T$3476,LARGE(IF((mongodb_hardware_log!$A$3:$A$3476=K$2)*(mongodb_hardware_log!$B$3:$B$3476=K$3),ROW(mongodb_hardware_log!$A$3:$A$3476)-2,0),1),8)</f>
        <v>2344648</v>
      </c>
      <c r="L10" s="46" cm="1">
        <f t="array" ref="L10">INDEX(mongodb_hardware_log!$A$3:$T$3476,LARGE(IF((mongodb_hardware_log!$A$3:$A$3476=K$2)*(mongodb_hardware_log!$B$3:$B$3476=L$3),ROW(mongodb_hardware_log!$A$3:$A$3476)-2,0),1),8)</f>
        <v>2328880</v>
      </c>
      <c r="M10" s="47" cm="1">
        <f t="array" ref="M10">INDEX(mongodb_hardware_log!$A$3:$T$3476,LARGE(IF((mongodb_hardware_log!$A$3:$A$3476=K$2)*(mongodb_hardware_log!$B$3:$B$3476=M$3),ROW(mongodb_hardware_log!$A$3:$A$3476)-2,0),1),8)</f>
        <v>1718816</v>
      </c>
      <c r="N10" s="45" cm="1">
        <f t="array" ref="N10">INDEX(mongodb_hardware_log!$A$3:$T$3476,LARGE(IF((mongodb_hardware_log!$A$3:$A$3476=N$2)*(mongodb_hardware_log!$B$3:$B$3476=N$3),ROW(mongodb_hardware_log!$A$3:$A$3476)-2,0),1),8)</f>
        <v>2269736</v>
      </c>
      <c r="O10" s="46" cm="1">
        <f t="array" ref="O10">INDEX(mongodb_hardware_log!$A$3:$T$3476,LARGE(IF((mongodb_hardware_log!$A$3:$A$3476=N$2)*(mongodb_hardware_log!$B$3:$B$3476=O$3),ROW(mongodb_hardware_log!$A$3:$A$3476)-2,0),1),8)</f>
        <v>2288344</v>
      </c>
      <c r="P10" s="47" cm="1">
        <f t="array" ref="P10">INDEX(mongodb_hardware_log!$A$3:$T$3476,LARGE(IF((mongodb_hardware_log!$A$3:$A$3476=N$2)*(mongodb_hardware_log!$B$3:$B$3476=P$3),ROW(mongodb_hardware_log!$A$3:$A$3476)-2,0),1),8)</f>
        <v>2296220</v>
      </c>
      <c r="Q10" s="45" cm="1">
        <f t="array" ref="Q10">INDEX(mongodb_hardware_log!$A$3:$T$3476,LARGE(IF((mongodb_hardware_log!$A$3:$A$3476=Q$2)*(mongodb_hardware_log!$B$3:$B$3476=Q$3),ROW(mongodb_hardware_log!$A$3:$A$3476)-2,0),1),8)</f>
        <v>2259688</v>
      </c>
      <c r="R10" s="46" cm="1">
        <f t="array" ref="R10">INDEX(mongodb_hardware_log!$A$3:$T$3476,LARGE(IF((mongodb_hardware_log!$A$3:$A$3476=Q$2)*(mongodb_hardware_log!$B$3:$B$3476=R$3),ROW(mongodb_hardware_log!$A$3:$A$3476)-2,0),1),8)</f>
        <v>2273104</v>
      </c>
      <c r="S10" s="47" cm="1">
        <f t="array" ref="S10">INDEX(mongodb_hardware_log!$A$3:$T$3476,LARGE(IF((mongodb_hardware_log!$A$3:$A$3476=Q$2)*(mongodb_hardware_log!$B$3:$B$3476=S$3),ROW(mongodb_hardware_log!$A$3:$A$3476)-2,0),1),8)</f>
        <v>2247752</v>
      </c>
      <c r="T10" s="45" cm="1">
        <f t="array" ref="T10">INDEX(mysql_hardware_log!$A$3:$T$722,LARGE(IF((mysql_hardware_log!$A$3:$A$722=T$2)*(mysql_hardware_log!$B$3:$B$722=T$3),ROW(mysql_hardware_log!$A$3:$A$722)-2,0),1),8)</f>
        <v>3625196</v>
      </c>
      <c r="U10" s="46" cm="1">
        <f t="array" ref="U10">INDEX(mysql_hardware_log!$A$3:$T$722,LARGE(IF((mysql_hardware_log!$A$3:$A$722=T$2)*(mysql_hardware_log!$B$3:$B$722=U$3),ROW(mysql_hardware_log!$A$3:$A$722)-2,0),1),8)</f>
        <v>3277520</v>
      </c>
      <c r="V10" s="47" cm="1">
        <f t="array" ref="V10">INDEX(mysql_hardware_log!$A$3:$T$722,LARGE(IF((mysql_hardware_log!$A$3:$A$722=T$2)*(mysql_hardware_log!$B$3:$B$722=V$3),ROW(mysql_hardware_log!$A$3:$A$722)-2,0),1),8)</f>
        <v>3607652</v>
      </c>
      <c r="W10" s="45" cm="1">
        <f t="array" ref="W10">INDEX(mysql_hardware_log!$A$3:$T$722,LARGE(IF((mysql_hardware_log!$A$3:$A$722=W$2)*(mysql_hardware_log!$B$3:$B$722=W$3),ROW(mysql_hardware_log!$A$3:$A$722)-2,0),1),8)</f>
        <v>3586780</v>
      </c>
      <c r="X10" s="46" cm="1">
        <f t="array" ref="X10">INDEX(mysql_hardware_log!$A$3:$T$722,LARGE(IF((mysql_hardware_log!$A$3:$A$722=W$2)*(mysql_hardware_log!$B$3:$B$722=X$3),ROW(mysql_hardware_log!$A$3:$A$722)-2,0),1),8)</f>
        <v>3616312</v>
      </c>
      <c r="Y10" s="47" cm="1">
        <f t="array" ref="Y10">INDEX(mysql_hardware_log!$A$3:$T$722,LARGE(IF((mysql_hardware_log!$A$3:$A$722=W$2)*(mysql_hardware_log!$B$3:$B$722=Y$3),ROW(mysql_hardware_log!$A$3:$A$722)-2,0),1),8)</f>
        <v>2936116</v>
      </c>
      <c r="Z10" s="45" cm="1">
        <f t="array" ref="Z10">INDEX(mysql_hardware_log!$A$3:$T$722,LARGE(IF((mysql_hardware_log!$A$3:$A$722=Z$2)*(mysql_hardware_log!$B$3:$B$722=Z$3),ROW(mysql_hardware_log!$A$3:$A$722)-2,0),1),8)</f>
        <v>2785060</v>
      </c>
      <c r="AA10" s="46" cm="1">
        <f t="array" ref="AA10">INDEX(mysql_hardware_log!$A$3:$T$722,LARGE(IF((mysql_hardware_log!$A$3:$A$722=Z$2)*(mysql_hardware_log!$B$3:$B$722=AA$3),ROW(mysql_hardware_log!$A$3:$A$722)-2,0),1),8)</f>
        <v>3097464</v>
      </c>
      <c r="AB10" s="47" cm="1">
        <f t="array" ref="AB10">INDEX(mysql_hardware_log!$A$3:$T$722,LARGE(IF((mysql_hardware_log!$A$3:$A$722=Z$2)*(mysql_hardware_log!$B$3:$B$722=AB$3),ROW(mysql_hardware_log!$A$3:$A$722)-2,0),1),8)</f>
        <v>3130500</v>
      </c>
      <c r="AC10" s="45" cm="1">
        <f t="array" ref="AC10">INDEX(mysql_hardware_log!$A$3:$T$722,LARGE(IF((mysql_hardware_log!$A$3:$A$722=AC$2)*(mysql_hardware_log!$B$3:$B$722=AC$3),ROW(mysql_hardware_log!$A$3:$A$722)-2,0),1),8)</f>
        <v>3013640</v>
      </c>
      <c r="AD10" s="46" cm="1">
        <f t="array" ref="AD10">INDEX(mysql_hardware_log!$A$3:$T$722,LARGE(IF((mysql_hardware_log!$A$3:$A$722=AC$2)*(mysql_hardware_log!$B$3:$B$722=AD$3),ROW(mysql_hardware_log!$A$3:$A$722)-2,0),1),8)</f>
        <v>2430720</v>
      </c>
      <c r="AE10" s="47" cm="1">
        <f t="array" ref="AE10">INDEX(mysql_hardware_log!$A$3:$T$722,LARGE(IF((mysql_hardware_log!$A$3:$A$722=AC$2)*(mysql_hardware_log!$B$3:$B$722=AE$3),ROW(mysql_hardware_log!$A$3:$A$722)-2,0),1),8)</f>
        <v>2477656</v>
      </c>
      <c r="AF10" s="45" cm="1">
        <f t="array" ref="AF10">INDEX(mysql_hardware_log!$A$3:$T$722,LARGE(IF((mysql_hardware_log!$A$3:$A$722=AF$2)*(mysql_hardware_log!$B$3:$B$722=AF$3),ROW(mysql_hardware_log!$A$3:$A$722)-2,0),1),8)</f>
        <v>3407472</v>
      </c>
      <c r="AG10" s="46" cm="1">
        <f t="array" ref="AG10">INDEX(mysql_hardware_log!$A$3:$T$722,LARGE(IF((mysql_hardware_log!$A$3:$A$722=AF$2)*(mysql_hardware_log!$B$3:$B$722=AG$3),ROW(mysql_hardware_log!$A$3:$A$722)-2,0),1),8)</f>
        <v>3200848</v>
      </c>
      <c r="AH10" s="47" cm="1">
        <f t="array" ref="AH10">INDEX(mysql_hardware_log!$A$3:$T$722,LARGE(IF((mysql_hardware_log!$A$3:$A$722=AF$2)*(mysql_hardware_log!$B$3:$B$722=AH$3),ROW(mysql_hardware_log!$A$3:$A$722)-2,0),1),8)</f>
        <v>3077824</v>
      </c>
      <c r="AI10" s="45" cm="1">
        <f t="array" ref="AI10">INDEX(mysql_hardware_log!$A$3:$T$722,LARGE(IF((mysql_hardware_log!$A$3:$A$722=AI$2)*(mysql_hardware_log!$B$3:$B$722=AI$3),ROW(mysql_hardware_log!$A$3:$A$722)-2,0),1),8)</f>
        <v>2864828</v>
      </c>
      <c r="AJ10" s="46" cm="1">
        <f t="array" ref="AJ10">INDEX(mysql_hardware_log!$A$3:$T$722,LARGE(IF((mysql_hardware_log!$A$3:$A$722=AI$2)*(mysql_hardware_log!$B$3:$B$722=AJ$3),ROW(mysql_hardware_log!$A$3:$A$722)-2,0),1),8)</f>
        <v>2253708</v>
      </c>
      <c r="AK10" s="47" cm="1">
        <f t="array" ref="AK10">INDEX(mysql_hardware_log!$A$3:$T$722,LARGE(IF((mysql_hardware_log!$A$3:$A$722=AI$2)*(mysql_hardware_log!$B$3:$B$722=AK$3),ROW(mysql_hardware_log!$A$3:$A$722)-2,0),1),8)</f>
        <v>2278632</v>
      </c>
    </row>
    <row r="11" spans="1:37" x14ac:dyDescent="0.3">
      <c r="A11" s="42" t="s">
        <v>73</v>
      </c>
      <c r="B11" s="64">
        <f>B10-B9</f>
        <v>-89260</v>
      </c>
      <c r="C11" s="51" t="s">
        <v>56</v>
      </c>
      <c r="D11" s="52" t="s">
        <v>56</v>
      </c>
      <c r="E11" s="64">
        <f>E10-E9</f>
        <v>-133740</v>
      </c>
      <c r="F11" s="46">
        <f t="shared" ref="F11:H11" si="0">F10-F9</f>
        <v>-279468</v>
      </c>
      <c r="G11" s="47">
        <f t="shared" si="0"/>
        <v>229284</v>
      </c>
      <c r="H11" s="64">
        <f t="shared" si="0"/>
        <v>-422304</v>
      </c>
      <c r="I11" s="46">
        <f t="shared" ref="I11" si="1">I10-I9</f>
        <v>620668</v>
      </c>
      <c r="J11" s="47">
        <f t="shared" ref="J11:K11" si="2">J10-J9</f>
        <v>302692</v>
      </c>
      <c r="K11" s="64">
        <f t="shared" si="2"/>
        <v>210436</v>
      </c>
      <c r="L11" s="46">
        <f t="shared" ref="L11" si="3">L10-L9</f>
        <v>-9348</v>
      </c>
      <c r="M11" s="47">
        <f t="shared" ref="M11:N11" si="4">M10-M9</f>
        <v>-540424</v>
      </c>
      <c r="N11" s="64">
        <f t="shared" si="4"/>
        <v>339324</v>
      </c>
      <c r="O11" s="46">
        <f t="shared" ref="O11" si="5">O10-O9</f>
        <v>100036</v>
      </c>
      <c r="P11" s="47">
        <f t="shared" ref="P11:Q11" si="6">P10-P9</f>
        <v>114404</v>
      </c>
      <c r="Q11" s="64">
        <f t="shared" si="6"/>
        <v>-27552</v>
      </c>
      <c r="R11" s="46">
        <f t="shared" ref="R11" si="7">R10-R9</f>
        <v>680196</v>
      </c>
      <c r="S11" s="47">
        <f t="shared" ref="S11" si="8">S10-S9</f>
        <v>661836</v>
      </c>
      <c r="T11" s="64">
        <f>T10-T9</f>
        <v>2464908</v>
      </c>
      <c r="U11" s="46">
        <f>U10-U9</f>
        <v>-309552</v>
      </c>
      <c r="V11" s="47">
        <f>V10-V9</f>
        <v>217624</v>
      </c>
      <c r="W11" s="64">
        <f t="shared" ref="W11:AK11" si="9">W10-W9</f>
        <v>-29968</v>
      </c>
      <c r="X11" s="46">
        <f t="shared" si="9"/>
        <v>25960</v>
      </c>
      <c r="Y11" s="47">
        <f t="shared" si="9"/>
        <v>-674852</v>
      </c>
      <c r="Z11" s="64">
        <f t="shared" si="9"/>
        <v>-188776</v>
      </c>
      <c r="AA11" s="46">
        <f t="shared" si="9"/>
        <v>116756</v>
      </c>
      <c r="AB11" s="47">
        <f t="shared" si="9"/>
        <v>283896</v>
      </c>
      <c r="AC11" s="64">
        <f t="shared" si="9"/>
        <v>228584</v>
      </c>
      <c r="AD11" s="46">
        <f t="shared" si="9"/>
        <v>-596948</v>
      </c>
      <c r="AE11" s="47">
        <f t="shared" si="9"/>
        <v>36740</v>
      </c>
      <c r="AF11" s="64">
        <f t="shared" si="9"/>
        <v>929792</v>
      </c>
      <c r="AG11" s="46">
        <f t="shared" si="9"/>
        <v>-210808</v>
      </c>
      <c r="AH11" s="47">
        <f t="shared" si="9"/>
        <v>-149480</v>
      </c>
      <c r="AI11" s="64">
        <f t="shared" si="9"/>
        <v>-473704</v>
      </c>
      <c r="AJ11" s="46">
        <f t="shared" si="9"/>
        <v>-355428</v>
      </c>
      <c r="AK11" s="47">
        <f t="shared" si="9"/>
        <v>265800</v>
      </c>
    </row>
    <row r="12" spans="1:37" x14ac:dyDescent="0.3">
      <c r="A12" s="42" t="s">
        <v>74</v>
      </c>
      <c r="B12" s="45" cm="1">
        <f t="array" ref="B12">INDEX(mongodb_hardware_log!$A$3:$T$3476,MATCH(1,(mongodb_hardware_log!$A$3:$A$3476=B$2)*(mongodb_hardware_log!$B$3:$B$3476=B$3),0),5)</f>
        <v>54528</v>
      </c>
      <c r="C12" s="51" t="s">
        <v>56</v>
      </c>
      <c r="D12" s="52" t="s">
        <v>56</v>
      </c>
      <c r="E12" s="45" cm="1">
        <f t="array" ref="E12">INDEX(mongodb_hardware_log!$A$3:$T$3476,MATCH(1,(mongodb_hardware_log!$A$3:$A$3476=E$2)*(mongodb_hardware_log!$B$3:$B$3476=E$3),0),5)</f>
        <v>135424</v>
      </c>
      <c r="F12" s="46" cm="1">
        <f t="array" ref="F12">INDEX(mongodb_hardware_log!$A$3:$T$3476,MATCH(1,(mongodb_hardware_log!$A$3:$A$3476=E$2)*(mongodb_hardware_log!$B$3:$B$3476=F$3),0),5)</f>
        <v>134400</v>
      </c>
      <c r="G12" s="47" cm="1">
        <f t="array" ref="G12">INDEX(mongodb_hardware_log!$A$3:$T$3476,MATCH(1,(mongodb_hardware_log!$A$3:$A$3476=E$2)*(mongodb_hardware_log!$B$3:$B$3476=G$3),0),5)</f>
        <v>133376</v>
      </c>
      <c r="H12" s="45" cm="1">
        <f t="array" ref="H12">INDEX(mongodb_hardware_log!$A$3:$T$3476,MATCH(1,(mongodb_hardware_log!$A$3:$A$3476=H$2)*(mongodb_hardware_log!$B$3:$B$3476=H$3),0),5)</f>
        <v>133376</v>
      </c>
      <c r="I12" s="46" cm="1">
        <f t="array" ref="I12">INDEX(mongodb_hardware_log!$A$3:$T$3476,MATCH(1,(mongodb_hardware_log!$A$3:$A$3476=H$2)*(mongodb_hardware_log!$B$3:$B$3476=I$3),0),5)</f>
        <v>119296</v>
      </c>
      <c r="J12" s="47" cm="1">
        <f t="array" ref="J12">INDEX(mongodb_hardware_log!$A$3:$T$3476,MATCH(1,(mongodb_hardware_log!$A$3:$A$3476=H$2)*(mongodb_hardware_log!$B$3:$B$3476=J$3),0),5)</f>
        <v>119040</v>
      </c>
      <c r="K12" s="45" cm="1">
        <f t="array" ref="K12">INDEX(mongodb_hardware_log!$A$3:$T$3476,MATCH(1,(mongodb_hardware_log!$A$3:$A$3476=K$2)*(mongodb_hardware_log!$B$3:$B$3476=K$3),0),5)</f>
        <v>128512</v>
      </c>
      <c r="L12" s="46" cm="1">
        <f t="array" ref="L12">INDEX(mongodb_hardware_log!$A$3:$T$3476,MATCH(1,(mongodb_hardware_log!$A$3:$A$3476=K$2)*(mongodb_hardware_log!$B$3:$B$3476=L$3),0),5)</f>
        <v>222720</v>
      </c>
      <c r="M12" s="47" cm="1">
        <f t="array" ref="M12">INDEX(mongodb_hardware_log!$A$3:$T$3476,MATCH(1,(mongodb_hardware_log!$A$3:$A$3476=K$2)*(mongodb_hardware_log!$B$3:$B$3476=M$3),0),5)</f>
        <v>212992</v>
      </c>
      <c r="N12" s="45" cm="1">
        <f t="array" ref="N12">INDEX(mongodb_hardware_log!$A$3:$T$3476,MATCH(1,(mongodb_hardware_log!$A$3:$A$3476=N$2)*(mongodb_hardware_log!$B$3:$B$3476=N$3),0),5)</f>
        <v>203776</v>
      </c>
      <c r="O12" s="46" cm="1">
        <f t="array" ref="O12">INDEX(mongodb_hardware_log!$A$3:$T$3476,MATCH(1,(mongodb_hardware_log!$A$3:$A$3476=N$2)*(mongodb_hardware_log!$B$3:$B$3476=O$3),0),5)</f>
        <v>190976</v>
      </c>
      <c r="P12" s="47" cm="1">
        <f t="array" ref="P12">INDEX(mongodb_hardware_log!$A$3:$T$3476,MATCH(1,(mongodb_hardware_log!$A$3:$A$3476=N$2)*(mongodb_hardware_log!$B$3:$B$3476=P$3),0),5)</f>
        <v>190464</v>
      </c>
      <c r="Q12" s="45" cm="1">
        <f t="array" ref="Q12">INDEX(mongodb_hardware_log!$A$3:$T$3476,MATCH(1,(mongodb_hardware_log!$A$3:$A$3476=Q$2)*(mongodb_hardware_log!$B$3:$B$3476=Q$3),0),5)</f>
        <v>203520</v>
      </c>
      <c r="R12" s="46" cm="1">
        <f t="array" ref="R12">INDEX(mongodb_hardware_log!$A$3:$T$3476,MATCH(1,(mongodb_hardware_log!$A$3:$A$3476=Q$2)*(mongodb_hardware_log!$B$3:$B$3476=R$3),0),5)</f>
        <v>194560</v>
      </c>
      <c r="S12" s="47" cm="1">
        <f t="array" ref="S12">INDEX(mongodb_hardware_log!$A$3:$T$3476,MATCH(1,(mongodb_hardware_log!$A$3:$A$3476=Q$2)*(mongodb_hardware_log!$B$3:$B$3476=S$3),0),5)</f>
        <v>194304</v>
      </c>
      <c r="T12" s="45" cm="1">
        <f t="array" ref="T12">INDEX(mysql_hardware_log!$A$3:$T$722,MATCH(1,(mysql_hardware_log!$A$3:$A$722=T$2)*(mysql_hardware_log!$B$3:$B$722=T$3),0),8)</f>
        <v>1160288</v>
      </c>
      <c r="U12" s="46" cm="1">
        <f t="array" ref="U12">INDEX(mysql_hardware_log!$A$3:$T$722,MATCH(1,(mysql_hardware_log!$A$3:$A$722=T$2)*(mysql_hardware_log!$B$3:$B$722=U$3),0),8)</f>
        <v>3587072</v>
      </c>
      <c r="V12" s="47" cm="1">
        <f t="array" ref="V12">INDEX(mysql_hardware_log!$A$3:$T$722,MATCH(1,(mysql_hardware_log!$A$3:$A$722=T$2)*(mysql_hardware_log!$B$3:$B$722=V$3),0),8)</f>
        <v>3390028</v>
      </c>
      <c r="W12" s="45" cm="1">
        <f t="array" ref="W12">INDEX(mysql_hardware_log!$A$3:$T$722,MATCH(1,(mysql_hardware_log!$A$3:$A$722=W$2)*(mysql_hardware_log!$B$3:$B$722=W$3),0),8)</f>
        <v>3616748</v>
      </c>
      <c r="X12" s="46" cm="1">
        <f t="array" ref="X12">INDEX(mysql_hardware_log!$A$3:$T$722,MATCH(1,(mysql_hardware_log!$A$3:$A$722=W$2)*(mysql_hardware_log!$B$3:$B$722=X$3),0),8)</f>
        <v>3590352</v>
      </c>
      <c r="Y12" s="47" cm="1">
        <f t="array" ref="Y12">INDEX(mysql_hardware_log!$A$3:$T$722,MATCH(1,(mysql_hardware_log!$A$3:$A$722=W$2)*(mysql_hardware_log!$B$3:$B$722=Y$3),0),8)</f>
        <v>3610968</v>
      </c>
      <c r="Z12" s="45" cm="1">
        <f t="array" ref="Z12">INDEX(mysql_hardware_log!$A$3:$T$722,MATCH(1,(mysql_hardware_log!$A$3:$A$722=Z$2)*(mysql_hardware_log!$B$3:$B$722=Z$3),0),8)</f>
        <v>2973836</v>
      </c>
      <c r="AA12" s="46" cm="1">
        <f t="array" ref="AA12">INDEX(mysql_hardware_log!$A$3:$T$722,MATCH(1,(mysql_hardware_log!$A$3:$A$722=Z$2)*(mysql_hardware_log!$B$3:$B$722=AA$3),0),8)</f>
        <v>2980708</v>
      </c>
      <c r="AB12" s="47" cm="1">
        <f t="array" ref="AB12">INDEX(mysql_hardware_log!$A$3:$T$722,MATCH(1,(mysql_hardware_log!$A$3:$A$722=Z$2)*(mysql_hardware_log!$B$3:$B$722=AB$3),0),8)</f>
        <v>2846604</v>
      </c>
      <c r="AC12" s="45" cm="1">
        <f t="array" ref="AC12">INDEX(mysql_hardware_log!$A$3:$T$722,MATCH(1,(mysql_hardware_log!$A$3:$A$722=AC$2)*(mysql_hardware_log!$B$3:$B$722=AC$3),0),8)</f>
        <v>2785056</v>
      </c>
      <c r="AD12" s="46" cm="1">
        <f t="array" ref="AD12">INDEX(mysql_hardware_log!$A$3:$T$722,MATCH(1,(mysql_hardware_log!$A$3:$A$722=AC$2)*(mysql_hardware_log!$B$3:$B$722=AD$3),0),8)</f>
        <v>3027668</v>
      </c>
      <c r="AE12" s="47" cm="1">
        <f t="array" ref="AE12">INDEX(mysql_hardware_log!$A$3:$T$722,MATCH(1,(mysql_hardware_log!$A$3:$A$722=AC$2)*(mysql_hardware_log!$B$3:$B$722=AE$3),0),8)</f>
        <v>2440916</v>
      </c>
      <c r="AF12" s="45" cm="1">
        <f t="array" ref="AF12">INDEX(mysql_hardware_log!$A$3:$T$722,MATCH(1,(mysql_hardware_log!$A$3:$A$722=AF$2)*(mysql_hardware_log!$B$3:$B$722=AF$3),0),8)</f>
        <v>2477680</v>
      </c>
      <c r="AG12" s="46" cm="1">
        <f t="array" ref="AG12">INDEX(mysql_hardware_log!$A$3:$T$722,MATCH(1,(mysql_hardware_log!$A$3:$A$722=AF$2)*(mysql_hardware_log!$B$3:$B$722=AG$3),0),8)</f>
        <v>3411656</v>
      </c>
      <c r="AH12" s="47" cm="1">
        <f t="array" ref="AH12">INDEX(mysql_hardware_log!$A$3:$T$722,MATCH(1,(mysql_hardware_log!$A$3:$A$722=AF$2)*(mysql_hardware_log!$B$3:$B$722=AH$3),0),8)</f>
        <v>3227304</v>
      </c>
      <c r="AI12" s="45" cm="1">
        <f t="array" ref="AI12">INDEX(mysql_hardware_log!$A$3:$T$722,MATCH(1,(mysql_hardware_log!$A$3:$A$722=AI$2)*(mysql_hardware_log!$B$3:$B$722=AI$3),0),8)</f>
        <v>3338532</v>
      </c>
      <c r="AJ12" s="46" cm="1">
        <f t="array" ref="AJ12">INDEX(mysql_hardware_log!$A$3:$T$722,MATCH(1,(mysql_hardware_log!$A$3:$A$722=AI$2)*(mysql_hardware_log!$B$3:$B$722=AJ$3),0),8)</f>
        <v>2609136</v>
      </c>
      <c r="AK12" s="47" cm="1">
        <f t="array" ref="AK12">INDEX(mysql_hardware_log!$A$3:$T$722,MATCH(1,(mysql_hardware_log!$A$3:$A$722=AI$2)*(mysql_hardware_log!$B$3:$B$722=AK$3),0),8)</f>
        <v>2012832</v>
      </c>
    </row>
    <row r="13" spans="1:37" x14ac:dyDescent="0.3">
      <c r="A13" s="42" t="s">
        <v>75</v>
      </c>
      <c r="B13" s="45" cm="1">
        <f t="array" ref="B13">INDEX(mongodb_hardware_log!$A$3:$T$3476,LARGE(IF((mongodb_hardware_log!$A$3:$A$3476=B$2)*(mongodb_hardware_log!$B$3:$B$3476=B$3),ROW(mongodb_hardware_log!$A$3:$A$3476)-2,0),1),5)</f>
        <v>135424</v>
      </c>
      <c r="C13" s="51" t="s">
        <v>56</v>
      </c>
      <c r="D13" s="52" t="s">
        <v>56</v>
      </c>
      <c r="E13" s="45" cm="1">
        <f t="array" ref="E13">INDEX(mongodb_hardware_log!$A$3:$T$3476,LARGE(IF((mongodb_hardware_log!$A$3:$A$3476=E$2)*(mongodb_hardware_log!$B$3:$B$3476=E$3),ROW(mongodb_hardware_log!$A$3:$A$3476)-2,0),1),5)</f>
        <v>134400</v>
      </c>
      <c r="F13" s="46" cm="1">
        <f t="array" ref="F13">INDEX(mongodb_hardware_log!$A$3:$T$3476,LARGE(IF((mongodb_hardware_log!$A$3:$A$3476=E$2)*(mongodb_hardware_log!$B$3:$B$3476=F$3),ROW(mongodb_hardware_log!$A$3:$A$3476)-2,0),1),5)</f>
        <v>133376</v>
      </c>
      <c r="G13" s="47" cm="1">
        <f t="array" ref="G13">INDEX(mongodb_hardware_log!$A$3:$T$3476,LARGE(IF((mongodb_hardware_log!$A$3:$A$3476=E$2)*(mongodb_hardware_log!$B$3:$B$3476=G$3),ROW(mongodb_hardware_log!$A$3:$A$3476)-2,0),1),5)</f>
        <v>133376</v>
      </c>
      <c r="H13" s="45" cm="1">
        <f t="array" ref="H13">INDEX(mongodb_hardware_log!$A$3:$T$3476,LARGE(IF((mongodb_hardware_log!$A$3:$A$3476=H$2)*(mongodb_hardware_log!$B$3:$B$3476=H$3),ROW(mongodb_hardware_log!$A$3:$A$3476)-2,0),1),5)</f>
        <v>119296</v>
      </c>
      <c r="I13" s="46" cm="1">
        <f t="array" ref="I13">INDEX(mongodb_hardware_log!$A$3:$T$3476,LARGE(IF((mongodb_hardware_log!$A$3:$A$3476=H$2)*(mongodb_hardware_log!$B$3:$B$3476=I$3),ROW(mongodb_hardware_log!$A$3:$A$3476)-2,0),1),5)</f>
        <v>119040</v>
      </c>
      <c r="J13" s="47" cm="1">
        <f t="array" ref="J13">INDEX(mongodb_hardware_log!$A$3:$T$3476,LARGE(IF((mongodb_hardware_log!$A$3:$A$3476=H$2)*(mongodb_hardware_log!$B$3:$B$3476=J$3),ROW(mongodb_hardware_log!$A$3:$A$3476)-2,0),1),5)</f>
        <v>128512</v>
      </c>
      <c r="K13" s="45" cm="1">
        <f t="array" ref="K13">INDEX(mongodb_hardware_log!$A$3:$T$3476,LARGE(IF((mongodb_hardware_log!$A$3:$A$3476=K$2)*(mongodb_hardware_log!$B$3:$B$3476=K$3),ROW(mongodb_hardware_log!$A$3:$A$3476)-2,0),1),5)</f>
        <v>222976</v>
      </c>
      <c r="L13" s="46" cm="1">
        <f t="array" ref="L13">INDEX(mongodb_hardware_log!$A$3:$T$3476,LARGE(IF((mongodb_hardware_log!$A$3:$A$3476=K$2)*(mongodb_hardware_log!$B$3:$B$3476=L$3),ROW(mongodb_hardware_log!$A$3:$A$3476)-2,0),1),5)</f>
        <v>212992</v>
      </c>
      <c r="M13" s="47" cm="1">
        <f t="array" ref="M13">INDEX(mongodb_hardware_log!$A$3:$T$3476,LARGE(IF((mongodb_hardware_log!$A$3:$A$3476=K$2)*(mongodb_hardware_log!$B$3:$B$3476=M$3),ROW(mongodb_hardware_log!$A$3:$A$3476)-2,0),1),5)</f>
        <v>205568</v>
      </c>
      <c r="N13" s="45" cm="1">
        <f t="array" ref="N13">INDEX(mongodb_hardware_log!$A$3:$T$3476,LARGE(IF((mongodb_hardware_log!$A$3:$A$3476=N$2)*(mongodb_hardware_log!$B$3:$B$3476=N$3),ROW(mongodb_hardware_log!$A$3:$A$3476)-2,0),1),5)</f>
        <v>190976</v>
      </c>
      <c r="O13" s="46" cm="1">
        <f t="array" ref="O13">INDEX(mongodb_hardware_log!$A$3:$T$3476,LARGE(IF((mongodb_hardware_log!$A$3:$A$3476=N$2)*(mongodb_hardware_log!$B$3:$B$3476=O$3),ROW(mongodb_hardware_log!$A$3:$A$3476)-2,0),1),5)</f>
        <v>190464</v>
      </c>
      <c r="P13" s="47" cm="1">
        <f t="array" ref="P13">INDEX(mongodb_hardware_log!$A$3:$T$3476,LARGE(IF((mongodb_hardware_log!$A$3:$A$3476=N$2)*(mongodb_hardware_log!$B$3:$B$3476=P$3),ROW(mongodb_hardware_log!$A$3:$A$3476)-2,0),1),5)</f>
        <v>203776</v>
      </c>
      <c r="Q13" s="45" cm="1">
        <f t="array" ref="Q13">INDEX(mongodb_hardware_log!$A$3:$T$3476,LARGE(IF((mongodb_hardware_log!$A$3:$A$3476=Q$2)*(mongodb_hardware_log!$B$3:$B$3476=Q$3),ROW(mongodb_hardware_log!$A$3:$A$3476)-2,0),1),5)</f>
        <v>194560</v>
      </c>
      <c r="R13" s="46" cm="1">
        <f t="array" ref="R13">INDEX(mongodb_hardware_log!$A$3:$T$3476,LARGE(IF((mongodb_hardware_log!$A$3:$A$3476=Q$2)*(mongodb_hardware_log!$B$3:$B$3476=R$3),ROW(mongodb_hardware_log!$A$3:$A$3476)-2,0),1),5)</f>
        <v>194304</v>
      </c>
      <c r="S13" s="47" cm="1">
        <f t="array" ref="S13">INDEX(mongodb_hardware_log!$A$3:$T$3476,LARGE(IF((mongodb_hardware_log!$A$3:$A$3476=Q$2)*(mongodb_hardware_log!$B$3:$B$3476=S$3),ROW(mongodb_hardware_log!$A$3:$A$3476)-2,0),1),5)</f>
        <v>179968</v>
      </c>
      <c r="T13" s="45" cm="1">
        <f t="array" ref="T13">INDEX(mysql_hardware_log!$A$3:$T$722,LARGE(IF((mysql_hardware_log!$A$3:$A$722=T$2)*(mysql_hardware_log!$B$3:$B$722=T$3),ROW(mysql_hardware_log!$A$3:$A$722)-2,0),1),8)</f>
        <v>3625196</v>
      </c>
      <c r="U13" s="46" cm="1">
        <f t="array" ref="U13">INDEX(mysql_hardware_log!$A$3:$T$722,LARGE(IF((mysql_hardware_log!$A$3:$A$722=T$2)*(mysql_hardware_log!$B$3:$B$722=U$3),ROW(mysql_hardware_log!$A$3:$A$722)-2,0),1),8)</f>
        <v>3277520</v>
      </c>
      <c r="V13" s="47" cm="1">
        <f t="array" ref="V13">INDEX(mysql_hardware_log!$A$3:$T$722,LARGE(IF((mysql_hardware_log!$A$3:$A$722=T$2)*(mysql_hardware_log!$B$3:$B$722=V$3),ROW(mysql_hardware_log!$A$3:$A$722)-2,0),1),8)</f>
        <v>3607652</v>
      </c>
      <c r="W13" s="45" cm="1">
        <f t="array" ref="W13">INDEX(mysql_hardware_log!$A$3:$T$722,LARGE(IF((mysql_hardware_log!$A$3:$A$722=W$2)*(mysql_hardware_log!$B$3:$B$722=W$3),ROW(mysql_hardware_log!$A$3:$A$722)-2,0),1),8)</f>
        <v>3586780</v>
      </c>
      <c r="X13" s="46" cm="1">
        <f t="array" ref="X13">INDEX(mysql_hardware_log!$A$3:$T$722,LARGE(IF((mysql_hardware_log!$A$3:$A$722=W$2)*(mysql_hardware_log!$B$3:$B$722=X$3),ROW(mysql_hardware_log!$A$3:$A$722)-2,0),1),8)</f>
        <v>3616312</v>
      </c>
      <c r="Y13" s="47" cm="1">
        <f t="array" ref="Y13">INDEX(mysql_hardware_log!$A$3:$T$722,LARGE(IF((mysql_hardware_log!$A$3:$A$722=W$2)*(mysql_hardware_log!$B$3:$B$722=Y$3),ROW(mysql_hardware_log!$A$3:$A$722)-2,0),1),8)</f>
        <v>2936116</v>
      </c>
      <c r="Z13" s="45" cm="1">
        <f t="array" ref="Z13">INDEX(mysql_hardware_log!$A$3:$T$722,LARGE(IF((mysql_hardware_log!$A$3:$A$722=Z$2)*(mysql_hardware_log!$B$3:$B$722=Z$3),ROW(mysql_hardware_log!$A$3:$A$722)-2,0),1),8)</f>
        <v>2785060</v>
      </c>
      <c r="AA13" s="46" cm="1">
        <f t="array" ref="AA13">INDEX(mysql_hardware_log!$A$3:$T$722,LARGE(IF((mysql_hardware_log!$A$3:$A$722=Z$2)*(mysql_hardware_log!$B$3:$B$722=AA$3),ROW(mysql_hardware_log!$A$3:$A$722)-2,0),1),8)</f>
        <v>3097464</v>
      </c>
      <c r="AB13" s="47" cm="1">
        <f t="array" ref="AB13">INDEX(mysql_hardware_log!$A$3:$T$722,LARGE(IF((mysql_hardware_log!$A$3:$A$722=Z$2)*(mysql_hardware_log!$B$3:$B$722=AB$3),ROW(mysql_hardware_log!$A$3:$A$722)-2,0),1),8)</f>
        <v>3130500</v>
      </c>
      <c r="AC13" s="45" cm="1">
        <f t="array" ref="AC13">INDEX(mysql_hardware_log!$A$3:$T$722,LARGE(IF((mysql_hardware_log!$A$3:$A$722=AC$2)*(mysql_hardware_log!$B$3:$B$722=AC$3),ROW(mysql_hardware_log!$A$3:$A$722)-2,0),1),8)</f>
        <v>3013640</v>
      </c>
      <c r="AD13" s="46" cm="1">
        <f t="array" ref="AD13">INDEX(mysql_hardware_log!$A$3:$T$722,LARGE(IF((mysql_hardware_log!$A$3:$A$722=AC$2)*(mysql_hardware_log!$B$3:$B$722=AD$3),ROW(mysql_hardware_log!$A$3:$A$722)-2,0),1),8)</f>
        <v>2430720</v>
      </c>
      <c r="AE13" s="47" cm="1">
        <f t="array" ref="AE13">INDEX(mysql_hardware_log!$A$3:$T$722,LARGE(IF((mysql_hardware_log!$A$3:$A$722=AC$2)*(mysql_hardware_log!$B$3:$B$722=AE$3),ROW(mysql_hardware_log!$A$3:$A$722)-2,0),1),8)</f>
        <v>2477656</v>
      </c>
      <c r="AF13" s="45" cm="1">
        <f t="array" ref="AF13">INDEX(mysql_hardware_log!$A$3:$T$722,LARGE(IF((mysql_hardware_log!$A$3:$A$722=AF$2)*(mysql_hardware_log!$B$3:$B$722=AF$3),ROW(mysql_hardware_log!$A$3:$A$722)-2,0),1),8)</f>
        <v>3407472</v>
      </c>
      <c r="AG13" s="46" cm="1">
        <f t="array" ref="AG13">INDEX(mysql_hardware_log!$A$3:$T$722,LARGE(IF((mysql_hardware_log!$A$3:$A$722=AF$2)*(mysql_hardware_log!$B$3:$B$722=AG$3),ROW(mysql_hardware_log!$A$3:$A$722)-2,0),1),8)</f>
        <v>3200848</v>
      </c>
      <c r="AH13" s="47" cm="1">
        <f t="array" ref="AH13">INDEX(mysql_hardware_log!$A$3:$T$722,LARGE(IF((mysql_hardware_log!$A$3:$A$722=AF$2)*(mysql_hardware_log!$B$3:$B$722=AH$3),ROW(mysql_hardware_log!$A$3:$A$722)-2,0),1),8)</f>
        <v>3077824</v>
      </c>
      <c r="AI13" s="45" cm="1">
        <f t="array" ref="AI13">INDEX(mysql_hardware_log!$A$3:$T$722,LARGE(IF((mysql_hardware_log!$A$3:$A$722=AI$2)*(mysql_hardware_log!$B$3:$B$722=AI$3),ROW(mysql_hardware_log!$A$3:$A$722)-2,0),1),8)</f>
        <v>2864828</v>
      </c>
      <c r="AJ13" s="46" cm="1">
        <f t="array" ref="AJ13">INDEX(mysql_hardware_log!$A$3:$T$722,LARGE(IF((mysql_hardware_log!$A$3:$A$722=AI$2)*(mysql_hardware_log!$B$3:$B$722=AJ$3),ROW(mysql_hardware_log!$A$3:$A$722)-2,0),1),8)</f>
        <v>2253708</v>
      </c>
      <c r="AK13" s="47" cm="1">
        <f t="array" ref="AK13">INDEX(mysql_hardware_log!$A$3:$T$722,LARGE(IF((mysql_hardware_log!$A$3:$A$722=AI$2)*(mysql_hardware_log!$B$3:$B$722=AK$3),ROW(mysql_hardware_log!$A$3:$A$722)-2,0),1),8)</f>
        <v>2278632</v>
      </c>
    </row>
    <row r="14" spans="1:37" x14ac:dyDescent="0.3">
      <c r="A14" s="42" t="s">
        <v>76</v>
      </c>
      <c r="B14" s="64">
        <f>B13-B12</f>
        <v>80896</v>
      </c>
      <c r="C14" s="51" t="s">
        <v>56</v>
      </c>
      <c r="D14" s="52" t="s">
        <v>56</v>
      </c>
      <c r="E14" s="64">
        <f>E13-E12</f>
        <v>-1024</v>
      </c>
      <c r="F14" s="46">
        <f t="shared" ref="F14" si="10">F13-F12</f>
        <v>-1024</v>
      </c>
      <c r="G14" s="47">
        <f t="shared" ref="G14:H14" si="11">G13-G12</f>
        <v>0</v>
      </c>
      <c r="H14" s="64">
        <f t="shared" si="11"/>
        <v>-14080</v>
      </c>
      <c r="I14" s="46">
        <f t="shared" ref="I14" si="12">I13-I12</f>
        <v>-256</v>
      </c>
      <c r="J14" s="47">
        <f t="shared" ref="J14:K14" si="13">J13-J12</f>
        <v>9472</v>
      </c>
      <c r="K14" s="64">
        <f t="shared" si="13"/>
        <v>94464</v>
      </c>
      <c r="L14" s="46">
        <f t="shared" ref="L14" si="14">L13-L12</f>
        <v>-9728</v>
      </c>
      <c r="M14" s="47">
        <f t="shared" ref="M14:N14" si="15">M13-M12</f>
        <v>-7424</v>
      </c>
      <c r="N14" s="64">
        <f t="shared" si="15"/>
        <v>-12800</v>
      </c>
      <c r="O14" s="46">
        <f t="shared" ref="O14" si="16">O13-O12</f>
        <v>-512</v>
      </c>
      <c r="P14" s="47">
        <f t="shared" ref="P14:Q14" si="17">P13-P12</f>
        <v>13312</v>
      </c>
      <c r="Q14" s="64">
        <f t="shared" si="17"/>
        <v>-8960</v>
      </c>
      <c r="R14" s="46">
        <f t="shared" ref="R14" si="18">R13-R12</f>
        <v>-256</v>
      </c>
      <c r="S14" s="47">
        <f t="shared" ref="S14" si="19">S13-S12</f>
        <v>-14336</v>
      </c>
      <c r="T14" s="64">
        <f>T13-T12</f>
        <v>2464908</v>
      </c>
      <c r="U14" s="46">
        <f>U13-U12</f>
        <v>-309552</v>
      </c>
      <c r="V14" s="47">
        <f>V13-V12</f>
        <v>217624</v>
      </c>
      <c r="W14" s="64">
        <f t="shared" ref="W14" si="20">W13-W12</f>
        <v>-29968</v>
      </c>
      <c r="X14" s="46">
        <f t="shared" ref="X14" si="21">X13-X12</f>
        <v>25960</v>
      </c>
      <c r="Y14" s="47">
        <f t="shared" ref="Y14" si="22">Y13-Y12</f>
        <v>-674852</v>
      </c>
      <c r="Z14" s="64">
        <f t="shared" ref="Z14" si="23">Z13-Z12</f>
        <v>-188776</v>
      </c>
      <c r="AA14" s="46">
        <f t="shared" ref="AA14" si="24">AA13-AA12</f>
        <v>116756</v>
      </c>
      <c r="AB14" s="47">
        <f t="shared" ref="AB14" si="25">AB13-AB12</f>
        <v>283896</v>
      </c>
      <c r="AC14" s="64">
        <f t="shared" ref="AC14" si="26">AC13-AC12</f>
        <v>228584</v>
      </c>
      <c r="AD14" s="46">
        <f t="shared" ref="AD14" si="27">AD13-AD12</f>
        <v>-596948</v>
      </c>
      <c r="AE14" s="47">
        <f t="shared" ref="AE14" si="28">AE13-AE12</f>
        <v>36740</v>
      </c>
      <c r="AF14" s="64">
        <f t="shared" ref="AF14" si="29">AF13-AF12</f>
        <v>929792</v>
      </c>
      <c r="AG14" s="46">
        <f t="shared" ref="AG14" si="30">AG13-AG12</f>
        <v>-210808</v>
      </c>
      <c r="AH14" s="47">
        <f t="shared" ref="AH14" si="31">AH13-AH12</f>
        <v>-149480</v>
      </c>
      <c r="AI14" s="64">
        <f t="shared" ref="AI14" si="32">AI13-AI12</f>
        <v>-473704</v>
      </c>
      <c r="AJ14" s="46">
        <f t="shared" ref="AJ14" si="33">AJ13-AJ12</f>
        <v>-355428</v>
      </c>
      <c r="AK14" s="47">
        <f t="shared" ref="AK14" si="34">AK13-AK12</f>
        <v>265800</v>
      </c>
    </row>
    <row r="15" spans="1:37" x14ac:dyDescent="0.3">
      <c r="A15" s="42" t="s">
        <v>77</v>
      </c>
      <c r="B15" s="48">
        <f>IFERROR(AVERAGEIFS(mongodb_hardware_log!$I$3:$I$3476,mongodb_hardware_log!$A$3:$A$3476,B$2,mongodb_hardware_log!$B$3:$B$3476,B$3),"N/A")</f>
        <v>6.6044568245125346</v>
      </c>
      <c r="C15" s="51" t="s">
        <v>56</v>
      </c>
      <c r="D15" s="52" t="s">
        <v>56</v>
      </c>
      <c r="E15" s="48">
        <f>IFERROR(AVERAGEIFS(mongodb_hardware_log!$I$3:$I$3476,mongodb_hardware_log!$A$3:$A$3476,E$2,mongodb_hardware_log!$B$3:$B$3476,E$3),"N/A")</f>
        <v>0.64457831325301207</v>
      </c>
      <c r="F15" s="53">
        <f>IFERROR(AVERAGEIFS(mongodb_hardware_log!$I$3:$I$3476,mongodb_hardware_log!$A$3:$A$3476,E$2,mongodb_hardware_log!$B$3:$B$3476,F$3),"N/A")</f>
        <v>0.70059880239520955</v>
      </c>
      <c r="G15" s="54">
        <f>IFERROR(AVERAGEIFS(mongodb_hardware_log!$I$3:$I$3476,mongodb_hardware_log!$A$3:$A$3476,E$2,mongodb_hardware_log!$B$3:$B$3476,G$3),"N/A")</f>
        <v>1.2461059190031152E-2</v>
      </c>
      <c r="H15" s="48">
        <f>IFERROR(AVERAGEIFS(mongodb_hardware_log!$I$3:$I$3476,mongodb_hardware_log!$A$3:$A$3476,H$2,mongodb_hardware_log!$B$3:$B$3476,H$3),"N/A")</f>
        <v>59.041666666666664</v>
      </c>
      <c r="I15" s="53">
        <f>IFERROR(AVERAGEIFS(mongodb_hardware_log!$I$3:$I$3476,mongodb_hardware_log!$A$3:$A$3476,H$2,mongodb_hardware_log!$B$3:$B$3476,I$3),"N/A")</f>
        <v>2.7727272727272729</v>
      </c>
      <c r="J15" s="54">
        <f>IFERROR(AVERAGEIFS(mongodb_hardware_log!$I$3:$I$3476,mongodb_hardware_log!$A$3:$A$3476,H$2,mongodb_hardware_log!$B$3:$B$3476,J$3),"N/A")</f>
        <v>0.81818181818181823</v>
      </c>
      <c r="K15" s="48">
        <f>IFERROR(AVERAGEIFS(mongodb_hardware_log!$I$3:$I$3476,mongodb_hardware_log!$A$3:$A$3476,K$2,mongodb_hardware_log!$B$3:$B$3476,K$3),"N/A")</f>
        <v>12.077868852459016</v>
      </c>
      <c r="L15" s="53">
        <f>IFERROR(AVERAGEIFS(mongodb_hardware_log!$I$3:$I$3476,mongodb_hardware_log!$A$3:$A$3476,K$2,mongodb_hardware_log!$B$3:$B$3476,L$3),"N/A")</f>
        <v>18.428000000000001</v>
      </c>
      <c r="M15" s="54">
        <f>IFERROR(AVERAGEIFS(mongodb_hardware_log!$I$3:$I$3476,mongodb_hardware_log!$A$3:$A$3476,K$2,mongodb_hardware_log!$B$3:$B$3476,M$3),"N/A")</f>
        <v>14.549407114624506</v>
      </c>
      <c r="N15" s="48">
        <f>IFERROR(AVERAGEIFS(mongodb_hardware_log!$I$3:$I$3476,mongodb_hardware_log!$A$3:$A$3476,N$2,mongodb_hardware_log!$B$3:$B$3476,N$3),"N/A")</f>
        <v>90.611111111111114</v>
      </c>
      <c r="O15" s="53">
        <f>IFERROR(AVERAGEIFS(mongodb_hardware_log!$I$3:$I$3476,mongodb_hardware_log!$A$3:$A$3476,N$2,mongodb_hardware_log!$B$3:$B$3476,O$3),"N/A")</f>
        <v>11.823529411764707</v>
      </c>
      <c r="P15" s="54">
        <f>IFERROR(AVERAGEIFS(mongodb_hardware_log!$I$3:$I$3476,mongodb_hardware_log!$A$3:$A$3476,N$2,mongodb_hardware_log!$B$3:$B$3476,P$3),"N/A")</f>
        <v>3.3888888888888888</v>
      </c>
      <c r="Q15" s="48">
        <f>IFERROR(AVERAGEIFS(mongodb_hardware_log!$I$3:$I$3476,mongodb_hardware_log!$A$3:$A$3476,Q$2,mongodb_hardware_log!$B$3:$B$3476,Q$3),"N/A")</f>
        <v>4.2888888888888888</v>
      </c>
      <c r="R15" s="53">
        <f>IFERROR(AVERAGEIFS(mongodb_hardware_log!$I$3:$I$3476,mongodb_hardware_log!$A$3:$A$3476,Q$2,mongodb_hardware_log!$B$3:$B$3476,R$3),"N/A")</f>
        <v>6.313645621181263E-2</v>
      </c>
      <c r="S15" s="54">
        <f>IFERROR(AVERAGEIFS(mongodb_hardware_log!$I$3:$I$3476,mongodb_hardware_log!$A$3:$A$3476,Q$2,mongodb_hardware_log!$B$3:$B$3476,S$3),"N/A")</f>
        <v>5.3386773547094188</v>
      </c>
      <c r="T15" s="48">
        <f>IFERROR(AVERAGEIFS(mysql_hardware_log!$I$3:$I$722,mysql_hardware_log!$A$3:$A$722,T$2,mysql_hardware_log!$B$3:$B$722,T$3),"N/A")</f>
        <v>44</v>
      </c>
      <c r="U15" s="53">
        <f>IFERROR(AVERAGEIFS(mysql_hardware_log!$I$3:$I$722,mysql_hardware_log!$A$3:$A$722,T$2,mysql_hardware_log!$B$3:$B$722,U$3),"N/A")</f>
        <v>3.3380281690140845</v>
      </c>
      <c r="V15" s="54">
        <f>IFERROR(AVERAGEIFS(mysql_hardware_log!$I$3:$I$722,mysql_hardware_log!$A$3:$A$722,T$2,mysql_hardware_log!$B$3:$B$722,V$3),"N/A")</f>
        <v>0.95714285714285718</v>
      </c>
      <c r="W15" s="48">
        <f>IFERROR(AVERAGEIFS(mysql_hardware_log!$I$3:$I$722,mysql_hardware_log!$A$3:$A$722,W$2,mysql_hardware_log!$B$3:$B$722,W$3),"N/A")</f>
        <v>9.4102564102564106</v>
      </c>
      <c r="X15" s="53">
        <f>IFERROR(AVERAGEIFS(mysql_hardware_log!$I$3:$I$722,mysql_hardware_log!$A$3:$A$722,W$2,mysql_hardware_log!$B$3:$B$722,X$3),"N/A")</f>
        <v>6.2820512820512819</v>
      </c>
      <c r="Y15" s="54">
        <f>IFERROR(AVERAGEIFS(mysql_hardware_log!$I$3:$I$722,mysql_hardware_log!$A$3:$A$722,W$2,mysql_hardware_log!$B$3:$B$722,Y$3),"N/A")</f>
        <v>6.7837837837837842</v>
      </c>
      <c r="Z15" s="48">
        <f>IFERROR(AVERAGEIFS(mysql_hardware_log!$I$3:$I$722,mysql_hardware_log!$A$3:$A$722,Z$2,mysql_hardware_log!$B$3:$B$722,Z$3),"N/A")</f>
        <v>0.33333333333333331</v>
      </c>
      <c r="AA15" s="53">
        <f>IFERROR(AVERAGEIFS(mysql_hardware_log!$I$3:$I$722,mysql_hardware_log!$A$3:$A$722,Z$2,mysql_hardware_log!$B$3:$B$722,AA$3),"N/A")</f>
        <v>0.18181818181818182</v>
      </c>
      <c r="AB15" s="54">
        <f>IFERROR(AVERAGEIFS(mysql_hardware_log!$I$3:$I$722,mysql_hardware_log!$A$3:$A$722,Z$2,mysql_hardware_log!$B$3:$B$722,AB$3),"N/A")</f>
        <v>0</v>
      </c>
      <c r="AC15" s="48">
        <f>IFERROR(AVERAGEIFS(mysql_hardware_log!$I$3:$I$722,mysql_hardware_log!$A$3:$A$722,AC$2,mysql_hardware_log!$B$3:$B$722,AC$3),"N/A")</f>
        <v>89.416666666666671</v>
      </c>
      <c r="AD15" s="53">
        <f>IFERROR(AVERAGEIFS(mysql_hardware_log!$I$3:$I$722,mysql_hardware_log!$A$3:$A$722,AC$2,mysql_hardware_log!$B$3:$B$722,AD$3),"N/A")</f>
        <v>2.9166666666666665</v>
      </c>
      <c r="AE15" s="54">
        <f>IFERROR(AVERAGEIFS(mysql_hardware_log!$I$3:$I$722,mysql_hardware_log!$A$3:$A$722,AC$2,mysql_hardware_log!$B$3:$B$722,AE$3),"N/A")</f>
        <v>0.54166666666666663</v>
      </c>
      <c r="AF15" s="48">
        <f>IFERROR(AVERAGEIFS(mysql_hardware_log!$I$3:$I$722,mysql_hardware_log!$A$3:$A$722,AF$2,mysql_hardware_log!$B$3:$B$722,AF$3),"N/A")</f>
        <v>46.983333333333334</v>
      </c>
      <c r="AG15" s="53">
        <f>IFERROR(AVERAGEIFS(mysql_hardware_log!$I$3:$I$722,mysql_hardware_log!$A$3:$A$722,AF$2,mysql_hardware_log!$B$3:$B$722,AG$3),"N/A")</f>
        <v>0.1702127659574468</v>
      </c>
      <c r="AH15" s="54">
        <f>IFERROR(AVERAGEIFS(mysql_hardware_log!$I$3:$I$722,mysql_hardware_log!$A$3:$A$722,AF$2,mysql_hardware_log!$B$3:$B$722,AH$3),"N/A")</f>
        <v>3.3898305084745763E-2</v>
      </c>
      <c r="AI15" s="48">
        <f>IFERROR(AVERAGEIFS(mysql_hardware_log!$I$3:$I$722,mysql_hardware_log!$A$3:$A$722,AI$2,mysql_hardware_log!$B$3:$B$722,AI$3),"N/A")</f>
        <v>0.10869565217391304</v>
      </c>
      <c r="AJ15" s="53">
        <f>IFERROR(AVERAGEIFS(mysql_hardware_log!$I$3:$I$722,mysql_hardware_log!$A$3:$A$722,AI$2,mysql_hardware_log!$B$3:$B$722,AJ$3),"N/A")</f>
        <v>0.2608695652173913</v>
      </c>
      <c r="AK15" s="54">
        <f>IFERROR(AVERAGEIFS(mysql_hardware_log!$I$3:$I$722,mysql_hardware_log!$A$3:$A$722,AI$2,mysql_hardware_log!$B$3:$B$722,AK$3),"N/A")</f>
        <v>0.10416666666666667</v>
      </c>
    </row>
    <row r="16" spans="1:37" x14ac:dyDescent="0.3">
      <c r="A16" s="42" t="s">
        <v>78</v>
      </c>
      <c r="B16" s="48">
        <f>_xlfn.MAXIFS(mongodb_hardware_log!$J$3:$J$3476,mongodb_hardware_log!$A$3:$A$3476,CalculatedMetrics!B$2,mongodb_hardware_log!$B$3:$B$3476,CalculatedMetrics!B$3)</f>
        <v>5527</v>
      </c>
      <c r="C16" s="51" t="s">
        <v>56</v>
      </c>
      <c r="D16" s="52" t="s">
        <v>56</v>
      </c>
      <c r="E16" s="48">
        <f>_xlfn.MAXIFS(mongodb_hardware_log!$J$3:$J$3476,mongodb_hardware_log!$A$3:$A$3476,CalculatedMetrics!E$2,mongodb_hardware_log!$B$3:$B$3476,CalculatedMetrics!E$3)</f>
        <v>31</v>
      </c>
      <c r="F16" s="53">
        <f>_xlfn.MAXIFS(mongodb_hardware_log!$J$3:$J$3476,mongodb_hardware_log!$A$3:$A$3476,CalculatedMetrics!E$2,mongodb_hardware_log!$B$3:$B$3476,CalculatedMetrics!F$3)</f>
        <v>0</v>
      </c>
      <c r="G16" s="54">
        <f>_xlfn.MAXIFS(mongodb_hardware_log!$J$3:$J$3476,mongodb_hardware_log!$A$3:$A$3476,CalculatedMetrics!E$2,mongodb_hardware_log!$B$3:$B$3476,CalculatedMetrics!G$3)</f>
        <v>0</v>
      </c>
      <c r="H16" s="48">
        <f>_xlfn.MAXIFS(mongodb_hardware_log!$J$3:$J$3476,mongodb_hardware_log!$A$3:$A$3476,CalculatedMetrics!H$2,mongodb_hardware_log!$B$3:$B$3476,CalculatedMetrics!H$3)</f>
        <v>0</v>
      </c>
      <c r="I16" s="53">
        <f>_xlfn.MAXIFS(mongodb_hardware_log!$J$3:$J$3476,mongodb_hardware_log!$A$3:$A$3476,CalculatedMetrics!H$2,mongodb_hardware_log!$B$3:$B$3476,CalculatedMetrics!I$3)</f>
        <v>0</v>
      </c>
      <c r="J16" s="54">
        <f>_xlfn.MAXIFS(mongodb_hardware_log!$J$3:$J$3476,mongodb_hardware_log!$A$3:$A$3476,CalculatedMetrics!H$2,mongodb_hardware_log!$B$3:$B$3476,CalculatedMetrics!J$3)</f>
        <v>930</v>
      </c>
      <c r="K16" s="48">
        <f>_xlfn.MAXIFS(mongodb_hardware_log!$J$3:$J$3476,mongodb_hardware_log!$A$3:$A$3476,CalculatedMetrics!K$2,mongodb_hardware_log!$B$3:$B$3476,CalculatedMetrics!K$3)</f>
        <v>4922</v>
      </c>
      <c r="L16" s="53">
        <f>_xlfn.MAXIFS(mongodb_hardware_log!$J$3:$J$3476,mongodb_hardware_log!$A$3:$A$3476,CalculatedMetrics!K$2,mongodb_hardware_log!$B$3:$B$3476,CalculatedMetrics!L$3)</f>
        <v>595</v>
      </c>
      <c r="M16" s="54">
        <f>_xlfn.MAXIFS(mongodb_hardware_log!$J$3:$J$3476,mongodb_hardware_log!$A$3:$A$3476,CalculatedMetrics!K$2,mongodb_hardware_log!$B$3:$B$3476,CalculatedMetrics!M$3)</f>
        <v>794</v>
      </c>
      <c r="N16" s="48">
        <f>_xlfn.MAXIFS(mongodb_hardware_log!$J$3:$J$3476,mongodb_hardware_log!$A$3:$A$3476,CalculatedMetrics!N$2,mongodb_hardware_log!$B$3:$B$3476,CalculatedMetrics!N$3)</f>
        <v>33</v>
      </c>
      <c r="O16" s="53">
        <f>_xlfn.MAXIFS(mongodb_hardware_log!$J$3:$J$3476,mongodb_hardware_log!$A$3:$A$3476,CalculatedMetrics!N$2,mongodb_hardware_log!$B$3:$B$3476,CalculatedMetrics!O$3)</f>
        <v>0</v>
      </c>
      <c r="P16" s="54">
        <f>_xlfn.MAXIFS(mongodb_hardware_log!$J$3:$J$3476,mongodb_hardware_log!$A$3:$A$3476,CalculatedMetrics!N$2,mongodb_hardware_log!$B$3:$B$3476,CalculatedMetrics!P$3)</f>
        <v>1348</v>
      </c>
      <c r="Q16" s="48">
        <f>_xlfn.MAXIFS(mongodb_hardware_log!$J$3:$J$3476,mongodb_hardware_log!$A$3:$A$3476,CalculatedMetrics!Q$2,mongodb_hardware_log!$B$3:$B$3476,CalculatedMetrics!Q$3)</f>
        <v>0</v>
      </c>
      <c r="R16" s="53">
        <f>_xlfn.MAXIFS(mongodb_hardware_log!$J$3:$J$3476,mongodb_hardware_log!$A$3:$A$3476,CalculatedMetrics!Q$2,mongodb_hardware_log!$B$3:$B$3476,CalculatedMetrics!R$3)</f>
        <v>0</v>
      </c>
      <c r="S16" s="54">
        <f>_xlfn.MAXIFS(mongodb_hardware_log!$J$3:$J$3476,mongodb_hardware_log!$A$3:$A$3476,CalculatedMetrics!Q$2,mongodb_hardware_log!$B$3:$B$3476,CalculatedMetrics!S$3)</f>
        <v>0</v>
      </c>
      <c r="T16" s="48">
        <f>_xlfn.MAXIFS(mysql_hardware_log!$J$3:$J$722,mysql_hardware_log!$A$3:$A$722,CalculatedMetrics!T$2,mysql_hardware_log!$B$3:$B$722,CalculatedMetrics!T$3)</f>
        <v>0</v>
      </c>
      <c r="U16" s="53">
        <f>_xlfn.MAXIFS(mysql_hardware_log!$J$3:$J$722,mysql_hardware_log!$A$3:$A$722,CalculatedMetrics!T$2,mysql_hardware_log!$B$3:$B$722,CalculatedMetrics!U$3)</f>
        <v>0</v>
      </c>
      <c r="V16" s="54">
        <f>_xlfn.MAXIFS(mysql_hardware_log!$J$3:$J$722,mysql_hardware_log!$A$3:$A$722,CalculatedMetrics!T$2,mysql_hardware_log!$B$3:$B$722,CalculatedMetrics!V$3)</f>
        <v>87</v>
      </c>
      <c r="W16" s="48">
        <f>_xlfn.MAXIFS(mysql_hardware_log!$J$3:$J$722,mysql_hardware_log!$A$3:$A$722,CalculatedMetrics!W$2,mysql_hardware_log!$B$3:$B$722,CalculatedMetrics!W$3)</f>
        <v>0</v>
      </c>
      <c r="X16" s="53">
        <f>_xlfn.MAXIFS(mysql_hardware_log!$J$3:$J$722,mysql_hardware_log!$A$3:$A$722,CalculatedMetrics!W$2,mysql_hardware_log!$B$3:$B$722,CalculatedMetrics!X$3)</f>
        <v>0</v>
      </c>
      <c r="Y16" s="54">
        <f>_xlfn.MAXIFS(mysql_hardware_log!$J$3:$J$722,mysql_hardware_log!$A$3:$A$722,CalculatedMetrics!W$2,mysql_hardware_log!$B$3:$B$722,CalculatedMetrics!Y$3)</f>
        <v>0</v>
      </c>
      <c r="Z16" s="48">
        <f>_xlfn.MAXIFS(mysql_hardware_log!$J$3:$J$722,mysql_hardware_log!$A$3:$A$722,CalculatedMetrics!Z$2,mysql_hardware_log!$B$3:$B$722,CalculatedMetrics!Z$3)</f>
        <v>0</v>
      </c>
      <c r="AA16" s="53">
        <f>_xlfn.MAXIFS(mysql_hardware_log!$J$3:$J$722,mysql_hardware_log!$A$3:$A$722,CalculatedMetrics!Z$2,mysql_hardware_log!$B$3:$B$722,CalculatedMetrics!AA$3)</f>
        <v>0</v>
      </c>
      <c r="AB16" s="54">
        <f>_xlfn.MAXIFS(mysql_hardware_log!$J$3:$J$722,mysql_hardware_log!$A$3:$A$722,CalculatedMetrics!Z$2,mysql_hardware_log!$B$3:$B$722,CalculatedMetrics!AB$3)</f>
        <v>0</v>
      </c>
      <c r="AC16" s="48">
        <f>_xlfn.MAXIFS(mysql_hardware_log!$J$3:$J$722,mysql_hardware_log!$A$3:$A$722,CalculatedMetrics!AC$2,mysql_hardware_log!$B$3:$B$722,CalculatedMetrics!AC$3)</f>
        <v>0</v>
      </c>
      <c r="AD16" s="53">
        <f>_xlfn.MAXIFS(mysql_hardware_log!$J$3:$J$722,mysql_hardware_log!$A$3:$A$722,CalculatedMetrics!AC$2,mysql_hardware_log!$B$3:$B$722,CalculatedMetrics!AD$3)</f>
        <v>0</v>
      </c>
      <c r="AE16" s="54">
        <f>_xlfn.MAXIFS(mysql_hardware_log!$J$3:$J$722,mysql_hardware_log!$A$3:$A$722,CalculatedMetrics!AC$2,mysql_hardware_log!$B$3:$B$722,CalculatedMetrics!AE$3)</f>
        <v>0</v>
      </c>
      <c r="AF16" s="48">
        <f>_xlfn.MAXIFS(mysql_hardware_log!$J$3:$J$722,mysql_hardware_log!$A$3:$A$722,CalculatedMetrics!AF$2,mysql_hardware_log!$B$3:$B$722,CalculatedMetrics!AF$3)</f>
        <v>48</v>
      </c>
      <c r="AG16" s="53">
        <f>_xlfn.MAXIFS(mysql_hardware_log!$J$3:$J$722,mysql_hardware_log!$A$3:$A$722,CalculatedMetrics!AF$2,mysql_hardware_log!$B$3:$B$722,CalculatedMetrics!AG$3)</f>
        <v>22</v>
      </c>
      <c r="AH16" s="54">
        <f>_xlfn.MAXIFS(mysql_hardware_log!$J$3:$J$722,mysql_hardware_log!$A$3:$A$722,CalculatedMetrics!AF$2,mysql_hardware_log!$B$3:$B$722,CalculatedMetrics!AH$3)</f>
        <v>41</v>
      </c>
      <c r="AI16" s="48">
        <f>_xlfn.MAXIFS(mysql_hardware_log!$J$3:$J$722,mysql_hardware_log!$A$3:$A$722,CalculatedMetrics!AI$2,mysql_hardware_log!$B$3:$B$722,CalculatedMetrics!AI$3)</f>
        <v>60</v>
      </c>
      <c r="AJ16" s="53">
        <f>_xlfn.MAXIFS(mysql_hardware_log!$J$3:$J$722,mysql_hardware_log!$A$3:$A$722,CalculatedMetrics!AI$2,mysql_hardware_log!$B$3:$B$722,CalculatedMetrics!AJ$3)</f>
        <v>0</v>
      </c>
      <c r="AK16" s="54">
        <f>_xlfn.MAXIFS(mysql_hardware_log!$J$3:$J$722,mysql_hardware_log!$A$3:$A$722,CalculatedMetrics!AI$2,mysql_hardware_log!$B$3:$B$722,CalculatedMetrics!AK$3)</f>
        <v>648</v>
      </c>
    </row>
    <row r="17" spans="1:37" x14ac:dyDescent="0.3">
      <c r="A17" s="42" t="s">
        <v>59</v>
      </c>
      <c r="B17" s="48">
        <f>IFERROR(AVERAGEIFS(mongodb_hardware_log!$K$3:$K$3476,mongodb_hardware_log!$A$3:$A$3476,B$2,mongodb_hardware_log!$B$3:$B$3476,B$3),"N/A")</f>
        <v>15330.515320334262</v>
      </c>
      <c r="C17" s="51" t="s">
        <v>56</v>
      </c>
      <c r="D17" s="52" t="s">
        <v>56</v>
      </c>
      <c r="E17" s="48">
        <f>IFERROR(AVERAGEIFS(mongodb_hardware_log!$K$3:$K$3476,mongodb_hardware_log!$A$3:$A$3476,E$2,mongodb_hardware_log!$B$3:$B$3476,E$3),"N/A")</f>
        <v>981.39457831325296</v>
      </c>
      <c r="F17" s="53">
        <f>IFERROR(AVERAGEIFS(mongodb_hardware_log!$K$3:$K$3476,mongodb_hardware_log!$A$3:$A$3476,E$2,mongodb_hardware_log!$B$3:$B$3476,F$3),"N/A")</f>
        <v>1038.7215568862275</v>
      </c>
      <c r="G17" s="54">
        <f>IFERROR(AVERAGEIFS(mongodb_hardware_log!$K$3:$K$3476,mongodb_hardware_log!$A$3:$A$3476,E$2,mongodb_hardware_log!$B$3:$B$3476,G$3),"N/A")</f>
        <v>1188.5981308411215</v>
      </c>
      <c r="H17" s="48">
        <f>IFERROR(AVERAGEIFS(mongodb_hardware_log!$K$3:$K$3476,mongodb_hardware_log!$A$3:$A$3476,H$2,mongodb_hardware_log!$B$3:$B$3476,H$3),"N/A")</f>
        <v>7883.916666666667</v>
      </c>
      <c r="I17" s="53">
        <f>IFERROR(AVERAGEIFS(mongodb_hardware_log!$K$3:$K$3476,mongodb_hardware_log!$A$3:$A$3476,H$2,mongodb_hardware_log!$B$3:$B$3476,I$3),"N/A")</f>
        <v>11741.59090909091</v>
      </c>
      <c r="J17" s="54">
        <f>IFERROR(AVERAGEIFS(mongodb_hardware_log!$K$3:$K$3476,mongodb_hardware_log!$A$3:$A$3476,H$2,mongodb_hardware_log!$B$3:$B$3476,J$3),"N/A")</f>
        <v>7647.818181818182</v>
      </c>
      <c r="K17" s="48">
        <f>IFERROR(AVERAGEIFS(mongodb_hardware_log!$K$3:$K$3476,mongodb_hardware_log!$A$3:$A$3476,K$2,mongodb_hardware_log!$B$3:$B$3476,K$3),"N/A")</f>
        <v>20126.032786885247</v>
      </c>
      <c r="L17" s="53">
        <f>IFERROR(AVERAGEIFS(mongodb_hardware_log!$K$3:$K$3476,mongodb_hardware_log!$A$3:$A$3476,K$2,mongodb_hardware_log!$B$3:$B$3476,L$3),"N/A")</f>
        <v>16551.16</v>
      </c>
      <c r="M17" s="54">
        <f>IFERROR(AVERAGEIFS(mongodb_hardware_log!$K$3:$K$3476,mongodb_hardware_log!$A$3:$A$3476,K$2,mongodb_hardware_log!$B$3:$B$3476,M$3),"N/A")</f>
        <v>16016.474308300396</v>
      </c>
      <c r="N17" s="48">
        <f>IFERROR(AVERAGEIFS(mongodb_hardware_log!$K$3:$K$3476,mongodb_hardware_log!$A$3:$A$3476,N$2,mongodb_hardware_log!$B$3:$B$3476,N$3),"N/A")</f>
        <v>6819.0555555555557</v>
      </c>
      <c r="O17" s="53">
        <f>IFERROR(AVERAGEIFS(mongodb_hardware_log!$K$3:$K$3476,mongodb_hardware_log!$A$3:$A$3476,N$2,mongodb_hardware_log!$B$3:$B$3476,O$3),"N/A")</f>
        <v>4619.0588235294117</v>
      </c>
      <c r="P17" s="54">
        <f>IFERROR(AVERAGEIFS(mongodb_hardware_log!$K$3:$K$3476,mongodb_hardware_log!$A$3:$A$3476,N$2,mongodb_hardware_log!$B$3:$B$3476,P$3),"N/A")</f>
        <v>7183.5</v>
      </c>
      <c r="Q17" s="48">
        <f>IFERROR(AVERAGEIFS(mongodb_hardware_log!$K$3:$K$3476,mongodb_hardware_log!$A$3:$A$3476,Q$2,mongodb_hardware_log!$B$3:$B$3476,Q$3),"N/A")</f>
        <v>1640.9481481481482</v>
      </c>
      <c r="R17" s="53">
        <f>IFERROR(AVERAGEIFS(mongodb_hardware_log!$K$3:$K$3476,mongodb_hardware_log!$A$3:$A$3476,Q$2,mongodb_hardware_log!$B$3:$B$3476,R$3),"N/A")</f>
        <v>1871.6761710794297</v>
      </c>
      <c r="S17" s="54">
        <f>IFERROR(AVERAGEIFS(mongodb_hardware_log!$K$3:$K$3476,mongodb_hardware_log!$A$3:$A$3476,Q$2,mongodb_hardware_log!$B$3:$B$3476,S$3),"N/A")</f>
        <v>1887.4188376753507</v>
      </c>
      <c r="T17" s="48">
        <f>IFERROR(AVERAGEIFS(mysql_hardware_log!$K$3:$K$722,mysql_hardware_log!$A$3:$A$722,T$2,mysql_hardware_log!$B$3:$B$722,T$3),"N/A")</f>
        <v>13382.196721311475</v>
      </c>
      <c r="U17" s="53">
        <f>IFERROR(AVERAGEIFS(mysql_hardware_log!$K$3:$K$722,mysql_hardware_log!$A$3:$A$722,T$2,mysql_hardware_log!$B$3:$B$722,U$3),"N/A")</f>
        <v>8644.1126760563384</v>
      </c>
      <c r="V17" s="54">
        <f>IFERROR(AVERAGEIFS(mysql_hardware_log!$K$3:$K$722,mysql_hardware_log!$A$3:$A$722,T$2,mysql_hardware_log!$B$3:$B$722,V$3),"N/A")</f>
        <v>10721.185714285713</v>
      </c>
      <c r="W17" s="48">
        <f>IFERROR(AVERAGEIFS(mysql_hardware_log!$K$3:$K$722,mysql_hardware_log!$A$3:$A$722,W$2,mysql_hardware_log!$B$3:$B$722,W$3),"N/A")</f>
        <v>15332.871794871795</v>
      </c>
      <c r="X17" s="53">
        <f>IFERROR(AVERAGEIFS(mysql_hardware_log!$K$3:$K$722,mysql_hardware_log!$A$3:$A$722,W$2,mysql_hardware_log!$B$3:$B$722,X$3),"N/A")</f>
        <v>14200.153846153846</v>
      </c>
      <c r="Y17" s="54">
        <f>IFERROR(AVERAGEIFS(mysql_hardware_log!$K$3:$K$722,mysql_hardware_log!$A$3:$A$722,W$2,mysql_hardware_log!$B$3:$B$722,Y$3),"N/A")</f>
        <v>11112.675675675675</v>
      </c>
      <c r="Z17" s="48">
        <f>IFERROR(AVERAGEIFS(mysql_hardware_log!$K$3:$K$722,mysql_hardware_log!$A$3:$A$722,Z$2,mysql_hardware_log!$B$3:$B$722,Z$3),"N/A")</f>
        <v>4070</v>
      </c>
      <c r="AA17" s="53">
        <f>IFERROR(AVERAGEIFS(mysql_hardware_log!$K$3:$K$722,mysql_hardware_log!$A$3:$A$722,Z$2,mysql_hardware_log!$B$3:$B$722,AA$3),"N/A")</f>
        <v>761.72727272727275</v>
      </c>
      <c r="AB17" s="54">
        <f>IFERROR(AVERAGEIFS(mysql_hardware_log!$K$3:$K$722,mysql_hardware_log!$A$3:$A$722,Z$2,mysql_hardware_log!$B$3:$B$722,AB$3),"N/A")</f>
        <v>409.27272727272725</v>
      </c>
      <c r="AC17" s="48">
        <f>IFERROR(AVERAGEIFS(mysql_hardware_log!$K$3:$K$722,mysql_hardware_log!$A$3:$A$722,AC$2,mysql_hardware_log!$B$3:$B$722,AC$3),"N/A")</f>
        <v>2008.3333333333333</v>
      </c>
      <c r="AD17" s="53">
        <f>IFERROR(AVERAGEIFS(mysql_hardware_log!$K$3:$K$722,mysql_hardware_log!$A$3:$A$722,AC$2,mysql_hardware_log!$B$3:$B$722,AD$3),"N/A")</f>
        <v>870.33333333333337</v>
      </c>
      <c r="AE17" s="54">
        <f>IFERROR(AVERAGEIFS(mysql_hardware_log!$K$3:$K$722,mysql_hardware_log!$A$3:$A$722,AC$2,mysql_hardware_log!$B$3:$B$722,AE$3),"N/A")</f>
        <v>195.45833333333334</v>
      </c>
      <c r="AF17" s="48">
        <f>IFERROR(AVERAGEIFS(mysql_hardware_log!$K$3:$K$722,mysql_hardware_log!$A$3:$A$722,AF$2,mysql_hardware_log!$B$3:$B$722,AF$3),"N/A")</f>
        <v>1446.3333333333333</v>
      </c>
      <c r="AG17" s="53">
        <f>IFERROR(AVERAGEIFS(mysql_hardware_log!$K$3:$K$722,mysql_hardware_log!$A$3:$A$722,AF$2,mysql_hardware_log!$B$3:$B$722,AG$3),"N/A")</f>
        <v>1225.9574468085107</v>
      </c>
      <c r="AH17" s="54">
        <f>IFERROR(AVERAGEIFS(mysql_hardware_log!$K$3:$K$722,mysql_hardware_log!$A$3:$A$722,AF$2,mysql_hardware_log!$B$3:$B$722,AH$3),"N/A")</f>
        <v>1308.593220338983</v>
      </c>
      <c r="AI17" s="48">
        <f>IFERROR(AVERAGEIFS(mysql_hardware_log!$K$3:$K$722,mysql_hardware_log!$A$3:$A$722,AI$2,mysql_hardware_log!$B$3:$B$722,AI$3),"N/A")</f>
        <v>2510.695652173913</v>
      </c>
      <c r="AJ17" s="53">
        <f>IFERROR(AVERAGEIFS(mysql_hardware_log!$K$3:$K$722,mysql_hardware_log!$A$3:$A$722,AI$2,mysql_hardware_log!$B$3:$B$722,AJ$3),"N/A")</f>
        <v>1716.108695652174</v>
      </c>
      <c r="AK17" s="54">
        <f>IFERROR(AVERAGEIFS(mysql_hardware_log!$K$3:$K$722,mysql_hardware_log!$A$3:$A$722,AI$2,mysql_hardware_log!$B$3:$B$722,AK$3),"N/A")</f>
        <v>7629.5625</v>
      </c>
    </row>
    <row r="18" spans="1:37" x14ac:dyDescent="0.3">
      <c r="A18" s="42" t="s">
        <v>60</v>
      </c>
      <c r="B18" s="45">
        <f>_xlfn.MAXIFS(mongodb_hardware_log!$K$3:$K$3476,mongodb_hardware_log!$A$3:$A$3476,CalculatedMetrics!B$2,mongodb_hardware_log!$B$3:$B$3476,CalculatedMetrics!B$3)</f>
        <v>27483</v>
      </c>
      <c r="C18" s="51" t="s">
        <v>56</v>
      </c>
      <c r="D18" s="52" t="s">
        <v>56</v>
      </c>
      <c r="E18" s="45">
        <f>_xlfn.MAXIFS(mongodb_hardware_log!$K$3:$K$3476,mongodb_hardware_log!$A$3:$A$3476,CalculatedMetrics!E$2,mongodb_hardware_log!$B$3:$B$3476,CalculatedMetrics!E$3)</f>
        <v>13536</v>
      </c>
      <c r="F18" s="46">
        <f>_xlfn.MAXIFS(mongodb_hardware_log!$K$3:$K$3476,mongodb_hardware_log!$A$3:$A$3476,CalculatedMetrics!E$2,mongodb_hardware_log!$B$3:$B$3476,CalculatedMetrics!F$3)</f>
        <v>3053</v>
      </c>
      <c r="G18" s="47">
        <f>_xlfn.MAXIFS(mongodb_hardware_log!$K$3:$K$3476,mongodb_hardware_log!$A$3:$A$3476,CalculatedMetrics!E$2,mongodb_hardware_log!$B$3:$B$3476,CalculatedMetrics!G$3)</f>
        <v>1800</v>
      </c>
      <c r="H18" s="45">
        <f>_xlfn.MAXIFS(mongodb_hardware_log!$K$3:$K$3476,mongodb_hardware_log!$A$3:$A$3476,CalculatedMetrics!H$2,mongodb_hardware_log!$B$3:$B$3476,CalculatedMetrics!H$3)</f>
        <v>17095</v>
      </c>
      <c r="I18" s="46">
        <f>_xlfn.MAXIFS(mongodb_hardware_log!$K$3:$K$3476,mongodb_hardware_log!$A$3:$A$3476,CalculatedMetrics!H$2,mongodb_hardware_log!$B$3:$B$3476,CalculatedMetrics!I$3)</f>
        <v>18888</v>
      </c>
      <c r="J18" s="47">
        <f>_xlfn.MAXIFS(mongodb_hardware_log!$K$3:$K$3476,mongodb_hardware_log!$A$3:$A$3476,CalculatedMetrics!H$2,mongodb_hardware_log!$B$3:$B$3476,CalculatedMetrics!J$3)</f>
        <v>24028</v>
      </c>
      <c r="K18" s="45">
        <f>_xlfn.MAXIFS(mongodb_hardware_log!$K$3:$K$3476,mongodb_hardware_log!$A$3:$A$3476,CalculatedMetrics!K$2,mongodb_hardware_log!$B$3:$B$3476,CalculatedMetrics!K$3)</f>
        <v>39406</v>
      </c>
      <c r="L18" s="46">
        <f>_xlfn.MAXIFS(mongodb_hardware_log!$K$3:$K$3476,mongodb_hardware_log!$A$3:$A$3476,CalculatedMetrics!K$2,mongodb_hardware_log!$B$3:$B$3476,CalculatedMetrics!L$3)</f>
        <v>26599</v>
      </c>
      <c r="M18" s="47">
        <f>_xlfn.MAXIFS(mongodb_hardware_log!$K$3:$K$3476,mongodb_hardware_log!$A$3:$A$3476,CalculatedMetrics!K$2,mongodb_hardware_log!$B$3:$B$3476,CalculatedMetrics!M$3)</f>
        <v>21980</v>
      </c>
      <c r="N18" s="45">
        <f>_xlfn.MAXIFS(mongodb_hardware_log!$K$3:$K$3476,mongodb_hardware_log!$A$3:$A$3476,CalculatedMetrics!N$2,mongodb_hardware_log!$B$3:$B$3476,CalculatedMetrics!N$3)</f>
        <v>21416</v>
      </c>
      <c r="O18" s="46">
        <f>_xlfn.MAXIFS(mongodb_hardware_log!$K$3:$K$3476,mongodb_hardware_log!$A$3:$A$3476,CalculatedMetrics!N$2,mongodb_hardware_log!$B$3:$B$3476,CalculatedMetrics!O$3)</f>
        <v>8193</v>
      </c>
      <c r="P18" s="47">
        <f>_xlfn.MAXIFS(mongodb_hardware_log!$K$3:$K$3476,mongodb_hardware_log!$A$3:$A$3476,CalculatedMetrics!N$2,mongodb_hardware_log!$B$3:$B$3476,CalculatedMetrics!P$3)</f>
        <v>11007</v>
      </c>
      <c r="Q18" s="45">
        <f>_xlfn.MAXIFS(mongodb_hardware_log!$K$3:$K$3476,mongodb_hardware_log!$A$3:$A$3476,CalculatedMetrics!Q$2,mongodb_hardware_log!$B$3:$B$3476,CalculatedMetrics!Q$3)</f>
        <v>4484</v>
      </c>
      <c r="R18" s="46">
        <f>_xlfn.MAXIFS(mongodb_hardware_log!$K$3:$K$3476,mongodb_hardware_log!$A$3:$A$3476,CalculatedMetrics!Q$2,mongodb_hardware_log!$B$3:$B$3476,CalculatedMetrics!R$3)</f>
        <v>4531</v>
      </c>
      <c r="S18" s="47">
        <f>_xlfn.MAXIFS(mongodb_hardware_log!$K$3:$K$3476,mongodb_hardware_log!$A$3:$A$3476,CalculatedMetrics!Q$2,mongodb_hardware_log!$B$3:$B$3476,CalculatedMetrics!S$3)</f>
        <v>5395</v>
      </c>
      <c r="T18" s="45">
        <f>_xlfn.MAXIFS(mysql_hardware_log!$K$3:$K$722,mysql_hardware_log!$A$3:$A$722,CalculatedMetrics!T$2,mysql_hardware_log!$B$3:$B$722,CalculatedMetrics!T$3)</f>
        <v>20491</v>
      </c>
      <c r="U18" s="46">
        <f>_xlfn.MAXIFS(mysql_hardware_log!$K$3:$K$722,mysql_hardware_log!$A$3:$A$722,CalculatedMetrics!T$2,mysql_hardware_log!$B$3:$B$722,CalculatedMetrics!U$3)</f>
        <v>13836</v>
      </c>
      <c r="V18" s="47">
        <f>_xlfn.MAXIFS(mysql_hardware_log!$K$3:$K$722,mysql_hardware_log!$A$3:$A$722,CalculatedMetrics!T$2,mysql_hardware_log!$B$3:$B$722,CalculatedMetrics!V$3)</f>
        <v>13107</v>
      </c>
      <c r="W18" s="45">
        <f>_xlfn.MAXIFS(mysql_hardware_log!$K$3:$K$722,mysql_hardware_log!$A$3:$A$722,CalculatedMetrics!W$2,mysql_hardware_log!$B$3:$B$722,CalculatedMetrics!W$3)</f>
        <v>99786</v>
      </c>
      <c r="X18" s="46">
        <f>_xlfn.MAXIFS(mysql_hardware_log!$K$3:$K$722,mysql_hardware_log!$A$3:$A$722,CalculatedMetrics!W$2,mysql_hardware_log!$B$3:$B$722,CalculatedMetrics!X$3)</f>
        <v>107819</v>
      </c>
      <c r="Y18" s="47">
        <f>_xlfn.MAXIFS(mysql_hardware_log!$K$3:$K$722,mysql_hardware_log!$A$3:$A$722,CalculatedMetrics!W$2,mysql_hardware_log!$B$3:$B$722,CalculatedMetrics!Y$3)</f>
        <v>69338</v>
      </c>
      <c r="Z18" s="45">
        <f>_xlfn.MAXIFS(mysql_hardware_log!$K$3:$K$722,mysql_hardware_log!$A$3:$A$722,CalculatedMetrics!Z$2,mysql_hardware_log!$B$3:$B$722,CalculatedMetrics!Z$3)</f>
        <v>21348</v>
      </c>
      <c r="AA18" s="46">
        <f>_xlfn.MAXIFS(mysql_hardware_log!$K$3:$K$722,mysql_hardware_log!$A$3:$A$722,CalculatedMetrics!Z$2,mysql_hardware_log!$B$3:$B$722,CalculatedMetrics!AA$3)</f>
        <v>2882</v>
      </c>
      <c r="AB18" s="47">
        <f>_xlfn.MAXIFS(mysql_hardware_log!$K$3:$K$722,mysql_hardware_log!$A$3:$A$722,CalculatedMetrics!Z$2,mysql_hardware_log!$B$3:$B$722,CalculatedMetrics!AB$3)</f>
        <v>2326</v>
      </c>
      <c r="AC18" s="45">
        <f>_xlfn.MAXIFS(mysql_hardware_log!$K$3:$K$722,mysql_hardware_log!$A$3:$A$722,CalculatedMetrics!AC$2,mysql_hardware_log!$B$3:$B$722,CalculatedMetrics!AC$3)</f>
        <v>2876</v>
      </c>
      <c r="AD18" s="46">
        <f>_xlfn.MAXIFS(mysql_hardware_log!$K$3:$K$722,mysql_hardware_log!$A$3:$A$722,CalculatedMetrics!AC$2,mysql_hardware_log!$B$3:$B$722,CalculatedMetrics!AD$3)</f>
        <v>1431</v>
      </c>
      <c r="AE18" s="47">
        <f>_xlfn.MAXIFS(mysql_hardware_log!$K$3:$K$722,mysql_hardware_log!$A$3:$A$722,CalculatedMetrics!AC$2,mysql_hardware_log!$B$3:$B$722,CalculatedMetrics!AE$3)</f>
        <v>1225</v>
      </c>
      <c r="AF18" s="45">
        <f>_xlfn.MAXIFS(mysql_hardware_log!$K$3:$K$722,mysql_hardware_log!$A$3:$A$722,CalculatedMetrics!AF$2,mysql_hardware_log!$B$3:$B$722,CalculatedMetrics!AF$3)</f>
        <v>5590</v>
      </c>
      <c r="AG18" s="46">
        <f>_xlfn.MAXIFS(mysql_hardware_log!$K$3:$K$722,mysql_hardware_log!$A$3:$A$722,CalculatedMetrics!AF$2,mysql_hardware_log!$B$3:$B$722,CalculatedMetrics!AG$3)</f>
        <v>5912</v>
      </c>
      <c r="AH18" s="47">
        <f>_xlfn.MAXIFS(mysql_hardware_log!$K$3:$K$722,mysql_hardware_log!$A$3:$A$722,CalculatedMetrics!AF$2,mysql_hardware_log!$B$3:$B$722,CalculatedMetrics!AH$3)</f>
        <v>17826</v>
      </c>
      <c r="AI18" s="45">
        <f>_xlfn.MAXIFS(mysql_hardware_log!$K$3:$K$722,mysql_hardware_log!$A$3:$A$722,CalculatedMetrics!AI$2,mysql_hardware_log!$B$3:$B$722,CalculatedMetrics!AI$3)</f>
        <v>27810</v>
      </c>
      <c r="AJ18" s="46">
        <f>_xlfn.MAXIFS(mysql_hardware_log!$K$3:$K$722,mysql_hardware_log!$A$3:$A$722,CalculatedMetrics!AI$2,mysql_hardware_log!$B$3:$B$722,CalculatedMetrics!AJ$3)</f>
        <v>23156</v>
      </c>
      <c r="AK18" s="47">
        <f>_xlfn.MAXIFS(mysql_hardware_log!$K$3:$K$722,mysql_hardware_log!$A$3:$A$722,CalculatedMetrics!AI$2,mysql_hardware_log!$B$3:$B$722,CalculatedMetrics!AK$3)</f>
        <v>139670</v>
      </c>
    </row>
    <row r="19" spans="1:37" x14ac:dyDescent="0.3">
      <c r="A19" s="42" t="s">
        <v>67</v>
      </c>
      <c r="B19" s="45">
        <f>_xlfn.MAXIFS(mongodb_hardware_log!$W$3:$W$3476,mongodb_hardware_log!$A$3:$A$3476,CalculatedMetrics!B$2,mongodb_hardware_log!$B$3:$B$3476,CalculatedMetrics!B$3)</f>
        <v>22820.833333333332</v>
      </c>
      <c r="C19" s="51" t="s">
        <v>56</v>
      </c>
      <c r="D19" s="52" t="s">
        <v>56</v>
      </c>
      <c r="E19" s="45">
        <f>_xlfn.MAXIFS(mongodb_hardware_log!$W$3:$W$3476,mongodb_hardware_log!$A$3:$A$3476,CalculatedMetrics!E$2,mongodb_hardware_log!$B$3:$B$3476,CalculatedMetrics!E$3)</f>
        <v>13853.166666666666</v>
      </c>
      <c r="F19" s="46">
        <f>_xlfn.MAXIFS(mongodb_hardware_log!$W$3:$W$3476,mongodb_hardware_log!$A$3:$A$3476,CalculatedMetrics!E$2,mongodb_hardware_log!$B$3:$B$3476,CalculatedMetrics!F$3)</f>
        <v>1365.1666666666667</v>
      </c>
      <c r="G19" s="47">
        <f>_xlfn.MAXIFS(mongodb_hardware_log!$W$3:$W$3476,mongodb_hardware_log!$A$3:$A$3476,CalculatedMetrics!E$2,mongodb_hardware_log!$B$3:$B$3476,CalculatedMetrics!G$3)</f>
        <v>1300.8333333333333</v>
      </c>
      <c r="H19" s="45">
        <f>_xlfn.MAXIFS(mongodb_hardware_log!$W$3:$W$3476,mongodb_hardware_log!$A$3:$A$3476,CalculatedMetrics!H$2,mongodb_hardware_log!$B$3:$B$3476,CalculatedMetrics!H$3)</f>
        <v>15023.166666666666</v>
      </c>
      <c r="I19" s="46">
        <f>_xlfn.MAXIFS(mongodb_hardware_log!$W$3:$W$3476,mongodb_hardware_log!$A$3:$A$3476,CalculatedMetrics!H$2,mongodb_hardware_log!$B$3:$B$3476,CalculatedMetrics!I$3)</f>
        <v>15806.5</v>
      </c>
      <c r="J19" s="47">
        <f>_xlfn.MAXIFS(mongodb_hardware_log!$W$3:$W$3476,mongodb_hardware_log!$A$3:$A$3476,CalculatedMetrics!H$2,mongodb_hardware_log!$B$3:$B$3476,CalculatedMetrics!J$3)</f>
        <v>15852.666666666666</v>
      </c>
      <c r="K19" s="45">
        <f>_xlfn.MAXIFS(mongodb_hardware_log!$W$3:$W$3476,mongodb_hardware_log!$A$3:$A$3476,CalculatedMetrics!K$2,mongodb_hardware_log!$B$3:$B$3476,CalculatedMetrics!K$3)</f>
        <v>36092.5</v>
      </c>
      <c r="L19" s="46">
        <f>_xlfn.MAXIFS(mongodb_hardware_log!$W$3:$W$3476,mongodb_hardware_log!$A$3:$A$3476,CalculatedMetrics!K$2,mongodb_hardware_log!$B$3:$B$3476,CalculatedMetrics!L$3)</f>
        <v>22116.666666666668</v>
      </c>
      <c r="M19" s="47">
        <f>_xlfn.MAXIFS(mongodb_hardware_log!$W$3:$W$3476,mongodb_hardware_log!$A$3:$A$3476,CalculatedMetrics!K$2,mongodb_hardware_log!$B$3:$B$3476,CalculatedMetrics!M$3)</f>
        <v>18739.5</v>
      </c>
      <c r="N19" s="45">
        <f>_xlfn.MAXIFS(mongodb_hardware_log!$W$3:$W$3476,mongodb_hardware_log!$A$3:$A$3476,CalculatedMetrics!N$2,mongodb_hardware_log!$B$3:$B$3476,CalculatedMetrics!N$3)</f>
        <v>16652.333333333332</v>
      </c>
      <c r="O19" s="46">
        <f>_xlfn.MAXIFS(mongodb_hardware_log!$W$3:$W$3476,mongodb_hardware_log!$A$3:$A$3476,CalculatedMetrics!N$2,mongodb_hardware_log!$B$3:$B$3476,CalculatedMetrics!O$3)</f>
        <v>6268</v>
      </c>
      <c r="P19" s="47">
        <f>_xlfn.MAXIFS(mongodb_hardware_log!$W$3:$W$3476,mongodb_hardware_log!$A$3:$A$3476,CalculatedMetrics!N$2,mongodb_hardware_log!$B$3:$B$3476,CalculatedMetrics!P$3)</f>
        <v>9572.1666666666661</v>
      </c>
      <c r="Q19" s="45">
        <f>_xlfn.MAXIFS(mongodb_hardware_log!$W$3:$W$3476,mongodb_hardware_log!$A$3:$A$3476,CalculatedMetrics!Q$2,mongodb_hardware_log!$B$3:$B$3476,CalculatedMetrics!Q$3)</f>
        <v>8072.333333333333</v>
      </c>
      <c r="R19" s="46">
        <f>_xlfn.MAXIFS(mongodb_hardware_log!$W$3:$W$3476,mongodb_hardware_log!$A$3:$A$3476,CalculatedMetrics!Q$2,mongodb_hardware_log!$B$3:$B$3476,CalculatedMetrics!R$3)</f>
        <v>4219</v>
      </c>
      <c r="S19" s="47">
        <f>_xlfn.MAXIFS(mongodb_hardware_log!$W$3:$W$3476,mongodb_hardware_log!$A$3:$A$3476,CalculatedMetrics!Q$2,mongodb_hardware_log!$B$3:$B$3476,CalculatedMetrics!S$3)</f>
        <v>4753.833333333333</v>
      </c>
      <c r="T19" s="45">
        <f>_xlfn.MAXIFS(mysql_hardware_log!$W$3:$W$722,mysql_hardware_log!$A$3:$A$722,CalculatedMetrics!T$2,mysql_hardware_log!$B$3:$B$722,CalculatedMetrics!T$3)</f>
        <v>19456.5</v>
      </c>
      <c r="U19" s="46">
        <f>_xlfn.MAXIFS(mysql_hardware_log!$W$3:$W$722,mysql_hardware_log!$A$3:$A$722,CalculatedMetrics!T$2,mysql_hardware_log!$B$3:$B$722,CalculatedMetrics!U$3)</f>
        <v>13466.5</v>
      </c>
      <c r="V19" s="47">
        <f>_xlfn.MAXIFS(mysql_hardware_log!$W$3:$W$722,mysql_hardware_log!$A$3:$A$722,CalculatedMetrics!T$2,mysql_hardware_log!$B$3:$B$722,CalculatedMetrics!V$3)</f>
        <v>12521.333333333334</v>
      </c>
      <c r="W19" s="45">
        <f>_xlfn.MAXIFS(mysql_hardware_log!$W$3:$W$722,mysql_hardware_log!$A$3:$A$722,CalculatedMetrics!W$2,mysql_hardware_log!$B$3:$B$722,CalculatedMetrics!W$3)</f>
        <v>46598.833333333336</v>
      </c>
      <c r="X19" s="46">
        <f>_xlfn.MAXIFS(mysql_hardware_log!$W$3:$W$722,mysql_hardware_log!$A$3:$A$722,CalculatedMetrics!W$2,mysql_hardware_log!$B$3:$B$722,CalculatedMetrics!X$3)</f>
        <v>41090.666666666664</v>
      </c>
      <c r="Y19" s="47">
        <f>_xlfn.MAXIFS(mysql_hardware_log!$W$3:$W$722,mysql_hardware_log!$A$3:$A$722,CalculatedMetrics!W$2,mysql_hardware_log!$B$3:$B$722,CalculatedMetrics!Y$3)</f>
        <v>31814.5</v>
      </c>
      <c r="Z19" s="45">
        <f>_xlfn.MAXIFS(mysql_hardware_log!$W$3:$W$722,mysql_hardware_log!$A$3:$A$722,CalculatedMetrics!Z$2,mysql_hardware_log!$B$3:$B$722,CalculatedMetrics!Z$3)</f>
        <v>10174</v>
      </c>
      <c r="AA19" s="46">
        <f>_xlfn.MAXIFS(mysql_hardware_log!$W$3:$W$722,mysql_hardware_log!$A$3:$A$722,CalculatedMetrics!Z$2,mysql_hardware_log!$B$3:$B$722,CalculatedMetrics!AA$3)</f>
        <v>1396.5</v>
      </c>
      <c r="AB19" s="47">
        <f>_xlfn.MAXIFS(mysql_hardware_log!$W$3:$W$722,mysql_hardware_log!$A$3:$A$722,CalculatedMetrics!Z$2,mysql_hardware_log!$B$3:$B$722,CalculatedMetrics!AB$3)</f>
        <v>750.33333333333337</v>
      </c>
      <c r="AC19" s="45">
        <f>_xlfn.MAXIFS(mysql_hardware_log!$W$3:$W$722,mysql_hardware_log!$A$3:$A$722,CalculatedMetrics!AC$2,mysql_hardware_log!$B$3:$B$722,CalculatedMetrics!AC$3)</f>
        <v>2291.8333333333335</v>
      </c>
      <c r="AD19" s="46">
        <f>_xlfn.MAXIFS(mysql_hardware_log!$W$3:$W$722,mysql_hardware_log!$A$3:$A$722,CalculatedMetrics!AC$2,mysql_hardware_log!$B$3:$B$722,CalculatedMetrics!AD$3)</f>
        <v>1934</v>
      </c>
      <c r="AE19" s="47">
        <f>_xlfn.MAXIFS(mysql_hardware_log!$W$3:$W$722,mysql_hardware_log!$A$3:$A$722,CalculatedMetrics!AC$2,mysql_hardware_log!$B$3:$B$722,CalculatedMetrics!AE$3)</f>
        <v>1029.6666666666667</v>
      </c>
      <c r="AF19" s="45">
        <f>_xlfn.MAXIFS(mysql_hardware_log!$W$3:$W$722,mysql_hardware_log!$A$3:$A$722,CalculatedMetrics!AF$2,mysql_hardware_log!$B$3:$B$722,CalculatedMetrics!AF$3)</f>
        <v>3230.1666666666665</v>
      </c>
      <c r="AG19" s="46">
        <f>_xlfn.MAXIFS(mysql_hardware_log!$W$3:$W$722,mysql_hardware_log!$A$3:$A$722,CalculatedMetrics!AF$2,mysql_hardware_log!$B$3:$B$722,CalculatedMetrics!AG$3)</f>
        <v>3366</v>
      </c>
      <c r="AH19" s="47">
        <f>_xlfn.MAXIFS(mysql_hardware_log!$W$3:$W$722,mysql_hardware_log!$A$3:$A$722,CalculatedMetrics!AF$2,mysql_hardware_log!$B$3:$B$722,CalculatedMetrics!AH$3)</f>
        <v>4995.166666666667</v>
      </c>
      <c r="AI19" s="45">
        <f>_xlfn.MAXIFS(mysql_hardware_log!$W$3:$W$722,mysql_hardware_log!$A$3:$A$722,CalculatedMetrics!AI$2,mysql_hardware_log!$B$3:$B$722,CalculatedMetrics!AI$3)</f>
        <v>15895.666666666666</v>
      </c>
      <c r="AJ19" s="46">
        <f>_xlfn.MAXIFS(mysql_hardware_log!$W$3:$W$722,mysql_hardware_log!$A$3:$A$722,CalculatedMetrics!AI$2,mysql_hardware_log!$B$3:$B$722,CalculatedMetrics!AJ$3)</f>
        <v>13152.166666666666</v>
      </c>
      <c r="AK19" s="47">
        <f>_xlfn.MAXIFS(mysql_hardware_log!$W$3:$W$722,mysql_hardware_log!$A$3:$A$722,CalculatedMetrics!AI$2,mysql_hardware_log!$B$3:$B$722,CalculatedMetrics!AK$3)</f>
        <v>56543</v>
      </c>
    </row>
    <row r="20" spans="1:37" x14ac:dyDescent="0.3">
      <c r="A20" s="42" t="s">
        <v>61</v>
      </c>
      <c r="B20" s="45">
        <f>_xlfn.MAXIFS(mongodb_hardware_log!$C$3:$C$3476,mongodb_hardware_log!$A$3:$A$3476,B$2,mongodb_hardware_log!$B$3:$B$3476,CalculatedMetrics!B$3)</f>
        <v>5</v>
      </c>
      <c r="C20" s="51" t="s">
        <v>56</v>
      </c>
      <c r="D20" s="52" t="s">
        <v>56</v>
      </c>
      <c r="E20" s="45">
        <f>_xlfn.MAXIFS(mongodb_hardware_log!$C$3:$C$3476,mongodb_hardware_log!$A$3:$A$3476,E$2,mongodb_hardware_log!$B$3:$B$3476,CalculatedMetrics!E$3)</f>
        <v>8</v>
      </c>
      <c r="F20" s="46">
        <f>_xlfn.MAXIFS(mongodb_hardware_log!$C$3:$C$3476,mongodb_hardware_log!$A$3:$A$3476,E$2,mongodb_hardware_log!$B$3:$B$3476,CalculatedMetrics!F$3)</f>
        <v>5</v>
      </c>
      <c r="G20" s="47">
        <f>_xlfn.MAXIFS(mongodb_hardware_log!$C$3:$C$3476,mongodb_hardware_log!$A$3:$A$3476,E$2,mongodb_hardware_log!$B$3:$B$3476,CalculatedMetrics!G$3)</f>
        <v>4</v>
      </c>
      <c r="H20" s="45">
        <f>_xlfn.MAXIFS(mongodb_hardware_log!$C$3:$C$3476,mongodb_hardware_log!$A$3:$A$3476,H$2,mongodb_hardware_log!$B$3:$B$3476,CalculatedMetrics!H$3)</f>
        <v>2</v>
      </c>
      <c r="I20" s="46">
        <f>_xlfn.MAXIFS(mongodb_hardware_log!$C$3:$C$3476,mongodb_hardware_log!$A$3:$A$3476,H$2,mongodb_hardware_log!$B$3:$B$3476,CalculatedMetrics!I$3)</f>
        <v>6</v>
      </c>
      <c r="J20" s="47">
        <f>_xlfn.MAXIFS(mongodb_hardware_log!$C$3:$C$3476,mongodb_hardware_log!$A$3:$A$3476,H$2,mongodb_hardware_log!$B$3:$B$3476,CalculatedMetrics!J$3)</f>
        <v>2</v>
      </c>
      <c r="K20" s="45">
        <f>_xlfn.MAXIFS(mongodb_hardware_log!$C$3:$C$3476,mongodb_hardware_log!$A$3:$A$3476,K$2,mongodb_hardware_log!$B$3:$B$3476,CalculatedMetrics!K$3)</f>
        <v>6</v>
      </c>
      <c r="L20" s="46">
        <f>_xlfn.MAXIFS(mongodb_hardware_log!$C$3:$C$3476,mongodb_hardware_log!$A$3:$A$3476,K$2,mongodb_hardware_log!$B$3:$B$3476,CalculatedMetrics!L$3)</f>
        <v>4</v>
      </c>
      <c r="M20" s="47">
        <f>_xlfn.MAXIFS(mongodb_hardware_log!$C$3:$C$3476,mongodb_hardware_log!$A$3:$A$3476,K$2,mongodb_hardware_log!$B$3:$B$3476,CalculatedMetrics!M$3)</f>
        <v>5</v>
      </c>
      <c r="N20" s="45">
        <f>_xlfn.MAXIFS(mongodb_hardware_log!$C$3:$C$3476,mongodb_hardware_log!$A$3:$A$3476,N$2,mongodb_hardware_log!$B$3:$B$3476,CalculatedMetrics!N$3)</f>
        <v>2</v>
      </c>
      <c r="O20" s="46">
        <f>_xlfn.MAXIFS(mongodb_hardware_log!$C$3:$C$3476,mongodb_hardware_log!$A$3:$A$3476,N$2,mongodb_hardware_log!$B$3:$B$3476,CalculatedMetrics!O$3)</f>
        <v>1</v>
      </c>
      <c r="P20" s="47">
        <f>_xlfn.MAXIFS(mongodb_hardware_log!$C$3:$C$3476,mongodb_hardware_log!$A$3:$A$3476,N$2,mongodb_hardware_log!$B$3:$B$3476,CalculatedMetrics!P$3)</f>
        <v>1</v>
      </c>
      <c r="Q20" s="45">
        <f>_xlfn.MAXIFS(mongodb_hardware_log!$C$3:$C$3476,mongodb_hardware_log!$A$3:$A$3476,Q$2,mongodb_hardware_log!$B$3:$B$3476,CalculatedMetrics!Q$3)</f>
        <v>6</v>
      </c>
      <c r="R20" s="46">
        <f>_xlfn.MAXIFS(mongodb_hardware_log!$C$3:$C$3476,mongodb_hardware_log!$A$3:$A$3476,Q$2,mongodb_hardware_log!$B$3:$B$3476,CalculatedMetrics!R$3)</f>
        <v>7</v>
      </c>
      <c r="S20" s="47">
        <f>_xlfn.MAXIFS(mongodb_hardware_log!$C$3:$C$3476,mongodb_hardware_log!$A$3:$A$3476,Q$2,mongodb_hardware_log!$B$3:$B$3476,CalculatedMetrics!S$3)</f>
        <v>7</v>
      </c>
      <c r="T20" s="45">
        <f>_xlfn.MAXIFS(mysql_hardware_log!$C$3:$C$722,mysql_hardware_log!$A$3:$A$722,T$2,mysql_hardware_log!$B$3:$B$722,CalculatedMetrics!T$3)</f>
        <v>3</v>
      </c>
      <c r="U20" s="46">
        <f>_xlfn.MAXIFS(mysql_hardware_log!$C$3:$C$722,mysql_hardware_log!$A$3:$A$722,T$2,mysql_hardware_log!$B$3:$B$722,CalculatedMetrics!U$3)</f>
        <v>3</v>
      </c>
      <c r="V20" s="47">
        <f>_xlfn.MAXIFS(mysql_hardware_log!$C$3:$C$722,mysql_hardware_log!$A$3:$A$722,T$2,mysql_hardware_log!$B$3:$B$722,CalculatedMetrics!V$3)</f>
        <v>3</v>
      </c>
      <c r="W20" s="45">
        <f>_xlfn.MAXIFS(mysql_hardware_log!$C$3:$C$722,mysql_hardware_log!$A$3:$A$722,W$2,mysql_hardware_log!$B$3:$B$722,CalculatedMetrics!W$3)</f>
        <v>3</v>
      </c>
      <c r="X20" s="46">
        <f>_xlfn.MAXIFS(mysql_hardware_log!$C$3:$C$722,mysql_hardware_log!$A$3:$A$722,W$2,mysql_hardware_log!$B$3:$B$722,CalculatedMetrics!X$3)</f>
        <v>3</v>
      </c>
      <c r="Y20" s="47">
        <f>_xlfn.MAXIFS(mysql_hardware_log!$C$3:$C$722,mysql_hardware_log!$A$3:$A$722,W$2,mysql_hardware_log!$B$3:$B$722,CalculatedMetrics!Y$3)</f>
        <v>5</v>
      </c>
      <c r="Z20" s="45">
        <f>_xlfn.MAXIFS(mysql_hardware_log!$C$3:$C$722,mysql_hardware_log!$A$3:$A$722,Z$2,mysql_hardware_log!$B$3:$B$722,CalculatedMetrics!Z$3)</f>
        <v>1</v>
      </c>
      <c r="AA20" s="46">
        <f>_xlfn.MAXIFS(mysql_hardware_log!$C$3:$C$722,mysql_hardware_log!$A$3:$A$722,Z$2,mysql_hardware_log!$B$3:$B$722,CalculatedMetrics!AA$3)</f>
        <v>1</v>
      </c>
      <c r="AB20" s="47">
        <f>_xlfn.MAXIFS(mysql_hardware_log!$C$3:$C$722,mysql_hardware_log!$A$3:$A$722,Z$2,mysql_hardware_log!$B$3:$B$722,CalculatedMetrics!AB$3)</f>
        <v>1</v>
      </c>
      <c r="AC20" s="45">
        <f>_xlfn.MAXIFS(mysql_hardware_log!$C$3:$C$722,mysql_hardware_log!$A$3:$A$722,AC$2,mysql_hardware_log!$B$3:$B$722,CalculatedMetrics!AC$3)</f>
        <v>1</v>
      </c>
      <c r="AD20" s="46">
        <f>_xlfn.MAXIFS(mysql_hardware_log!$C$3:$C$722,mysql_hardware_log!$A$3:$A$722,AC$2,mysql_hardware_log!$B$3:$B$722,CalculatedMetrics!AD$3)</f>
        <v>2</v>
      </c>
      <c r="AE20" s="47">
        <f>_xlfn.MAXIFS(mysql_hardware_log!$C$3:$C$722,mysql_hardware_log!$A$3:$A$722,AC$2,mysql_hardware_log!$B$3:$B$722,CalculatedMetrics!AE$3)</f>
        <v>2</v>
      </c>
      <c r="AF20" s="45">
        <f>_xlfn.MAXIFS(mysql_hardware_log!$C$3:$C$722,mysql_hardware_log!$A$3:$A$722,AF$2,mysql_hardware_log!$B$3:$B$722,CalculatedMetrics!AF$3)</f>
        <v>6</v>
      </c>
      <c r="AG20" s="46">
        <f>_xlfn.MAXIFS(mysql_hardware_log!$C$3:$C$722,mysql_hardware_log!$A$3:$A$722,AF$2,mysql_hardware_log!$B$3:$B$722,CalculatedMetrics!AG$3)</f>
        <v>7</v>
      </c>
      <c r="AH20" s="47">
        <f>_xlfn.MAXIFS(mysql_hardware_log!$C$3:$C$722,mysql_hardware_log!$A$3:$A$722,AF$2,mysql_hardware_log!$B$3:$B$722,CalculatedMetrics!AH$3)</f>
        <v>4</v>
      </c>
      <c r="AI20" s="45">
        <f>_xlfn.MAXIFS(mysql_hardware_log!$C$3:$C$722,mysql_hardware_log!$A$3:$A$722,AI$2,mysql_hardware_log!$B$3:$B$722,CalculatedMetrics!AI$3)</f>
        <v>2</v>
      </c>
      <c r="AJ20" s="46">
        <f>_xlfn.MAXIFS(mysql_hardware_log!$C$3:$C$722,mysql_hardware_log!$A$3:$A$722,AI$2,mysql_hardware_log!$B$3:$B$722,CalculatedMetrics!AJ$3)</f>
        <v>2</v>
      </c>
      <c r="AK20" s="47">
        <f>_xlfn.MAXIFS(mysql_hardware_log!$C$3:$C$722,mysql_hardware_log!$A$3:$A$722,AI$2,mysql_hardware_log!$B$3:$B$722,CalculatedMetrics!AK$3)</f>
        <v>5</v>
      </c>
    </row>
    <row r="21" spans="1:37" x14ac:dyDescent="0.3">
      <c r="A21" s="42" t="s">
        <v>64</v>
      </c>
      <c r="B21" s="49">
        <f>_xlfn.MAXIFS(mongodb_hardware_log!$U$3:$U$3476,mongodb_hardware_log!$A$3:$A$3476,B$2,mongodb_hardware_log!$B$3:$B$3476,CalculatedMetrics!B$3)</f>
        <v>1.6666666666666667</v>
      </c>
      <c r="C21" s="60" t="s">
        <v>56</v>
      </c>
      <c r="D21" s="61" t="s">
        <v>56</v>
      </c>
      <c r="E21" s="49">
        <f>_xlfn.MAXIFS(mongodb_hardware_log!$U$3:$U$3476,mongodb_hardware_log!$A$3:$A$3476,E$2,mongodb_hardware_log!$B$3:$B$3476,CalculatedMetrics!E$3)</f>
        <v>3.5</v>
      </c>
      <c r="F21" s="62">
        <f>_xlfn.MAXIFS(mongodb_hardware_log!$U$3:$U$3476,mongodb_hardware_log!$A$3:$A$3476,E$2,mongodb_hardware_log!$B$3:$B$3476,CalculatedMetrics!F$3)</f>
        <v>1.6666666666666667</v>
      </c>
      <c r="G21" s="63">
        <f>_xlfn.MAXIFS(mongodb_hardware_log!$U$3:$U$3476,mongodb_hardware_log!$A$3:$A$3476,E$2,mongodb_hardware_log!$B$3:$B$3476,CalculatedMetrics!G$3)</f>
        <v>2</v>
      </c>
      <c r="H21" s="49">
        <f>_xlfn.MAXIFS(mongodb_hardware_log!$U$3:$U$3476,mongodb_hardware_log!$A$3:$A$3476,H$2,mongodb_hardware_log!$B$3:$B$3476,CalculatedMetrics!H$3)</f>
        <v>1.1666666666666667</v>
      </c>
      <c r="I21" s="62">
        <f>_xlfn.MAXIFS(mongodb_hardware_log!$U$3:$U$3476,mongodb_hardware_log!$A$3:$A$3476,H$2,mongodb_hardware_log!$B$3:$B$3476,CalculatedMetrics!I$3)</f>
        <v>2.1666666666666665</v>
      </c>
      <c r="J21" s="63">
        <f>_xlfn.MAXIFS(mongodb_hardware_log!$U$3:$U$3476,mongodb_hardware_log!$A$3:$A$3476,H$2,mongodb_hardware_log!$B$3:$B$3476,CalculatedMetrics!J$3)</f>
        <v>1.1666666666666667</v>
      </c>
      <c r="K21" s="49">
        <f>_xlfn.MAXIFS(mongodb_hardware_log!$U$3:$U$3476,mongodb_hardware_log!$A$3:$A$3476,K$2,mongodb_hardware_log!$B$3:$B$3476,CalculatedMetrics!K$3)</f>
        <v>2.3333333333333335</v>
      </c>
      <c r="L21" s="62">
        <f>_xlfn.MAXIFS(mongodb_hardware_log!$U$3:$U$3476,mongodb_hardware_log!$A$3:$A$3476,K$2,mongodb_hardware_log!$B$3:$B$3476,CalculatedMetrics!L$3)</f>
        <v>1.5</v>
      </c>
      <c r="M21" s="63">
        <f>_xlfn.MAXIFS(mongodb_hardware_log!$U$3:$U$3476,mongodb_hardware_log!$A$3:$A$3476,K$2,mongodb_hardware_log!$B$3:$B$3476,CalculatedMetrics!M$3)</f>
        <v>1.8333333333333333</v>
      </c>
      <c r="N21" s="49">
        <f>_xlfn.MAXIFS(mongodb_hardware_log!$U$3:$U$3476,mongodb_hardware_log!$A$3:$A$3476,N$2,mongodb_hardware_log!$B$3:$B$3476,CalculatedMetrics!N$3)</f>
        <v>1.3333333333333333</v>
      </c>
      <c r="O21" s="62">
        <f>_xlfn.MAXIFS(mongodb_hardware_log!$U$3:$U$3476,mongodb_hardware_log!$A$3:$A$3476,N$2,mongodb_hardware_log!$B$3:$B$3476,CalculatedMetrics!O$3)</f>
        <v>1</v>
      </c>
      <c r="P21" s="63">
        <f>_xlfn.MAXIFS(mongodb_hardware_log!$U$3:$U$3476,mongodb_hardware_log!$A$3:$A$3476,N$2,mongodb_hardware_log!$B$3:$B$3476,CalculatedMetrics!P$3)</f>
        <v>1</v>
      </c>
      <c r="Q21" s="49">
        <f>_xlfn.MAXIFS(mongodb_hardware_log!$U$3:$U$3476,mongodb_hardware_log!$A$3:$A$3476,Q$2,mongodb_hardware_log!$B$3:$B$3476,CalculatedMetrics!Q$3)</f>
        <v>1.8333333333333333</v>
      </c>
      <c r="R21" s="62">
        <f>_xlfn.MAXIFS(mongodb_hardware_log!$U$3:$U$3476,mongodb_hardware_log!$A$3:$A$3476,Q$2,mongodb_hardware_log!$B$3:$B$3476,CalculatedMetrics!R$3)</f>
        <v>2.1666666666666665</v>
      </c>
      <c r="S21" s="63">
        <f>_xlfn.MAXIFS(mongodb_hardware_log!$U$3:$U$3476,mongodb_hardware_log!$A$3:$A$3476,Q$2,mongodb_hardware_log!$B$3:$B$3476,CalculatedMetrics!S$3)</f>
        <v>2.8333333333333335</v>
      </c>
      <c r="T21" s="49">
        <f>_xlfn.MAXIFS(mysql_hardware_log!$U$3:$U$722,mysql_hardware_log!$A$3:$A$722,T$2,mysql_hardware_log!$B$3:$B$722,CalculatedMetrics!T$3)</f>
        <v>1.3333333333333333</v>
      </c>
      <c r="U21" s="62">
        <f>_xlfn.MAXIFS(mysql_hardware_log!$U$3:$U$722,mysql_hardware_log!$A$3:$A$722,T$2,mysql_hardware_log!$B$3:$B$722,CalculatedMetrics!U$3)</f>
        <v>1.3333333333333333</v>
      </c>
      <c r="V21" s="63">
        <f>_xlfn.MAXIFS(mysql_hardware_log!$U$3:$U$722,mysql_hardware_log!$A$3:$A$722,T$2,mysql_hardware_log!$B$3:$B$722,CalculatedMetrics!V$3)</f>
        <v>1.8333333333333333</v>
      </c>
      <c r="W21" s="49">
        <f>_xlfn.MAXIFS(mysql_hardware_log!$U$3:$U$722,mysql_hardware_log!$A$3:$A$722,W$2,mysql_hardware_log!$B$3:$B$722,CalculatedMetrics!W$3)</f>
        <v>1.3333333333333333</v>
      </c>
      <c r="X21" s="62">
        <f>_xlfn.MAXIFS(mysql_hardware_log!$U$3:$U$722,mysql_hardware_log!$A$3:$A$722,W$2,mysql_hardware_log!$B$3:$B$722,CalculatedMetrics!X$3)</f>
        <v>1.5</v>
      </c>
      <c r="Y21" s="63">
        <f>_xlfn.MAXIFS(mysql_hardware_log!$U$3:$U$722,mysql_hardware_log!$A$3:$A$722,W$2,mysql_hardware_log!$B$3:$B$722,CalculatedMetrics!Y$3)</f>
        <v>1.6666666666666667</v>
      </c>
      <c r="Z21" s="49">
        <f>_xlfn.MAXIFS(mysql_hardware_log!$U$3:$U$722,mysql_hardware_log!$A$3:$A$722,Z$2,mysql_hardware_log!$B$3:$B$722,CalculatedMetrics!Z$3)</f>
        <v>1</v>
      </c>
      <c r="AA21" s="62">
        <f>_xlfn.MAXIFS(mysql_hardware_log!$U$3:$U$722,mysql_hardware_log!$A$3:$A$722,Z$2,mysql_hardware_log!$B$3:$B$722,CalculatedMetrics!AA$3)</f>
        <v>0.33333333333333331</v>
      </c>
      <c r="AB21" s="63">
        <f>_xlfn.MAXIFS(mysql_hardware_log!$U$3:$U$722,mysql_hardware_log!$A$3:$A$722,Z$2,mysql_hardware_log!$B$3:$B$722,CalculatedMetrics!AB$3)</f>
        <v>0.33333333333333331</v>
      </c>
      <c r="AC21" s="49">
        <f>_xlfn.MAXIFS(mysql_hardware_log!$U$3:$U$722,mysql_hardware_log!$A$3:$A$722,AC$2,mysql_hardware_log!$B$3:$B$722,CalculatedMetrics!AC$3)</f>
        <v>1</v>
      </c>
      <c r="AD21" s="62">
        <f>_xlfn.MAXIFS(mysql_hardware_log!$U$3:$U$722,mysql_hardware_log!$A$3:$A$722,AC$2,mysql_hardware_log!$B$3:$B$722,CalculatedMetrics!AD$3)</f>
        <v>1.3333333333333333</v>
      </c>
      <c r="AE21" s="63">
        <f>_xlfn.MAXIFS(mysql_hardware_log!$U$3:$U$722,mysql_hardware_log!$A$3:$A$722,AC$2,mysql_hardware_log!$B$3:$B$722,CalculatedMetrics!AE$3)</f>
        <v>1.1666666666666667</v>
      </c>
      <c r="AF21" s="49">
        <f>_xlfn.MAXIFS(mysql_hardware_log!$U$3:$U$722,mysql_hardware_log!$A$3:$A$722,AF$2,mysql_hardware_log!$B$3:$B$722,CalculatedMetrics!AF$3)</f>
        <v>3.1666666666666665</v>
      </c>
      <c r="AG21" s="62">
        <f>_xlfn.MAXIFS(mysql_hardware_log!$U$3:$U$722,mysql_hardware_log!$A$3:$A$722,AF$2,mysql_hardware_log!$B$3:$B$722,CalculatedMetrics!AG$3)</f>
        <v>2.1666666666666665</v>
      </c>
      <c r="AH21" s="63">
        <f>_xlfn.MAXIFS(mysql_hardware_log!$U$3:$U$722,mysql_hardware_log!$A$3:$A$722,AF$2,mysql_hardware_log!$B$3:$B$722,CalculatedMetrics!AH$3)</f>
        <v>2</v>
      </c>
      <c r="AI21" s="49">
        <f>_xlfn.MAXIFS(mysql_hardware_log!$U$3:$U$722,mysql_hardware_log!$A$3:$A$722,AI$2,mysql_hardware_log!$B$3:$B$722,CalculatedMetrics!AI$3)</f>
        <v>1.6666666666666667</v>
      </c>
      <c r="AJ21" s="62">
        <f>_xlfn.MAXIFS(mysql_hardware_log!$U$3:$U$722,mysql_hardware_log!$A$3:$A$722,AI$2,mysql_hardware_log!$B$3:$B$722,CalculatedMetrics!AJ$3)</f>
        <v>1.1666666666666667</v>
      </c>
      <c r="AK21" s="63">
        <f>_xlfn.MAXIFS(mysql_hardware_log!$U$3:$U$722,mysql_hardware_log!$A$3:$A$722,AI$2,mysql_hardware_log!$B$3:$B$722,CalculatedMetrics!AK$3)</f>
        <v>1.8333333333333333</v>
      </c>
    </row>
    <row r="22" spans="1:37" x14ac:dyDescent="0.3">
      <c r="A22" s="42" t="s">
        <v>62</v>
      </c>
      <c r="B22" s="45">
        <f>_xlfn.MAXIFS(mongodb_hardware_log!$D$3:$D$3476,mongodb_hardware_log!$A$3:$A$3476,B$2,mongodb_hardware_log!$B$3:$B$3476,CalculatedMetrics!B$3)</f>
        <v>3</v>
      </c>
      <c r="C22" s="51" t="s">
        <v>56</v>
      </c>
      <c r="D22" s="52" t="s">
        <v>56</v>
      </c>
      <c r="E22" s="45">
        <f>_xlfn.MAXIFS(mongodb_hardware_log!$D$3:$D$3476,mongodb_hardware_log!$A$3:$A$3476,E$2,mongodb_hardware_log!$B$3:$B$3476,CalculatedMetrics!E$3)</f>
        <v>1</v>
      </c>
      <c r="F22" s="46">
        <f>_xlfn.MAXIFS(mongodb_hardware_log!$D$3:$D$3476,mongodb_hardware_log!$A$3:$A$3476,E$2,mongodb_hardware_log!$B$3:$B$3476,CalculatedMetrics!F$3)</f>
        <v>1</v>
      </c>
      <c r="G22" s="47">
        <f>_xlfn.MAXIFS(mongodb_hardware_log!$D$3:$D$3476,mongodb_hardware_log!$A$3:$A$3476,E$2,mongodb_hardware_log!$B$3:$B$3476,CalculatedMetrics!G$3)</f>
        <v>1</v>
      </c>
      <c r="H22" s="45">
        <f>_xlfn.MAXIFS(mongodb_hardware_log!$D$3:$D$3476,mongodb_hardware_log!$A$3:$A$3476,H$2,mongodb_hardware_log!$B$3:$B$3476,CalculatedMetrics!H$3)</f>
        <v>0</v>
      </c>
      <c r="I22" s="46">
        <f>_xlfn.MAXIFS(mongodb_hardware_log!$D$3:$D$3476,mongodb_hardware_log!$A$3:$A$3476,H$2,mongodb_hardware_log!$B$3:$B$3476,CalculatedMetrics!I$3)</f>
        <v>1</v>
      </c>
      <c r="J22" s="47">
        <f>_xlfn.MAXIFS(mongodb_hardware_log!$D$3:$D$3476,mongodb_hardware_log!$A$3:$A$3476,H$2,mongodb_hardware_log!$B$3:$B$3476,CalculatedMetrics!J$3)</f>
        <v>0</v>
      </c>
      <c r="K22" s="45">
        <f>_xlfn.MAXIFS(mongodb_hardware_log!$D$3:$D$3476,mongodb_hardware_log!$A$3:$A$3476,K$2,mongodb_hardware_log!$B$3:$B$3476,CalculatedMetrics!K$3)</f>
        <v>1</v>
      </c>
      <c r="L22" s="46">
        <f>_xlfn.MAXIFS(mongodb_hardware_log!$D$3:$D$3476,mongodb_hardware_log!$A$3:$A$3476,K$2,mongodb_hardware_log!$B$3:$B$3476,CalculatedMetrics!L$3)</f>
        <v>1</v>
      </c>
      <c r="M22" s="47">
        <f>_xlfn.MAXIFS(mongodb_hardware_log!$D$3:$D$3476,mongodb_hardware_log!$A$3:$A$3476,K$2,mongodb_hardware_log!$B$3:$B$3476,CalculatedMetrics!M$3)</f>
        <v>2</v>
      </c>
      <c r="N22" s="45">
        <f>_xlfn.MAXIFS(mongodb_hardware_log!$D$3:$D$3476,mongodb_hardware_log!$A$3:$A$3476,N$2,mongodb_hardware_log!$B$3:$B$3476,CalculatedMetrics!N$3)</f>
        <v>1</v>
      </c>
      <c r="O22" s="46">
        <f>_xlfn.MAXIFS(mongodb_hardware_log!$D$3:$D$3476,mongodb_hardware_log!$A$3:$A$3476,N$2,mongodb_hardware_log!$B$3:$B$3476,CalculatedMetrics!O$3)</f>
        <v>2</v>
      </c>
      <c r="P22" s="47">
        <f>_xlfn.MAXIFS(mongodb_hardware_log!$D$3:$D$3476,mongodb_hardware_log!$A$3:$A$3476,N$2,mongodb_hardware_log!$B$3:$B$3476,CalculatedMetrics!P$3)</f>
        <v>1</v>
      </c>
      <c r="Q22" s="45">
        <f>_xlfn.MAXIFS(mongodb_hardware_log!$D$3:$D$3476,mongodb_hardware_log!$A$3:$A$3476,Q$2,mongodb_hardware_log!$B$3:$B$3476,CalculatedMetrics!Q$3)</f>
        <v>1</v>
      </c>
      <c r="R22" s="46">
        <f>_xlfn.MAXIFS(mongodb_hardware_log!$D$3:$D$3476,mongodb_hardware_log!$A$3:$A$3476,Q$2,mongodb_hardware_log!$B$3:$B$3476,CalculatedMetrics!R$3)</f>
        <v>1</v>
      </c>
      <c r="S22" s="47">
        <f>_xlfn.MAXIFS(mongodb_hardware_log!$D$3:$D$3476,mongodb_hardware_log!$A$3:$A$3476,Q$2,mongodb_hardware_log!$B$3:$B$3476,CalculatedMetrics!S$3)</f>
        <v>1</v>
      </c>
      <c r="T22" s="45">
        <f>_xlfn.MAXIFS(mysql_hardware_log!$D$3:$D$722,mysql_hardware_log!$A$3:$A$722,T$2,mysql_hardware_log!$B$3:$B$722,CalculatedMetrics!T$3)</f>
        <v>1</v>
      </c>
      <c r="U22" s="46">
        <f>_xlfn.MAXIFS(mysql_hardware_log!$D$3:$D$722,mysql_hardware_log!$A$3:$A$722,T$2,mysql_hardware_log!$B$3:$B$722,CalculatedMetrics!U$3)</f>
        <v>1</v>
      </c>
      <c r="V22" s="47">
        <f>_xlfn.MAXIFS(mysql_hardware_log!$D$3:$D$722,mysql_hardware_log!$A$3:$A$722,T$2,mysql_hardware_log!$B$3:$B$722,CalculatedMetrics!V$3)</f>
        <v>1</v>
      </c>
      <c r="W22" s="45">
        <f>_xlfn.MAXIFS(mysql_hardware_log!$D$3:$D$722,mysql_hardware_log!$A$3:$A$722,W$2,mysql_hardware_log!$B$3:$B$722,CalculatedMetrics!W$3)</f>
        <v>1</v>
      </c>
      <c r="X22" s="46">
        <f>_xlfn.MAXIFS(mysql_hardware_log!$D$3:$D$722,mysql_hardware_log!$A$3:$A$722,W$2,mysql_hardware_log!$B$3:$B$722,CalculatedMetrics!X$3)</f>
        <v>1</v>
      </c>
      <c r="Y22" s="47">
        <f>_xlfn.MAXIFS(mysql_hardware_log!$D$3:$D$722,mysql_hardware_log!$A$3:$A$722,W$2,mysql_hardware_log!$B$3:$B$722,CalculatedMetrics!Y$3)</f>
        <v>1</v>
      </c>
      <c r="Z22" s="45">
        <f>_xlfn.MAXIFS(mysql_hardware_log!$D$3:$D$722,mysql_hardware_log!$A$3:$A$722,Z$2,mysql_hardware_log!$B$3:$B$722,CalculatedMetrics!Z$3)</f>
        <v>1</v>
      </c>
      <c r="AA22" s="46">
        <f>_xlfn.MAXIFS(mysql_hardware_log!$D$3:$D$722,mysql_hardware_log!$A$3:$A$722,Z$2,mysql_hardware_log!$B$3:$B$722,CalculatedMetrics!AA$3)</f>
        <v>0</v>
      </c>
      <c r="AB22" s="47">
        <f>_xlfn.MAXIFS(mysql_hardware_log!$D$3:$D$722,mysql_hardware_log!$A$3:$A$722,Z$2,mysql_hardware_log!$B$3:$B$722,CalculatedMetrics!AB$3)</f>
        <v>2</v>
      </c>
      <c r="AC22" s="45">
        <f>_xlfn.MAXIFS(mysql_hardware_log!$D$3:$D$722,mysql_hardware_log!$A$3:$A$722,AC$2,mysql_hardware_log!$B$3:$B$722,CalculatedMetrics!AC$3)</f>
        <v>0</v>
      </c>
      <c r="AD22" s="46">
        <f>_xlfn.MAXIFS(mysql_hardware_log!$D$3:$D$722,mysql_hardware_log!$A$3:$A$722,AC$2,mysql_hardware_log!$B$3:$B$722,CalculatedMetrics!AD$3)</f>
        <v>0</v>
      </c>
      <c r="AE22" s="47">
        <f>_xlfn.MAXIFS(mysql_hardware_log!$D$3:$D$722,mysql_hardware_log!$A$3:$A$722,AC$2,mysql_hardware_log!$B$3:$B$722,CalculatedMetrics!AE$3)</f>
        <v>0</v>
      </c>
      <c r="AF22" s="45">
        <f>_xlfn.MAXIFS(mysql_hardware_log!$D$3:$D$722,mysql_hardware_log!$A$3:$A$722,AF$2,mysql_hardware_log!$B$3:$B$722,CalculatedMetrics!AF$3)</f>
        <v>1</v>
      </c>
      <c r="AG22" s="46">
        <f>_xlfn.MAXIFS(mysql_hardware_log!$D$3:$D$722,mysql_hardware_log!$A$3:$A$722,AF$2,mysql_hardware_log!$B$3:$B$722,CalculatedMetrics!AG$3)</f>
        <v>1</v>
      </c>
      <c r="AH22" s="47">
        <f>_xlfn.MAXIFS(mysql_hardware_log!$D$3:$D$722,mysql_hardware_log!$A$3:$A$722,AF$2,mysql_hardware_log!$B$3:$B$722,CalculatedMetrics!AH$3)</f>
        <v>1</v>
      </c>
      <c r="AI22" s="45">
        <f>_xlfn.MAXIFS(mysql_hardware_log!$D$3:$D$722,mysql_hardware_log!$A$3:$A$722,AI$2,mysql_hardware_log!$B$3:$B$722,CalculatedMetrics!AI$3)</f>
        <v>1</v>
      </c>
      <c r="AJ22" s="46">
        <f>_xlfn.MAXIFS(mysql_hardware_log!$D$3:$D$722,mysql_hardware_log!$A$3:$A$722,AI$2,mysql_hardware_log!$B$3:$B$722,CalculatedMetrics!AJ$3)</f>
        <v>1</v>
      </c>
      <c r="AK22" s="47">
        <f>_xlfn.MAXIFS(mysql_hardware_log!$D$3:$D$722,mysql_hardware_log!$A$3:$A$722,AI$2,mysql_hardware_log!$B$3:$B$722,CalculatedMetrics!AK$3)</f>
        <v>1</v>
      </c>
    </row>
    <row r="23" spans="1:37" x14ac:dyDescent="0.3">
      <c r="A23" s="42" t="s">
        <v>70</v>
      </c>
      <c r="B23" s="49">
        <f>_xlfn.MAXIFS(mongodb_hardware_log!$V$3:$V$3476,mongodb_hardware_log!$A$3:$A$3476,B$2,mongodb_hardware_log!$B$3:$B$3476,CalculatedMetrics!B$3)</f>
        <v>1</v>
      </c>
      <c r="C23" s="60" t="s">
        <v>56</v>
      </c>
      <c r="D23" s="61" t="s">
        <v>56</v>
      </c>
      <c r="E23" s="49">
        <f>_xlfn.MAXIFS(mongodb_hardware_log!$V$3:$V$3476,mongodb_hardware_log!$A$3:$A$3476,E$2,mongodb_hardware_log!$B$3:$B$3476,CalculatedMetrics!E$3)</f>
        <v>0.5</v>
      </c>
      <c r="F23" s="62">
        <f>_xlfn.MAXIFS(mongodb_hardware_log!$V$3:$V$3476,mongodb_hardware_log!$A$3:$A$3476,E$2,mongodb_hardware_log!$B$3:$B$3476,CalculatedMetrics!F$3)</f>
        <v>0.33333333333333331</v>
      </c>
      <c r="G23" s="63">
        <f>_xlfn.MAXIFS(mongodb_hardware_log!$V$3:$V$3476,mongodb_hardware_log!$A$3:$A$3476,E$2,mongodb_hardware_log!$B$3:$B$3476,CalculatedMetrics!G$3)</f>
        <v>0.16666666666666666</v>
      </c>
      <c r="H23" s="49">
        <f>_xlfn.MAXIFS(mongodb_hardware_log!$V$3:$V$3476,mongodb_hardware_log!$A$3:$A$3476,H$2,mongodb_hardware_log!$B$3:$B$3476,CalculatedMetrics!H$3)</f>
        <v>0.16666666666666666</v>
      </c>
      <c r="I23" s="62">
        <f>_xlfn.MAXIFS(mongodb_hardware_log!$V$3:$V$3476,mongodb_hardware_log!$A$3:$A$3476,H$2,mongodb_hardware_log!$B$3:$B$3476,CalculatedMetrics!I$3)</f>
        <v>0.16666666666666666</v>
      </c>
      <c r="J23" s="63">
        <f>_xlfn.MAXIFS(mongodb_hardware_log!$V$3:$V$3476,mongodb_hardware_log!$A$3:$A$3476,H$2,mongodb_hardware_log!$B$3:$B$3476,CalculatedMetrics!J$3)</f>
        <v>0</v>
      </c>
      <c r="K23" s="49">
        <f>_xlfn.MAXIFS(mongodb_hardware_log!$V$3:$V$3476,mongodb_hardware_log!$A$3:$A$3476,K$2,mongodb_hardware_log!$B$3:$B$3476,CalculatedMetrics!K$3)</f>
        <v>1</v>
      </c>
      <c r="L23" s="62">
        <f>_xlfn.MAXIFS(mongodb_hardware_log!$V$3:$V$3476,mongodb_hardware_log!$A$3:$A$3476,K$2,mongodb_hardware_log!$B$3:$B$3476,CalculatedMetrics!L$3)</f>
        <v>1</v>
      </c>
      <c r="M23" s="63">
        <f>_xlfn.MAXIFS(mongodb_hardware_log!$V$3:$V$3476,mongodb_hardware_log!$A$3:$A$3476,K$2,mongodb_hardware_log!$B$3:$B$3476,CalculatedMetrics!M$3)</f>
        <v>1</v>
      </c>
      <c r="N23" s="49">
        <f>_xlfn.MAXIFS(mongodb_hardware_log!$V$3:$V$3476,mongodb_hardware_log!$A$3:$A$3476,N$2,mongodb_hardware_log!$B$3:$B$3476,CalculatedMetrics!N$3)</f>
        <v>0.66666666666666663</v>
      </c>
      <c r="O23" s="62">
        <f>_xlfn.MAXIFS(mongodb_hardware_log!$V$3:$V$3476,mongodb_hardware_log!$A$3:$A$3476,N$2,mongodb_hardware_log!$B$3:$B$3476,CalculatedMetrics!O$3)</f>
        <v>0.5</v>
      </c>
      <c r="P23" s="63">
        <f>_xlfn.MAXIFS(mongodb_hardware_log!$V$3:$V$3476,mongodb_hardware_log!$A$3:$A$3476,N$2,mongodb_hardware_log!$B$3:$B$3476,CalculatedMetrics!P$3)</f>
        <v>0.5</v>
      </c>
      <c r="Q23" s="49">
        <f>_xlfn.MAXIFS(mongodb_hardware_log!$V$3:$V$3476,mongodb_hardware_log!$A$3:$A$3476,Q$2,mongodb_hardware_log!$B$3:$B$3476,CalculatedMetrics!Q$3)</f>
        <v>0.16666666666666666</v>
      </c>
      <c r="R23" s="62">
        <f>_xlfn.MAXIFS(mongodb_hardware_log!$V$3:$V$3476,mongodb_hardware_log!$A$3:$A$3476,Q$2,mongodb_hardware_log!$B$3:$B$3476,CalculatedMetrics!R$3)</f>
        <v>0.33333333333333331</v>
      </c>
      <c r="S23" s="63">
        <f>_xlfn.MAXIFS(mongodb_hardware_log!$V$3:$V$3476,mongodb_hardware_log!$A$3:$A$3476,Q$2,mongodb_hardware_log!$B$3:$B$3476,CalculatedMetrics!S$3)</f>
        <v>0.33333333333333331</v>
      </c>
      <c r="T23" s="49">
        <f>_xlfn.MAXIFS(mysql_hardware_log!$V$3:$V$722,mysql_hardware_log!$A$3:$A$722,T$2,mysql_hardware_log!$B$3:$B$722,CalculatedMetrics!T$3)</f>
        <v>0.16666666666666666</v>
      </c>
      <c r="U23" s="62">
        <f>_xlfn.MAXIFS(mysql_hardware_log!$V$3:$V$722,mysql_hardware_log!$A$3:$A$722,T$2,mysql_hardware_log!$B$3:$B$722,CalculatedMetrics!U$3)</f>
        <v>0.16666666666666666</v>
      </c>
      <c r="V23" s="63">
        <f>_xlfn.MAXIFS(mysql_hardware_log!$V$3:$V$722,mysql_hardware_log!$A$3:$A$722,T$2,mysql_hardware_log!$B$3:$B$722,CalculatedMetrics!V$3)</f>
        <v>0.16666666666666666</v>
      </c>
      <c r="W23" s="49">
        <f>_xlfn.MAXIFS(mysql_hardware_log!$V$3:$V$722,mysql_hardware_log!$A$3:$A$722,W$2,mysql_hardware_log!$B$3:$B$722,CalculatedMetrics!W$3)</f>
        <v>0.33333333333333331</v>
      </c>
      <c r="X23" s="62">
        <f>_xlfn.MAXIFS(mysql_hardware_log!$V$3:$V$722,mysql_hardware_log!$A$3:$A$722,W$2,mysql_hardware_log!$B$3:$B$722,CalculatedMetrics!X$3)</f>
        <v>0.5</v>
      </c>
      <c r="Y23" s="63">
        <f>_xlfn.MAXIFS(mysql_hardware_log!$V$3:$V$722,mysql_hardware_log!$A$3:$A$722,W$2,mysql_hardware_log!$B$3:$B$722,CalculatedMetrics!Y$3)</f>
        <v>0.16666666666666666</v>
      </c>
      <c r="Z23" s="49">
        <f>_xlfn.MAXIFS(mysql_hardware_log!$V$3:$V$722,mysql_hardware_log!$A$3:$A$722,Z$2,mysql_hardware_log!$B$3:$B$722,CalculatedMetrics!Z$3)</f>
        <v>0.16666666666666666</v>
      </c>
      <c r="AA23" s="62">
        <f>_xlfn.MAXIFS(mysql_hardware_log!$V$3:$V$722,mysql_hardware_log!$A$3:$A$722,Z$2,mysql_hardware_log!$B$3:$B$722,CalculatedMetrics!AA$3)</f>
        <v>0</v>
      </c>
      <c r="AB23" s="63">
        <f>_xlfn.MAXIFS(mysql_hardware_log!$V$3:$V$722,mysql_hardware_log!$A$3:$A$722,Z$2,mysql_hardware_log!$B$3:$B$722,CalculatedMetrics!AB$3)</f>
        <v>0.33333333333333331</v>
      </c>
      <c r="AC23" s="49">
        <f>_xlfn.MAXIFS(mysql_hardware_log!$V$3:$V$722,mysql_hardware_log!$A$3:$A$722,AC$2,mysql_hardware_log!$B$3:$B$722,CalculatedMetrics!AC$3)</f>
        <v>0</v>
      </c>
      <c r="AD23" s="62">
        <f>_xlfn.MAXIFS(mysql_hardware_log!$V$3:$V$722,mysql_hardware_log!$A$3:$A$722,AC$2,mysql_hardware_log!$B$3:$B$722,CalculatedMetrics!AD$3)</f>
        <v>0</v>
      </c>
      <c r="AE23" s="63">
        <f>_xlfn.MAXIFS(mysql_hardware_log!$V$3:$V$722,mysql_hardware_log!$A$3:$A$722,AC$2,mysql_hardware_log!$B$3:$B$722,CalculatedMetrics!AE$3)</f>
        <v>0</v>
      </c>
      <c r="AF23" s="49">
        <f>_xlfn.MAXIFS(mysql_hardware_log!$V$3:$V$722,mysql_hardware_log!$A$3:$A$722,AF$2,mysql_hardware_log!$B$3:$B$722,CalculatedMetrics!AF$3)</f>
        <v>0.33333333333333331</v>
      </c>
      <c r="AG23" s="62">
        <f>_xlfn.MAXIFS(mysql_hardware_log!$V$3:$V$722,mysql_hardware_log!$A$3:$A$722,AF$2,mysql_hardware_log!$B$3:$B$722,CalculatedMetrics!AG$3)</f>
        <v>0.5</v>
      </c>
      <c r="AH23" s="63">
        <f>_xlfn.MAXIFS(mysql_hardware_log!$V$3:$V$722,mysql_hardware_log!$A$3:$A$722,AF$2,mysql_hardware_log!$B$3:$B$722,CalculatedMetrics!AH$3)</f>
        <v>0.5</v>
      </c>
      <c r="AI23" s="49">
        <f>_xlfn.MAXIFS(mysql_hardware_log!$V$3:$V$722,mysql_hardware_log!$A$3:$A$722,AI$2,mysql_hardware_log!$B$3:$B$722,CalculatedMetrics!AI$3)</f>
        <v>0.66666666666666663</v>
      </c>
      <c r="AJ23" s="62">
        <f>_xlfn.MAXIFS(mysql_hardware_log!$V$3:$V$722,mysql_hardware_log!$A$3:$A$722,AI$2,mysql_hardware_log!$B$3:$B$722,CalculatedMetrics!AJ$3)</f>
        <v>0.16666666666666666</v>
      </c>
      <c r="AK23" s="63">
        <f>_xlfn.MAXIFS(mysql_hardware_log!$V$3:$V$722,mysql_hardware_log!$A$3:$A$722,AI$2,mysql_hardware_log!$B$3:$B$722,CalculatedMetrics!AK$3)</f>
        <v>0.66666666666666663</v>
      </c>
    </row>
    <row r="24" spans="1:37" x14ac:dyDescent="0.3">
      <c r="A24" s="70" t="s">
        <v>79</v>
      </c>
      <c r="B24" s="71"/>
      <c r="C24" s="72"/>
      <c r="D24" s="73"/>
      <c r="E24" s="71"/>
      <c r="F24" s="72"/>
      <c r="G24" s="73"/>
      <c r="H24" s="71"/>
      <c r="I24" s="72"/>
      <c r="J24" s="73"/>
      <c r="K24" s="71"/>
      <c r="L24" s="72"/>
      <c r="M24" s="73"/>
      <c r="N24" s="71"/>
      <c r="O24" s="72"/>
      <c r="P24" s="73"/>
      <c r="Q24" s="71"/>
      <c r="R24" s="72"/>
      <c r="S24" s="73"/>
      <c r="T24" s="71"/>
      <c r="U24" s="72"/>
      <c r="V24" s="73"/>
      <c r="W24" s="71"/>
      <c r="X24" s="72"/>
      <c r="Y24" s="73"/>
      <c r="Z24" s="71"/>
      <c r="AA24" s="72"/>
      <c r="AB24" s="73"/>
      <c r="AC24" s="71"/>
      <c r="AD24" s="72"/>
      <c r="AE24" s="73"/>
      <c r="AF24" s="71"/>
      <c r="AG24" s="72"/>
      <c r="AH24" s="73"/>
      <c r="AI24" s="71"/>
      <c r="AJ24" s="72"/>
      <c r="AK24" s="73"/>
    </row>
    <row r="25" spans="1:37" x14ac:dyDescent="0.3">
      <c r="A25" s="44" t="s">
        <v>58</v>
      </c>
      <c r="B25" s="77" t="str">
        <f>B4</f>
        <v>N/A</v>
      </c>
      <c r="C25" s="80"/>
      <c r="D25" s="81"/>
      <c r="E25" s="82">
        <f>AVERAGE(E4:G4)</f>
        <v>3289.5419999999999</v>
      </c>
      <c r="F25" s="80"/>
      <c r="G25" s="81"/>
      <c r="H25" s="82">
        <f>AVERAGE(H4:J4)</f>
        <v>226.09473333333335</v>
      </c>
      <c r="I25" s="80"/>
      <c r="J25" s="81"/>
      <c r="K25" s="82">
        <f>AVERAGE(K4:M4)</f>
        <v>2491.3991333333333</v>
      </c>
      <c r="L25" s="80"/>
      <c r="M25" s="81"/>
      <c r="N25" s="82">
        <f>AVERAGE(N4:P4)</f>
        <v>176.9879</v>
      </c>
      <c r="O25" s="80"/>
      <c r="P25" s="81"/>
      <c r="Q25" s="82">
        <f>AVERAGE(Q4:S4)</f>
        <v>2554.9402333333333</v>
      </c>
      <c r="R25" s="80"/>
      <c r="S25" s="81"/>
      <c r="T25" s="82">
        <f>AVERAGE(T4:V4)</f>
        <v>676.72130000000004</v>
      </c>
      <c r="U25" s="80"/>
      <c r="V25" s="81"/>
      <c r="W25" s="82">
        <f>AVERAGE(W4:Y4)</f>
        <v>383.16443333333336</v>
      </c>
      <c r="X25" s="80"/>
      <c r="Y25" s="81"/>
      <c r="Z25" s="82">
        <f>AVERAGE(Z4:AB4)</f>
        <v>123.3866</v>
      </c>
      <c r="AA25" s="80"/>
      <c r="AB25" s="81"/>
      <c r="AC25" s="82">
        <f>AVERAGE(AC4:AE4)</f>
        <v>197.92570000000001</v>
      </c>
      <c r="AD25" s="80"/>
      <c r="AE25" s="81"/>
      <c r="AF25" s="82">
        <f>AVERAGE(AF4:AH4)</f>
        <v>553.50059999999996</v>
      </c>
      <c r="AG25" s="80"/>
      <c r="AH25" s="81"/>
      <c r="AI25" s="82">
        <f>AVERAGE(AI4:AK4)</f>
        <v>466.39043333333331</v>
      </c>
      <c r="AJ25" s="80"/>
      <c r="AK25" s="81"/>
    </row>
    <row r="26" spans="1:37" x14ac:dyDescent="0.3">
      <c r="A26" s="44" t="s">
        <v>47</v>
      </c>
      <c r="B26" s="77">
        <f>B5</f>
        <v>20.32033426183844</v>
      </c>
      <c r="C26" s="80"/>
      <c r="D26" s="81"/>
      <c r="E26" s="82">
        <f>AVERAGE(E5:G5)</f>
        <v>33.256544749333294</v>
      </c>
      <c r="F26" s="80"/>
      <c r="G26" s="81"/>
      <c r="H26" s="82">
        <f>AVERAGE(H5:J5)</f>
        <v>30.621212121212125</v>
      </c>
      <c r="I26" s="80"/>
      <c r="J26" s="81"/>
      <c r="K26" s="82">
        <f>AVERAGE(K5:M5)</f>
        <v>19.482417806000129</v>
      </c>
      <c r="L26" s="80"/>
      <c r="M26" s="81"/>
      <c r="N26" s="82">
        <f>AVERAGE(N5:P5)</f>
        <v>30.023965141612198</v>
      </c>
      <c r="O26" s="80"/>
      <c r="P26" s="81"/>
      <c r="Q26" s="82">
        <f>AVERAGE(Q5:S5)</f>
        <v>33.633297234886157</v>
      </c>
      <c r="R26" s="80"/>
      <c r="S26" s="81"/>
      <c r="T26" s="82">
        <f>AVERAGE(T5:V5)</f>
        <v>32.329243218876094</v>
      </c>
      <c r="U26" s="80"/>
      <c r="V26" s="81"/>
      <c r="W26" s="82">
        <f>AVERAGE(W5:Y5)</f>
        <v>30.104643104643106</v>
      </c>
      <c r="X26" s="80"/>
      <c r="Y26" s="81"/>
      <c r="Z26" s="82">
        <f>AVERAGE(Z5:AB5)</f>
        <v>11.773737373737374</v>
      </c>
      <c r="AA26" s="80"/>
      <c r="AB26" s="81"/>
      <c r="AC26" s="82">
        <f>AVERAGE(AC5:AE5)</f>
        <v>37.805555555555564</v>
      </c>
      <c r="AD26" s="80"/>
      <c r="AE26" s="81"/>
      <c r="AF26" s="82">
        <f>AVERAGE(AF5:AH5)</f>
        <v>36.26529029931482</v>
      </c>
      <c r="AG26" s="80"/>
      <c r="AH26" s="81"/>
      <c r="AI26" s="82">
        <f>AVERAGE(AI5:AK5)</f>
        <v>22.733997584541061</v>
      </c>
      <c r="AJ26" s="80"/>
      <c r="AK26" s="81"/>
    </row>
    <row r="27" spans="1:37" x14ac:dyDescent="0.3">
      <c r="A27" s="44" t="s">
        <v>48</v>
      </c>
      <c r="B27" s="82">
        <f>B6</f>
        <v>24.827298050139277</v>
      </c>
      <c r="C27" s="80"/>
      <c r="D27" s="81"/>
      <c r="E27" s="82">
        <f>AVERAGE(E6:G6)</f>
        <v>0.28312340900153676</v>
      </c>
      <c r="F27" s="80"/>
      <c r="G27" s="81"/>
      <c r="H27" s="82">
        <f>AVERAGE(H6:J6)</f>
        <v>3.7436868686868685</v>
      </c>
      <c r="I27" s="80"/>
      <c r="J27" s="81"/>
      <c r="K27" s="82">
        <f>AVERAGE(K6:M6)</f>
        <v>24.639890321605218</v>
      </c>
      <c r="L27" s="80"/>
      <c r="M27" s="81"/>
      <c r="N27" s="82">
        <f>AVERAGE(N6:P6)</f>
        <v>6.2015250544662308</v>
      </c>
      <c r="O27" s="80"/>
      <c r="P27" s="81"/>
      <c r="Q27" s="82">
        <f>AVERAGE(Q6:S6)</f>
        <v>0.68280645674442086</v>
      </c>
      <c r="R27" s="80"/>
      <c r="S27" s="81"/>
      <c r="T27" s="82">
        <f>AVERAGE(T6:V6)</f>
        <v>1.2899407373200955</v>
      </c>
      <c r="U27" s="80"/>
      <c r="V27" s="81"/>
      <c r="W27" s="82">
        <f>AVERAGE(W6:Y6)</f>
        <v>3.5167475167475168</v>
      </c>
      <c r="X27" s="80"/>
      <c r="Y27" s="81"/>
      <c r="Z27" s="82">
        <f>AVERAGE(Z6:AB6)</f>
        <v>4.3474747474747479</v>
      </c>
      <c r="AA27" s="80"/>
      <c r="AB27" s="81"/>
      <c r="AC27" s="82">
        <f>AVERAGE(AC6:AE6)</f>
        <v>8.3333333333333329E-2</v>
      </c>
      <c r="AD27" s="80"/>
      <c r="AE27" s="81"/>
      <c r="AF27" s="82">
        <f>AVERAGE(AF6:AH6)</f>
        <v>2.7946507993749248</v>
      </c>
      <c r="AG27" s="80"/>
      <c r="AH27" s="81"/>
      <c r="AI27" s="82">
        <f>AVERAGE(AI6:AK6)</f>
        <v>3.4734299516908216</v>
      </c>
      <c r="AJ27" s="80"/>
      <c r="AK27" s="81"/>
    </row>
    <row r="28" spans="1:37" x14ac:dyDescent="0.3">
      <c r="A28" s="44" t="s">
        <v>63</v>
      </c>
      <c r="B28" s="82">
        <f>B7</f>
        <v>46.983286908077993</v>
      </c>
      <c r="C28" s="80"/>
      <c r="D28" s="81"/>
      <c r="E28" s="82">
        <f>AVERAGE(E7:G7)</f>
        <v>64.467526381759626</v>
      </c>
      <c r="F28" s="80"/>
      <c r="G28" s="81"/>
      <c r="H28" s="82">
        <f>AVERAGE(H7:J7)</f>
        <v>62.314393939393938</v>
      </c>
      <c r="I28" s="80"/>
      <c r="J28" s="81"/>
      <c r="K28" s="82">
        <f>AVERAGE(K7:M7)</f>
        <v>47.50536936002937</v>
      </c>
      <c r="L28" s="80"/>
      <c r="M28" s="81"/>
      <c r="N28" s="82">
        <f>AVERAGE(N7:P7)</f>
        <v>60.485838779956424</v>
      </c>
      <c r="O28" s="80"/>
      <c r="P28" s="81"/>
      <c r="Q28" s="82">
        <f>AVERAGE(Q7:S7)</f>
        <v>63.498675710023043</v>
      </c>
      <c r="R28" s="80"/>
      <c r="S28" s="81"/>
      <c r="T28" s="82">
        <f>AVERAGE(T7:V7)</f>
        <v>62.83459115347825</v>
      </c>
      <c r="U28" s="80"/>
      <c r="V28" s="81"/>
      <c r="W28" s="82">
        <f>AVERAGE(W7:Y7)</f>
        <v>62.333564333564333</v>
      </c>
      <c r="X28" s="80"/>
      <c r="Y28" s="81"/>
      <c r="Z28" s="82">
        <f>AVERAGE(Z7:AB7)</f>
        <v>81.553535353535366</v>
      </c>
      <c r="AA28" s="80"/>
      <c r="AB28" s="81"/>
      <c r="AC28" s="82">
        <f>AVERAGE(AC7:AE7)</f>
        <v>60.944444444444436</v>
      </c>
      <c r="AD28" s="80"/>
      <c r="AE28" s="81"/>
      <c r="AF28" s="82">
        <f>AVERAGE(AF7:AH7)</f>
        <v>56.090998517450011</v>
      </c>
      <c r="AG28" s="80"/>
      <c r="AH28" s="81"/>
      <c r="AI28" s="82">
        <f>AVERAGE(AI7:AK7)</f>
        <v>61.85144927536232</v>
      </c>
      <c r="AJ28" s="80"/>
      <c r="AK28" s="81"/>
    </row>
    <row r="29" spans="1:37" x14ac:dyDescent="0.3">
      <c r="A29" s="44" t="s">
        <v>55</v>
      </c>
      <c r="B29" s="77">
        <f>B8</f>
        <v>99408</v>
      </c>
      <c r="C29" s="80"/>
      <c r="D29" s="81"/>
      <c r="E29" s="77">
        <f>AVERAGE(E8:G8)</f>
        <v>107701.33333333333</v>
      </c>
      <c r="F29" s="78"/>
      <c r="G29" s="79"/>
      <c r="H29" s="77">
        <f>AVERAGE(H8:J8)</f>
        <v>103916</v>
      </c>
      <c r="I29" s="78"/>
      <c r="J29" s="79"/>
      <c r="K29" s="77">
        <f>AVERAGE(K8:M8)</f>
        <v>101276</v>
      </c>
      <c r="L29" s="78"/>
      <c r="M29" s="79"/>
      <c r="N29" s="77">
        <f>AVERAGE(N8:P8)</f>
        <v>109589.33333333333</v>
      </c>
      <c r="O29" s="78"/>
      <c r="P29" s="79"/>
      <c r="Q29" s="77">
        <f>AVERAGE(Q8:S8)</f>
        <v>104741.33333333333</v>
      </c>
      <c r="R29" s="78"/>
      <c r="S29" s="79"/>
      <c r="T29" s="77">
        <f>AVERAGE(T8:V8)</f>
        <v>101676</v>
      </c>
      <c r="U29" s="78"/>
      <c r="V29" s="79"/>
      <c r="W29" s="77">
        <f>AVERAGE(W8:Y8)</f>
        <v>104570.66666666667</v>
      </c>
      <c r="X29" s="78"/>
      <c r="Y29" s="79"/>
      <c r="Z29" s="77">
        <f>AVERAGE(Z8:AB8)</f>
        <v>245829.33333333334</v>
      </c>
      <c r="AA29" s="78"/>
      <c r="AB29" s="79"/>
      <c r="AC29" s="77">
        <f>AVERAGE(AC8:AE8)</f>
        <v>681246.66666666663</v>
      </c>
      <c r="AD29" s="78"/>
      <c r="AE29" s="79"/>
      <c r="AF29" s="77">
        <f>AVERAGE(AF8:AH8)</f>
        <v>104057.33333333333</v>
      </c>
      <c r="AG29" s="78"/>
      <c r="AH29" s="79"/>
      <c r="AI29" s="77">
        <f>AVERAGE(AI8:AK8)</f>
        <v>121676</v>
      </c>
      <c r="AJ29" s="78"/>
      <c r="AK29" s="79"/>
    </row>
    <row r="30" spans="1:37" x14ac:dyDescent="0.3">
      <c r="A30" s="44" t="s">
        <v>73</v>
      </c>
      <c r="B30" s="77">
        <f>B11</f>
        <v>-89260</v>
      </c>
      <c r="C30" s="80"/>
      <c r="D30" s="81"/>
      <c r="E30" s="77">
        <f>AVERAGE(E11:G11)</f>
        <v>-61308</v>
      </c>
      <c r="F30" s="78"/>
      <c r="G30" s="79"/>
      <c r="H30" s="77">
        <f>AVERAGE(H11:J11)</f>
        <v>167018.66666666666</v>
      </c>
      <c r="I30" s="78"/>
      <c r="J30" s="79"/>
      <c r="K30" s="77">
        <f>AVERAGE(K11:M11)</f>
        <v>-113112</v>
      </c>
      <c r="L30" s="78"/>
      <c r="M30" s="79"/>
      <c r="N30" s="77">
        <f>AVERAGE(N11:P11)</f>
        <v>184588</v>
      </c>
      <c r="O30" s="78"/>
      <c r="P30" s="79"/>
      <c r="Q30" s="77">
        <f>AVERAGE(Q11:S11)</f>
        <v>438160</v>
      </c>
      <c r="R30" s="78"/>
      <c r="S30" s="79"/>
      <c r="T30" s="77">
        <f>AVERAGE(T11:V11)</f>
        <v>790993.33333333337</v>
      </c>
      <c r="U30" s="78"/>
      <c r="V30" s="79"/>
      <c r="W30" s="77">
        <f>AVERAGE(W11:Y11)</f>
        <v>-226286.66666666666</v>
      </c>
      <c r="X30" s="78"/>
      <c r="Y30" s="79"/>
      <c r="Z30" s="77">
        <f>AVERAGE(Z11:AB11)</f>
        <v>70625.333333333328</v>
      </c>
      <c r="AA30" s="78"/>
      <c r="AB30" s="79"/>
      <c r="AC30" s="77">
        <f>AVERAGE(AC11:AE11)</f>
        <v>-110541.33333333333</v>
      </c>
      <c r="AD30" s="78"/>
      <c r="AE30" s="79"/>
      <c r="AF30" s="77">
        <f>AVERAGE(AF11:AH11)</f>
        <v>189834.66666666666</v>
      </c>
      <c r="AG30" s="78"/>
      <c r="AH30" s="79"/>
      <c r="AI30" s="77">
        <f>AVERAGE(AI11:AK11)</f>
        <v>-187777.33333333334</v>
      </c>
      <c r="AJ30" s="78"/>
      <c r="AK30" s="79"/>
    </row>
    <row r="31" spans="1:37" x14ac:dyDescent="0.3">
      <c r="A31" s="44" t="s">
        <v>76</v>
      </c>
      <c r="B31" s="77">
        <f>B14</f>
        <v>80896</v>
      </c>
      <c r="C31" s="80"/>
      <c r="D31" s="81"/>
      <c r="E31" s="77">
        <f>AVERAGE(E14:G14)</f>
        <v>-682.66666666666663</v>
      </c>
      <c r="F31" s="78"/>
      <c r="G31" s="79"/>
      <c r="H31" s="77">
        <f>AVERAGE(H14:J14)</f>
        <v>-1621.3333333333333</v>
      </c>
      <c r="I31" s="78"/>
      <c r="J31" s="79"/>
      <c r="K31" s="77">
        <f>AVERAGE(K14:M14)</f>
        <v>25770.666666666668</v>
      </c>
      <c r="L31" s="78"/>
      <c r="M31" s="79"/>
      <c r="N31" s="77">
        <f>AVERAGE(N14:P14)</f>
        <v>0</v>
      </c>
      <c r="O31" s="78"/>
      <c r="P31" s="79"/>
      <c r="Q31" s="77">
        <f>AVERAGE(Q14:S14)</f>
        <v>-7850.666666666667</v>
      </c>
      <c r="R31" s="78"/>
      <c r="S31" s="79"/>
      <c r="T31" s="77">
        <f>AVERAGE(T14:V14)</f>
        <v>790993.33333333337</v>
      </c>
      <c r="U31" s="78"/>
      <c r="V31" s="79"/>
      <c r="W31" s="77">
        <f>AVERAGE(W14:Y14)</f>
        <v>-226286.66666666666</v>
      </c>
      <c r="X31" s="78"/>
      <c r="Y31" s="79"/>
      <c r="Z31" s="77">
        <f>AVERAGE(Z14:AB14)</f>
        <v>70625.333333333328</v>
      </c>
      <c r="AA31" s="78"/>
      <c r="AB31" s="79"/>
      <c r="AC31" s="77">
        <f>AVERAGE(AC14:AE14)</f>
        <v>-110541.33333333333</v>
      </c>
      <c r="AD31" s="78"/>
      <c r="AE31" s="79"/>
      <c r="AF31" s="77">
        <f>AVERAGE(AF14:AH14)</f>
        <v>189834.66666666666</v>
      </c>
      <c r="AG31" s="78"/>
      <c r="AH31" s="79"/>
      <c r="AI31" s="77">
        <f>AVERAGE(AI14:AK14)</f>
        <v>-187777.33333333334</v>
      </c>
      <c r="AJ31" s="78"/>
      <c r="AK31" s="79"/>
    </row>
    <row r="32" spans="1:37" x14ac:dyDescent="0.3">
      <c r="A32" s="44" t="s">
        <v>77</v>
      </c>
      <c r="B32" s="74">
        <f t="shared" ref="B32:B40" si="35">B15</f>
        <v>6.6044568245125346</v>
      </c>
      <c r="C32" s="75"/>
      <c r="D32" s="76"/>
      <c r="E32" s="74">
        <f t="shared" ref="E32:E40" si="36">AVERAGE(E15:G15)</f>
        <v>0.45254605827941763</v>
      </c>
      <c r="F32" s="75"/>
      <c r="G32" s="76"/>
      <c r="H32" s="74">
        <f t="shared" ref="H32:H40" si="37">AVERAGE(H15:J15)</f>
        <v>20.877525252525253</v>
      </c>
      <c r="I32" s="75"/>
      <c r="J32" s="76"/>
      <c r="K32" s="74">
        <f t="shared" ref="K32:K40" si="38">AVERAGE(K15:M15)</f>
        <v>15.018425322361175</v>
      </c>
      <c r="L32" s="75"/>
      <c r="M32" s="76"/>
      <c r="N32" s="74">
        <f t="shared" ref="N32:N40" si="39">AVERAGE(N15:P15)</f>
        <v>35.274509803921568</v>
      </c>
      <c r="O32" s="75"/>
      <c r="P32" s="76"/>
      <c r="Q32" s="74">
        <f t="shared" ref="Q32:Q40" si="40">AVERAGE(Q15:S15)</f>
        <v>3.2302342332700404</v>
      </c>
      <c r="R32" s="75"/>
      <c r="S32" s="76"/>
      <c r="T32" s="74">
        <f t="shared" ref="T32:T40" si="41">AVERAGE(T15:V15)</f>
        <v>16.098390342052316</v>
      </c>
      <c r="U32" s="75"/>
      <c r="V32" s="76"/>
      <c r="W32" s="74">
        <f t="shared" ref="W32:W40" si="42">AVERAGE(W15:Y15)</f>
        <v>7.4920304920304917</v>
      </c>
      <c r="X32" s="75"/>
      <c r="Y32" s="76"/>
      <c r="Z32" s="74">
        <f t="shared" ref="Z32:Z40" si="43">AVERAGE(Z15:AB15)</f>
        <v>0.17171717171717171</v>
      </c>
      <c r="AA32" s="75"/>
      <c r="AB32" s="76"/>
      <c r="AC32" s="74">
        <f t="shared" ref="AC32:AC40" si="44">AVERAGE(AC15:AE15)</f>
        <v>30.958333333333339</v>
      </c>
      <c r="AD32" s="75"/>
      <c r="AE32" s="76"/>
      <c r="AF32" s="74">
        <f t="shared" ref="AF32:AF40" si="45">AVERAGE(AF15:AH15)</f>
        <v>15.729148134791842</v>
      </c>
      <c r="AG32" s="75"/>
      <c r="AH32" s="76"/>
      <c r="AI32" s="74">
        <f t="shared" ref="AI32:AI40" si="46">AVERAGE(AI15:AK15)</f>
        <v>0.15791062801932368</v>
      </c>
      <c r="AJ32" s="75"/>
      <c r="AK32" s="76"/>
    </row>
    <row r="33" spans="1:37" x14ac:dyDescent="0.3">
      <c r="A33" s="44" t="s">
        <v>78</v>
      </c>
      <c r="B33" s="74">
        <f t="shared" si="35"/>
        <v>5527</v>
      </c>
      <c r="C33" s="75"/>
      <c r="D33" s="76"/>
      <c r="E33" s="74">
        <f t="shared" si="36"/>
        <v>10.333333333333334</v>
      </c>
      <c r="F33" s="75"/>
      <c r="G33" s="76"/>
      <c r="H33" s="74">
        <f t="shared" si="37"/>
        <v>310</v>
      </c>
      <c r="I33" s="75"/>
      <c r="J33" s="76"/>
      <c r="K33" s="74">
        <f t="shared" si="38"/>
        <v>2103.6666666666665</v>
      </c>
      <c r="L33" s="75"/>
      <c r="M33" s="76"/>
      <c r="N33" s="74">
        <f t="shared" si="39"/>
        <v>460.33333333333331</v>
      </c>
      <c r="O33" s="75"/>
      <c r="P33" s="76"/>
      <c r="Q33" s="74">
        <f t="shared" si="40"/>
        <v>0</v>
      </c>
      <c r="R33" s="75"/>
      <c r="S33" s="76"/>
      <c r="T33" s="74">
        <f t="shared" si="41"/>
        <v>29</v>
      </c>
      <c r="U33" s="75"/>
      <c r="V33" s="76"/>
      <c r="W33" s="74">
        <f t="shared" si="42"/>
        <v>0</v>
      </c>
      <c r="X33" s="75"/>
      <c r="Y33" s="76"/>
      <c r="Z33" s="74">
        <f t="shared" si="43"/>
        <v>0</v>
      </c>
      <c r="AA33" s="75"/>
      <c r="AB33" s="76"/>
      <c r="AC33" s="74">
        <f t="shared" si="44"/>
        <v>0</v>
      </c>
      <c r="AD33" s="75"/>
      <c r="AE33" s="76"/>
      <c r="AF33" s="74">
        <f t="shared" si="45"/>
        <v>37</v>
      </c>
      <c r="AG33" s="75"/>
      <c r="AH33" s="76"/>
      <c r="AI33" s="74">
        <f t="shared" si="46"/>
        <v>236</v>
      </c>
      <c r="AJ33" s="75"/>
      <c r="AK33" s="76"/>
    </row>
    <row r="34" spans="1:37" x14ac:dyDescent="0.3">
      <c r="A34" s="44" t="s">
        <v>59</v>
      </c>
      <c r="B34" s="77">
        <f t="shared" si="35"/>
        <v>15330.515320334262</v>
      </c>
      <c r="C34" s="80"/>
      <c r="D34" s="81"/>
      <c r="E34" s="77">
        <f t="shared" si="36"/>
        <v>1069.5714220135339</v>
      </c>
      <c r="F34" s="78"/>
      <c r="G34" s="79"/>
      <c r="H34" s="77">
        <f t="shared" si="37"/>
        <v>9091.1085858585866</v>
      </c>
      <c r="I34" s="78"/>
      <c r="J34" s="79"/>
      <c r="K34" s="77">
        <f t="shared" si="38"/>
        <v>17564.555698395216</v>
      </c>
      <c r="L34" s="78"/>
      <c r="M34" s="79"/>
      <c r="N34" s="77">
        <f t="shared" si="39"/>
        <v>6207.2047930283225</v>
      </c>
      <c r="O34" s="78"/>
      <c r="P34" s="79"/>
      <c r="Q34" s="77">
        <f t="shared" si="40"/>
        <v>1800.0143856343095</v>
      </c>
      <c r="R34" s="78"/>
      <c r="S34" s="79"/>
      <c r="T34" s="77">
        <f t="shared" si="41"/>
        <v>10915.831703884507</v>
      </c>
      <c r="U34" s="78"/>
      <c r="V34" s="79"/>
      <c r="W34" s="77">
        <f t="shared" si="42"/>
        <v>13548.567105567105</v>
      </c>
      <c r="X34" s="78"/>
      <c r="Y34" s="79"/>
      <c r="Z34" s="77">
        <f t="shared" si="43"/>
        <v>1747</v>
      </c>
      <c r="AA34" s="78"/>
      <c r="AB34" s="79"/>
      <c r="AC34" s="77">
        <f t="shared" si="44"/>
        <v>1024.7083333333333</v>
      </c>
      <c r="AD34" s="78"/>
      <c r="AE34" s="79"/>
      <c r="AF34" s="77">
        <f t="shared" si="45"/>
        <v>1326.9613334936091</v>
      </c>
      <c r="AG34" s="78"/>
      <c r="AH34" s="79"/>
      <c r="AI34" s="77">
        <f t="shared" si="46"/>
        <v>3952.122282608696</v>
      </c>
      <c r="AJ34" s="78"/>
      <c r="AK34" s="79"/>
    </row>
    <row r="35" spans="1:37" x14ac:dyDescent="0.3">
      <c r="A35" s="44" t="s">
        <v>60</v>
      </c>
      <c r="B35" s="77">
        <f t="shared" si="35"/>
        <v>27483</v>
      </c>
      <c r="C35" s="80"/>
      <c r="D35" s="81"/>
      <c r="E35" s="77">
        <f t="shared" si="36"/>
        <v>6129.666666666667</v>
      </c>
      <c r="F35" s="78"/>
      <c r="G35" s="79"/>
      <c r="H35" s="77">
        <f t="shared" si="37"/>
        <v>20003.666666666668</v>
      </c>
      <c r="I35" s="78"/>
      <c r="J35" s="79"/>
      <c r="K35" s="77">
        <f t="shared" si="38"/>
        <v>29328.333333333332</v>
      </c>
      <c r="L35" s="78"/>
      <c r="M35" s="79"/>
      <c r="N35" s="77">
        <f t="shared" si="39"/>
        <v>13538.666666666666</v>
      </c>
      <c r="O35" s="78"/>
      <c r="P35" s="79"/>
      <c r="Q35" s="77">
        <f t="shared" si="40"/>
        <v>4803.333333333333</v>
      </c>
      <c r="R35" s="78"/>
      <c r="S35" s="79"/>
      <c r="T35" s="77">
        <f t="shared" si="41"/>
        <v>15811.333333333334</v>
      </c>
      <c r="U35" s="78"/>
      <c r="V35" s="79"/>
      <c r="W35" s="77">
        <f t="shared" si="42"/>
        <v>92314.333333333328</v>
      </c>
      <c r="X35" s="78"/>
      <c r="Y35" s="79"/>
      <c r="Z35" s="77">
        <f t="shared" si="43"/>
        <v>8852</v>
      </c>
      <c r="AA35" s="78"/>
      <c r="AB35" s="79"/>
      <c r="AC35" s="77">
        <f t="shared" si="44"/>
        <v>1844</v>
      </c>
      <c r="AD35" s="78"/>
      <c r="AE35" s="79"/>
      <c r="AF35" s="77">
        <f t="shared" si="45"/>
        <v>9776</v>
      </c>
      <c r="AG35" s="78"/>
      <c r="AH35" s="79"/>
      <c r="AI35" s="77">
        <f t="shared" si="46"/>
        <v>63545.333333333336</v>
      </c>
      <c r="AJ35" s="78"/>
      <c r="AK35" s="79"/>
    </row>
    <row r="36" spans="1:37" x14ac:dyDescent="0.3">
      <c r="A36" s="44" t="s">
        <v>67</v>
      </c>
      <c r="B36" s="77">
        <f t="shared" si="35"/>
        <v>22820.833333333332</v>
      </c>
      <c r="C36" s="80"/>
      <c r="D36" s="81"/>
      <c r="E36" s="77">
        <f t="shared" si="36"/>
        <v>5506.3888888888878</v>
      </c>
      <c r="F36" s="78"/>
      <c r="G36" s="79"/>
      <c r="H36" s="77">
        <f t="shared" si="37"/>
        <v>15560.777777777776</v>
      </c>
      <c r="I36" s="78"/>
      <c r="J36" s="79"/>
      <c r="K36" s="77">
        <f t="shared" si="38"/>
        <v>25649.555555555558</v>
      </c>
      <c r="L36" s="78"/>
      <c r="M36" s="79"/>
      <c r="N36" s="77">
        <f t="shared" si="39"/>
        <v>10830.833333333334</v>
      </c>
      <c r="O36" s="78"/>
      <c r="P36" s="79"/>
      <c r="Q36" s="77">
        <f t="shared" si="40"/>
        <v>5681.7222222222217</v>
      </c>
      <c r="R36" s="78"/>
      <c r="S36" s="79"/>
      <c r="T36" s="77">
        <f t="shared" si="41"/>
        <v>15148.111111111111</v>
      </c>
      <c r="U36" s="78"/>
      <c r="V36" s="79"/>
      <c r="W36" s="77">
        <f t="shared" si="42"/>
        <v>39834.666666666664</v>
      </c>
      <c r="X36" s="78"/>
      <c r="Y36" s="79"/>
      <c r="Z36" s="77">
        <f t="shared" si="43"/>
        <v>4106.9444444444443</v>
      </c>
      <c r="AA36" s="78"/>
      <c r="AB36" s="79"/>
      <c r="AC36" s="77">
        <f t="shared" si="44"/>
        <v>1751.8333333333337</v>
      </c>
      <c r="AD36" s="78"/>
      <c r="AE36" s="79"/>
      <c r="AF36" s="77">
        <f t="shared" si="45"/>
        <v>3863.7777777777774</v>
      </c>
      <c r="AG36" s="78"/>
      <c r="AH36" s="79"/>
      <c r="AI36" s="77">
        <f t="shared" si="46"/>
        <v>28530.277777777777</v>
      </c>
      <c r="AJ36" s="78"/>
      <c r="AK36" s="79"/>
    </row>
    <row r="37" spans="1:37" x14ac:dyDescent="0.3">
      <c r="A37" s="44" t="s">
        <v>61</v>
      </c>
      <c r="B37" s="74">
        <f t="shared" si="35"/>
        <v>5</v>
      </c>
      <c r="C37" s="75"/>
      <c r="D37" s="76"/>
      <c r="E37" s="74">
        <f t="shared" si="36"/>
        <v>5.666666666666667</v>
      </c>
      <c r="F37" s="75"/>
      <c r="G37" s="76"/>
      <c r="H37" s="74">
        <f t="shared" si="37"/>
        <v>3.3333333333333335</v>
      </c>
      <c r="I37" s="75"/>
      <c r="J37" s="76"/>
      <c r="K37" s="74">
        <f t="shared" si="38"/>
        <v>5</v>
      </c>
      <c r="L37" s="75"/>
      <c r="M37" s="76"/>
      <c r="N37" s="74">
        <f t="shared" si="39"/>
        <v>1.3333333333333333</v>
      </c>
      <c r="O37" s="75"/>
      <c r="P37" s="76"/>
      <c r="Q37" s="74">
        <f t="shared" si="40"/>
        <v>6.666666666666667</v>
      </c>
      <c r="R37" s="75"/>
      <c r="S37" s="76"/>
      <c r="T37" s="74">
        <f t="shared" si="41"/>
        <v>3</v>
      </c>
      <c r="U37" s="75"/>
      <c r="V37" s="76"/>
      <c r="W37" s="74">
        <f t="shared" si="42"/>
        <v>3.6666666666666665</v>
      </c>
      <c r="X37" s="75"/>
      <c r="Y37" s="76"/>
      <c r="Z37" s="74">
        <f t="shared" si="43"/>
        <v>1</v>
      </c>
      <c r="AA37" s="75"/>
      <c r="AB37" s="76"/>
      <c r="AC37" s="74">
        <f t="shared" si="44"/>
        <v>1.6666666666666667</v>
      </c>
      <c r="AD37" s="75"/>
      <c r="AE37" s="76"/>
      <c r="AF37" s="74">
        <f t="shared" si="45"/>
        <v>5.666666666666667</v>
      </c>
      <c r="AG37" s="75"/>
      <c r="AH37" s="76"/>
      <c r="AI37" s="74">
        <f t="shared" si="46"/>
        <v>3</v>
      </c>
      <c r="AJ37" s="75"/>
      <c r="AK37" s="76"/>
    </row>
    <row r="38" spans="1:37" x14ac:dyDescent="0.3">
      <c r="A38" s="44" t="s">
        <v>64</v>
      </c>
      <c r="B38" s="74">
        <f t="shared" si="35"/>
        <v>1.6666666666666667</v>
      </c>
      <c r="C38" s="75"/>
      <c r="D38" s="76"/>
      <c r="E38" s="74">
        <f t="shared" si="36"/>
        <v>2.3888888888888888</v>
      </c>
      <c r="F38" s="75"/>
      <c r="G38" s="76"/>
      <c r="H38" s="74">
        <f t="shared" si="37"/>
        <v>1.5</v>
      </c>
      <c r="I38" s="75"/>
      <c r="J38" s="76"/>
      <c r="K38" s="74">
        <f t="shared" si="38"/>
        <v>1.8888888888888891</v>
      </c>
      <c r="L38" s="75"/>
      <c r="M38" s="76"/>
      <c r="N38" s="74">
        <f t="shared" si="39"/>
        <v>1.1111111111111109</v>
      </c>
      <c r="O38" s="75"/>
      <c r="P38" s="76"/>
      <c r="Q38" s="74">
        <f t="shared" si="40"/>
        <v>2.2777777777777781</v>
      </c>
      <c r="R38" s="75"/>
      <c r="S38" s="76"/>
      <c r="T38" s="74">
        <f t="shared" si="41"/>
        <v>1.5</v>
      </c>
      <c r="U38" s="75"/>
      <c r="V38" s="76"/>
      <c r="W38" s="74">
        <f t="shared" si="42"/>
        <v>1.5</v>
      </c>
      <c r="X38" s="75"/>
      <c r="Y38" s="76"/>
      <c r="Z38" s="74">
        <f t="shared" si="43"/>
        <v>0.55555555555555547</v>
      </c>
      <c r="AA38" s="75"/>
      <c r="AB38" s="76"/>
      <c r="AC38" s="74">
        <f t="shared" si="44"/>
        <v>1.1666666666666667</v>
      </c>
      <c r="AD38" s="75"/>
      <c r="AE38" s="76"/>
      <c r="AF38" s="74">
        <f t="shared" si="45"/>
        <v>2.4444444444444442</v>
      </c>
      <c r="AG38" s="75"/>
      <c r="AH38" s="76"/>
      <c r="AI38" s="74">
        <f t="shared" si="46"/>
        <v>1.5555555555555556</v>
      </c>
      <c r="AJ38" s="75"/>
      <c r="AK38" s="76"/>
    </row>
    <row r="39" spans="1:37" x14ac:dyDescent="0.3">
      <c r="A39" s="44" t="s">
        <v>62</v>
      </c>
      <c r="B39" s="74">
        <f t="shared" si="35"/>
        <v>3</v>
      </c>
      <c r="C39" s="75"/>
      <c r="D39" s="76"/>
      <c r="E39" s="74">
        <f t="shared" si="36"/>
        <v>1</v>
      </c>
      <c r="F39" s="75"/>
      <c r="G39" s="76"/>
      <c r="H39" s="74">
        <f t="shared" si="37"/>
        <v>0.33333333333333331</v>
      </c>
      <c r="I39" s="75"/>
      <c r="J39" s="76"/>
      <c r="K39" s="74">
        <f t="shared" si="38"/>
        <v>1.3333333333333333</v>
      </c>
      <c r="L39" s="75"/>
      <c r="M39" s="76"/>
      <c r="N39" s="74">
        <f t="shared" si="39"/>
        <v>1.3333333333333333</v>
      </c>
      <c r="O39" s="75"/>
      <c r="P39" s="76"/>
      <c r="Q39" s="74">
        <f t="shared" si="40"/>
        <v>1</v>
      </c>
      <c r="R39" s="75"/>
      <c r="S39" s="76"/>
      <c r="T39" s="74">
        <f t="shared" si="41"/>
        <v>1</v>
      </c>
      <c r="U39" s="75"/>
      <c r="V39" s="76"/>
      <c r="W39" s="74">
        <f t="shared" si="42"/>
        <v>1</v>
      </c>
      <c r="X39" s="75"/>
      <c r="Y39" s="76"/>
      <c r="Z39" s="74">
        <f t="shared" si="43"/>
        <v>1</v>
      </c>
      <c r="AA39" s="75"/>
      <c r="AB39" s="76"/>
      <c r="AC39" s="74">
        <f t="shared" si="44"/>
        <v>0</v>
      </c>
      <c r="AD39" s="75"/>
      <c r="AE39" s="76"/>
      <c r="AF39" s="74">
        <f t="shared" si="45"/>
        <v>1</v>
      </c>
      <c r="AG39" s="75"/>
      <c r="AH39" s="76"/>
      <c r="AI39" s="74">
        <f t="shared" si="46"/>
        <v>1</v>
      </c>
      <c r="AJ39" s="75"/>
      <c r="AK39" s="76"/>
    </row>
    <row r="40" spans="1:37" x14ac:dyDescent="0.3">
      <c r="A40" s="44" t="s">
        <v>70</v>
      </c>
      <c r="B40" s="74">
        <f t="shared" si="35"/>
        <v>1</v>
      </c>
      <c r="C40" s="75"/>
      <c r="D40" s="76"/>
      <c r="E40" s="74">
        <f t="shared" si="36"/>
        <v>0.33333333333333331</v>
      </c>
      <c r="F40" s="75"/>
      <c r="G40" s="76"/>
      <c r="H40" s="74">
        <f t="shared" si="37"/>
        <v>0.1111111111111111</v>
      </c>
      <c r="I40" s="75"/>
      <c r="J40" s="76"/>
      <c r="K40" s="74">
        <f t="shared" si="38"/>
        <v>1</v>
      </c>
      <c r="L40" s="75"/>
      <c r="M40" s="76"/>
      <c r="N40" s="74">
        <f t="shared" si="39"/>
        <v>0.55555555555555547</v>
      </c>
      <c r="O40" s="75"/>
      <c r="P40" s="76"/>
      <c r="Q40" s="74">
        <f t="shared" si="40"/>
        <v>0.27777777777777773</v>
      </c>
      <c r="R40" s="75"/>
      <c r="S40" s="76"/>
      <c r="T40" s="74">
        <f t="shared" si="41"/>
        <v>0.16666666666666666</v>
      </c>
      <c r="U40" s="75"/>
      <c r="V40" s="76"/>
      <c r="W40" s="74">
        <f t="shared" si="42"/>
        <v>0.33333333333333331</v>
      </c>
      <c r="X40" s="75"/>
      <c r="Y40" s="76"/>
      <c r="Z40" s="74">
        <f t="shared" si="43"/>
        <v>0.16666666666666666</v>
      </c>
      <c r="AA40" s="75"/>
      <c r="AB40" s="76"/>
      <c r="AC40" s="74">
        <f t="shared" si="44"/>
        <v>0</v>
      </c>
      <c r="AD40" s="75"/>
      <c r="AE40" s="76"/>
      <c r="AF40" s="74">
        <f t="shared" si="45"/>
        <v>0.44444444444444442</v>
      </c>
      <c r="AG40" s="75"/>
      <c r="AH40" s="76"/>
      <c r="AI40" s="74">
        <f t="shared" si="46"/>
        <v>0.5</v>
      </c>
      <c r="AJ40" s="75"/>
      <c r="AK40" s="76"/>
    </row>
  </sheetData>
  <mergeCells count="216">
    <mergeCell ref="B2:D2"/>
    <mergeCell ref="B1:D1"/>
    <mergeCell ref="E2:G2"/>
    <mergeCell ref="Q2:S2"/>
    <mergeCell ref="N2:P2"/>
    <mergeCell ref="K2:M2"/>
    <mergeCell ref="H2:J2"/>
    <mergeCell ref="E1:G1"/>
    <mergeCell ref="H1:J1"/>
    <mergeCell ref="K1:M1"/>
    <mergeCell ref="AF1:AH1"/>
    <mergeCell ref="AI1:AK1"/>
    <mergeCell ref="N1:P1"/>
    <mergeCell ref="Q1:S1"/>
    <mergeCell ref="T1:V1"/>
    <mergeCell ref="W1:Y1"/>
    <mergeCell ref="Z1:AB1"/>
    <mergeCell ref="AC1:AE1"/>
    <mergeCell ref="AI2:AK2"/>
    <mergeCell ref="T2:V2"/>
    <mergeCell ref="W2:Y2"/>
    <mergeCell ref="Z2:AB2"/>
    <mergeCell ref="AC2:AE2"/>
    <mergeCell ref="AF2:AH2"/>
    <mergeCell ref="B30:D30"/>
    <mergeCell ref="E25:G25"/>
    <mergeCell ref="H25:J25"/>
    <mergeCell ref="K25:M25"/>
    <mergeCell ref="N25:P25"/>
    <mergeCell ref="E27:G27"/>
    <mergeCell ref="H27:J27"/>
    <mergeCell ref="K27:M27"/>
    <mergeCell ref="N27:P27"/>
    <mergeCell ref="E29:G29"/>
    <mergeCell ref="H29:J29"/>
    <mergeCell ref="K29:M29"/>
    <mergeCell ref="N29:P29"/>
    <mergeCell ref="B25:D25"/>
    <mergeCell ref="B26:D26"/>
    <mergeCell ref="B27:D27"/>
    <mergeCell ref="B28:D28"/>
    <mergeCell ref="B29:D29"/>
    <mergeCell ref="AF25:AH25"/>
    <mergeCell ref="AI25:AK25"/>
    <mergeCell ref="E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I26:AK26"/>
    <mergeCell ref="Q25:S25"/>
    <mergeCell ref="T25:V25"/>
    <mergeCell ref="W25:Y25"/>
    <mergeCell ref="Z25:AB25"/>
    <mergeCell ref="AC25:AE25"/>
    <mergeCell ref="AF27:AH27"/>
    <mergeCell ref="AI27:AK27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Q27:S27"/>
    <mergeCell ref="T27:V27"/>
    <mergeCell ref="W27:Y27"/>
    <mergeCell ref="Z27:AB27"/>
    <mergeCell ref="AC27:AE27"/>
    <mergeCell ref="AF29:AH29"/>
    <mergeCell ref="AI29:AK29"/>
    <mergeCell ref="E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Q29:S29"/>
    <mergeCell ref="T29:V29"/>
    <mergeCell ref="W29:Y29"/>
    <mergeCell ref="Z29:AB29"/>
    <mergeCell ref="AC29:AE29"/>
    <mergeCell ref="B36:D36"/>
    <mergeCell ref="B37:D37"/>
    <mergeCell ref="B38:D38"/>
    <mergeCell ref="B39:D39"/>
    <mergeCell ref="B40:D40"/>
    <mergeCell ref="B31:D31"/>
    <mergeCell ref="B32:D32"/>
    <mergeCell ref="B33:D33"/>
    <mergeCell ref="B34:D34"/>
    <mergeCell ref="B35:D35"/>
    <mergeCell ref="E36:G36"/>
    <mergeCell ref="E37:G37"/>
    <mergeCell ref="E38:G38"/>
    <mergeCell ref="E39:G39"/>
    <mergeCell ref="E40:G40"/>
    <mergeCell ref="E31:G31"/>
    <mergeCell ref="E32:G32"/>
    <mergeCell ref="E33:G33"/>
    <mergeCell ref="E34:G34"/>
    <mergeCell ref="E35:G35"/>
    <mergeCell ref="W31:Y31"/>
    <mergeCell ref="Z31:AB31"/>
    <mergeCell ref="AC31:AE31"/>
    <mergeCell ref="AF31:AH31"/>
    <mergeCell ref="AI31:AK31"/>
    <mergeCell ref="H31:J31"/>
    <mergeCell ref="K31:M31"/>
    <mergeCell ref="N31:P31"/>
    <mergeCell ref="Q31:S31"/>
    <mergeCell ref="T31:V31"/>
    <mergeCell ref="W32:Y32"/>
    <mergeCell ref="Z32:AB32"/>
    <mergeCell ref="AC32:AE32"/>
    <mergeCell ref="AF32:AH32"/>
    <mergeCell ref="AI32:AK32"/>
    <mergeCell ref="H32:J32"/>
    <mergeCell ref="K32:M32"/>
    <mergeCell ref="N32:P32"/>
    <mergeCell ref="Q32:S32"/>
    <mergeCell ref="T32:V32"/>
    <mergeCell ref="W33:Y33"/>
    <mergeCell ref="Z33:AB33"/>
    <mergeCell ref="AC33:AE33"/>
    <mergeCell ref="AF33:AH33"/>
    <mergeCell ref="AI33:AK33"/>
    <mergeCell ref="H33:J33"/>
    <mergeCell ref="K33:M33"/>
    <mergeCell ref="N33:P33"/>
    <mergeCell ref="Q33:S33"/>
    <mergeCell ref="T33:V33"/>
    <mergeCell ref="W34:Y34"/>
    <mergeCell ref="Z34:AB34"/>
    <mergeCell ref="AC34:AE34"/>
    <mergeCell ref="AF34:AH34"/>
    <mergeCell ref="AI34:AK34"/>
    <mergeCell ref="H34:J34"/>
    <mergeCell ref="K34:M34"/>
    <mergeCell ref="N34:P34"/>
    <mergeCell ref="Q34:S34"/>
    <mergeCell ref="T34:V34"/>
    <mergeCell ref="W35:Y35"/>
    <mergeCell ref="Z35:AB35"/>
    <mergeCell ref="AC35:AE35"/>
    <mergeCell ref="AF35:AH35"/>
    <mergeCell ref="AI35:AK35"/>
    <mergeCell ref="H35:J35"/>
    <mergeCell ref="K35:M35"/>
    <mergeCell ref="N35:P35"/>
    <mergeCell ref="Q35:S35"/>
    <mergeCell ref="T35:V35"/>
    <mergeCell ref="W36:Y36"/>
    <mergeCell ref="Z36:AB36"/>
    <mergeCell ref="AC36:AE36"/>
    <mergeCell ref="AF36:AH36"/>
    <mergeCell ref="AI36:AK36"/>
    <mergeCell ref="H36:J36"/>
    <mergeCell ref="K36:M36"/>
    <mergeCell ref="N36:P36"/>
    <mergeCell ref="Q36:S36"/>
    <mergeCell ref="T36:V36"/>
    <mergeCell ref="W37:Y37"/>
    <mergeCell ref="Z37:AB37"/>
    <mergeCell ref="AC37:AE37"/>
    <mergeCell ref="AF37:AH37"/>
    <mergeCell ref="AI37:AK37"/>
    <mergeCell ref="H37:J37"/>
    <mergeCell ref="K37:M37"/>
    <mergeCell ref="N37:P37"/>
    <mergeCell ref="Q37:S37"/>
    <mergeCell ref="T37:V37"/>
    <mergeCell ref="W38:Y38"/>
    <mergeCell ref="Z38:AB38"/>
    <mergeCell ref="AC38:AE38"/>
    <mergeCell ref="AF38:AH38"/>
    <mergeCell ref="AI38:AK38"/>
    <mergeCell ref="H38:J38"/>
    <mergeCell ref="K38:M38"/>
    <mergeCell ref="N38:P38"/>
    <mergeCell ref="Q38:S38"/>
    <mergeCell ref="T38:V38"/>
    <mergeCell ref="W39:Y39"/>
    <mergeCell ref="Z39:AB39"/>
    <mergeCell ref="AC39:AE39"/>
    <mergeCell ref="AF39:AH39"/>
    <mergeCell ref="AI39:AK39"/>
    <mergeCell ref="H39:J39"/>
    <mergeCell ref="K39:M39"/>
    <mergeCell ref="N39:P39"/>
    <mergeCell ref="Q39:S39"/>
    <mergeCell ref="T39:V39"/>
    <mergeCell ref="W40:Y40"/>
    <mergeCell ref="Z40:AB40"/>
    <mergeCell ref="AC40:AE40"/>
    <mergeCell ref="AF40:AH40"/>
    <mergeCell ref="AI40:AK40"/>
    <mergeCell ref="H40:J40"/>
    <mergeCell ref="K40:M40"/>
    <mergeCell ref="N40:P40"/>
    <mergeCell ref="Q40:S40"/>
    <mergeCell ref="T40:V40"/>
  </mergeCells>
  <conditionalFormatting sqref="B11:AK11 B14:AK14">
    <cfRule type="expression" dxfId="1" priority="2">
      <formula>IF(B11&lt;0,1,0)=1</formula>
    </cfRule>
  </conditionalFormatting>
  <conditionalFormatting sqref="B25:AK40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D7041-B6DD-496C-BC4C-A6C15529FA18}">
  <dimension ref="A1:L35"/>
  <sheetViews>
    <sheetView topLeftCell="B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40.88671875" bestFit="1" customWidth="1"/>
    <col min="2" max="2" width="22.109375" bestFit="1" customWidth="1"/>
    <col min="3" max="3" width="8.6640625" bestFit="1" customWidth="1"/>
    <col min="4" max="4" width="8.109375" bestFit="1" customWidth="1"/>
    <col min="5" max="5" width="13.77734375" bestFit="1" customWidth="1"/>
    <col min="6" max="6" width="19.6640625" bestFit="1" customWidth="1"/>
    <col min="7" max="7" width="18.6640625" bestFit="1" customWidth="1"/>
    <col min="8" max="8" width="15.44140625" bestFit="1" customWidth="1"/>
    <col min="9" max="9" width="14.21875" bestFit="1" customWidth="1"/>
    <col min="10" max="10" width="21.6640625" bestFit="1" customWidth="1"/>
    <col min="11" max="11" width="13.109375" bestFit="1" customWidth="1"/>
    <col min="12" max="12" width="13.44140625" bestFit="1" customWidth="1"/>
  </cols>
  <sheetData>
    <row r="1" spans="1:12" x14ac:dyDescent="0.3">
      <c r="A1" s="1" t="s">
        <v>21</v>
      </c>
      <c r="B1" s="1" t="s">
        <v>20</v>
      </c>
      <c r="C1" s="1" t="s">
        <v>8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</row>
    <row r="2" spans="1:12" x14ac:dyDescent="0.3">
      <c r="A2" t="str">
        <f>C2&amp;" - "&amp;B2&amp;" - Iteration "&amp;D2</f>
        <v>MongoDB - q1_top_cities - Iteration 1</v>
      </c>
      <c r="B2" t="s">
        <v>0</v>
      </c>
      <c r="C2" t="s">
        <v>9</v>
      </c>
      <c r="D2">
        <v>1</v>
      </c>
      <c r="E2" t="s">
        <v>1</v>
      </c>
      <c r="F2" s="19">
        <v>46247.484305555554</v>
      </c>
      <c r="G2" s="19"/>
      <c r="I2" s="32" t="b">
        <v>0</v>
      </c>
    </row>
    <row r="3" spans="1:12" x14ac:dyDescent="0.3">
      <c r="A3" t="str">
        <f t="shared" ref="A3:A35" si="0">C3&amp;" - "&amp;B3&amp;" - Iteration "&amp;D3</f>
        <v>MongoDB - q2_avg_order_city - Iteration 1</v>
      </c>
      <c r="B3" t="s">
        <v>2</v>
      </c>
      <c r="C3" t="s">
        <v>9</v>
      </c>
      <c r="D3">
        <v>1</v>
      </c>
      <c r="E3" t="s">
        <v>3</v>
      </c>
      <c r="F3" s="19">
        <v>46247.525972222225</v>
      </c>
      <c r="G3" s="19">
        <v>46247.564340277779</v>
      </c>
      <c r="H3">
        <v>3314.6677</v>
      </c>
      <c r="I3" s="32" t="b">
        <v>0</v>
      </c>
      <c r="J3">
        <v>2.5</v>
      </c>
      <c r="K3">
        <v>0</v>
      </c>
      <c r="L3">
        <v>10.050000000000001</v>
      </c>
    </row>
    <row r="4" spans="1:12" x14ac:dyDescent="0.3">
      <c r="A4" t="str">
        <f t="shared" si="0"/>
        <v>MongoDB - q2_avg_order_city - Iteration 2</v>
      </c>
      <c r="B4" t="s">
        <v>2</v>
      </c>
      <c r="C4" t="s">
        <v>9</v>
      </c>
      <c r="D4">
        <v>2</v>
      </c>
      <c r="E4" t="s">
        <v>3</v>
      </c>
      <c r="F4" s="19">
        <v>46247.564340277779</v>
      </c>
      <c r="G4" s="19">
        <v>46247.60297453704</v>
      </c>
      <c r="H4">
        <v>3337.8917000000001</v>
      </c>
      <c r="I4" s="32" t="b">
        <v>0</v>
      </c>
      <c r="J4">
        <v>2.4</v>
      </c>
      <c r="K4">
        <v>0</v>
      </c>
      <c r="L4">
        <v>9.5500000000000007</v>
      </c>
    </row>
    <row r="5" spans="1:12" x14ac:dyDescent="0.3">
      <c r="A5" t="str">
        <f t="shared" si="0"/>
        <v>MongoDB - q2_avg_order_city - Iteration 3</v>
      </c>
      <c r="B5" t="s">
        <v>2</v>
      </c>
      <c r="C5" t="s">
        <v>9</v>
      </c>
      <c r="D5">
        <v>3</v>
      </c>
      <c r="E5" t="s">
        <v>3</v>
      </c>
      <c r="F5" s="19">
        <v>46247.60297453704</v>
      </c>
      <c r="G5" s="19">
        <v>46247.640196759261</v>
      </c>
      <c r="H5">
        <v>3216.0666000000001</v>
      </c>
      <c r="I5" s="32" t="b">
        <v>0</v>
      </c>
      <c r="J5">
        <v>2.4</v>
      </c>
      <c r="K5">
        <v>0</v>
      </c>
      <c r="L5">
        <v>10.47</v>
      </c>
    </row>
    <row r="6" spans="1:12" x14ac:dyDescent="0.3">
      <c r="A6" t="str">
        <f t="shared" si="0"/>
        <v>MongoDB - q3_customer_spend_stats - Iteration 1</v>
      </c>
      <c r="B6" t="s">
        <v>4</v>
      </c>
      <c r="C6" t="s">
        <v>9</v>
      </c>
      <c r="D6">
        <v>1</v>
      </c>
      <c r="E6" t="s">
        <v>3</v>
      </c>
      <c r="F6" s="19">
        <v>46247.640196759261</v>
      </c>
      <c r="G6" s="19">
        <v>46247.642928240741</v>
      </c>
      <c r="H6">
        <v>236.37440000000001</v>
      </c>
      <c r="I6" s="32" t="b">
        <v>1</v>
      </c>
      <c r="J6">
        <v>3</v>
      </c>
      <c r="K6">
        <v>0</v>
      </c>
      <c r="L6">
        <v>0.44</v>
      </c>
    </row>
    <row r="7" spans="1:12" x14ac:dyDescent="0.3">
      <c r="A7" t="str">
        <f t="shared" si="0"/>
        <v>MongoDB - q3_customer_spend_stats - Iteration 2</v>
      </c>
      <c r="B7" t="s">
        <v>4</v>
      </c>
      <c r="C7" t="s">
        <v>9</v>
      </c>
      <c r="D7">
        <v>2</v>
      </c>
      <c r="E7" t="s">
        <v>3</v>
      </c>
      <c r="F7" s="19">
        <v>46247.642928240741</v>
      </c>
      <c r="G7" s="19">
        <v>46247.645509259259</v>
      </c>
      <c r="H7">
        <v>222.67060000000001</v>
      </c>
      <c r="I7" s="32" t="b">
        <v>1</v>
      </c>
      <c r="J7">
        <v>2.9</v>
      </c>
      <c r="K7">
        <v>0</v>
      </c>
      <c r="L7">
        <v>0.56999999999999995</v>
      </c>
    </row>
    <row r="8" spans="1:12" x14ac:dyDescent="0.3">
      <c r="A8" t="str">
        <f t="shared" si="0"/>
        <v>MongoDB - q3_customer_spend_stats - Iteration 3</v>
      </c>
      <c r="B8" t="s">
        <v>4</v>
      </c>
      <c r="C8" t="s">
        <v>9</v>
      </c>
      <c r="D8">
        <v>3</v>
      </c>
      <c r="E8" t="s">
        <v>3</v>
      </c>
      <c r="F8" s="19">
        <v>46247.645509259259</v>
      </c>
      <c r="G8" s="19">
        <v>46247.648043981484</v>
      </c>
      <c r="H8">
        <v>219.23920000000001</v>
      </c>
      <c r="I8" s="32" t="b">
        <v>1</v>
      </c>
      <c r="J8">
        <v>2.8</v>
      </c>
      <c r="K8">
        <v>0</v>
      </c>
      <c r="L8">
        <v>0.97</v>
      </c>
    </row>
    <row r="9" spans="1:12" x14ac:dyDescent="0.3">
      <c r="A9" t="str">
        <f t="shared" si="0"/>
        <v>MongoDB - q4_category_revenue - Iteration 1</v>
      </c>
      <c r="B9" t="s">
        <v>5</v>
      </c>
      <c r="C9" t="s">
        <v>9</v>
      </c>
      <c r="D9">
        <v>1</v>
      </c>
      <c r="E9" t="s">
        <v>3</v>
      </c>
      <c r="F9" s="19">
        <v>46247.648043981484</v>
      </c>
      <c r="G9" s="19">
        <v>46247.67628472222</v>
      </c>
      <c r="H9">
        <v>2439.8207000000002</v>
      </c>
      <c r="I9" s="32" t="b">
        <v>0</v>
      </c>
      <c r="J9">
        <v>2.7</v>
      </c>
      <c r="K9">
        <v>0</v>
      </c>
      <c r="L9">
        <v>6.71</v>
      </c>
    </row>
    <row r="10" spans="1:12" x14ac:dyDescent="0.3">
      <c r="A10" t="str">
        <f t="shared" si="0"/>
        <v>MongoDB - q4_category_revenue - Iteration 2</v>
      </c>
      <c r="B10" t="s">
        <v>5</v>
      </c>
      <c r="C10" t="s">
        <v>9</v>
      </c>
      <c r="D10">
        <v>2</v>
      </c>
      <c r="E10" t="s">
        <v>3</v>
      </c>
      <c r="F10" s="19">
        <v>46247.67628472222</v>
      </c>
      <c r="G10" s="19">
        <v>46247.705208333333</v>
      </c>
      <c r="H10">
        <v>2498.857</v>
      </c>
      <c r="I10" s="32" t="b">
        <v>0</v>
      </c>
      <c r="J10">
        <v>2.8</v>
      </c>
      <c r="K10">
        <v>0</v>
      </c>
      <c r="L10">
        <v>6.61</v>
      </c>
    </row>
    <row r="11" spans="1:12" x14ac:dyDescent="0.3">
      <c r="A11" t="str">
        <f t="shared" si="0"/>
        <v>MongoDB - q4_category_revenue - Iteration 3</v>
      </c>
      <c r="B11" t="s">
        <v>5</v>
      </c>
      <c r="C11" t="s">
        <v>9</v>
      </c>
      <c r="D11">
        <v>3</v>
      </c>
      <c r="E11" t="s">
        <v>3</v>
      </c>
      <c r="F11" s="19">
        <v>46247.705208333333</v>
      </c>
      <c r="G11" s="19">
        <v>46247.734548611108</v>
      </c>
      <c r="H11">
        <v>2535.5196999999998</v>
      </c>
      <c r="I11" s="32" t="b">
        <v>0</v>
      </c>
      <c r="J11">
        <v>2.7</v>
      </c>
      <c r="K11">
        <v>0</v>
      </c>
      <c r="L11">
        <v>7.62</v>
      </c>
    </row>
    <row r="12" spans="1:12" x14ac:dyDescent="0.3">
      <c r="A12" t="str">
        <f t="shared" si="0"/>
        <v>MongoDB - q5_top_customers - Iteration 1</v>
      </c>
      <c r="B12" t="s">
        <v>6</v>
      </c>
      <c r="C12" t="s">
        <v>9</v>
      </c>
      <c r="D12">
        <v>1</v>
      </c>
      <c r="E12" t="s">
        <v>3</v>
      </c>
      <c r="F12" s="19">
        <v>46247.734548611108</v>
      </c>
      <c r="G12" s="19">
        <v>46247.736597222225</v>
      </c>
      <c r="H12">
        <v>176.58959999999999</v>
      </c>
      <c r="I12" s="32" t="b">
        <v>1</v>
      </c>
      <c r="J12">
        <v>2.7</v>
      </c>
      <c r="K12">
        <v>0</v>
      </c>
      <c r="L12">
        <v>0.4</v>
      </c>
    </row>
    <row r="13" spans="1:12" x14ac:dyDescent="0.3">
      <c r="A13" t="str">
        <f t="shared" si="0"/>
        <v>MongoDB - q5_top_customers - Iteration 2</v>
      </c>
      <c r="B13" t="s">
        <v>6</v>
      </c>
      <c r="C13" t="s">
        <v>9</v>
      </c>
      <c r="D13">
        <v>2</v>
      </c>
      <c r="E13" t="s">
        <v>3</v>
      </c>
      <c r="F13" s="19">
        <v>46247.736597222225</v>
      </c>
      <c r="G13" s="19">
        <v>46247.738587962966</v>
      </c>
      <c r="H13">
        <v>171.45849999999999</v>
      </c>
      <c r="I13" s="32" t="b">
        <v>1</v>
      </c>
      <c r="J13">
        <v>2.7</v>
      </c>
      <c r="K13">
        <v>0</v>
      </c>
      <c r="L13">
        <v>0.45</v>
      </c>
    </row>
    <row r="14" spans="1:12" x14ac:dyDescent="0.3">
      <c r="A14" t="str">
        <f t="shared" si="0"/>
        <v>MongoDB - q5_top_customers - Iteration 3</v>
      </c>
      <c r="B14" t="s">
        <v>6</v>
      </c>
      <c r="C14" t="s">
        <v>9</v>
      </c>
      <c r="D14">
        <v>3</v>
      </c>
      <c r="E14" t="s">
        <v>3</v>
      </c>
      <c r="F14" s="19">
        <v>46247.738587962966</v>
      </c>
      <c r="G14" s="19">
        <v>46247.740694444445</v>
      </c>
      <c r="H14">
        <v>182.91560000000001</v>
      </c>
      <c r="I14" s="32" t="b">
        <v>1</v>
      </c>
      <c r="J14">
        <v>2.7</v>
      </c>
      <c r="K14">
        <v>0</v>
      </c>
      <c r="L14">
        <v>0.7</v>
      </c>
    </row>
    <row r="15" spans="1:12" x14ac:dyDescent="0.3">
      <c r="A15" t="str">
        <f t="shared" si="0"/>
        <v>MongoDB - q6_inactive_customers - Iteration 1</v>
      </c>
      <c r="B15" t="s">
        <v>7</v>
      </c>
      <c r="C15" t="s">
        <v>9</v>
      </c>
      <c r="D15">
        <v>1</v>
      </c>
      <c r="E15" t="s">
        <v>3</v>
      </c>
      <c r="F15" s="19">
        <v>46247.740694444445</v>
      </c>
      <c r="G15" s="19">
        <v>46247.771874999999</v>
      </c>
      <c r="H15">
        <v>2693.8289</v>
      </c>
      <c r="I15" s="32" t="b">
        <v>1</v>
      </c>
      <c r="J15">
        <v>3</v>
      </c>
      <c r="K15">
        <v>38.659999999999997</v>
      </c>
      <c r="L15">
        <v>83.21</v>
      </c>
    </row>
    <row r="16" spans="1:12" x14ac:dyDescent="0.3">
      <c r="A16" t="str">
        <f t="shared" si="0"/>
        <v>MongoDB - q6_inactive_customers - Iteration 2</v>
      </c>
      <c r="B16" t="s">
        <v>7</v>
      </c>
      <c r="C16" t="s">
        <v>9</v>
      </c>
      <c r="D16">
        <v>2</v>
      </c>
      <c r="E16" t="s">
        <v>3</v>
      </c>
      <c r="F16" s="19">
        <v>46247.771874999999</v>
      </c>
      <c r="G16" s="19">
        <v>46247.800555555557</v>
      </c>
      <c r="H16">
        <v>2477.4292999999998</v>
      </c>
      <c r="I16" s="32" t="b">
        <v>1</v>
      </c>
      <c r="J16">
        <v>3</v>
      </c>
      <c r="K16">
        <v>0</v>
      </c>
      <c r="L16">
        <v>4.03</v>
      </c>
    </row>
    <row r="17" spans="1:12" x14ac:dyDescent="0.3">
      <c r="A17" t="str">
        <f t="shared" si="0"/>
        <v>MongoDB - q6_inactive_customers - Iteration 3</v>
      </c>
      <c r="B17" t="s">
        <v>7</v>
      </c>
      <c r="C17" t="s">
        <v>9</v>
      </c>
      <c r="D17">
        <v>3</v>
      </c>
      <c r="E17" t="s">
        <v>3</v>
      </c>
      <c r="F17" s="19">
        <v>46247.800555555557</v>
      </c>
      <c r="G17" s="19">
        <v>46247.829409722224</v>
      </c>
      <c r="H17">
        <v>2493.5625</v>
      </c>
      <c r="I17" s="32" t="b">
        <v>1</v>
      </c>
      <c r="J17">
        <v>2.9</v>
      </c>
      <c r="K17">
        <v>0</v>
      </c>
      <c r="L17">
        <v>3.61</v>
      </c>
    </row>
    <row r="18" spans="1:12" x14ac:dyDescent="0.3">
      <c r="A18" t="str">
        <f t="shared" si="0"/>
        <v>MySQL - q1_top_cities - Iteration 1</v>
      </c>
      <c r="B18" t="s">
        <v>0</v>
      </c>
      <c r="C18" t="s">
        <v>10</v>
      </c>
      <c r="D18">
        <v>1</v>
      </c>
      <c r="E18" t="s">
        <v>3</v>
      </c>
      <c r="F18" s="19">
        <v>46247.327534722222</v>
      </c>
      <c r="G18" s="19">
        <v>46247.334652777776</v>
      </c>
      <c r="H18">
        <v>614.38260000000002</v>
      </c>
      <c r="I18" s="32" t="b">
        <v>0</v>
      </c>
      <c r="J18">
        <v>2.6</v>
      </c>
      <c r="K18">
        <v>0</v>
      </c>
      <c r="L18">
        <v>2.86</v>
      </c>
    </row>
    <row r="19" spans="1:12" x14ac:dyDescent="0.3">
      <c r="A19" t="str">
        <f t="shared" si="0"/>
        <v>MySQL - q1_top_cities - Iteration 2</v>
      </c>
      <c r="B19" t="s">
        <v>0</v>
      </c>
      <c r="C19" t="s">
        <v>10</v>
      </c>
      <c r="D19">
        <v>2</v>
      </c>
      <c r="E19" t="s">
        <v>3</v>
      </c>
      <c r="F19" s="19">
        <v>46247.334652777776</v>
      </c>
      <c r="G19" s="19">
        <v>46247.342835648145</v>
      </c>
      <c r="H19">
        <v>707.70699999999999</v>
      </c>
      <c r="I19" s="32" t="b">
        <v>0</v>
      </c>
      <c r="J19">
        <v>2.5</v>
      </c>
      <c r="K19">
        <v>0</v>
      </c>
      <c r="L19">
        <v>2.0099999999999998</v>
      </c>
    </row>
    <row r="20" spans="1:12" x14ac:dyDescent="0.3">
      <c r="A20" t="str">
        <f t="shared" si="0"/>
        <v>MySQL - q1_top_cities - Iteration 3</v>
      </c>
      <c r="B20" t="s">
        <v>0</v>
      </c>
      <c r="C20" t="s">
        <v>10</v>
      </c>
      <c r="D20">
        <v>3</v>
      </c>
      <c r="E20" t="s">
        <v>3</v>
      </c>
      <c r="F20" s="19">
        <v>46247.342835648145</v>
      </c>
      <c r="G20" s="19">
        <v>46247.351030092592</v>
      </c>
      <c r="H20">
        <v>708.07429999999999</v>
      </c>
      <c r="I20" s="32" t="b">
        <v>0</v>
      </c>
      <c r="J20">
        <v>2.5</v>
      </c>
      <c r="K20">
        <v>0</v>
      </c>
      <c r="L20">
        <v>2.42</v>
      </c>
    </row>
    <row r="21" spans="1:12" x14ac:dyDescent="0.3">
      <c r="A21" t="str">
        <f t="shared" si="0"/>
        <v>MySQL - q2_avg_order_city - Iteration 1</v>
      </c>
      <c r="B21" t="s">
        <v>2</v>
      </c>
      <c r="C21" t="s">
        <v>10</v>
      </c>
      <c r="D21">
        <v>1</v>
      </c>
      <c r="E21" t="s">
        <v>3</v>
      </c>
      <c r="F21" s="19">
        <v>46247.351030092592</v>
      </c>
      <c r="G21" s="19">
        <v>46247.355532407404</v>
      </c>
      <c r="H21">
        <v>388.4461</v>
      </c>
      <c r="I21" s="32" t="b">
        <v>0</v>
      </c>
      <c r="J21">
        <v>2.5</v>
      </c>
      <c r="K21">
        <v>0</v>
      </c>
      <c r="L21">
        <v>0.99</v>
      </c>
    </row>
    <row r="22" spans="1:12" x14ac:dyDescent="0.3">
      <c r="A22" t="str">
        <f t="shared" si="0"/>
        <v>MySQL - q2_avg_order_city - Iteration 2</v>
      </c>
      <c r="B22" t="s">
        <v>2</v>
      </c>
      <c r="C22" t="s">
        <v>10</v>
      </c>
      <c r="D22">
        <v>2</v>
      </c>
      <c r="E22" t="s">
        <v>3</v>
      </c>
      <c r="F22" s="19">
        <v>46247.355532407404</v>
      </c>
      <c r="G22" s="19">
        <v>46247.359953703701</v>
      </c>
      <c r="H22">
        <v>382.49470000000002</v>
      </c>
      <c r="I22" s="32" t="b">
        <v>0</v>
      </c>
      <c r="J22">
        <v>2.5</v>
      </c>
      <c r="K22">
        <v>0</v>
      </c>
      <c r="L22">
        <v>1.23</v>
      </c>
    </row>
    <row r="23" spans="1:12" x14ac:dyDescent="0.3">
      <c r="A23" t="str">
        <f t="shared" si="0"/>
        <v>MySQL - q2_avg_order_city - Iteration 3</v>
      </c>
      <c r="B23" t="s">
        <v>2</v>
      </c>
      <c r="C23" t="s">
        <v>10</v>
      </c>
      <c r="D23">
        <v>3</v>
      </c>
      <c r="E23" t="s">
        <v>3</v>
      </c>
      <c r="F23" s="19">
        <v>46247.359953703701</v>
      </c>
      <c r="G23" s="19">
        <v>46247.364340277774</v>
      </c>
      <c r="H23">
        <v>378.55250000000001</v>
      </c>
      <c r="I23" s="32" t="b">
        <v>0</v>
      </c>
      <c r="J23">
        <v>2.5</v>
      </c>
      <c r="K23">
        <v>0.01</v>
      </c>
      <c r="L23">
        <v>0.89</v>
      </c>
    </row>
    <row r="24" spans="1:12" x14ac:dyDescent="0.3">
      <c r="A24" t="str">
        <f t="shared" si="0"/>
        <v>MySQL - q3_customer_spend_stats - Iteration 1</v>
      </c>
      <c r="B24" t="s">
        <v>4</v>
      </c>
      <c r="C24" t="s">
        <v>10</v>
      </c>
      <c r="D24">
        <v>1</v>
      </c>
      <c r="E24" t="s">
        <v>3</v>
      </c>
      <c r="F24" s="19">
        <v>46247.364340277774</v>
      </c>
      <c r="G24" s="19">
        <v>46247.365983796299</v>
      </c>
      <c r="H24">
        <v>141.85169999999999</v>
      </c>
      <c r="I24" s="32" t="b">
        <v>0</v>
      </c>
      <c r="J24">
        <v>2.5</v>
      </c>
      <c r="K24">
        <v>0</v>
      </c>
      <c r="L24">
        <v>1</v>
      </c>
    </row>
    <row r="25" spans="1:12" x14ac:dyDescent="0.3">
      <c r="A25" t="str">
        <f t="shared" si="0"/>
        <v>MySQL - q3_customer_spend_stats - Iteration 2</v>
      </c>
      <c r="B25" t="s">
        <v>4</v>
      </c>
      <c r="C25" t="s">
        <v>10</v>
      </c>
      <c r="D25">
        <v>2</v>
      </c>
      <c r="E25" t="s">
        <v>3</v>
      </c>
      <c r="F25" s="19">
        <v>46247.365983796299</v>
      </c>
      <c r="G25" s="19">
        <v>46247.367314814815</v>
      </c>
      <c r="H25">
        <v>114.96550000000001</v>
      </c>
      <c r="I25" s="32" t="b">
        <v>0</v>
      </c>
      <c r="J25">
        <v>2.5</v>
      </c>
      <c r="K25">
        <v>0</v>
      </c>
      <c r="L25">
        <v>0.32</v>
      </c>
    </row>
    <row r="26" spans="1:12" x14ac:dyDescent="0.3">
      <c r="A26" t="str">
        <f t="shared" si="0"/>
        <v>MySQL - q3_customer_spend_stats - Iteration 3</v>
      </c>
      <c r="B26" t="s">
        <v>4</v>
      </c>
      <c r="C26" t="s">
        <v>10</v>
      </c>
      <c r="D26">
        <v>3</v>
      </c>
      <c r="E26" t="s">
        <v>3</v>
      </c>
      <c r="F26" s="19">
        <v>46247.367314814815</v>
      </c>
      <c r="G26" s="19">
        <v>46247.368622685186</v>
      </c>
      <c r="H26">
        <v>113.3426</v>
      </c>
      <c r="I26" s="32" t="b">
        <v>0</v>
      </c>
      <c r="J26">
        <v>2.5</v>
      </c>
      <c r="K26">
        <v>0</v>
      </c>
      <c r="L26">
        <v>0.73</v>
      </c>
    </row>
    <row r="27" spans="1:12" x14ac:dyDescent="0.3">
      <c r="A27" t="str">
        <f t="shared" si="0"/>
        <v>MySQL - q4_category_revenue - Iteration 1</v>
      </c>
      <c r="B27" t="s">
        <v>5</v>
      </c>
      <c r="C27" t="s">
        <v>10</v>
      </c>
      <c r="D27">
        <v>1</v>
      </c>
      <c r="E27" t="s">
        <v>3</v>
      </c>
      <c r="F27" s="19">
        <v>46247.368622685186</v>
      </c>
      <c r="G27" s="19">
        <v>46247.369988425926</v>
      </c>
      <c r="H27">
        <v>118.0226</v>
      </c>
      <c r="I27" s="32" t="b">
        <v>1</v>
      </c>
      <c r="J27">
        <v>2.5</v>
      </c>
      <c r="K27">
        <v>0</v>
      </c>
      <c r="L27">
        <v>0.38</v>
      </c>
    </row>
    <row r="28" spans="1:12" x14ac:dyDescent="0.3">
      <c r="A28" t="str">
        <f t="shared" si="0"/>
        <v>MySQL - q4_category_revenue - Iteration 2</v>
      </c>
      <c r="B28" t="s">
        <v>5</v>
      </c>
      <c r="C28" t="s">
        <v>10</v>
      </c>
      <c r="D28">
        <v>2</v>
      </c>
      <c r="E28" t="s">
        <v>3</v>
      </c>
      <c r="F28" s="19">
        <v>46247.369988425926</v>
      </c>
      <c r="G28" s="19">
        <v>46247.372777777775</v>
      </c>
      <c r="H28">
        <v>240.9751</v>
      </c>
      <c r="I28" s="32" t="b">
        <v>1</v>
      </c>
      <c r="J28">
        <v>2.5</v>
      </c>
      <c r="K28">
        <v>0</v>
      </c>
      <c r="L28">
        <v>0.79</v>
      </c>
    </row>
    <row r="29" spans="1:12" x14ac:dyDescent="0.3">
      <c r="A29" t="str">
        <f t="shared" si="0"/>
        <v>MySQL - q4_category_revenue - Iteration 3</v>
      </c>
      <c r="B29" t="s">
        <v>5</v>
      </c>
      <c r="C29" t="s">
        <v>10</v>
      </c>
      <c r="D29">
        <v>3</v>
      </c>
      <c r="E29" t="s">
        <v>3</v>
      </c>
      <c r="F29" s="19">
        <v>46247.372777777775</v>
      </c>
      <c r="G29" s="19">
        <v>46247.375497685185</v>
      </c>
      <c r="H29">
        <v>234.77940000000001</v>
      </c>
      <c r="I29" s="32" t="b">
        <v>1</v>
      </c>
      <c r="J29">
        <v>2.5</v>
      </c>
      <c r="K29">
        <v>0</v>
      </c>
      <c r="L29">
        <v>0.28000000000000003</v>
      </c>
    </row>
    <row r="30" spans="1:12" x14ac:dyDescent="0.3">
      <c r="A30" t="str">
        <f t="shared" si="0"/>
        <v>MySQL - q5_top_customers - Iteration 1</v>
      </c>
      <c r="B30" t="s">
        <v>6</v>
      </c>
      <c r="C30" t="s">
        <v>10</v>
      </c>
      <c r="D30">
        <v>1</v>
      </c>
      <c r="E30" t="s">
        <v>3</v>
      </c>
      <c r="F30" s="19">
        <v>46247.375497685185</v>
      </c>
      <c r="G30" s="19">
        <v>46247.382476851853</v>
      </c>
      <c r="H30">
        <v>602.67679999999996</v>
      </c>
      <c r="I30" s="32" t="b">
        <v>1</v>
      </c>
      <c r="J30">
        <v>2.5</v>
      </c>
      <c r="K30">
        <v>0</v>
      </c>
      <c r="L30">
        <v>1.74</v>
      </c>
    </row>
    <row r="31" spans="1:12" x14ac:dyDescent="0.3">
      <c r="A31" t="str">
        <f t="shared" si="0"/>
        <v>MySQL - q5_top_customers - Iteration 2</v>
      </c>
      <c r="B31" t="s">
        <v>6</v>
      </c>
      <c r="C31" t="s">
        <v>10</v>
      </c>
      <c r="D31">
        <v>2</v>
      </c>
      <c r="E31" t="s">
        <v>3</v>
      </c>
      <c r="F31" s="19">
        <v>46247.382476851853</v>
      </c>
      <c r="G31" s="19">
        <v>46247.387870370374</v>
      </c>
      <c r="H31">
        <v>466.54090000000002</v>
      </c>
      <c r="I31" s="32" t="b">
        <v>1</v>
      </c>
      <c r="J31">
        <v>2.5</v>
      </c>
      <c r="K31">
        <v>0</v>
      </c>
      <c r="L31">
        <v>1.54</v>
      </c>
    </row>
    <row r="32" spans="1:12" x14ac:dyDescent="0.3">
      <c r="A32" t="str">
        <f t="shared" si="0"/>
        <v>MySQL - q5_top_customers - Iteration 3</v>
      </c>
      <c r="B32" t="s">
        <v>6</v>
      </c>
      <c r="C32" t="s">
        <v>10</v>
      </c>
      <c r="D32">
        <v>3</v>
      </c>
      <c r="E32" t="s">
        <v>3</v>
      </c>
      <c r="F32" s="19">
        <v>46247.387870370374</v>
      </c>
      <c r="G32" s="19">
        <v>46247.39471064815</v>
      </c>
      <c r="H32">
        <v>591.28409999999997</v>
      </c>
      <c r="I32" s="32" t="b">
        <v>1</v>
      </c>
      <c r="J32">
        <v>2.5</v>
      </c>
      <c r="K32">
        <v>0</v>
      </c>
      <c r="L32">
        <v>1.27</v>
      </c>
    </row>
    <row r="33" spans="1:12" x14ac:dyDescent="0.3">
      <c r="A33" t="str">
        <f t="shared" si="0"/>
        <v>MySQL - q6_inactive_customers - Iteration 1</v>
      </c>
      <c r="B33" t="s">
        <v>7</v>
      </c>
      <c r="C33" t="s">
        <v>10</v>
      </c>
      <c r="D33">
        <v>1</v>
      </c>
      <c r="E33" t="s">
        <v>3</v>
      </c>
      <c r="F33" s="19">
        <v>46247.39471064815</v>
      </c>
      <c r="G33" s="19">
        <v>46247.400092592594</v>
      </c>
      <c r="H33">
        <v>464.80110000000002</v>
      </c>
      <c r="I33" s="32" t="b">
        <v>0</v>
      </c>
      <c r="J33">
        <v>2.5</v>
      </c>
      <c r="K33">
        <v>0</v>
      </c>
      <c r="L33">
        <v>1</v>
      </c>
    </row>
    <row r="34" spans="1:12" x14ac:dyDescent="0.3">
      <c r="A34" t="str">
        <f t="shared" si="0"/>
        <v>MySQL - q6_inactive_customers - Iteration 2</v>
      </c>
      <c r="B34" t="s">
        <v>7</v>
      </c>
      <c r="C34" t="s">
        <v>10</v>
      </c>
      <c r="D34">
        <v>2</v>
      </c>
      <c r="E34" t="s">
        <v>3</v>
      </c>
      <c r="F34" s="19">
        <v>46247.400092592594</v>
      </c>
      <c r="G34" s="19">
        <v>46247.405416666668</v>
      </c>
      <c r="H34">
        <v>459.96570000000003</v>
      </c>
      <c r="I34" s="32" t="b">
        <v>0</v>
      </c>
      <c r="J34">
        <v>2.5</v>
      </c>
      <c r="K34">
        <v>0</v>
      </c>
      <c r="L34">
        <v>5.19</v>
      </c>
    </row>
    <row r="35" spans="1:12" x14ac:dyDescent="0.3">
      <c r="A35" t="str">
        <f t="shared" si="0"/>
        <v>MySQL - q6_inactive_customers - Iteration 3</v>
      </c>
      <c r="B35" t="s">
        <v>7</v>
      </c>
      <c r="C35" t="s">
        <v>10</v>
      </c>
      <c r="D35">
        <v>3</v>
      </c>
      <c r="E35" t="s">
        <v>3</v>
      </c>
      <c r="F35" s="19">
        <v>46247.405416666668</v>
      </c>
      <c r="G35" s="19">
        <v>46247.410914351851</v>
      </c>
      <c r="H35">
        <v>474.40449999999998</v>
      </c>
      <c r="I35" s="32" t="b">
        <v>0</v>
      </c>
      <c r="J35">
        <v>2.5</v>
      </c>
      <c r="K35">
        <v>0</v>
      </c>
      <c r="L35">
        <v>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3237-F84C-4841-8B52-2134730B62F5}">
  <dimension ref="A1:W722"/>
  <sheetViews>
    <sheetView workbookViewId="0">
      <pane ySplit="2" topLeftCell="A703" activePane="bottomLeft" state="frozen"/>
      <selection pane="bottomLeft" activeCell="H722" sqref="H722"/>
    </sheetView>
  </sheetViews>
  <sheetFormatPr defaultRowHeight="14.4" x14ac:dyDescent="0.3"/>
  <cols>
    <col min="1" max="1" width="22.109375" style="13" bestFit="1" customWidth="1"/>
    <col min="2" max="2" width="7.6640625" style="13" bestFit="1" customWidth="1"/>
    <col min="20" max="20" width="18" bestFit="1" customWidth="1"/>
    <col min="21" max="22" width="8.88671875" style="13" customWidth="1"/>
    <col min="23" max="23" width="8.88671875" style="40" customWidth="1"/>
  </cols>
  <sheetData>
    <row r="1" spans="1:23" x14ac:dyDescent="0.3">
      <c r="A1" s="84" t="s">
        <v>46</v>
      </c>
      <c r="B1" s="86"/>
      <c r="C1" s="84" t="s">
        <v>45</v>
      </c>
      <c r="D1" s="85"/>
      <c r="E1" s="84" t="s">
        <v>44</v>
      </c>
      <c r="F1" s="86"/>
      <c r="G1" s="86"/>
      <c r="H1" s="85"/>
      <c r="I1" s="84" t="s">
        <v>43</v>
      </c>
      <c r="J1" s="85"/>
      <c r="K1" s="84" t="s">
        <v>42</v>
      </c>
      <c r="L1" s="85"/>
      <c r="M1" s="84" t="s">
        <v>8</v>
      </c>
      <c r="N1" s="85"/>
      <c r="O1" s="84" t="s">
        <v>41</v>
      </c>
      <c r="P1" s="86"/>
      <c r="Q1" s="86"/>
      <c r="R1" s="86"/>
      <c r="S1" s="85"/>
      <c r="T1" s="22" t="s">
        <v>40</v>
      </c>
      <c r="U1" s="84" t="s">
        <v>65</v>
      </c>
      <c r="V1" s="86"/>
      <c r="W1" s="85"/>
    </row>
    <row r="2" spans="1:23" ht="15" thickBot="1" x14ac:dyDescent="0.35">
      <c r="A2" s="14" t="s">
        <v>20</v>
      </c>
      <c r="B2" s="14" t="s">
        <v>11</v>
      </c>
      <c r="C2" s="15" t="s">
        <v>22</v>
      </c>
      <c r="D2" s="17" t="s">
        <v>23</v>
      </c>
      <c r="E2" s="15" t="s">
        <v>24</v>
      </c>
      <c r="F2" s="14" t="s">
        <v>25</v>
      </c>
      <c r="G2" s="14" t="s">
        <v>26</v>
      </c>
      <c r="H2" s="17" t="s">
        <v>27</v>
      </c>
      <c r="I2" s="15" t="s">
        <v>28</v>
      </c>
      <c r="J2" s="17" t="s">
        <v>29</v>
      </c>
      <c r="K2" s="15" t="s">
        <v>30</v>
      </c>
      <c r="L2" s="17" t="s">
        <v>31</v>
      </c>
      <c r="M2" s="15" t="s">
        <v>32</v>
      </c>
      <c r="N2" s="17" t="s">
        <v>33</v>
      </c>
      <c r="O2" s="15" t="s">
        <v>34</v>
      </c>
      <c r="P2" s="14" t="s">
        <v>35</v>
      </c>
      <c r="Q2" s="14" t="s">
        <v>36</v>
      </c>
      <c r="R2" s="14" t="s">
        <v>37</v>
      </c>
      <c r="S2" s="17" t="s">
        <v>38</v>
      </c>
      <c r="T2" s="20" t="s">
        <v>39</v>
      </c>
      <c r="U2" s="57" t="s">
        <v>66</v>
      </c>
      <c r="V2" s="58" t="s">
        <v>69</v>
      </c>
      <c r="W2" s="59" t="s">
        <v>68</v>
      </c>
    </row>
    <row r="3" spans="1:23" x14ac:dyDescent="0.3">
      <c r="A3" s="13" t="str" cm="1">
        <f t="array" ref="A3:B3">INDEX(BenchmarkResults!$B$1:$D$35,SUMPRODUCT((T3&gt;=BenchmarkResults!$F$2:$F$35)*(mysql_hardware_log!T3&lt;BenchmarkResults!$G$2:$G$35)*ROW(BenchmarkResults!$F$2:$F$35)),{1,3})</f>
        <v>q1_top_cities</v>
      </c>
      <c r="B3" s="13">
        <v>1</v>
      </c>
      <c r="C3" s="16">
        <v>2</v>
      </c>
      <c r="D3" s="18">
        <v>0</v>
      </c>
      <c r="E3" s="16">
        <v>470016</v>
      </c>
      <c r="F3" s="13">
        <v>2557788</v>
      </c>
      <c r="G3" s="13">
        <v>22736</v>
      </c>
      <c r="H3" s="18">
        <v>1160288</v>
      </c>
      <c r="I3" s="16">
        <v>1619</v>
      </c>
      <c r="J3" s="18">
        <v>0</v>
      </c>
      <c r="K3" s="16">
        <v>20491</v>
      </c>
      <c r="L3" s="18">
        <v>131</v>
      </c>
      <c r="M3" s="16">
        <v>1922</v>
      </c>
      <c r="N3" s="18">
        <v>893</v>
      </c>
      <c r="O3" s="16">
        <v>36</v>
      </c>
      <c r="P3" s="13">
        <v>8</v>
      </c>
      <c r="Q3" s="13">
        <v>49</v>
      </c>
      <c r="R3" s="13">
        <v>7</v>
      </c>
      <c r="S3" s="18">
        <v>0</v>
      </c>
      <c r="T3" s="21">
        <v>46247.327650462961</v>
      </c>
      <c r="U3" s="55"/>
      <c r="V3" s="55"/>
    </row>
    <row r="4" spans="1:23" x14ac:dyDescent="0.3">
      <c r="A4" s="13" t="str" cm="1">
        <f t="array" ref="A4:B4">INDEX(BenchmarkResults!$B$1:$D$35,SUMPRODUCT((T4&gt;=BenchmarkResults!$F$2:$F$35)*(mysql_hardware_log!T4&lt;BenchmarkResults!$G$2:$G$35)*ROW(BenchmarkResults!$F$2:$F$35)),{1,3})</f>
        <v>q1_top_cities</v>
      </c>
      <c r="B4" s="13">
        <v>1</v>
      </c>
      <c r="C4" s="16">
        <v>1</v>
      </c>
      <c r="D4" s="18">
        <v>0</v>
      </c>
      <c r="E4" s="16">
        <v>470016</v>
      </c>
      <c r="F4" s="13">
        <v>2352676</v>
      </c>
      <c r="G4" s="13">
        <v>22744</v>
      </c>
      <c r="H4" s="18">
        <v>1358276</v>
      </c>
      <c r="I4" s="16">
        <v>0</v>
      </c>
      <c r="J4" s="18">
        <v>0</v>
      </c>
      <c r="K4" s="16">
        <v>19794</v>
      </c>
      <c r="L4" s="18">
        <v>2</v>
      </c>
      <c r="M4" s="16">
        <v>1707</v>
      </c>
      <c r="N4" s="18">
        <v>573</v>
      </c>
      <c r="O4" s="16">
        <v>43</v>
      </c>
      <c r="P4" s="13">
        <v>6</v>
      </c>
      <c r="Q4" s="13">
        <v>49</v>
      </c>
      <c r="R4" s="13">
        <v>2</v>
      </c>
      <c r="S4" s="18">
        <v>0</v>
      </c>
      <c r="T4" s="21">
        <v>46247.327766203707</v>
      </c>
      <c r="U4" s="55"/>
      <c r="V4" s="55"/>
    </row>
    <row r="5" spans="1:23" x14ac:dyDescent="0.3">
      <c r="A5" s="13" t="str" cm="1">
        <f t="array" ref="A5:B5">INDEX(BenchmarkResults!$B$1:$D$35,SUMPRODUCT((T5&gt;=BenchmarkResults!$F$2:$F$35)*(mysql_hardware_log!T5&lt;BenchmarkResults!$G$2:$G$35)*ROW(BenchmarkResults!$F$2:$F$35)),{1,3})</f>
        <v>q1_top_cities</v>
      </c>
      <c r="B5" s="13">
        <v>1</v>
      </c>
      <c r="C5" s="16">
        <v>1</v>
      </c>
      <c r="D5" s="18">
        <v>0</v>
      </c>
      <c r="E5" s="16">
        <v>470016</v>
      </c>
      <c r="F5" s="13">
        <v>2173504</v>
      </c>
      <c r="G5" s="13">
        <v>22752</v>
      </c>
      <c r="H5" s="18">
        <v>1540088</v>
      </c>
      <c r="I5" s="16">
        <v>112</v>
      </c>
      <c r="J5" s="18">
        <v>0</v>
      </c>
      <c r="K5" s="16">
        <v>18300</v>
      </c>
      <c r="L5" s="18">
        <v>9</v>
      </c>
      <c r="M5" s="16">
        <v>1691</v>
      </c>
      <c r="N5" s="18">
        <v>596</v>
      </c>
      <c r="O5" s="16">
        <v>41</v>
      </c>
      <c r="P5" s="13">
        <v>6</v>
      </c>
      <c r="Q5" s="13">
        <v>49</v>
      </c>
      <c r="R5" s="13">
        <v>3</v>
      </c>
      <c r="S5" s="18">
        <v>0</v>
      </c>
      <c r="T5" s="21">
        <v>46247.327881944446</v>
      </c>
      <c r="U5" s="55"/>
      <c r="V5" s="55"/>
    </row>
    <row r="6" spans="1:23" x14ac:dyDescent="0.3">
      <c r="A6" s="13" t="str" cm="1">
        <f t="array" ref="A6:B6">INDEX(BenchmarkResults!$B$1:$D$35,SUMPRODUCT((T6&gt;=BenchmarkResults!$F$2:$F$35)*(mysql_hardware_log!T6&lt;BenchmarkResults!$G$2:$G$35)*ROW(BenchmarkResults!$F$2:$F$35)),{1,3})</f>
        <v>q1_top_cities</v>
      </c>
      <c r="B6" s="13">
        <v>1</v>
      </c>
      <c r="C6" s="16">
        <v>2</v>
      </c>
      <c r="D6" s="18">
        <v>0</v>
      </c>
      <c r="E6" s="16">
        <v>470016</v>
      </c>
      <c r="F6" s="13">
        <v>767876</v>
      </c>
      <c r="G6" s="13">
        <v>22760</v>
      </c>
      <c r="H6" s="18">
        <v>1643632</v>
      </c>
      <c r="I6" s="16">
        <v>0</v>
      </c>
      <c r="J6" s="18">
        <v>0</v>
      </c>
      <c r="K6" s="16">
        <v>10352</v>
      </c>
      <c r="L6" s="18">
        <v>2</v>
      </c>
      <c r="M6" s="16">
        <v>2182</v>
      </c>
      <c r="N6" s="18">
        <v>671</v>
      </c>
      <c r="O6" s="16">
        <v>45</v>
      </c>
      <c r="P6" s="13">
        <v>26</v>
      </c>
      <c r="Q6" s="13">
        <v>27</v>
      </c>
      <c r="R6" s="13">
        <v>1</v>
      </c>
      <c r="S6" s="18">
        <v>0</v>
      </c>
      <c r="T6" s="21">
        <v>46247.327997685185</v>
      </c>
      <c r="U6" s="55"/>
      <c r="V6" s="55"/>
    </row>
    <row r="7" spans="1:23" x14ac:dyDescent="0.3">
      <c r="A7" s="13" t="str" cm="1">
        <f t="array" ref="A7:B7">INDEX(BenchmarkResults!$B$1:$D$35,SUMPRODUCT((T7&gt;=BenchmarkResults!$F$2:$F$35)*(mysql_hardware_log!T7&lt;BenchmarkResults!$G$2:$G$35)*ROW(BenchmarkResults!$F$2:$F$35)),{1,3})</f>
        <v>q1_top_cities</v>
      </c>
      <c r="B7" s="13">
        <v>1</v>
      </c>
      <c r="C7" s="16">
        <v>1</v>
      </c>
      <c r="D7" s="18">
        <v>0</v>
      </c>
      <c r="E7" s="16">
        <v>470016</v>
      </c>
      <c r="F7" s="13">
        <v>2496300</v>
      </c>
      <c r="G7" s="13">
        <v>7468</v>
      </c>
      <c r="H7" s="18">
        <v>1218116</v>
      </c>
      <c r="I7" s="16">
        <v>8</v>
      </c>
      <c r="J7" s="18">
        <v>0</v>
      </c>
      <c r="K7" s="16">
        <v>13053</v>
      </c>
      <c r="L7" s="18">
        <v>2</v>
      </c>
      <c r="M7" s="16">
        <v>2397</v>
      </c>
      <c r="N7" s="18">
        <v>1174</v>
      </c>
      <c r="O7" s="16">
        <v>45</v>
      </c>
      <c r="P7" s="13">
        <v>24</v>
      </c>
      <c r="Q7" s="13">
        <v>29</v>
      </c>
      <c r="R7" s="13">
        <v>1</v>
      </c>
      <c r="S7" s="18">
        <v>0</v>
      </c>
      <c r="T7" s="21">
        <v>46247.328113425923</v>
      </c>
      <c r="U7" s="55"/>
      <c r="V7" s="55"/>
    </row>
    <row r="8" spans="1:23" x14ac:dyDescent="0.3">
      <c r="A8" s="13" t="str" cm="1">
        <f t="array" ref="A8:B8">INDEX(BenchmarkResults!$B$1:$D$35,SUMPRODUCT((T8&gt;=BenchmarkResults!$F$2:$F$35)*(mysql_hardware_log!T8&lt;BenchmarkResults!$G$2:$G$35)*ROW(BenchmarkResults!$F$2:$F$35)),{1,3})</f>
        <v>q1_top_cities</v>
      </c>
      <c r="B8" s="13">
        <v>1</v>
      </c>
      <c r="C8" s="16">
        <v>1</v>
      </c>
      <c r="D8" s="18">
        <v>0</v>
      </c>
      <c r="E8" s="16">
        <v>470016</v>
      </c>
      <c r="F8" s="13">
        <v>2295204</v>
      </c>
      <c r="G8" s="13">
        <v>7476</v>
      </c>
      <c r="H8" s="18">
        <v>1417368</v>
      </c>
      <c r="I8" s="16">
        <v>0</v>
      </c>
      <c r="J8" s="18">
        <v>0</v>
      </c>
      <c r="K8" s="16">
        <v>19926</v>
      </c>
      <c r="L8" s="18">
        <v>5</v>
      </c>
      <c r="M8" s="16">
        <v>1664</v>
      </c>
      <c r="N8" s="18">
        <v>502</v>
      </c>
      <c r="O8" s="16">
        <v>43</v>
      </c>
      <c r="P8" s="13">
        <v>6</v>
      </c>
      <c r="Q8" s="13">
        <v>49</v>
      </c>
      <c r="R8" s="13">
        <v>2</v>
      </c>
      <c r="S8" s="18">
        <v>0</v>
      </c>
      <c r="T8" s="21">
        <v>46247.328229166669</v>
      </c>
      <c r="U8" s="55">
        <f>AVERAGE(C3:C8)</f>
        <v>1.3333333333333333</v>
      </c>
      <c r="V8" s="55">
        <f>AVERAGE(D3:D8)</f>
        <v>0</v>
      </c>
      <c r="W8" s="56">
        <f>AVERAGE(K3:K8)</f>
        <v>16986</v>
      </c>
    </row>
    <row r="9" spans="1:23" x14ac:dyDescent="0.3">
      <c r="A9" s="13" t="str" cm="1">
        <f t="array" ref="A9:B9">INDEX(BenchmarkResults!$B$1:$D$35,SUMPRODUCT((T9&gt;=BenchmarkResults!$F$2:$F$35)*(mysql_hardware_log!T9&lt;BenchmarkResults!$G$2:$G$35)*ROW(BenchmarkResults!$F$2:$F$35)),{1,3})</f>
        <v>q1_top_cities</v>
      </c>
      <c r="B9" s="13">
        <v>1</v>
      </c>
      <c r="C9" s="16">
        <v>1</v>
      </c>
      <c r="D9" s="18">
        <v>0</v>
      </c>
      <c r="E9" s="16">
        <v>470016</v>
      </c>
      <c r="F9" s="13">
        <v>2099152</v>
      </c>
      <c r="G9" s="13">
        <v>7488</v>
      </c>
      <c r="H9" s="18">
        <v>1614588</v>
      </c>
      <c r="I9" s="16">
        <v>0</v>
      </c>
      <c r="J9" s="18">
        <v>0</v>
      </c>
      <c r="K9" s="16">
        <v>19722</v>
      </c>
      <c r="L9" s="18">
        <v>2</v>
      </c>
      <c r="M9" s="16">
        <v>1677</v>
      </c>
      <c r="N9" s="18">
        <v>535</v>
      </c>
      <c r="O9" s="16">
        <v>43</v>
      </c>
      <c r="P9" s="13">
        <v>6</v>
      </c>
      <c r="Q9" s="13">
        <v>49</v>
      </c>
      <c r="R9" s="13">
        <v>2</v>
      </c>
      <c r="S9" s="18">
        <v>0</v>
      </c>
      <c r="T9" s="21">
        <v>46247.328344907408</v>
      </c>
      <c r="U9" s="55">
        <f t="shared" ref="U9:V72" si="0">AVERAGE(C4:C9)</f>
        <v>1.1666666666666667</v>
      </c>
      <c r="V9" s="55">
        <f t="shared" si="0"/>
        <v>0</v>
      </c>
      <c r="W9" s="56">
        <f t="shared" ref="W9:W72" si="1">AVERAGE(K4:K9)</f>
        <v>16857.833333333332</v>
      </c>
    </row>
    <row r="10" spans="1:23" x14ac:dyDescent="0.3">
      <c r="A10" s="13" t="str" cm="1">
        <f t="array" ref="A10:B10">INDEX(BenchmarkResults!$B$1:$D$35,SUMPRODUCT((T10&gt;=BenchmarkResults!$F$2:$F$35)*(mysql_hardware_log!T10&lt;BenchmarkResults!$G$2:$G$35)*ROW(BenchmarkResults!$F$2:$F$35)),{1,3})</f>
        <v>q1_top_cities</v>
      </c>
      <c r="B10" s="13">
        <v>1</v>
      </c>
      <c r="C10" s="16">
        <v>1</v>
      </c>
      <c r="D10" s="18">
        <v>0</v>
      </c>
      <c r="E10" s="16">
        <v>470016</v>
      </c>
      <c r="F10" s="13">
        <v>1926280</v>
      </c>
      <c r="G10" s="13">
        <v>7496</v>
      </c>
      <c r="H10" s="18">
        <v>1815040</v>
      </c>
      <c r="I10" s="16">
        <v>8</v>
      </c>
      <c r="J10" s="18">
        <v>0</v>
      </c>
      <c r="K10" s="16">
        <v>20049</v>
      </c>
      <c r="L10" s="18">
        <v>38</v>
      </c>
      <c r="M10" s="16">
        <v>1713</v>
      </c>
      <c r="N10" s="18">
        <v>594</v>
      </c>
      <c r="O10" s="16">
        <v>43</v>
      </c>
      <c r="P10" s="13">
        <v>6</v>
      </c>
      <c r="Q10" s="13">
        <v>49</v>
      </c>
      <c r="R10" s="13">
        <v>2</v>
      </c>
      <c r="S10" s="18">
        <v>0</v>
      </c>
      <c r="T10" s="21">
        <v>46247.328460648147</v>
      </c>
      <c r="U10" s="55">
        <f t="shared" si="0"/>
        <v>1.1666666666666667</v>
      </c>
      <c r="V10" s="55">
        <f t="shared" si="0"/>
        <v>0</v>
      </c>
      <c r="W10" s="56">
        <f t="shared" si="1"/>
        <v>16900.333333333332</v>
      </c>
    </row>
    <row r="11" spans="1:23" x14ac:dyDescent="0.3">
      <c r="A11" s="13" t="str" cm="1">
        <f t="array" ref="A11:B11">INDEX(BenchmarkResults!$B$1:$D$35,SUMPRODUCT((T11&gt;=BenchmarkResults!$F$2:$F$35)*(mysql_hardware_log!T11&lt;BenchmarkResults!$G$2:$G$35)*ROW(BenchmarkResults!$F$2:$F$35)),{1,3})</f>
        <v>q1_top_cities</v>
      </c>
      <c r="B11" s="13">
        <v>1</v>
      </c>
      <c r="C11" s="16">
        <v>1</v>
      </c>
      <c r="D11" s="18">
        <v>0</v>
      </c>
      <c r="E11" s="16">
        <v>469760</v>
      </c>
      <c r="F11" s="13">
        <v>1740304</v>
      </c>
      <c r="G11" s="13">
        <v>7504</v>
      </c>
      <c r="H11" s="18">
        <v>1999268</v>
      </c>
      <c r="I11" s="16">
        <v>19</v>
      </c>
      <c r="J11" s="18">
        <v>0</v>
      </c>
      <c r="K11" s="16">
        <v>18447</v>
      </c>
      <c r="L11" s="18">
        <v>4</v>
      </c>
      <c r="M11" s="16">
        <v>1625</v>
      </c>
      <c r="N11" s="18">
        <v>525</v>
      </c>
      <c r="O11" s="16">
        <v>43</v>
      </c>
      <c r="P11" s="13">
        <v>6</v>
      </c>
      <c r="Q11" s="13">
        <v>49</v>
      </c>
      <c r="R11" s="13">
        <v>2</v>
      </c>
      <c r="S11" s="18">
        <v>0</v>
      </c>
      <c r="T11" s="21">
        <v>46247.328576388885</v>
      </c>
      <c r="U11" s="55">
        <f t="shared" si="0"/>
        <v>1.1666666666666667</v>
      </c>
      <c r="V11" s="55">
        <f t="shared" si="0"/>
        <v>0</v>
      </c>
      <c r="W11" s="56">
        <f t="shared" si="1"/>
        <v>16924.833333333332</v>
      </c>
    </row>
    <row r="12" spans="1:23" x14ac:dyDescent="0.3">
      <c r="A12" s="13" t="str" cm="1">
        <f t="array" ref="A12:B12">INDEX(BenchmarkResults!$B$1:$D$35,SUMPRODUCT((T12&gt;=BenchmarkResults!$F$2:$F$35)*(mysql_hardware_log!T12&lt;BenchmarkResults!$G$2:$G$35)*ROW(BenchmarkResults!$F$2:$F$35)),{1,3})</f>
        <v>q1_top_cities</v>
      </c>
      <c r="B12" s="13">
        <v>1</v>
      </c>
      <c r="C12" s="16">
        <v>1</v>
      </c>
      <c r="D12" s="18">
        <v>0</v>
      </c>
      <c r="E12" s="16">
        <v>469760</v>
      </c>
      <c r="F12" s="13">
        <v>1547272</v>
      </c>
      <c r="G12" s="13">
        <v>7512</v>
      </c>
      <c r="H12" s="18">
        <v>2194132</v>
      </c>
      <c r="I12" s="16">
        <v>26</v>
      </c>
      <c r="J12" s="18">
        <v>0</v>
      </c>
      <c r="K12" s="16">
        <v>19512</v>
      </c>
      <c r="L12" s="18">
        <v>2</v>
      </c>
      <c r="M12" s="16">
        <v>1656</v>
      </c>
      <c r="N12" s="18">
        <v>570</v>
      </c>
      <c r="O12" s="16">
        <v>43</v>
      </c>
      <c r="P12" s="13">
        <v>6</v>
      </c>
      <c r="Q12" s="13">
        <v>49</v>
      </c>
      <c r="R12" s="13">
        <v>2</v>
      </c>
      <c r="S12" s="18">
        <v>0</v>
      </c>
      <c r="T12" s="21">
        <v>46247.328692129631</v>
      </c>
      <c r="U12" s="55">
        <f t="shared" si="0"/>
        <v>1</v>
      </c>
      <c r="V12" s="55">
        <f t="shared" si="0"/>
        <v>0</v>
      </c>
      <c r="W12" s="56">
        <f t="shared" si="1"/>
        <v>18451.5</v>
      </c>
    </row>
    <row r="13" spans="1:23" x14ac:dyDescent="0.3">
      <c r="A13" s="13" t="str" cm="1">
        <f t="array" ref="A13:B13">INDEX(BenchmarkResults!$B$1:$D$35,SUMPRODUCT((T13&gt;=BenchmarkResults!$F$2:$F$35)*(mysql_hardware_log!T13&lt;BenchmarkResults!$G$2:$G$35)*ROW(BenchmarkResults!$F$2:$F$35)),{1,3})</f>
        <v>q1_top_cities</v>
      </c>
      <c r="B13" s="13">
        <v>1</v>
      </c>
      <c r="C13" s="16">
        <v>1</v>
      </c>
      <c r="D13" s="18">
        <v>0</v>
      </c>
      <c r="E13" s="16">
        <v>469760</v>
      </c>
      <c r="F13" s="13">
        <v>1354020</v>
      </c>
      <c r="G13" s="13">
        <v>7520</v>
      </c>
      <c r="H13" s="18">
        <v>2384800</v>
      </c>
      <c r="I13" s="16">
        <v>14</v>
      </c>
      <c r="J13" s="18">
        <v>0</v>
      </c>
      <c r="K13" s="16">
        <v>19083</v>
      </c>
      <c r="L13" s="18">
        <v>2</v>
      </c>
      <c r="M13" s="16">
        <v>1623</v>
      </c>
      <c r="N13" s="18">
        <v>510</v>
      </c>
      <c r="O13" s="16">
        <v>43</v>
      </c>
      <c r="P13" s="13">
        <v>6</v>
      </c>
      <c r="Q13" s="13">
        <v>49</v>
      </c>
      <c r="R13" s="13">
        <v>2</v>
      </c>
      <c r="S13" s="18">
        <v>0</v>
      </c>
      <c r="T13" s="21">
        <v>46247.32880787037</v>
      </c>
      <c r="U13" s="55">
        <f t="shared" si="0"/>
        <v>1</v>
      </c>
      <c r="V13" s="55">
        <f t="shared" si="0"/>
        <v>0</v>
      </c>
      <c r="W13" s="56">
        <f t="shared" si="1"/>
        <v>19456.5</v>
      </c>
    </row>
    <row r="14" spans="1:23" x14ac:dyDescent="0.3">
      <c r="A14" s="13" t="str" cm="1">
        <f t="array" ref="A14:B14">INDEX(BenchmarkResults!$B$1:$D$35,SUMPRODUCT((T14&gt;=BenchmarkResults!$F$2:$F$35)*(mysql_hardware_log!T14&lt;BenchmarkResults!$G$2:$G$35)*ROW(BenchmarkResults!$F$2:$F$35)),{1,3})</f>
        <v>q1_top_cities</v>
      </c>
      <c r="B14" s="13">
        <v>1</v>
      </c>
      <c r="C14" s="16">
        <v>1</v>
      </c>
      <c r="D14" s="18">
        <v>0</v>
      </c>
      <c r="E14" s="16">
        <v>469248</v>
      </c>
      <c r="F14" s="13">
        <v>1171320</v>
      </c>
      <c r="G14" s="13">
        <v>7528</v>
      </c>
      <c r="H14" s="18">
        <v>2570760</v>
      </c>
      <c r="I14" s="16">
        <v>31</v>
      </c>
      <c r="J14" s="18">
        <v>0</v>
      </c>
      <c r="K14" s="16">
        <v>18626</v>
      </c>
      <c r="L14" s="18">
        <v>7</v>
      </c>
      <c r="M14" s="16">
        <v>1647</v>
      </c>
      <c r="N14" s="18">
        <v>493</v>
      </c>
      <c r="O14" s="16">
        <v>43</v>
      </c>
      <c r="P14" s="13">
        <v>6</v>
      </c>
      <c r="Q14" s="13">
        <v>49</v>
      </c>
      <c r="R14" s="13">
        <v>2</v>
      </c>
      <c r="S14" s="18">
        <v>0</v>
      </c>
      <c r="T14" s="21">
        <v>46247.328923611109</v>
      </c>
      <c r="U14" s="55">
        <f t="shared" si="0"/>
        <v>1</v>
      </c>
      <c r="V14" s="55">
        <f t="shared" si="0"/>
        <v>0</v>
      </c>
      <c r="W14" s="56">
        <f t="shared" si="1"/>
        <v>19239.833333333332</v>
      </c>
    </row>
    <row r="15" spans="1:23" x14ac:dyDescent="0.3">
      <c r="A15" s="13" t="str" cm="1">
        <f t="array" ref="A15:B15">INDEX(BenchmarkResults!$B$1:$D$35,SUMPRODUCT((T15&gt;=BenchmarkResults!$F$2:$F$35)*(mysql_hardware_log!T15&lt;BenchmarkResults!$G$2:$G$35)*ROW(BenchmarkResults!$F$2:$F$35)),{1,3})</f>
        <v>q1_top_cities</v>
      </c>
      <c r="B15" s="13">
        <v>1</v>
      </c>
      <c r="C15" s="16">
        <v>1</v>
      </c>
      <c r="D15" s="18">
        <v>0</v>
      </c>
      <c r="E15" s="16">
        <v>469248</v>
      </c>
      <c r="F15" s="13">
        <v>973500</v>
      </c>
      <c r="G15" s="13">
        <v>7536</v>
      </c>
      <c r="H15" s="18">
        <v>2769104</v>
      </c>
      <c r="I15" s="16">
        <v>2</v>
      </c>
      <c r="J15" s="18">
        <v>0</v>
      </c>
      <c r="K15" s="16">
        <v>19833</v>
      </c>
      <c r="L15" s="18">
        <v>4</v>
      </c>
      <c r="M15" s="16">
        <v>1681</v>
      </c>
      <c r="N15" s="18">
        <v>538</v>
      </c>
      <c r="O15" s="16">
        <v>43</v>
      </c>
      <c r="P15" s="13">
        <v>6</v>
      </c>
      <c r="Q15" s="13">
        <v>49</v>
      </c>
      <c r="R15" s="13">
        <v>2</v>
      </c>
      <c r="S15" s="18">
        <v>0</v>
      </c>
      <c r="T15" s="21">
        <v>46247.329039351855</v>
      </c>
      <c r="U15" s="55">
        <f t="shared" si="0"/>
        <v>1</v>
      </c>
      <c r="V15" s="55">
        <f t="shared" si="0"/>
        <v>0</v>
      </c>
      <c r="W15" s="56">
        <f t="shared" si="1"/>
        <v>19258.333333333332</v>
      </c>
    </row>
    <row r="16" spans="1:23" x14ac:dyDescent="0.3">
      <c r="A16" s="13" t="str" cm="1">
        <f t="array" ref="A16:B16">INDEX(BenchmarkResults!$B$1:$D$35,SUMPRODUCT((T16&gt;=BenchmarkResults!$F$2:$F$35)*(mysql_hardware_log!T16&lt;BenchmarkResults!$G$2:$G$35)*ROW(BenchmarkResults!$F$2:$F$35)),{1,3})</f>
        <v>q1_top_cities</v>
      </c>
      <c r="B16" s="13">
        <v>1</v>
      </c>
      <c r="C16" s="16">
        <v>1</v>
      </c>
      <c r="D16" s="18">
        <v>0</v>
      </c>
      <c r="E16" s="16">
        <v>469248</v>
      </c>
      <c r="F16" s="13">
        <v>848004</v>
      </c>
      <c r="G16" s="13">
        <v>7544</v>
      </c>
      <c r="H16" s="18">
        <v>2885604</v>
      </c>
      <c r="I16" s="16">
        <v>15</v>
      </c>
      <c r="J16" s="18">
        <v>0</v>
      </c>
      <c r="K16" s="16">
        <v>11662</v>
      </c>
      <c r="L16" s="18">
        <v>2</v>
      </c>
      <c r="M16" s="16">
        <v>996</v>
      </c>
      <c r="N16" s="18">
        <v>351</v>
      </c>
      <c r="O16" s="16">
        <v>32</v>
      </c>
      <c r="P16" s="13">
        <v>5</v>
      </c>
      <c r="Q16" s="13">
        <v>62</v>
      </c>
      <c r="R16" s="13">
        <v>1</v>
      </c>
      <c r="S16" s="18">
        <v>0</v>
      </c>
      <c r="T16" s="21">
        <v>46247.329155092593</v>
      </c>
      <c r="U16" s="55">
        <f t="shared" si="0"/>
        <v>1</v>
      </c>
      <c r="V16" s="55">
        <f t="shared" si="0"/>
        <v>0</v>
      </c>
      <c r="W16" s="56">
        <f t="shared" si="1"/>
        <v>17860.5</v>
      </c>
    </row>
    <row r="17" spans="1:23" x14ac:dyDescent="0.3">
      <c r="A17" s="13" t="str" cm="1">
        <f t="array" ref="A17:B17">INDEX(BenchmarkResults!$B$1:$D$35,SUMPRODUCT((T17&gt;=BenchmarkResults!$F$2:$F$35)*(mysql_hardware_log!T17&lt;BenchmarkResults!$G$2:$G$35)*ROW(BenchmarkResults!$F$2:$F$35)),{1,3})</f>
        <v>q1_top_cities</v>
      </c>
      <c r="B17" s="13">
        <v>1</v>
      </c>
      <c r="C17" s="16">
        <v>1</v>
      </c>
      <c r="D17" s="18">
        <v>0</v>
      </c>
      <c r="E17" s="16">
        <v>469248</v>
      </c>
      <c r="F17" s="13">
        <v>741436</v>
      </c>
      <c r="G17" s="13">
        <v>7552</v>
      </c>
      <c r="H17" s="18">
        <v>2992908</v>
      </c>
      <c r="I17" s="16">
        <v>15</v>
      </c>
      <c r="J17" s="18">
        <v>0</v>
      </c>
      <c r="K17" s="16">
        <v>10751</v>
      </c>
      <c r="L17" s="18">
        <v>17</v>
      </c>
      <c r="M17" s="16">
        <v>901</v>
      </c>
      <c r="N17" s="18">
        <v>339</v>
      </c>
      <c r="O17" s="16">
        <v>29</v>
      </c>
      <c r="P17" s="13">
        <v>4</v>
      </c>
      <c r="Q17" s="13">
        <v>65</v>
      </c>
      <c r="R17" s="13">
        <v>1</v>
      </c>
      <c r="S17" s="18">
        <v>0</v>
      </c>
      <c r="T17" s="21">
        <v>46247.329270833332</v>
      </c>
      <c r="U17" s="55">
        <f t="shared" si="0"/>
        <v>1</v>
      </c>
      <c r="V17" s="55">
        <f t="shared" si="0"/>
        <v>0</v>
      </c>
      <c r="W17" s="56">
        <f t="shared" si="1"/>
        <v>16577.833333333332</v>
      </c>
    </row>
    <row r="18" spans="1:23" x14ac:dyDescent="0.3">
      <c r="A18" s="13" t="str" cm="1">
        <f t="array" ref="A18:B18">INDEX(BenchmarkResults!$B$1:$D$35,SUMPRODUCT((T18&gt;=BenchmarkResults!$F$2:$F$35)*(mysql_hardware_log!T18&lt;BenchmarkResults!$G$2:$G$35)*ROW(BenchmarkResults!$F$2:$F$35)),{1,3})</f>
        <v>q1_top_cities</v>
      </c>
      <c r="B18" s="13">
        <v>1</v>
      </c>
      <c r="C18" s="16">
        <v>2</v>
      </c>
      <c r="D18" s="18">
        <v>0</v>
      </c>
      <c r="E18" s="16">
        <v>469248</v>
      </c>
      <c r="F18" s="13">
        <v>638872</v>
      </c>
      <c r="G18" s="13">
        <v>7560</v>
      </c>
      <c r="H18" s="18">
        <v>3101960</v>
      </c>
      <c r="I18" s="16">
        <v>0</v>
      </c>
      <c r="J18" s="18">
        <v>0</v>
      </c>
      <c r="K18" s="16">
        <v>10902</v>
      </c>
      <c r="L18" s="18">
        <v>2</v>
      </c>
      <c r="M18" s="16">
        <v>893</v>
      </c>
      <c r="N18" s="18">
        <v>323</v>
      </c>
      <c r="O18" s="16">
        <v>30</v>
      </c>
      <c r="P18" s="13">
        <v>4</v>
      </c>
      <c r="Q18" s="13">
        <v>65</v>
      </c>
      <c r="R18" s="13">
        <v>1</v>
      </c>
      <c r="S18" s="18">
        <v>0</v>
      </c>
      <c r="T18" s="21">
        <v>46247.329386574071</v>
      </c>
      <c r="U18" s="55">
        <f t="shared" si="0"/>
        <v>1.1666666666666667</v>
      </c>
      <c r="V18" s="55">
        <f t="shared" si="0"/>
        <v>0</v>
      </c>
      <c r="W18" s="56">
        <f t="shared" si="1"/>
        <v>15142.833333333334</v>
      </c>
    </row>
    <row r="19" spans="1:23" x14ac:dyDescent="0.3">
      <c r="A19" s="13" t="str" cm="1">
        <f t="array" ref="A19:B19">INDEX(BenchmarkResults!$B$1:$D$35,SUMPRODUCT((T19&gt;=BenchmarkResults!$F$2:$F$35)*(mysql_hardware_log!T19&lt;BenchmarkResults!$G$2:$G$35)*ROW(BenchmarkResults!$F$2:$F$35)),{1,3})</f>
        <v>q1_top_cities</v>
      </c>
      <c r="B19" s="13">
        <v>1</v>
      </c>
      <c r="C19" s="16">
        <v>1</v>
      </c>
      <c r="D19" s="18">
        <v>0</v>
      </c>
      <c r="E19" s="16">
        <v>468992</v>
      </c>
      <c r="F19" s="13">
        <v>533284</v>
      </c>
      <c r="G19" s="13">
        <v>7568</v>
      </c>
      <c r="H19" s="18">
        <v>3208704</v>
      </c>
      <c r="I19" s="16">
        <v>33</v>
      </c>
      <c r="J19" s="18">
        <v>0</v>
      </c>
      <c r="K19" s="16">
        <v>10705</v>
      </c>
      <c r="L19" s="18">
        <v>2</v>
      </c>
      <c r="M19" s="16">
        <v>873</v>
      </c>
      <c r="N19" s="18">
        <v>306</v>
      </c>
      <c r="O19" s="16">
        <v>30</v>
      </c>
      <c r="P19" s="13">
        <v>4</v>
      </c>
      <c r="Q19" s="13">
        <v>65</v>
      </c>
      <c r="R19" s="13">
        <v>1</v>
      </c>
      <c r="S19" s="18">
        <v>0</v>
      </c>
      <c r="T19" s="21">
        <v>46247.329502314817</v>
      </c>
      <c r="U19" s="55">
        <f t="shared" si="0"/>
        <v>1.1666666666666667</v>
      </c>
      <c r="V19" s="55">
        <f t="shared" si="0"/>
        <v>0</v>
      </c>
      <c r="W19" s="56">
        <f t="shared" si="1"/>
        <v>13746.5</v>
      </c>
    </row>
    <row r="20" spans="1:23" x14ac:dyDescent="0.3">
      <c r="A20" s="13" t="str" cm="1">
        <f t="array" ref="A20:B20">INDEX(BenchmarkResults!$B$1:$D$35,SUMPRODUCT((T20&gt;=BenchmarkResults!$F$2:$F$35)*(mysql_hardware_log!T20&lt;BenchmarkResults!$G$2:$G$35)*ROW(BenchmarkResults!$F$2:$F$35)),{1,3})</f>
        <v>q1_top_cities</v>
      </c>
      <c r="B20" s="13">
        <v>1</v>
      </c>
      <c r="C20" s="16">
        <v>1</v>
      </c>
      <c r="D20" s="18">
        <v>0</v>
      </c>
      <c r="E20" s="16">
        <v>468736</v>
      </c>
      <c r="F20" s="13">
        <v>417868</v>
      </c>
      <c r="G20" s="13">
        <v>7576</v>
      </c>
      <c r="H20" s="18">
        <v>3316676</v>
      </c>
      <c r="I20" s="16">
        <v>31</v>
      </c>
      <c r="J20" s="18">
        <v>0</v>
      </c>
      <c r="K20" s="16">
        <v>10833</v>
      </c>
      <c r="L20" s="18">
        <v>18</v>
      </c>
      <c r="M20" s="16">
        <v>883</v>
      </c>
      <c r="N20" s="18">
        <v>310</v>
      </c>
      <c r="O20" s="16">
        <v>30</v>
      </c>
      <c r="P20" s="13">
        <v>4</v>
      </c>
      <c r="Q20" s="13">
        <v>65</v>
      </c>
      <c r="R20" s="13">
        <v>1</v>
      </c>
      <c r="S20" s="18">
        <v>0</v>
      </c>
      <c r="T20" s="21">
        <v>46247.329618055555</v>
      </c>
      <c r="U20" s="55">
        <f t="shared" si="0"/>
        <v>1.1666666666666667</v>
      </c>
      <c r="V20" s="55">
        <f t="shared" si="0"/>
        <v>0</v>
      </c>
      <c r="W20" s="56">
        <f t="shared" si="1"/>
        <v>12447.666666666666</v>
      </c>
    </row>
    <row r="21" spans="1:23" x14ac:dyDescent="0.3">
      <c r="A21" s="13" t="str" cm="1">
        <f t="array" ref="A21:B21">INDEX(BenchmarkResults!$B$1:$D$35,SUMPRODUCT((T21&gt;=BenchmarkResults!$F$2:$F$35)*(mysql_hardware_log!T21&lt;BenchmarkResults!$G$2:$G$35)*ROW(BenchmarkResults!$F$2:$F$35)),{1,3})</f>
        <v>q1_top_cities</v>
      </c>
      <c r="B21" s="13">
        <v>1</v>
      </c>
      <c r="C21" s="16">
        <v>1</v>
      </c>
      <c r="D21" s="18">
        <v>0</v>
      </c>
      <c r="E21" s="16">
        <v>468736</v>
      </c>
      <c r="F21" s="13">
        <v>310504</v>
      </c>
      <c r="G21" s="13">
        <v>7584</v>
      </c>
      <c r="H21" s="18">
        <v>3435172</v>
      </c>
      <c r="I21" s="16">
        <v>8</v>
      </c>
      <c r="J21" s="18">
        <v>0</v>
      </c>
      <c r="K21" s="16">
        <v>11835</v>
      </c>
      <c r="L21" s="18">
        <v>4</v>
      </c>
      <c r="M21" s="16">
        <v>906</v>
      </c>
      <c r="N21" s="18">
        <v>332</v>
      </c>
      <c r="O21" s="16">
        <v>31</v>
      </c>
      <c r="P21" s="13">
        <v>3</v>
      </c>
      <c r="Q21" s="13">
        <v>65</v>
      </c>
      <c r="R21" s="13">
        <v>1</v>
      </c>
      <c r="S21" s="18">
        <v>0</v>
      </c>
      <c r="T21" s="21">
        <v>46247.329733796294</v>
      </c>
      <c r="U21" s="55">
        <f t="shared" si="0"/>
        <v>1.1666666666666667</v>
      </c>
      <c r="V21" s="55">
        <f t="shared" si="0"/>
        <v>0</v>
      </c>
      <c r="W21" s="56">
        <f t="shared" si="1"/>
        <v>11114.666666666666</v>
      </c>
    </row>
    <row r="22" spans="1:23" x14ac:dyDescent="0.3">
      <c r="A22" s="13" t="str" cm="1">
        <f t="array" ref="A22:B22">INDEX(BenchmarkResults!$B$1:$D$35,SUMPRODUCT((T22&gt;=BenchmarkResults!$F$2:$F$35)*(mysql_hardware_log!T22&lt;BenchmarkResults!$G$2:$G$35)*ROW(BenchmarkResults!$F$2:$F$35)),{1,3})</f>
        <v>q1_top_cities</v>
      </c>
      <c r="B22" s="13">
        <v>1</v>
      </c>
      <c r="C22" s="16">
        <v>1</v>
      </c>
      <c r="D22" s="18">
        <v>0</v>
      </c>
      <c r="E22" s="16">
        <v>468736</v>
      </c>
      <c r="F22" s="13">
        <v>184004</v>
      </c>
      <c r="G22" s="13">
        <v>7592</v>
      </c>
      <c r="H22" s="18">
        <v>3555536</v>
      </c>
      <c r="I22" s="16">
        <v>18</v>
      </c>
      <c r="J22" s="18">
        <v>0</v>
      </c>
      <c r="K22" s="16">
        <v>12026</v>
      </c>
      <c r="L22" s="18">
        <v>2</v>
      </c>
      <c r="M22" s="16">
        <v>900</v>
      </c>
      <c r="N22" s="18">
        <v>333</v>
      </c>
      <c r="O22" s="16">
        <v>31</v>
      </c>
      <c r="P22" s="13">
        <v>3</v>
      </c>
      <c r="Q22" s="13">
        <v>65</v>
      </c>
      <c r="R22" s="13">
        <v>1</v>
      </c>
      <c r="S22" s="18">
        <v>0</v>
      </c>
      <c r="T22" s="21">
        <v>46247.32984953704</v>
      </c>
      <c r="U22" s="55">
        <f t="shared" si="0"/>
        <v>1.1666666666666667</v>
      </c>
      <c r="V22" s="55">
        <f t="shared" si="0"/>
        <v>0</v>
      </c>
      <c r="W22" s="56">
        <f t="shared" si="1"/>
        <v>11175.333333333334</v>
      </c>
    </row>
    <row r="23" spans="1:23" x14ac:dyDescent="0.3">
      <c r="A23" s="13" t="str" cm="1">
        <f t="array" ref="A23:B23">INDEX(BenchmarkResults!$B$1:$D$35,SUMPRODUCT((T23&gt;=BenchmarkResults!$F$2:$F$35)*(mysql_hardware_log!T23&lt;BenchmarkResults!$G$2:$G$35)*ROW(BenchmarkResults!$F$2:$F$35)),{1,3})</f>
        <v>q1_top_cities</v>
      </c>
      <c r="B23" s="13">
        <v>1</v>
      </c>
      <c r="C23" s="16">
        <v>1</v>
      </c>
      <c r="D23" s="18">
        <v>0</v>
      </c>
      <c r="E23" s="16">
        <v>468736</v>
      </c>
      <c r="F23" s="13">
        <v>119160</v>
      </c>
      <c r="G23" s="13">
        <v>7344</v>
      </c>
      <c r="H23" s="18">
        <v>3614536</v>
      </c>
      <c r="I23" s="16">
        <v>13</v>
      </c>
      <c r="J23" s="18">
        <v>0</v>
      </c>
      <c r="K23" s="16">
        <v>11266</v>
      </c>
      <c r="L23" s="18">
        <v>2</v>
      </c>
      <c r="M23" s="16">
        <v>878</v>
      </c>
      <c r="N23" s="18">
        <v>305</v>
      </c>
      <c r="O23" s="16">
        <v>31</v>
      </c>
      <c r="P23" s="13">
        <v>3</v>
      </c>
      <c r="Q23" s="13">
        <v>64</v>
      </c>
      <c r="R23" s="13">
        <v>2</v>
      </c>
      <c r="S23" s="18">
        <v>0</v>
      </c>
      <c r="T23" s="21">
        <v>46247.329965277779</v>
      </c>
      <c r="U23" s="55">
        <f t="shared" si="0"/>
        <v>1.1666666666666667</v>
      </c>
      <c r="V23" s="55">
        <f t="shared" si="0"/>
        <v>0</v>
      </c>
      <c r="W23" s="56">
        <f t="shared" si="1"/>
        <v>11261.166666666666</v>
      </c>
    </row>
    <row r="24" spans="1:23" x14ac:dyDescent="0.3">
      <c r="A24" s="13" t="str" cm="1">
        <f t="array" ref="A24:B24">INDEX(BenchmarkResults!$B$1:$D$35,SUMPRODUCT((T24&gt;=BenchmarkResults!$F$2:$F$35)*(mysql_hardware_log!T24&lt;BenchmarkResults!$G$2:$G$35)*ROW(BenchmarkResults!$F$2:$F$35)),{1,3})</f>
        <v>q1_top_cities</v>
      </c>
      <c r="B24" s="13">
        <v>1</v>
      </c>
      <c r="C24" s="16">
        <v>1</v>
      </c>
      <c r="D24" s="18">
        <v>0</v>
      </c>
      <c r="E24" s="16">
        <v>468480</v>
      </c>
      <c r="F24" s="13">
        <v>108364</v>
      </c>
      <c r="G24" s="13">
        <v>6840</v>
      </c>
      <c r="H24" s="18">
        <v>3625044</v>
      </c>
      <c r="I24" s="16">
        <v>18</v>
      </c>
      <c r="J24" s="18">
        <v>0</v>
      </c>
      <c r="K24" s="16">
        <v>11746</v>
      </c>
      <c r="L24" s="18">
        <v>18</v>
      </c>
      <c r="M24" s="16">
        <v>901</v>
      </c>
      <c r="N24" s="18">
        <v>341</v>
      </c>
      <c r="O24" s="16">
        <v>32</v>
      </c>
      <c r="P24" s="13">
        <v>3</v>
      </c>
      <c r="Q24" s="13">
        <v>64</v>
      </c>
      <c r="R24" s="13">
        <v>1</v>
      </c>
      <c r="S24" s="18">
        <v>0</v>
      </c>
      <c r="T24" s="21">
        <v>46247.330081018517</v>
      </c>
      <c r="U24" s="55">
        <f t="shared" si="0"/>
        <v>1</v>
      </c>
      <c r="V24" s="55">
        <f t="shared" si="0"/>
        <v>0</v>
      </c>
      <c r="W24" s="56">
        <f t="shared" si="1"/>
        <v>11401.833333333334</v>
      </c>
    </row>
    <row r="25" spans="1:23" x14ac:dyDescent="0.3">
      <c r="A25" s="13" t="str" cm="1">
        <f t="array" ref="A25:B25">INDEX(BenchmarkResults!$B$1:$D$35,SUMPRODUCT((T25&gt;=BenchmarkResults!$F$2:$F$35)*(mysql_hardware_log!T25&lt;BenchmarkResults!$G$2:$G$35)*ROW(BenchmarkResults!$F$2:$F$35)),{1,3})</f>
        <v>q1_top_cities</v>
      </c>
      <c r="B25" s="13">
        <v>1</v>
      </c>
      <c r="C25" s="16">
        <v>3</v>
      </c>
      <c r="D25" s="18">
        <v>0</v>
      </c>
      <c r="E25" s="16">
        <v>468224</v>
      </c>
      <c r="F25" s="13">
        <v>99696</v>
      </c>
      <c r="G25" s="13">
        <v>6344</v>
      </c>
      <c r="H25" s="18">
        <v>3630732</v>
      </c>
      <c r="I25" s="16">
        <v>24</v>
      </c>
      <c r="J25" s="18">
        <v>0</v>
      </c>
      <c r="K25" s="16">
        <v>11271</v>
      </c>
      <c r="L25" s="18">
        <v>7</v>
      </c>
      <c r="M25" s="16">
        <v>897</v>
      </c>
      <c r="N25" s="18">
        <v>299</v>
      </c>
      <c r="O25" s="16">
        <v>32</v>
      </c>
      <c r="P25" s="13">
        <v>3</v>
      </c>
      <c r="Q25" s="13">
        <v>64</v>
      </c>
      <c r="R25" s="13">
        <v>1</v>
      </c>
      <c r="S25" s="18">
        <v>0</v>
      </c>
      <c r="T25" s="21">
        <v>46247.330196759256</v>
      </c>
      <c r="U25" s="55">
        <f t="shared" si="0"/>
        <v>1.3333333333333333</v>
      </c>
      <c r="V25" s="55">
        <f t="shared" si="0"/>
        <v>0</v>
      </c>
      <c r="W25" s="56">
        <f t="shared" si="1"/>
        <v>11496.166666666666</v>
      </c>
    </row>
    <row r="26" spans="1:23" x14ac:dyDescent="0.3">
      <c r="A26" s="13" t="str" cm="1">
        <f t="array" ref="A26:B26">INDEX(BenchmarkResults!$B$1:$D$35,SUMPRODUCT((T26&gt;=BenchmarkResults!$F$2:$F$35)*(mysql_hardware_log!T26&lt;BenchmarkResults!$G$2:$G$35)*ROW(BenchmarkResults!$F$2:$F$35)),{1,3})</f>
        <v>q1_top_cities</v>
      </c>
      <c r="B26" s="13">
        <v>1</v>
      </c>
      <c r="C26" s="16">
        <v>1</v>
      </c>
      <c r="D26" s="18">
        <v>0</v>
      </c>
      <c r="E26" s="16">
        <v>468224</v>
      </c>
      <c r="F26" s="13">
        <v>97484</v>
      </c>
      <c r="G26" s="13">
        <v>5836</v>
      </c>
      <c r="H26" s="18">
        <v>3633216</v>
      </c>
      <c r="I26" s="16">
        <v>16</v>
      </c>
      <c r="J26" s="18">
        <v>0</v>
      </c>
      <c r="K26" s="16">
        <v>10947</v>
      </c>
      <c r="L26" s="18">
        <v>2</v>
      </c>
      <c r="M26" s="16">
        <v>908</v>
      </c>
      <c r="N26" s="18">
        <v>328</v>
      </c>
      <c r="O26" s="16">
        <v>31</v>
      </c>
      <c r="P26" s="13">
        <v>3</v>
      </c>
      <c r="Q26" s="13">
        <v>64</v>
      </c>
      <c r="R26" s="13">
        <v>1</v>
      </c>
      <c r="S26" s="18">
        <v>0</v>
      </c>
      <c r="T26" s="21">
        <v>46247.330312500002</v>
      </c>
      <c r="U26" s="55">
        <f t="shared" si="0"/>
        <v>1.3333333333333333</v>
      </c>
      <c r="V26" s="55">
        <f t="shared" si="0"/>
        <v>0</v>
      </c>
      <c r="W26" s="56">
        <f t="shared" si="1"/>
        <v>11515.166666666666</v>
      </c>
    </row>
    <row r="27" spans="1:23" x14ac:dyDescent="0.3">
      <c r="A27" s="13" t="str" cm="1">
        <f t="array" ref="A27:B27">INDEX(BenchmarkResults!$B$1:$D$35,SUMPRODUCT((T27&gt;=BenchmarkResults!$F$2:$F$35)*(mysql_hardware_log!T27&lt;BenchmarkResults!$G$2:$G$35)*ROW(BenchmarkResults!$F$2:$F$35)),{1,3})</f>
        <v>q1_top_cities</v>
      </c>
      <c r="B27" s="13">
        <v>1</v>
      </c>
      <c r="C27" s="16">
        <v>1</v>
      </c>
      <c r="D27" s="18">
        <v>0</v>
      </c>
      <c r="E27" s="16">
        <v>468224</v>
      </c>
      <c r="F27" s="13">
        <v>103264</v>
      </c>
      <c r="G27" s="13">
        <v>5332</v>
      </c>
      <c r="H27" s="18">
        <v>3635572</v>
      </c>
      <c r="I27" s="16">
        <v>12</v>
      </c>
      <c r="J27" s="18">
        <v>0</v>
      </c>
      <c r="K27" s="16">
        <v>10936</v>
      </c>
      <c r="L27" s="18">
        <v>2</v>
      </c>
      <c r="M27" s="16">
        <v>887</v>
      </c>
      <c r="N27" s="18">
        <v>344</v>
      </c>
      <c r="O27" s="16">
        <v>31</v>
      </c>
      <c r="P27" s="13">
        <v>3</v>
      </c>
      <c r="Q27" s="13">
        <v>65</v>
      </c>
      <c r="R27" s="13">
        <v>1</v>
      </c>
      <c r="S27" s="18">
        <v>0</v>
      </c>
      <c r="T27" s="21">
        <v>46247.330428240741</v>
      </c>
      <c r="U27" s="55">
        <f t="shared" si="0"/>
        <v>1.3333333333333333</v>
      </c>
      <c r="V27" s="55">
        <f t="shared" si="0"/>
        <v>0</v>
      </c>
      <c r="W27" s="56">
        <f t="shared" si="1"/>
        <v>11365.333333333334</v>
      </c>
    </row>
    <row r="28" spans="1:23" x14ac:dyDescent="0.3">
      <c r="A28" s="13" t="str" cm="1">
        <f t="array" ref="A28:B28">INDEX(BenchmarkResults!$B$1:$D$35,SUMPRODUCT((T28&gt;=BenchmarkResults!$F$2:$F$35)*(mysql_hardware_log!T28&lt;BenchmarkResults!$G$2:$G$35)*ROW(BenchmarkResults!$F$2:$F$35)),{1,3})</f>
        <v>q1_top_cities</v>
      </c>
      <c r="B28" s="13">
        <v>1</v>
      </c>
      <c r="C28" s="16">
        <v>1</v>
      </c>
      <c r="D28" s="18">
        <v>0</v>
      </c>
      <c r="E28" s="16">
        <v>468224</v>
      </c>
      <c r="F28" s="13">
        <v>137164</v>
      </c>
      <c r="G28" s="13">
        <v>4580</v>
      </c>
      <c r="H28" s="18">
        <v>3591508</v>
      </c>
      <c r="I28" s="16">
        <v>7</v>
      </c>
      <c r="J28" s="18">
        <v>0</v>
      </c>
      <c r="K28" s="16">
        <v>11658</v>
      </c>
      <c r="L28" s="18">
        <v>2</v>
      </c>
      <c r="M28" s="16">
        <v>912</v>
      </c>
      <c r="N28" s="18">
        <v>372</v>
      </c>
      <c r="O28" s="16">
        <v>32</v>
      </c>
      <c r="P28" s="13">
        <v>3</v>
      </c>
      <c r="Q28" s="13">
        <v>63</v>
      </c>
      <c r="R28" s="13">
        <v>1</v>
      </c>
      <c r="S28" s="18">
        <v>0</v>
      </c>
      <c r="T28" s="21">
        <v>46247.330543981479</v>
      </c>
      <c r="U28" s="55">
        <f t="shared" si="0"/>
        <v>1.3333333333333333</v>
      </c>
      <c r="V28" s="55">
        <f t="shared" si="0"/>
        <v>0</v>
      </c>
      <c r="W28" s="56">
        <f t="shared" si="1"/>
        <v>11304</v>
      </c>
    </row>
    <row r="29" spans="1:23" x14ac:dyDescent="0.3">
      <c r="A29" s="13" t="str" cm="1">
        <f t="array" ref="A29:B29">INDEX(BenchmarkResults!$B$1:$D$35,SUMPRODUCT((T29&gt;=BenchmarkResults!$F$2:$F$35)*(mysql_hardware_log!T29&lt;BenchmarkResults!$G$2:$G$35)*ROW(BenchmarkResults!$F$2:$F$35)),{1,3})</f>
        <v>q1_top_cities</v>
      </c>
      <c r="B29" s="13">
        <v>1</v>
      </c>
      <c r="C29" s="16">
        <v>1</v>
      </c>
      <c r="D29" s="18">
        <v>0</v>
      </c>
      <c r="E29" s="16">
        <v>467968</v>
      </c>
      <c r="F29" s="13">
        <v>137632</v>
      </c>
      <c r="G29" s="13">
        <v>4076</v>
      </c>
      <c r="H29" s="18">
        <v>3600248</v>
      </c>
      <c r="I29" s="16">
        <v>16</v>
      </c>
      <c r="J29" s="18">
        <v>0</v>
      </c>
      <c r="K29" s="16">
        <v>11615</v>
      </c>
      <c r="L29" s="18">
        <v>2</v>
      </c>
      <c r="M29" s="16">
        <v>916</v>
      </c>
      <c r="N29" s="18">
        <v>332</v>
      </c>
      <c r="O29" s="16">
        <v>31</v>
      </c>
      <c r="P29" s="13">
        <v>3</v>
      </c>
      <c r="Q29" s="13">
        <v>64</v>
      </c>
      <c r="R29" s="13">
        <v>1</v>
      </c>
      <c r="S29" s="18">
        <v>0</v>
      </c>
      <c r="T29" s="21">
        <v>46247.330659722225</v>
      </c>
      <c r="U29" s="55">
        <f t="shared" si="0"/>
        <v>1.3333333333333333</v>
      </c>
      <c r="V29" s="55">
        <f t="shared" si="0"/>
        <v>0</v>
      </c>
      <c r="W29" s="56">
        <f t="shared" si="1"/>
        <v>11362.166666666666</v>
      </c>
    </row>
    <row r="30" spans="1:23" x14ac:dyDescent="0.3">
      <c r="A30" s="13" t="str" cm="1">
        <f t="array" ref="A30:B30">INDEX(BenchmarkResults!$B$1:$D$35,SUMPRODUCT((T30&gt;=BenchmarkResults!$F$2:$F$35)*(mysql_hardware_log!T30&lt;BenchmarkResults!$G$2:$G$35)*ROW(BenchmarkResults!$F$2:$F$35)),{1,3})</f>
        <v>q1_top_cities</v>
      </c>
      <c r="B30" s="13">
        <v>1</v>
      </c>
      <c r="C30" s="16">
        <v>1</v>
      </c>
      <c r="D30" s="18">
        <v>0</v>
      </c>
      <c r="E30" s="16">
        <v>467712</v>
      </c>
      <c r="F30" s="13">
        <v>125392</v>
      </c>
      <c r="G30" s="13">
        <v>3828</v>
      </c>
      <c r="H30" s="18">
        <v>3610800</v>
      </c>
      <c r="I30" s="16">
        <v>32</v>
      </c>
      <c r="J30" s="18">
        <v>0</v>
      </c>
      <c r="K30" s="16">
        <v>11796</v>
      </c>
      <c r="L30" s="18">
        <v>2</v>
      </c>
      <c r="M30" s="16">
        <v>911</v>
      </c>
      <c r="N30" s="18">
        <v>307</v>
      </c>
      <c r="O30" s="16">
        <v>31</v>
      </c>
      <c r="P30" s="13">
        <v>3</v>
      </c>
      <c r="Q30" s="13">
        <v>64</v>
      </c>
      <c r="R30" s="13">
        <v>1</v>
      </c>
      <c r="S30" s="18">
        <v>0</v>
      </c>
      <c r="T30" s="21">
        <v>46247.330775462964</v>
      </c>
      <c r="U30" s="55">
        <f t="shared" si="0"/>
        <v>1.3333333333333333</v>
      </c>
      <c r="V30" s="55">
        <f t="shared" si="0"/>
        <v>0</v>
      </c>
      <c r="W30" s="56">
        <f t="shared" si="1"/>
        <v>11370.5</v>
      </c>
    </row>
    <row r="31" spans="1:23" x14ac:dyDescent="0.3">
      <c r="A31" s="13" t="str" cm="1">
        <f t="array" ref="A31:B31">INDEX(BenchmarkResults!$B$1:$D$35,SUMPRODUCT((T31&gt;=BenchmarkResults!$F$2:$F$35)*(mysql_hardware_log!T31&lt;BenchmarkResults!$G$2:$G$35)*ROW(BenchmarkResults!$F$2:$F$35)),{1,3})</f>
        <v>q1_top_cities</v>
      </c>
      <c r="B31" s="13">
        <v>1</v>
      </c>
      <c r="C31" s="16">
        <v>1</v>
      </c>
      <c r="D31" s="18">
        <v>0</v>
      </c>
      <c r="E31" s="16">
        <v>467712</v>
      </c>
      <c r="F31" s="13">
        <v>114140</v>
      </c>
      <c r="G31" s="13">
        <v>3836</v>
      </c>
      <c r="H31" s="18">
        <v>3622920</v>
      </c>
      <c r="I31" s="16">
        <v>16</v>
      </c>
      <c r="J31" s="18">
        <v>0</v>
      </c>
      <c r="K31" s="16">
        <v>11920</v>
      </c>
      <c r="L31" s="18">
        <v>2</v>
      </c>
      <c r="M31" s="16">
        <v>897</v>
      </c>
      <c r="N31" s="18">
        <v>329</v>
      </c>
      <c r="O31" s="16">
        <v>31</v>
      </c>
      <c r="P31" s="13">
        <v>3</v>
      </c>
      <c r="Q31" s="13">
        <v>63</v>
      </c>
      <c r="R31" s="13">
        <v>3</v>
      </c>
      <c r="S31" s="18">
        <v>0</v>
      </c>
      <c r="T31" s="21">
        <v>46247.330891203703</v>
      </c>
      <c r="U31" s="55">
        <f t="shared" si="0"/>
        <v>1</v>
      </c>
      <c r="V31" s="55">
        <f t="shared" si="0"/>
        <v>0</v>
      </c>
      <c r="W31" s="56">
        <f t="shared" si="1"/>
        <v>11478.666666666666</v>
      </c>
    </row>
    <row r="32" spans="1:23" x14ac:dyDescent="0.3">
      <c r="A32" s="13" t="str" cm="1">
        <f t="array" ref="A32:B32">INDEX(BenchmarkResults!$B$1:$D$35,SUMPRODUCT((T32&gt;=BenchmarkResults!$F$2:$F$35)*(mysql_hardware_log!T32&lt;BenchmarkResults!$G$2:$G$35)*ROW(BenchmarkResults!$F$2:$F$35)),{1,3})</f>
        <v>q1_top_cities</v>
      </c>
      <c r="B32" s="13">
        <v>1</v>
      </c>
      <c r="C32" s="16">
        <v>2</v>
      </c>
      <c r="D32" s="18">
        <v>0</v>
      </c>
      <c r="E32" s="16">
        <v>467712</v>
      </c>
      <c r="F32" s="13">
        <v>148988</v>
      </c>
      <c r="G32" s="13">
        <v>3852</v>
      </c>
      <c r="H32" s="18">
        <v>3581876</v>
      </c>
      <c r="I32" s="16">
        <v>12</v>
      </c>
      <c r="J32" s="18">
        <v>0</v>
      </c>
      <c r="K32" s="16">
        <v>11955</v>
      </c>
      <c r="L32" s="18">
        <v>6</v>
      </c>
      <c r="M32" s="16">
        <v>959</v>
      </c>
      <c r="N32" s="18">
        <v>375</v>
      </c>
      <c r="O32" s="16">
        <v>32</v>
      </c>
      <c r="P32" s="13">
        <v>4</v>
      </c>
      <c r="Q32" s="13">
        <v>63</v>
      </c>
      <c r="R32" s="13">
        <v>2</v>
      </c>
      <c r="S32" s="18">
        <v>0</v>
      </c>
      <c r="T32" s="21">
        <v>46247.331006944441</v>
      </c>
      <c r="U32" s="55">
        <f t="shared" si="0"/>
        <v>1.1666666666666667</v>
      </c>
      <c r="V32" s="55">
        <f t="shared" si="0"/>
        <v>0</v>
      </c>
      <c r="W32" s="56">
        <f t="shared" si="1"/>
        <v>11646.666666666666</v>
      </c>
    </row>
    <row r="33" spans="1:23" x14ac:dyDescent="0.3">
      <c r="A33" s="13" t="str" cm="1">
        <f t="array" ref="A33:B33">INDEX(BenchmarkResults!$B$1:$D$35,SUMPRODUCT((T33&gt;=BenchmarkResults!$F$2:$F$35)*(mysql_hardware_log!T33&lt;BenchmarkResults!$G$2:$G$35)*ROW(BenchmarkResults!$F$2:$F$35)),{1,3})</f>
        <v>q1_top_cities</v>
      </c>
      <c r="B33" s="13">
        <v>1</v>
      </c>
      <c r="C33" s="16">
        <v>0</v>
      </c>
      <c r="D33" s="18">
        <v>1</v>
      </c>
      <c r="E33" s="16">
        <v>467712</v>
      </c>
      <c r="F33" s="13">
        <v>133976</v>
      </c>
      <c r="G33" s="13">
        <v>3860</v>
      </c>
      <c r="H33" s="18">
        <v>3602232</v>
      </c>
      <c r="I33" s="16">
        <v>21</v>
      </c>
      <c r="J33" s="18">
        <v>0</v>
      </c>
      <c r="K33" s="16">
        <v>12760</v>
      </c>
      <c r="L33" s="18">
        <v>2</v>
      </c>
      <c r="M33" s="16">
        <v>944</v>
      </c>
      <c r="N33" s="18">
        <v>357</v>
      </c>
      <c r="O33" s="16">
        <v>31</v>
      </c>
      <c r="P33" s="13">
        <v>3</v>
      </c>
      <c r="Q33" s="13">
        <v>64</v>
      </c>
      <c r="R33" s="13">
        <v>2</v>
      </c>
      <c r="S33" s="18">
        <v>0</v>
      </c>
      <c r="T33" s="21">
        <v>46247.331122685187</v>
      </c>
      <c r="U33" s="55">
        <f t="shared" si="0"/>
        <v>1</v>
      </c>
      <c r="V33" s="55">
        <f t="shared" si="0"/>
        <v>0.16666666666666666</v>
      </c>
      <c r="W33" s="56">
        <f t="shared" si="1"/>
        <v>11950.666666666666</v>
      </c>
    </row>
    <row r="34" spans="1:23" x14ac:dyDescent="0.3">
      <c r="A34" s="13" t="str" cm="1">
        <f t="array" ref="A34:B34">INDEX(BenchmarkResults!$B$1:$D$35,SUMPRODUCT((T34&gt;=BenchmarkResults!$F$2:$F$35)*(mysql_hardware_log!T34&lt;BenchmarkResults!$G$2:$G$35)*ROW(BenchmarkResults!$F$2:$F$35)),{1,3})</f>
        <v>q1_top_cities</v>
      </c>
      <c r="B34" s="13">
        <v>1</v>
      </c>
      <c r="C34" s="16">
        <v>1</v>
      </c>
      <c r="D34" s="18">
        <v>0</v>
      </c>
      <c r="E34" s="16">
        <v>467712</v>
      </c>
      <c r="F34" s="13">
        <v>116340</v>
      </c>
      <c r="G34" s="13">
        <v>3868</v>
      </c>
      <c r="H34" s="18">
        <v>3614340</v>
      </c>
      <c r="I34" s="16">
        <v>15</v>
      </c>
      <c r="J34" s="18">
        <v>0</v>
      </c>
      <c r="K34" s="16">
        <v>11952</v>
      </c>
      <c r="L34" s="18">
        <v>1</v>
      </c>
      <c r="M34" s="16">
        <v>903</v>
      </c>
      <c r="N34" s="18">
        <v>336</v>
      </c>
      <c r="O34" s="16">
        <v>31</v>
      </c>
      <c r="P34" s="13">
        <v>3</v>
      </c>
      <c r="Q34" s="13">
        <v>64</v>
      </c>
      <c r="R34" s="13">
        <v>1</v>
      </c>
      <c r="S34" s="18">
        <v>0</v>
      </c>
      <c r="T34" s="21">
        <v>46247.331238425926</v>
      </c>
      <c r="U34" s="55">
        <f t="shared" si="0"/>
        <v>1</v>
      </c>
      <c r="V34" s="55">
        <f t="shared" si="0"/>
        <v>0.16666666666666666</v>
      </c>
      <c r="W34" s="56">
        <f t="shared" si="1"/>
        <v>11999.666666666666</v>
      </c>
    </row>
    <row r="35" spans="1:23" x14ac:dyDescent="0.3">
      <c r="A35" s="13" t="str" cm="1">
        <f t="array" ref="A35:B35">INDEX(BenchmarkResults!$B$1:$D$35,SUMPRODUCT((T35&gt;=BenchmarkResults!$F$2:$F$35)*(mysql_hardware_log!T35&lt;BenchmarkResults!$G$2:$G$35)*ROW(BenchmarkResults!$F$2:$F$35)),{1,3})</f>
        <v>q1_top_cities</v>
      </c>
      <c r="B35" s="13">
        <v>1</v>
      </c>
      <c r="C35" s="16">
        <v>1</v>
      </c>
      <c r="D35" s="18">
        <v>0</v>
      </c>
      <c r="E35" s="16">
        <v>467456</v>
      </c>
      <c r="F35" s="13">
        <v>103056</v>
      </c>
      <c r="G35" s="13">
        <v>3876</v>
      </c>
      <c r="H35" s="18">
        <v>3625812</v>
      </c>
      <c r="I35" s="16">
        <v>13</v>
      </c>
      <c r="J35" s="18">
        <v>0</v>
      </c>
      <c r="K35" s="16">
        <v>11887</v>
      </c>
      <c r="L35" s="18">
        <v>16</v>
      </c>
      <c r="M35" s="16">
        <v>903</v>
      </c>
      <c r="N35" s="18">
        <v>348</v>
      </c>
      <c r="O35" s="16">
        <v>31</v>
      </c>
      <c r="P35" s="13">
        <v>3</v>
      </c>
      <c r="Q35" s="13">
        <v>64</v>
      </c>
      <c r="R35" s="13">
        <v>1</v>
      </c>
      <c r="S35" s="18">
        <v>0</v>
      </c>
      <c r="T35" s="21">
        <v>46247.331354166665</v>
      </c>
      <c r="U35" s="55">
        <f t="shared" si="0"/>
        <v>1</v>
      </c>
      <c r="V35" s="55">
        <f t="shared" si="0"/>
        <v>0.16666666666666666</v>
      </c>
      <c r="W35" s="56">
        <f t="shared" si="1"/>
        <v>12045</v>
      </c>
    </row>
    <row r="36" spans="1:23" x14ac:dyDescent="0.3">
      <c r="A36" s="13" t="str" cm="1">
        <f t="array" ref="A36:B36">INDEX(BenchmarkResults!$B$1:$D$35,SUMPRODUCT((T36&gt;=BenchmarkResults!$F$2:$F$35)*(mysql_hardware_log!T36&lt;BenchmarkResults!$G$2:$G$35)*ROW(BenchmarkResults!$F$2:$F$35)),{1,3})</f>
        <v>q1_top_cities</v>
      </c>
      <c r="B36" s="13">
        <v>1</v>
      </c>
      <c r="C36" s="16">
        <v>1</v>
      </c>
      <c r="D36" s="18">
        <v>0</v>
      </c>
      <c r="E36" s="16">
        <v>467456</v>
      </c>
      <c r="F36" s="13">
        <v>154400</v>
      </c>
      <c r="G36" s="13">
        <v>3884</v>
      </c>
      <c r="H36" s="18">
        <v>3583016</v>
      </c>
      <c r="I36" s="16">
        <v>10</v>
      </c>
      <c r="J36" s="18">
        <v>0</v>
      </c>
      <c r="K36" s="16">
        <v>11780</v>
      </c>
      <c r="L36" s="18">
        <v>2</v>
      </c>
      <c r="M36" s="16">
        <v>917</v>
      </c>
      <c r="N36" s="18">
        <v>350</v>
      </c>
      <c r="O36" s="16">
        <v>31</v>
      </c>
      <c r="P36" s="13">
        <v>3</v>
      </c>
      <c r="Q36" s="13">
        <v>64</v>
      </c>
      <c r="R36" s="13">
        <v>1</v>
      </c>
      <c r="S36" s="18">
        <v>0</v>
      </c>
      <c r="T36" s="21">
        <v>46247.331469907411</v>
      </c>
      <c r="U36" s="55">
        <f t="shared" si="0"/>
        <v>1</v>
      </c>
      <c r="V36" s="55">
        <f t="shared" si="0"/>
        <v>0.16666666666666666</v>
      </c>
      <c r="W36" s="56">
        <f t="shared" si="1"/>
        <v>12042.333333333334</v>
      </c>
    </row>
    <row r="37" spans="1:23" x14ac:dyDescent="0.3">
      <c r="A37" s="13" t="str" cm="1">
        <f t="array" ref="A37:B37">INDEX(BenchmarkResults!$B$1:$D$35,SUMPRODUCT((T37&gt;=BenchmarkResults!$F$2:$F$35)*(mysql_hardware_log!T37&lt;BenchmarkResults!$G$2:$G$35)*ROW(BenchmarkResults!$F$2:$F$35)),{1,3})</f>
        <v>q1_top_cities</v>
      </c>
      <c r="B37" s="13">
        <v>1</v>
      </c>
      <c r="C37" s="16">
        <v>1</v>
      </c>
      <c r="D37" s="18">
        <v>0</v>
      </c>
      <c r="E37" s="16">
        <v>467200</v>
      </c>
      <c r="F37" s="13">
        <v>133728</v>
      </c>
      <c r="G37" s="13">
        <v>3892</v>
      </c>
      <c r="H37" s="18">
        <v>3602852</v>
      </c>
      <c r="I37" s="16">
        <v>21</v>
      </c>
      <c r="J37" s="18">
        <v>0</v>
      </c>
      <c r="K37" s="16">
        <v>12730</v>
      </c>
      <c r="L37" s="18">
        <v>2</v>
      </c>
      <c r="M37" s="16">
        <v>896</v>
      </c>
      <c r="N37" s="18">
        <v>326</v>
      </c>
      <c r="O37" s="16">
        <v>31</v>
      </c>
      <c r="P37" s="13">
        <v>2</v>
      </c>
      <c r="Q37" s="13">
        <v>65</v>
      </c>
      <c r="R37" s="13">
        <v>1</v>
      </c>
      <c r="S37" s="18">
        <v>0</v>
      </c>
      <c r="T37" s="21">
        <v>46247.331585648149</v>
      </c>
      <c r="U37" s="55">
        <f t="shared" si="0"/>
        <v>1</v>
      </c>
      <c r="V37" s="55">
        <f t="shared" si="0"/>
        <v>0.16666666666666666</v>
      </c>
      <c r="W37" s="56">
        <f t="shared" si="1"/>
        <v>12177.333333333334</v>
      </c>
    </row>
    <row r="38" spans="1:23" x14ac:dyDescent="0.3">
      <c r="A38" s="13" t="str" cm="1">
        <f t="array" ref="A38:B38">INDEX(BenchmarkResults!$B$1:$D$35,SUMPRODUCT((T38&gt;=BenchmarkResults!$F$2:$F$35)*(mysql_hardware_log!T38&lt;BenchmarkResults!$G$2:$G$35)*ROW(BenchmarkResults!$F$2:$F$35)),{1,3})</f>
        <v>q1_top_cities</v>
      </c>
      <c r="B38" s="13">
        <v>1</v>
      </c>
      <c r="C38" s="16">
        <v>1</v>
      </c>
      <c r="D38" s="18">
        <v>0</v>
      </c>
      <c r="E38" s="16">
        <v>466944</v>
      </c>
      <c r="F38" s="13">
        <v>106080</v>
      </c>
      <c r="G38" s="13">
        <v>3900</v>
      </c>
      <c r="H38" s="18">
        <v>3630888</v>
      </c>
      <c r="I38" s="16">
        <v>20</v>
      </c>
      <c r="J38" s="18">
        <v>0</v>
      </c>
      <c r="K38" s="16">
        <v>13555</v>
      </c>
      <c r="L38" s="18">
        <v>2</v>
      </c>
      <c r="M38" s="16">
        <v>918</v>
      </c>
      <c r="N38" s="18">
        <v>315</v>
      </c>
      <c r="O38" s="16">
        <v>32</v>
      </c>
      <c r="P38" s="13">
        <v>2</v>
      </c>
      <c r="Q38" s="13">
        <v>65</v>
      </c>
      <c r="R38" s="13">
        <v>1</v>
      </c>
      <c r="S38" s="18">
        <v>0</v>
      </c>
      <c r="T38" s="21">
        <v>46247.331701388888</v>
      </c>
      <c r="U38" s="55">
        <f t="shared" si="0"/>
        <v>0.83333333333333337</v>
      </c>
      <c r="V38" s="55">
        <f t="shared" si="0"/>
        <v>0.16666666666666666</v>
      </c>
      <c r="W38" s="56">
        <f t="shared" si="1"/>
        <v>12444</v>
      </c>
    </row>
    <row r="39" spans="1:23" x14ac:dyDescent="0.3">
      <c r="A39" s="13" t="str" cm="1">
        <f t="array" ref="A39:B39">INDEX(BenchmarkResults!$B$1:$D$35,SUMPRODUCT((T39&gt;=BenchmarkResults!$F$2:$F$35)*(mysql_hardware_log!T39&lt;BenchmarkResults!$G$2:$G$35)*ROW(BenchmarkResults!$F$2:$F$35)),{1,3})</f>
        <v>q1_top_cities</v>
      </c>
      <c r="B39" s="13">
        <v>1</v>
      </c>
      <c r="C39" s="16">
        <v>1</v>
      </c>
      <c r="D39" s="18">
        <v>0</v>
      </c>
      <c r="E39" s="16">
        <v>466944</v>
      </c>
      <c r="F39" s="13">
        <v>138984</v>
      </c>
      <c r="G39" s="13">
        <v>3908</v>
      </c>
      <c r="H39" s="18">
        <v>3597296</v>
      </c>
      <c r="I39" s="16">
        <v>16</v>
      </c>
      <c r="J39" s="18">
        <v>0</v>
      </c>
      <c r="K39" s="16">
        <v>12752</v>
      </c>
      <c r="L39" s="18">
        <v>3</v>
      </c>
      <c r="M39" s="16">
        <v>903</v>
      </c>
      <c r="N39" s="18">
        <v>306</v>
      </c>
      <c r="O39" s="16">
        <v>32</v>
      </c>
      <c r="P39" s="13">
        <v>3</v>
      </c>
      <c r="Q39" s="13">
        <v>64</v>
      </c>
      <c r="R39" s="13">
        <v>1</v>
      </c>
      <c r="S39" s="18">
        <v>0</v>
      </c>
      <c r="T39" s="21">
        <v>46247.331817129627</v>
      </c>
      <c r="U39" s="55">
        <f t="shared" si="0"/>
        <v>1</v>
      </c>
      <c r="V39" s="55">
        <f t="shared" si="0"/>
        <v>0</v>
      </c>
      <c r="W39" s="56">
        <f t="shared" si="1"/>
        <v>12442.666666666666</v>
      </c>
    </row>
    <row r="40" spans="1:23" x14ac:dyDescent="0.3">
      <c r="A40" s="13" t="str" cm="1">
        <f t="array" ref="A40:B40">INDEX(BenchmarkResults!$B$1:$D$35,SUMPRODUCT((T40&gt;=BenchmarkResults!$F$2:$F$35)*(mysql_hardware_log!T40&lt;BenchmarkResults!$G$2:$G$35)*ROW(BenchmarkResults!$F$2:$F$35)),{1,3})</f>
        <v>q1_top_cities</v>
      </c>
      <c r="B40" s="13">
        <v>1</v>
      </c>
      <c r="C40" s="16">
        <v>1</v>
      </c>
      <c r="D40" s="18">
        <v>0</v>
      </c>
      <c r="E40" s="16">
        <v>466944</v>
      </c>
      <c r="F40" s="13">
        <v>115408</v>
      </c>
      <c r="G40" s="13">
        <v>3916</v>
      </c>
      <c r="H40" s="18">
        <v>3622028</v>
      </c>
      <c r="I40" s="16">
        <v>21</v>
      </c>
      <c r="J40" s="18">
        <v>0</v>
      </c>
      <c r="K40" s="16">
        <v>13219</v>
      </c>
      <c r="L40" s="18">
        <v>3</v>
      </c>
      <c r="M40" s="16">
        <v>953</v>
      </c>
      <c r="N40" s="18">
        <v>371</v>
      </c>
      <c r="O40" s="16">
        <v>32</v>
      </c>
      <c r="P40" s="13">
        <v>2</v>
      </c>
      <c r="Q40" s="13">
        <v>64</v>
      </c>
      <c r="R40" s="13">
        <v>2</v>
      </c>
      <c r="S40" s="18">
        <v>0</v>
      </c>
      <c r="T40" s="21">
        <v>46247.331932870373</v>
      </c>
      <c r="U40" s="55">
        <f t="shared" si="0"/>
        <v>1</v>
      </c>
      <c r="V40" s="55">
        <f t="shared" si="0"/>
        <v>0</v>
      </c>
      <c r="W40" s="56">
        <f t="shared" si="1"/>
        <v>12653.833333333334</v>
      </c>
    </row>
    <row r="41" spans="1:23" x14ac:dyDescent="0.3">
      <c r="A41" s="13" t="str" cm="1">
        <f t="array" ref="A41:B41">INDEX(BenchmarkResults!$B$1:$D$35,SUMPRODUCT((T41&gt;=BenchmarkResults!$F$2:$F$35)*(mysql_hardware_log!T41&lt;BenchmarkResults!$G$2:$G$35)*ROW(BenchmarkResults!$F$2:$F$35)),{1,3})</f>
        <v>q1_top_cities</v>
      </c>
      <c r="B41" s="13">
        <v>1</v>
      </c>
      <c r="C41" s="16">
        <v>1</v>
      </c>
      <c r="D41" s="18">
        <v>0</v>
      </c>
      <c r="E41" s="16">
        <v>466688</v>
      </c>
      <c r="F41" s="13">
        <v>106620</v>
      </c>
      <c r="G41" s="13">
        <v>3924</v>
      </c>
      <c r="H41" s="18">
        <v>3632988</v>
      </c>
      <c r="I41" s="16">
        <v>18</v>
      </c>
      <c r="J41" s="18">
        <v>0</v>
      </c>
      <c r="K41" s="16">
        <v>11871</v>
      </c>
      <c r="L41" s="18">
        <v>2</v>
      </c>
      <c r="M41" s="16">
        <v>935</v>
      </c>
      <c r="N41" s="18">
        <v>372</v>
      </c>
      <c r="O41" s="16">
        <v>31</v>
      </c>
      <c r="P41" s="13">
        <v>3</v>
      </c>
      <c r="Q41" s="13">
        <v>65</v>
      </c>
      <c r="R41" s="13">
        <v>2</v>
      </c>
      <c r="S41" s="18">
        <v>0</v>
      </c>
      <c r="T41" s="21">
        <v>46247.332048611112</v>
      </c>
      <c r="U41" s="55">
        <f t="shared" si="0"/>
        <v>1</v>
      </c>
      <c r="V41" s="55">
        <f t="shared" si="0"/>
        <v>0</v>
      </c>
      <c r="W41" s="56">
        <f t="shared" si="1"/>
        <v>12651.166666666666</v>
      </c>
    </row>
    <row r="42" spans="1:23" x14ac:dyDescent="0.3">
      <c r="A42" s="13" t="str" cm="1">
        <f t="array" ref="A42:B42">INDEX(BenchmarkResults!$B$1:$D$35,SUMPRODUCT((T42&gt;=BenchmarkResults!$F$2:$F$35)*(mysql_hardware_log!T42&lt;BenchmarkResults!$G$2:$G$35)*ROW(BenchmarkResults!$F$2:$F$35)),{1,3})</f>
        <v>q1_top_cities</v>
      </c>
      <c r="B42" s="13">
        <v>1</v>
      </c>
      <c r="C42" s="16">
        <v>2</v>
      </c>
      <c r="D42" s="18">
        <v>0</v>
      </c>
      <c r="E42" s="16">
        <v>466688</v>
      </c>
      <c r="F42" s="13">
        <v>144012</v>
      </c>
      <c r="G42" s="13">
        <v>3932</v>
      </c>
      <c r="H42" s="18">
        <v>3588412</v>
      </c>
      <c r="I42" s="16">
        <v>30</v>
      </c>
      <c r="J42" s="18">
        <v>0</v>
      </c>
      <c r="K42" s="16">
        <v>11669</v>
      </c>
      <c r="L42" s="18">
        <v>2</v>
      </c>
      <c r="M42" s="16">
        <v>920</v>
      </c>
      <c r="N42" s="18">
        <v>332</v>
      </c>
      <c r="O42" s="16">
        <v>31</v>
      </c>
      <c r="P42" s="13">
        <v>3</v>
      </c>
      <c r="Q42" s="13">
        <v>64</v>
      </c>
      <c r="R42" s="13">
        <v>2</v>
      </c>
      <c r="S42" s="18">
        <v>0</v>
      </c>
      <c r="T42" s="21">
        <v>46247.33216435185</v>
      </c>
      <c r="U42" s="55">
        <f t="shared" si="0"/>
        <v>1.1666666666666667</v>
      </c>
      <c r="V42" s="55">
        <f t="shared" si="0"/>
        <v>0</v>
      </c>
      <c r="W42" s="56">
        <f t="shared" si="1"/>
        <v>12632.666666666666</v>
      </c>
    </row>
    <row r="43" spans="1:23" x14ac:dyDescent="0.3">
      <c r="A43" s="13" t="str" cm="1">
        <f t="array" ref="A43:B43">INDEX(BenchmarkResults!$B$1:$D$35,SUMPRODUCT((T43&gt;=BenchmarkResults!$F$2:$F$35)*(mysql_hardware_log!T43&lt;BenchmarkResults!$G$2:$G$35)*ROW(BenchmarkResults!$F$2:$F$35)),{1,3})</f>
        <v>q1_top_cities</v>
      </c>
      <c r="B43" s="13">
        <v>1</v>
      </c>
      <c r="C43" s="16">
        <v>1</v>
      </c>
      <c r="D43" s="18">
        <v>0</v>
      </c>
      <c r="E43" s="16">
        <v>466432</v>
      </c>
      <c r="F43" s="13">
        <v>130728</v>
      </c>
      <c r="G43" s="13">
        <v>3940</v>
      </c>
      <c r="H43" s="18">
        <v>3597632</v>
      </c>
      <c r="I43" s="16">
        <v>12</v>
      </c>
      <c r="J43" s="18">
        <v>0</v>
      </c>
      <c r="K43" s="16">
        <v>11664</v>
      </c>
      <c r="L43" s="18">
        <v>2</v>
      </c>
      <c r="M43" s="16">
        <v>919</v>
      </c>
      <c r="N43" s="18">
        <v>332</v>
      </c>
      <c r="O43" s="16">
        <v>31</v>
      </c>
      <c r="P43" s="13">
        <v>3</v>
      </c>
      <c r="Q43" s="13">
        <v>64</v>
      </c>
      <c r="R43" s="13">
        <v>1</v>
      </c>
      <c r="S43" s="18">
        <v>0</v>
      </c>
      <c r="T43" s="21">
        <v>46247.332280092596</v>
      </c>
      <c r="U43" s="55">
        <f t="shared" si="0"/>
        <v>1.1666666666666667</v>
      </c>
      <c r="V43" s="55">
        <f t="shared" si="0"/>
        <v>0</v>
      </c>
      <c r="W43" s="56">
        <f t="shared" si="1"/>
        <v>12455</v>
      </c>
    </row>
    <row r="44" spans="1:23" x14ac:dyDescent="0.3">
      <c r="A44" s="13" t="str" cm="1">
        <f t="array" ref="A44:B44">INDEX(BenchmarkResults!$B$1:$D$35,SUMPRODUCT((T44&gt;=BenchmarkResults!$F$2:$F$35)*(mysql_hardware_log!T44&lt;BenchmarkResults!$G$2:$G$35)*ROW(BenchmarkResults!$F$2:$F$35)),{1,3})</f>
        <v>q1_top_cities</v>
      </c>
      <c r="B44" s="13">
        <v>1</v>
      </c>
      <c r="C44" s="16">
        <v>1</v>
      </c>
      <c r="D44" s="18">
        <v>0</v>
      </c>
      <c r="E44" s="16">
        <v>466432</v>
      </c>
      <c r="F44" s="13">
        <v>131764</v>
      </c>
      <c r="G44" s="13">
        <v>3948</v>
      </c>
      <c r="H44" s="18">
        <v>3603688</v>
      </c>
      <c r="I44" s="16">
        <v>22</v>
      </c>
      <c r="J44" s="18">
        <v>0</v>
      </c>
      <c r="K44" s="16">
        <v>11352</v>
      </c>
      <c r="L44" s="18">
        <v>19</v>
      </c>
      <c r="M44" s="16">
        <v>912</v>
      </c>
      <c r="N44" s="18">
        <v>338</v>
      </c>
      <c r="O44" s="16">
        <v>32</v>
      </c>
      <c r="P44" s="13">
        <v>3</v>
      </c>
      <c r="Q44" s="13">
        <v>63</v>
      </c>
      <c r="R44" s="13">
        <v>1</v>
      </c>
      <c r="S44" s="18">
        <v>0</v>
      </c>
      <c r="T44" s="21">
        <v>46247.332395833335</v>
      </c>
      <c r="U44" s="55">
        <f t="shared" si="0"/>
        <v>1.1666666666666667</v>
      </c>
      <c r="V44" s="55">
        <f t="shared" si="0"/>
        <v>0</v>
      </c>
      <c r="W44" s="56">
        <f t="shared" si="1"/>
        <v>12087.833333333334</v>
      </c>
    </row>
    <row r="45" spans="1:23" x14ac:dyDescent="0.3">
      <c r="A45" s="13" t="str" cm="1">
        <f t="array" ref="A45:B45">INDEX(BenchmarkResults!$B$1:$D$35,SUMPRODUCT((T45&gt;=BenchmarkResults!$F$2:$F$35)*(mysql_hardware_log!T45&lt;BenchmarkResults!$G$2:$G$35)*ROW(BenchmarkResults!$F$2:$F$35)),{1,3})</f>
        <v>q1_top_cities</v>
      </c>
      <c r="B45" s="13">
        <v>1</v>
      </c>
      <c r="C45" s="16">
        <v>1</v>
      </c>
      <c r="D45" s="18">
        <v>0</v>
      </c>
      <c r="E45" s="16">
        <v>466432</v>
      </c>
      <c r="F45" s="13">
        <v>108428</v>
      </c>
      <c r="G45" s="13">
        <v>3956</v>
      </c>
      <c r="H45" s="18">
        <v>3619664</v>
      </c>
      <c r="I45" s="16">
        <v>20</v>
      </c>
      <c r="J45" s="18">
        <v>0</v>
      </c>
      <c r="K45" s="16">
        <v>12326</v>
      </c>
      <c r="L45" s="18">
        <v>3</v>
      </c>
      <c r="M45" s="16">
        <v>909</v>
      </c>
      <c r="N45" s="18">
        <v>347</v>
      </c>
      <c r="O45" s="16">
        <v>32</v>
      </c>
      <c r="P45" s="13">
        <v>3</v>
      </c>
      <c r="Q45" s="13">
        <v>64</v>
      </c>
      <c r="R45" s="13">
        <v>1</v>
      </c>
      <c r="S45" s="18">
        <v>0</v>
      </c>
      <c r="T45" s="21">
        <v>46247.332511574074</v>
      </c>
      <c r="U45" s="55">
        <f t="shared" si="0"/>
        <v>1.1666666666666667</v>
      </c>
      <c r="V45" s="55">
        <f t="shared" si="0"/>
        <v>0</v>
      </c>
      <c r="W45" s="56">
        <f t="shared" si="1"/>
        <v>12016.833333333334</v>
      </c>
    </row>
    <row r="46" spans="1:23" x14ac:dyDescent="0.3">
      <c r="A46" s="13" t="str" cm="1">
        <f t="array" ref="A46:B46">INDEX(BenchmarkResults!$B$1:$D$35,SUMPRODUCT((T46&gt;=BenchmarkResults!$F$2:$F$35)*(mysql_hardware_log!T46&lt;BenchmarkResults!$G$2:$G$35)*ROW(BenchmarkResults!$F$2:$F$35)),{1,3})</f>
        <v>q1_top_cities</v>
      </c>
      <c r="B46" s="13">
        <v>1</v>
      </c>
      <c r="C46" s="16">
        <v>1</v>
      </c>
      <c r="D46" s="18">
        <v>0</v>
      </c>
      <c r="E46" s="16">
        <v>466176</v>
      </c>
      <c r="F46" s="13">
        <v>139024</v>
      </c>
      <c r="G46" s="13">
        <v>3964</v>
      </c>
      <c r="H46" s="18">
        <v>3589748</v>
      </c>
      <c r="I46" s="16">
        <v>22</v>
      </c>
      <c r="J46" s="18">
        <v>0</v>
      </c>
      <c r="K46" s="16">
        <v>13072</v>
      </c>
      <c r="L46" s="18">
        <v>2</v>
      </c>
      <c r="M46" s="16">
        <v>910</v>
      </c>
      <c r="N46" s="18">
        <v>356</v>
      </c>
      <c r="O46" s="16">
        <v>31</v>
      </c>
      <c r="P46" s="13">
        <v>2</v>
      </c>
      <c r="Q46" s="13">
        <v>64</v>
      </c>
      <c r="R46" s="13">
        <v>2</v>
      </c>
      <c r="S46" s="18">
        <v>0</v>
      </c>
      <c r="T46" s="21">
        <v>46247.332627314812</v>
      </c>
      <c r="U46" s="55">
        <f t="shared" si="0"/>
        <v>1.1666666666666667</v>
      </c>
      <c r="V46" s="55">
        <f t="shared" si="0"/>
        <v>0</v>
      </c>
      <c r="W46" s="56">
        <f t="shared" si="1"/>
        <v>11992.333333333334</v>
      </c>
    </row>
    <row r="47" spans="1:23" x14ac:dyDescent="0.3">
      <c r="A47" s="13" t="str" cm="1">
        <f t="array" ref="A47:B47">INDEX(BenchmarkResults!$B$1:$D$35,SUMPRODUCT((T47&gt;=BenchmarkResults!$F$2:$F$35)*(mysql_hardware_log!T47&lt;BenchmarkResults!$G$2:$G$35)*ROW(BenchmarkResults!$F$2:$F$35)),{1,3})</f>
        <v>q1_top_cities</v>
      </c>
      <c r="B47" s="13">
        <v>1</v>
      </c>
      <c r="C47" s="16">
        <v>1</v>
      </c>
      <c r="D47" s="18">
        <v>0</v>
      </c>
      <c r="E47" s="16">
        <v>466176</v>
      </c>
      <c r="F47" s="13">
        <v>118816</v>
      </c>
      <c r="G47" s="13">
        <v>3972</v>
      </c>
      <c r="H47" s="18">
        <v>3609780</v>
      </c>
      <c r="I47" s="16">
        <v>9</v>
      </c>
      <c r="J47" s="18">
        <v>0</v>
      </c>
      <c r="K47" s="16">
        <v>12721</v>
      </c>
      <c r="L47" s="18">
        <v>2</v>
      </c>
      <c r="M47" s="16">
        <v>888</v>
      </c>
      <c r="N47" s="18">
        <v>310</v>
      </c>
      <c r="O47" s="16">
        <v>31</v>
      </c>
      <c r="P47" s="13">
        <v>2</v>
      </c>
      <c r="Q47" s="13">
        <v>65</v>
      </c>
      <c r="R47" s="13">
        <v>2</v>
      </c>
      <c r="S47" s="18">
        <v>0</v>
      </c>
      <c r="T47" s="21">
        <v>46247.332743055558</v>
      </c>
      <c r="U47" s="55">
        <f t="shared" si="0"/>
        <v>1.1666666666666667</v>
      </c>
      <c r="V47" s="55">
        <f t="shared" si="0"/>
        <v>0</v>
      </c>
      <c r="W47" s="56">
        <f t="shared" si="1"/>
        <v>12134</v>
      </c>
    </row>
    <row r="48" spans="1:23" x14ac:dyDescent="0.3">
      <c r="A48" s="13" t="str" cm="1">
        <f t="array" ref="A48:B48">INDEX(BenchmarkResults!$B$1:$D$35,SUMPRODUCT((T48&gt;=BenchmarkResults!$F$2:$F$35)*(mysql_hardware_log!T48&lt;BenchmarkResults!$G$2:$G$35)*ROW(BenchmarkResults!$F$2:$F$35)),{1,3})</f>
        <v>q1_top_cities</v>
      </c>
      <c r="B48" s="13">
        <v>1</v>
      </c>
      <c r="C48" s="16">
        <v>1</v>
      </c>
      <c r="D48" s="18">
        <v>0</v>
      </c>
      <c r="E48" s="16">
        <v>466176</v>
      </c>
      <c r="F48" s="13">
        <v>158360</v>
      </c>
      <c r="G48" s="13">
        <v>3980</v>
      </c>
      <c r="H48" s="18">
        <v>3577628</v>
      </c>
      <c r="I48" s="16">
        <v>22</v>
      </c>
      <c r="J48" s="18">
        <v>0</v>
      </c>
      <c r="K48" s="16">
        <v>12859</v>
      </c>
      <c r="L48" s="18">
        <v>2</v>
      </c>
      <c r="M48" s="16">
        <v>917</v>
      </c>
      <c r="N48" s="18">
        <v>345</v>
      </c>
      <c r="O48" s="16">
        <v>31</v>
      </c>
      <c r="P48" s="13">
        <v>3</v>
      </c>
      <c r="Q48" s="13">
        <v>64</v>
      </c>
      <c r="R48" s="13">
        <v>1</v>
      </c>
      <c r="S48" s="18">
        <v>0</v>
      </c>
      <c r="T48" s="21">
        <v>46247.332858796297</v>
      </c>
      <c r="U48" s="55">
        <f t="shared" si="0"/>
        <v>1</v>
      </c>
      <c r="V48" s="55">
        <f t="shared" si="0"/>
        <v>0</v>
      </c>
      <c r="W48" s="56">
        <f t="shared" si="1"/>
        <v>12332.333333333334</v>
      </c>
    </row>
    <row r="49" spans="1:23" x14ac:dyDescent="0.3">
      <c r="A49" s="13" t="str" cm="1">
        <f t="array" ref="A49:B49">INDEX(BenchmarkResults!$B$1:$D$35,SUMPRODUCT((T49&gt;=BenchmarkResults!$F$2:$F$35)*(mysql_hardware_log!T49&lt;BenchmarkResults!$G$2:$G$35)*ROW(BenchmarkResults!$F$2:$F$35)),{1,3})</f>
        <v>q1_top_cities</v>
      </c>
      <c r="B49" s="13">
        <v>1</v>
      </c>
      <c r="C49" s="16">
        <v>1</v>
      </c>
      <c r="D49" s="18">
        <v>0</v>
      </c>
      <c r="E49" s="16">
        <v>465920</v>
      </c>
      <c r="F49" s="13">
        <v>133164</v>
      </c>
      <c r="G49" s="13">
        <v>3988</v>
      </c>
      <c r="H49" s="18">
        <v>3605656</v>
      </c>
      <c r="I49" s="16">
        <v>7</v>
      </c>
      <c r="J49" s="18">
        <v>0</v>
      </c>
      <c r="K49" s="16">
        <v>13532</v>
      </c>
      <c r="L49" s="18">
        <v>2</v>
      </c>
      <c r="M49" s="16">
        <v>908</v>
      </c>
      <c r="N49" s="18">
        <v>335</v>
      </c>
      <c r="O49" s="16">
        <v>31</v>
      </c>
      <c r="P49" s="13">
        <v>2</v>
      </c>
      <c r="Q49" s="13">
        <v>65</v>
      </c>
      <c r="R49" s="13">
        <v>2</v>
      </c>
      <c r="S49" s="18">
        <v>0</v>
      </c>
      <c r="T49" s="21">
        <v>46247.332974537036</v>
      </c>
      <c r="U49" s="55">
        <f t="shared" si="0"/>
        <v>1</v>
      </c>
      <c r="V49" s="55">
        <f t="shared" si="0"/>
        <v>0</v>
      </c>
      <c r="W49" s="56">
        <f t="shared" si="1"/>
        <v>12643.666666666666</v>
      </c>
    </row>
    <row r="50" spans="1:23" x14ac:dyDescent="0.3">
      <c r="A50" s="13" t="str" cm="1">
        <f t="array" ref="A50:B50">INDEX(BenchmarkResults!$B$1:$D$35,SUMPRODUCT((T50&gt;=BenchmarkResults!$F$2:$F$35)*(mysql_hardware_log!T50&lt;BenchmarkResults!$G$2:$G$35)*ROW(BenchmarkResults!$F$2:$F$35)),{1,3})</f>
        <v>q1_top_cities</v>
      </c>
      <c r="B50" s="13">
        <v>1</v>
      </c>
      <c r="C50" s="16">
        <v>1</v>
      </c>
      <c r="D50" s="18">
        <v>0</v>
      </c>
      <c r="E50" s="16">
        <v>465920</v>
      </c>
      <c r="F50" s="13">
        <v>107964</v>
      </c>
      <c r="G50" s="13">
        <v>3996</v>
      </c>
      <c r="H50" s="18">
        <v>3628992</v>
      </c>
      <c r="I50" s="16">
        <v>32</v>
      </c>
      <c r="J50" s="18">
        <v>0</v>
      </c>
      <c r="K50" s="16">
        <v>13115</v>
      </c>
      <c r="L50" s="18">
        <v>2</v>
      </c>
      <c r="M50" s="16">
        <v>890</v>
      </c>
      <c r="N50" s="18">
        <v>320</v>
      </c>
      <c r="O50" s="16">
        <v>31</v>
      </c>
      <c r="P50" s="13">
        <v>2</v>
      </c>
      <c r="Q50" s="13">
        <v>65</v>
      </c>
      <c r="R50" s="13">
        <v>1</v>
      </c>
      <c r="S50" s="18">
        <v>0</v>
      </c>
      <c r="T50" s="21">
        <v>46247.333090277774</v>
      </c>
      <c r="U50" s="55">
        <f t="shared" si="0"/>
        <v>1</v>
      </c>
      <c r="V50" s="55">
        <f t="shared" si="0"/>
        <v>0</v>
      </c>
      <c r="W50" s="56">
        <f t="shared" si="1"/>
        <v>12937.5</v>
      </c>
    </row>
    <row r="51" spans="1:23" x14ac:dyDescent="0.3">
      <c r="A51" s="13" t="str" cm="1">
        <f t="array" ref="A51:B51">INDEX(BenchmarkResults!$B$1:$D$35,SUMPRODUCT((T51&gt;=BenchmarkResults!$F$2:$F$35)*(mysql_hardware_log!T51&lt;BenchmarkResults!$G$2:$G$35)*ROW(BenchmarkResults!$F$2:$F$35)),{1,3})</f>
        <v>q1_top_cities</v>
      </c>
      <c r="B51" s="13">
        <v>1</v>
      </c>
      <c r="C51" s="16">
        <v>1</v>
      </c>
      <c r="D51" s="18">
        <v>0</v>
      </c>
      <c r="E51" s="16">
        <v>465664</v>
      </c>
      <c r="F51" s="13">
        <v>134424</v>
      </c>
      <c r="G51" s="13">
        <v>4004</v>
      </c>
      <c r="H51" s="18">
        <v>3601824</v>
      </c>
      <c r="I51" s="16">
        <v>16</v>
      </c>
      <c r="J51" s="18">
        <v>0</v>
      </c>
      <c r="K51" s="16">
        <v>13378</v>
      </c>
      <c r="L51" s="18">
        <v>2</v>
      </c>
      <c r="M51" s="16">
        <v>905</v>
      </c>
      <c r="N51" s="18">
        <v>338</v>
      </c>
      <c r="O51" s="16">
        <v>32</v>
      </c>
      <c r="P51" s="13">
        <v>2</v>
      </c>
      <c r="Q51" s="13">
        <v>64</v>
      </c>
      <c r="R51" s="13">
        <v>2</v>
      </c>
      <c r="S51" s="18">
        <v>0</v>
      </c>
      <c r="T51" s="21">
        <v>46247.33320601852</v>
      </c>
      <c r="U51" s="55">
        <f t="shared" si="0"/>
        <v>1</v>
      </c>
      <c r="V51" s="55">
        <f t="shared" si="0"/>
        <v>0</v>
      </c>
      <c r="W51" s="56">
        <f t="shared" si="1"/>
        <v>13112.833333333334</v>
      </c>
    </row>
    <row r="52" spans="1:23" x14ac:dyDescent="0.3">
      <c r="A52" s="13" t="str" cm="1">
        <f t="array" ref="A52:B52">INDEX(BenchmarkResults!$B$1:$D$35,SUMPRODUCT((T52&gt;=BenchmarkResults!$F$2:$F$35)*(mysql_hardware_log!T52&lt;BenchmarkResults!$G$2:$G$35)*ROW(BenchmarkResults!$F$2:$F$35)),{1,3})</f>
        <v>q1_top_cities</v>
      </c>
      <c r="B52" s="13">
        <v>1</v>
      </c>
      <c r="C52" s="16">
        <v>1</v>
      </c>
      <c r="D52" s="18">
        <v>0</v>
      </c>
      <c r="E52" s="16">
        <v>465664</v>
      </c>
      <c r="F52" s="13">
        <v>109056</v>
      </c>
      <c r="G52" s="13">
        <v>4012</v>
      </c>
      <c r="H52" s="18">
        <v>3626632</v>
      </c>
      <c r="I52" s="16">
        <v>4</v>
      </c>
      <c r="J52" s="18">
        <v>0</v>
      </c>
      <c r="K52" s="16">
        <v>13181</v>
      </c>
      <c r="L52" s="18">
        <v>2</v>
      </c>
      <c r="M52" s="16">
        <v>944</v>
      </c>
      <c r="N52" s="18">
        <v>349</v>
      </c>
      <c r="O52" s="16">
        <v>32</v>
      </c>
      <c r="P52" s="13">
        <v>3</v>
      </c>
      <c r="Q52" s="13">
        <v>64</v>
      </c>
      <c r="R52" s="13">
        <v>2</v>
      </c>
      <c r="S52" s="18">
        <v>0</v>
      </c>
      <c r="T52" s="21">
        <v>46247.333321759259</v>
      </c>
      <c r="U52" s="55">
        <f t="shared" si="0"/>
        <v>1</v>
      </c>
      <c r="V52" s="55">
        <f t="shared" si="0"/>
        <v>0</v>
      </c>
      <c r="W52" s="56">
        <f t="shared" si="1"/>
        <v>13131</v>
      </c>
    </row>
    <row r="53" spans="1:23" x14ac:dyDescent="0.3">
      <c r="A53" s="13" t="str" cm="1">
        <f t="array" ref="A53:B53">INDEX(BenchmarkResults!$B$1:$D$35,SUMPRODUCT((T53&gt;=BenchmarkResults!$F$2:$F$35)*(mysql_hardware_log!T53&lt;BenchmarkResults!$G$2:$G$35)*ROW(BenchmarkResults!$F$2:$F$35)),{1,3})</f>
        <v>q1_top_cities</v>
      </c>
      <c r="B53" s="13">
        <v>1</v>
      </c>
      <c r="C53" s="16">
        <v>1</v>
      </c>
      <c r="D53" s="18">
        <v>0</v>
      </c>
      <c r="E53" s="16">
        <v>465408</v>
      </c>
      <c r="F53" s="13">
        <v>143208</v>
      </c>
      <c r="G53" s="13">
        <v>4020</v>
      </c>
      <c r="H53" s="18">
        <v>3591680</v>
      </c>
      <c r="I53" s="16">
        <v>30</v>
      </c>
      <c r="J53" s="18">
        <v>0</v>
      </c>
      <c r="K53" s="16">
        <v>12645</v>
      </c>
      <c r="L53" s="18">
        <v>2</v>
      </c>
      <c r="M53" s="16">
        <v>958</v>
      </c>
      <c r="N53" s="18">
        <v>352</v>
      </c>
      <c r="O53" s="16">
        <v>31</v>
      </c>
      <c r="P53" s="13">
        <v>3</v>
      </c>
      <c r="Q53" s="13">
        <v>63</v>
      </c>
      <c r="R53" s="13">
        <v>2</v>
      </c>
      <c r="S53" s="18">
        <v>0</v>
      </c>
      <c r="T53" s="21">
        <v>46247.333437499998</v>
      </c>
      <c r="U53" s="55">
        <f t="shared" si="0"/>
        <v>1</v>
      </c>
      <c r="V53" s="55">
        <f t="shared" si="0"/>
        <v>0</v>
      </c>
      <c r="W53" s="56">
        <f t="shared" si="1"/>
        <v>13118.333333333334</v>
      </c>
    </row>
    <row r="54" spans="1:23" x14ac:dyDescent="0.3">
      <c r="A54" s="13" t="str" cm="1">
        <f t="array" ref="A54:B54">INDEX(BenchmarkResults!$B$1:$D$35,SUMPRODUCT((T54&gt;=BenchmarkResults!$F$2:$F$35)*(mysql_hardware_log!T54&lt;BenchmarkResults!$G$2:$G$35)*ROW(BenchmarkResults!$F$2:$F$35)),{1,3})</f>
        <v>q1_top_cities</v>
      </c>
      <c r="B54" s="13">
        <v>1</v>
      </c>
      <c r="C54" s="16">
        <v>1</v>
      </c>
      <c r="D54" s="18">
        <v>0</v>
      </c>
      <c r="E54" s="16">
        <v>465408</v>
      </c>
      <c r="F54" s="13">
        <v>129264</v>
      </c>
      <c r="G54" s="13">
        <v>4028</v>
      </c>
      <c r="H54" s="18">
        <v>3607252</v>
      </c>
      <c r="I54" s="16">
        <v>26</v>
      </c>
      <c r="J54" s="18">
        <v>0</v>
      </c>
      <c r="K54" s="16">
        <v>12305</v>
      </c>
      <c r="L54" s="18">
        <v>2</v>
      </c>
      <c r="M54" s="16">
        <v>892</v>
      </c>
      <c r="N54" s="18">
        <v>320</v>
      </c>
      <c r="O54" s="16">
        <v>32</v>
      </c>
      <c r="P54" s="13">
        <v>3</v>
      </c>
      <c r="Q54" s="13">
        <v>64</v>
      </c>
      <c r="R54" s="13">
        <v>2</v>
      </c>
      <c r="S54" s="18">
        <v>0</v>
      </c>
      <c r="T54" s="21">
        <v>46247.333553240744</v>
      </c>
      <c r="U54" s="55">
        <f t="shared" si="0"/>
        <v>1</v>
      </c>
      <c r="V54" s="55">
        <f t="shared" si="0"/>
        <v>0</v>
      </c>
      <c r="W54" s="56">
        <f t="shared" si="1"/>
        <v>13026</v>
      </c>
    </row>
    <row r="55" spans="1:23" x14ac:dyDescent="0.3">
      <c r="A55" s="13" t="str" cm="1">
        <f t="array" ref="A55:B55">INDEX(BenchmarkResults!$B$1:$D$35,SUMPRODUCT((T55&gt;=BenchmarkResults!$F$2:$F$35)*(mysql_hardware_log!T55&lt;BenchmarkResults!$G$2:$G$35)*ROW(BenchmarkResults!$F$2:$F$35)),{1,3})</f>
        <v>q1_top_cities</v>
      </c>
      <c r="B55" s="13">
        <v>1</v>
      </c>
      <c r="C55" s="16">
        <v>2</v>
      </c>
      <c r="D55" s="18">
        <v>0</v>
      </c>
      <c r="E55" s="16">
        <v>465152</v>
      </c>
      <c r="F55" s="13">
        <v>121336</v>
      </c>
      <c r="G55" s="13">
        <v>4036</v>
      </c>
      <c r="H55" s="18">
        <v>3598420</v>
      </c>
      <c r="I55" s="16">
        <v>13</v>
      </c>
      <c r="J55" s="18">
        <v>0</v>
      </c>
      <c r="K55" s="16">
        <v>11671</v>
      </c>
      <c r="L55" s="18">
        <v>2</v>
      </c>
      <c r="M55" s="16">
        <v>897</v>
      </c>
      <c r="N55" s="18">
        <v>332</v>
      </c>
      <c r="O55" s="16">
        <v>32</v>
      </c>
      <c r="P55" s="13">
        <v>3</v>
      </c>
      <c r="Q55" s="13">
        <v>64</v>
      </c>
      <c r="R55" s="13">
        <v>1</v>
      </c>
      <c r="S55" s="18">
        <v>0</v>
      </c>
      <c r="T55" s="21">
        <v>46247.333668981482</v>
      </c>
      <c r="U55" s="55">
        <f t="shared" si="0"/>
        <v>1.1666666666666667</v>
      </c>
      <c r="V55" s="55">
        <f t="shared" si="0"/>
        <v>0</v>
      </c>
      <c r="W55" s="56">
        <f t="shared" si="1"/>
        <v>12715.833333333334</v>
      </c>
    </row>
    <row r="56" spans="1:23" x14ac:dyDescent="0.3">
      <c r="A56" s="13" t="str" cm="1">
        <f t="array" ref="A56:B56">INDEX(BenchmarkResults!$B$1:$D$35,SUMPRODUCT((T56&gt;=BenchmarkResults!$F$2:$F$35)*(mysql_hardware_log!T56&lt;BenchmarkResults!$G$2:$G$35)*ROW(BenchmarkResults!$F$2:$F$35)),{1,3})</f>
        <v>q1_top_cities</v>
      </c>
      <c r="B56" s="13">
        <v>1</v>
      </c>
      <c r="C56" s="16">
        <v>1</v>
      </c>
      <c r="D56" s="18">
        <v>0</v>
      </c>
      <c r="E56" s="16">
        <v>465152</v>
      </c>
      <c r="F56" s="13">
        <v>98944</v>
      </c>
      <c r="G56" s="13">
        <v>4052</v>
      </c>
      <c r="H56" s="18">
        <v>3624540</v>
      </c>
      <c r="I56" s="16">
        <v>23</v>
      </c>
      <c r="J56" s="18">
        <v>0</v>
      </c>
      <c r="K56" s="16">
        <v>11495</v>
      </c>
      <c r="L56" s="18">
        <v>24</v>
      </c>
      <c r="M56" s="16">
        <v>886</v>
      </c>
      <c r="N56" s="18">
        <v>324</v>
      </c>
      <c r="O56" s="16">
        <v>31</v>
      </c>
      <c r="P56" s="13">
        <v>3</v>
      </c>
      <c r="Q56" s="13">
        <v>64</v>
      </c>
      <c r="R56" s="13">
        <v>2</v>
      </c>
      <c r="S56" s="18">
        <v>0</v>
      </c>
      <c r="T56" s="21">
        <v>46247.333784722221</v>
      </c>
      <c r="U56" s="55">
        <f t="shared" si="0"/>
        <v>1.1666666666666667</v>
      </c>
      <c r="V56" s="55">
        <f t="shared" si="0"/>
        <v>0</v>
      </c>
      <c r="W56" s="56">
        <f t="shared" si="1"/>
        <v>12445.833333333334</v>
      </c>
    </row>
    <row r="57" spans="1:23" x14ac:dyDescent="0.3">
      <c r="A57" s="13" t="str" cm="1">
        <f t="array" ref="A57:B57">INDEX(BenchmarkResults!$B$1:$D$35,SUMPRODUCT((T57&gt;=BenchmarkResults!$F$2:$F$35)*(mysql_hardware_log!T57&lt;BenchmarkResults!$G$2:$G$35)*ROW(BenchmarkResults!$F$2:$F$35)),{1,3})</f>
        <v>q1_top_cities</v>
      </c>
      <c r="B57" s="13">
        <v>1</v>
      </c>
      <c r="C57" s="16">
        <v>1</v>
      </c>
      <c r="D57" s="18">
        <v>0</v>
      </c>
      <c r="E57" s="16">
        <v>465152</v>
      </c>
      <c r="F57" s="13">
        <v>149816</v>
      </c>
      <c r="G57" s="13">
        <v>4060</v>
      </c>
      <c r="H57" s="18">
        <v>3582560</v>
      </c>
      <c r="I57" s="16">
        <v>13</v>
      </c>
      <c r="J57" s="18">
        <v>0</v>
      </c>
      <c r="K57" s="16">
        <v>11888</v>
      </c>
      <c r="L57" s="18">
        <v>5</v>
      </c>
      <c r="M57" s="16">
        <v>943</v>
      </c>
      <c r="N57" s="18">
        <v>379</v>
      </c>
      <c r="O57" s="16">
        <v>31</v>
      </c>
      <c r="P57" s="13">
        <v>3</v>
      </c>
      <c r="Q57" s="13">
        <v>63</v>
      </c>
      <c r="R57" s="13">
        <v>2</v>
      </c>
      <c r="S57" s="18">
        <v>0</v>
      </c>
      <c r="T57" s="21">
        <v>46247.33390046296</v>
      </c>
      <c r="U57" s="55">
        <f t="shared" si="0"/>
        <v>1.1666666666666667</v>
      </c>
      <c r="V57" s="55">
        <f t="shared" si="0"/>
        <v>0</v>
      </c>
      <c r="W57" s="56">
        <f t="shared" si="1"/>
        <v>12197.5</v>
      </c>
    </row>
    <row r="58" spans="1:23" x14ac:dyDescent="0.3">
      <c r="A58" s="13" t="str" cm="1">
        <f t="array" ref="A58:B58">INDEX(BenchmarkResults!$B$1:$D$35,SUMPRODUCT((T58&gt;=BenchmarkResults!$F$2:$F$35)*(mysql_hardware_log!T58&lt;BenchmarkResults!$G$2:$G$35)*ROW(BenchmarkResults!$F$2:$F$35)),{1,3})</f>
        <v>q1_top_cities</v>
      </c>
      <c r="B58" s="13">
        <v>1</v>
      </c>
      <c r="C58" s="16">
        <v>1</v>
      </c>
      <c r="D58" s="18">
        <v>0</v>
      </c>
      <c r="E58" s="16">
        <v>465152</v>
      </c>
      <c r="F58" s="13">
        <v>129804</v>
      </c>
      <c r="G58" s="13">
        <v>4068</v>
      </c>
      <c r="H58" s="18">
        <v>3594180</v>
      </c>
      <c r="I58" s="16">
        <v>14</v>
      </c>
      <c r="J58" s="18">
        <v>0</v>
      </c>
      <c r="K58" s="16">
        <v>11884</v>
      </c>
      <c r="L58" s="18">
        <v>3</v>
      </c>
      <c r="M58" s="16">
        <v>927</v>
      </c>
      <c r="N58" s="18">
        <v>333</v>
      </c>
      <c r="O58" s="16">
        <v>31</v>
      </c>
      <c r="P58" s="13">
        <v>3</v>
      </c>
      <c r="Q58" s="13">
        <v>64</v>
      </c>
      <c r="R58" s="13">
        <v>2</v>
      </c>
      <c r="S58" s="18">
        <v>0</v>
      </c>
      <c r="T58" s="21">
        <v>46247.334016203706</v>
      </c>
      <c r="U58" s="55">
        <f t="shared" si="0"/>
        <v>1.1666666666666667</v>
      </c>
      <c r="V58" s="55">
        <f t="shared" si="0"/>
        <v>0</v>
      </c>
      <c r="W58" s="56">
        <f t="shared" si="1"/>
        <v>11981.333333333334</v>
      </c>
    </row>
    <row r="59" spans="1:23" x14ac:dyDescent="0.3">
      <c r="A59" s="13" t="str" cm="1">
        <f t="array" ref="A59:B59">INDEX(BenchmarkResults!$B$1:$D$35,SUMPRODUCT((T59&gt;=BenchmarkResults!$F$2:$F$35)*(mysql_hardware_log!T59&lt;BenchmarkResults!$G$2:$G$35)*ROW(BenchmarkResults!$F$2:$F$35)),{1,3})</f>
        <v>q1_top_cities</v>
      </c>
      <c r="B59" s="13">
        <v>1</v>
      </c>
      <c r="C59" s="16">
        <v>1</v>
      </c>
      <c r="D59" s="18">
        <v>0</v>
      </c>
      <c r="E59" s="16">
        <v>464896</v>
      </c>
      <c r="F59" s="13">
        <v>120408</v>
      </c>
      <c r="G59" s="13">
        <v>4076</v>
      </c>
      <c r="H59" s="18">
        <v>3610268</v>
      </c>
      <c r="I59" s="16">
        <v>20</v>
      </c>
      <c r="J59" s="18">
        <v>0</v>
      </c>
      <c r="K59" s="16">
        <v>12326</v>
      </c>
      <c r="L59" s="18">
        <v>16</v>
      </c>
      <c r="M59" s="16">
        <v>927</v>
      </c>
      <c r="N59" s="18">
        <v>328</v>
      </c>
      <c r="O59" s="16">
        <v>32</v>
      </c>
      <c r="P59" s="13">
        <v>3</v>
      </c>
      <c r="Q59" s="13">
        <v>63</v>
      </c>
      <c r="R59" s="13">
        <v>2</v>
      </c>
      <c r="S59" s="18">
        <v>0</v>
      </c>
      <c r="T59" s="21">
        <v>46247.334131944444</v>
      </c>
      <c r="U59" s="55">
        <f t="shared" si="0"/>
        <v>1.1666666666666667</v>
      </c>
      <c r="V59" s="55">
        <f t="shared" si="0"/>
        <v>0</v>
      </c>
      <c r="W59" s="56">
        <f t="shared" si="1"/>
        <v>11928.166666666666</v>
      </c>
    </row>
    <row r="60" spans="1:23" x14ac:dyDescent="0.3">
      <c r="A60" s="13" t="str" cm="1">
        <f t="array" ref="A60:B60">INDEX(BenchmarkResults!$B$1:$D$35,SUMPRODUCT((T60&gt;=BenchmarkResults!$F$2:$F$35)*(mysql_hardware_log!T60&lt;BenchmarkResults!$G$2:$G$35)*ROW(BenchmarkResults!$F$2:$F$35)),{1,3})</f>
        <v>q1_top_cities</v>
      </c>
      <c r="B60" s="13">
        <v>1</v>
      </c>
      <c r="C60" s="16">
        <v>1</v>
      </c>
      <c r="D60" s="18">
        <v>0</v>
      </c>
      <c r="E60" s="16">
        <v>464896</v>
      </c>
      <c r="F60" s="13">
        <v>108776</v>
      </c>
      <c r="G60" s="13">
        <v>4084</v>
      </c>
      <c r="H60" s="18">
        <v>3622340</v>
      </c>
      <c r="I60" s="16">
        <v>22</v>
      </c>
      <c r="J60" s="18">
        <v>0</v>
      </c>
      <c r="K60" s="16">
        <v>11951</v>
      </c>
      <c r="L60" s="18">
        <v>2</v>
      </c>
      <c r="M60" s="16">
        <v>925</v>
      </c>
      <c r="N60" s="18">
        <v>323</v>
      </c>
      <c r="O60" s="16">
        <v>32</v>
      </c>
      <c r="P60" s="13">
        <v>3</v>
      </c>
      <c r="Q60" s="13">
        <v>64</v>
      </c>
      <c r="R60" s="13">
        <v>2</v>
      </c>
      <c r="S60" s="18">
        <v>0</v>
      </c>
      <c r="T60" s="21">
        <v>46247.334247685183</v>
      </c>
      <c r="U60" s="55">
        <f t="shared" si="0"/>
        <v>1.1666666666666667</v>
      </c>
      <c r="V60" s="55">
        <f t="shared" si="0"/>
        <v>0</v>
      </c>
      <c r="W60" s="56">
        <f t="shared" si="1"/>
        <v>11869.166666666666</v>
      </c>
    </row>
    <row r="61" spans="1:23" x14ac:dyDescent="0.3">
      <c r="A61" s="13" t="str" cm="1">
        <f t="array" ref="A61:B61">INDEX(BenchmarkResults!$B$1:$D$35,SUMPRODUCT((T61&gt;=BenchmarkResults!$F$2:$F$35)*(mysql_hardware_log!T61&lt;BenchmarkResults!$G$2:$G$35)*ROW(BenchmarkResults!$F$2:$F$35)),{1,3})</f>
        <v>q1_top_cities</v>
      </c>
      <c r="B61" s="13">
        <v>1</v>
      </c>
      <c r="C61" s="16">
        <v>1</v>
      </c>
      <c r="D61" s="18">
        <v>0</v>
      </c>
      <c r="E61" s="16">
        <v>464896</v>
      </c>
      <c r="F61" s="13">
        <v>146812</v>
      </c>
      <c r="G61" s="13">
        <v>4092</v>
      </c>
      <c r="H61" s="18">
        <v>3580120</v>
      </c>
      <c r="I61" s="16">
        <v>6</v>
      </c>
      <c r="J61" s="18">
        <v>0</v>
      </c>
      <c r="K61" s="16">
        <v>11870</v>
      </c>
      <c r="L61" s="18">
        <v>2</v>
      </c>
      <c r="M61" s="16">
        <v>918</v>
      </c>
      <c r="N61" s="18">
        <v>329</v>
      </c>
      <c r="O61" s="16">
        <v>31</v>
      </c>
      <c r="P61" s="13">
        <v>4</v>
      </c>
      <c r="Q61" s="13">
        <v>64</v>
      </c>
      <c r="R61" s="13">
        <v>2</v>
      </c>
      <c r="S61" s="18">
        <v>0</v>
      </c>
      <c r="T61" s="21">
        <v>46247.334363425929</v>
      </c>
      <c r="U61" s="55">
        <f t="shared" si="0"/>
        <v>1</v>
      </c>
      <c r="V61" s="55">
        <f t="shared" si="0"/>
        <v>0</v>
      </c>
      <c r="W61" s="56">
        <f t="shared" si="1"/>
        <v>11902.333333333334</v>
      </c>
    </row>
    <row r="62" spans="1:23" x14ac:dyDescent="0.3">
      <c r="A62" s="13" t="str" cm="1">
        <f t="array" ref="A62:B62">INDEX(BenchmarkResults!$B$1:$D$35,SUMPRODUCT((T62&gt;=BenchmarkResults!$F$2:$F$35)*(mysql_hardware_log!T62&lt;BenchmarkResults!$G$2:$G$35)*ROW(BenchmarkResults!$F$2:$F$35)),{1,3})</f>
        <v>q1_top_cities</v>
      </c>
      <c r="B62" s="13">
        <v>1</v>
      </c>
      <c r="C62" s="16">
        <v>1</v>
      </c>
      <c r="D62" s="18">
        <v>0</v>
      </c>
      <c r="E62" s="16">
        <v>464640</v>
      </c>
      <c r="F62" s="13">
        <v>122796</v>
      </c>
      <c r="G62" s="13">
        <v>4100</v>
      </c>
      <c r="H62" s="18">
        <v>3608652</v>
      </c>
      <c r="I62" s="16">
        <v>15</v>
      </c>
      <c r="J62" s="18">
        <v>0</v>
      </c>
      <c r="K62" s="16">
        <v>13512</v>
      </c>
      <c r="L62" s="18">
        <v>3</v>
      </c>
      <c r="M62" s="16">
        <v>941</v>
      </c>
      <c r="N62" s="18">
        <v>342</v>
      </c>
      <c r="O62" s="16">
        <v>31</v>
      </c>
      <c r="P62" s="13">
        <v>3</v>
      </c>
      <c r="Q62" s="13">
        <v>63</v>
      </c>
      <c r="R62" s="13">
        <v>2</v>
      </c>
      <c r="S62" s="18">
        <v>0</v>
      </c>
      <c r="T62" s="21">
        <v>46247.334479166668</v>
      </c>
      <c r="U62" s="55">
        <f t="shared" si="0"/>
        <v>1</v>
      </c>
      <c r="V62" s="55">
        <f t="shared" si="0"/>
        <v>0</v>
      </c>
      <c r="W62" s="56">
        <f t="shared" si="1"/>
        <v>12238.5</v>
      </c>
    </row>
    <row r="63" spans="1:23" x14ac:dyDescent="0.3">
      <c r="A63" s="13" t="str" cm="1">
        <f t="array" ref="A63:B63">INDEX(BenchmarkResults!$B$1:$D$35,SUMPRODUCT((T63&gt;=BenchmarkResults!$F$2:$F$35)*(mysql_hardware_log!T63&lt;BenchmarkResults!$G$2:$G$35)*ROW(BenchmarkResults!$F$2:$F$35)),{1,3})</f>
        <v>q1_top_cities</v>
      </c>
      <c r="B63" s="13">
        <v>1</v>
      </c>
      <c r="C63" s="16">
        <v>0</v>
      </c>
      <c r="D63" s="18">
        <v>1</v>
      </c>
      <c r="E63" s="16">
        <v>464384</v>
      </c>
      <c r="F63" s="13">
        <v>101884</v>
      </c>
      <c r="G63" s="13">
        <v>4108</v>
      </c>
      <c r="H63" s="18">
        <v>3625196</v>
      </c>
      <c r="I63" s="16">
        <v>26</v>
      </c>
      <c r="J63" s="18">
        <v>0</v>
      </c>
      <c r="K63" s="16">
        <v>12380</v>
      </c>
      <c r="L63" s="18">
        <v>1</v>
      </c>
      <c r="M63" s="16">
        <v>926</v>
      </c>
      <c r="N63" s="18">
        <v>324</v>
      </c>
      <c r="O63" s="16">
        <v>31</v>
      </c>
      <c r="P63" s="13">
        <v>3</v>
      </c>
      <c r="Q63" s="13">
        <v>64</v>
      </c>
      <c r="R63" s="13">
        <v>2</v>
      </c>
      <c r="S63" s="18">
        <v>0</v>
      </c>
      <c r="T63" s="21">
        <v>46247.334594907406</v>
      </c>
      <c r="U63" s="55">
        <f t="shared" si="0"/>
        <v>0.83333333333333337</v>
      </c>
      <c r="V63" s="55">
        <f t="shared" si="0"/>
        <v>0.16666666666666666</v>
      </c>
      <c r="W63" s="56">
        <f t="shared" si="1"/>
        <v>12320.5</v>
      </c>
    </row>
    <row r="64" spans="1:23" x14ac:dyDescent="0.3">
      <c r="A64" s="13" t="str" cm="1">
        <f t="array" ref="A64:B64">INDEX(BenchmarkResults!$B$1:$D$35,SUMPRODUCT((T64&gt;=BenchmarkResults!$F$2:$F$35)*(mysql_hardware_log!T64&lt;BenchmarkResults!$G$2:$G$35)*ROW(BenchmarkResults!$F$2:$F$35)),{1,3})</f>
        <v>q1_top_cities</v>
      </c>
      <c r="B64" s="13">
        <v>2</v>
      </c>
      <c r="C64" s="16">
        <v>1</v>
      </c>
      <c r="D64" s="18">
        <v>0</v>
      </c>
      <c r="E64" s="16">
        <v>464384</v>
      </c>
      <c r="F64" s="13">
        <v>108924</v>
      </c>
      <c r="G64" s="13">
        <v>4116</v>
      </c>
      <c r="H64" s="18">
        <v>3587072</v>
      </c>
      <c r="I64" s="16">
        <v>32</v>
      </c>
      <c r="J64" s="18">
        <v>0</v>
      </c>
      <c r="K64" s="16">
        <v>12270</v>
      </c>
      <c r="L64" s="18">
        <v>1</v>
      </c>
      <c r="M64" s="16">
        <v>938</v>
      </c>
      <c r="N64" s="18">
        <v>359</v>
      </c>
      <c r="O64" s="16">
        <v>31</v>
      </c>
      <c r="P64" s="13">
        <v>3</v>
      </c>
      <c r="Q64" s="13">
        <v>63</v>
      </c>
      <c r="R64" s="13">
        <v>2</v>
      </c>
      <c r="S64" s="18">
        <v>0</v>
      </c>
      <c r="T64" s="21">
        <v>46247.334710648145</v>
      </c>
      <c r="U64" s="55">
        <f t="shared" si="0"/>
        <v>0.83333333333333337</v>
      </c>
      <c r="V64" s="55">
        <f t="shared" si="0"/>
        <v>0.16666666666666666</v>
      </c>
      <c r="W64" s="56">
        <f t="shared" si="1"/>
        <v>12384.833333333334</v>
      </c>
    </row>
    <row r="65" spans="1:23" x14ac:dyDescent="0.3">
      <c r="A65" s="13" t="str" cm="1">
        <f t="array" ref="A65:B65">INDEX(BenchmarkResults!$B$1:$D$35,SUMPRODUCT((T65&gt;=BenchmarkResults!$F$2:$F$35)*(mysql_hardware_log!T65&lt;BenchmarkResults!$G$2:$G$35)*ROW(BenchmarkResults!$F$2:$F$35)),{1,3})</f>
        <v>q1_top_cities</v>
      </c>
      <c r="B65" s="13">
        <v>2</v>
      </c>
      <c r="C65" s="16">
        <v>1</v>
      </c>
      <c r="D65" s="18">
        <v>0</v>
      </c>
      <c r="E65" s="16">
        <v>464384</v>
      </c>
      <c r="F65" s="13">
        <v>124068</v>
      </c>
      <c r="G65" s="13">
        <v>4124</v>
      </c>
      <c r="H65" s="18">
        <v>3603656</v>
      </c>
      <c r="I65" s="16">
        <v>8</v>
      </c>
      <c r="J65" s="18">
        <v>0</v>
      </c>
      <c r="K65" s="16">
        <v>12349</v>
      </c>
      <c r="L65" s="18">
        <v>2</v>
      </c>
      <c r="M65" s="16">
        <v>909</v>
      </c>
      <c r="N65" s="18">
        <v>302</v>
      </c>
      <c r="O65" s="16">
        <v>32</v>
      </c>
      <c r="P65" s="13">
        <v>3</v>
      </c>
      <c r="Q65" s="13">
        <v>64</v>
      </c>
      <c r="R65" s="13">
        <v>1</v>
      </c>
      <c r="S65" s="18">
        <v>0</v>
      </c>
      <c r="T65" s="21">
        <v>46247.334826388891</v>
      </c>
      <c r="U65" s="55">
        <f t="shared" si="0"/>
        <v>0.83333333333333337</v>
      </c>
      <c r="V65" s="55">
        <f t="shared" si="0"/>
        <v>0.16666666666666666</v>
      </c>
      <c r="W65" s="56">
        <f t="shared" si="1"/>
        <v>12388.666666666666</v>
      </c>
    </row>
    <row r="66" spans="1:23" x14ac:dyDescent="0.3">
      <c r="A66" s="13" t="str" cm="1">
        <f t="array" ref="A66:B66">INDEX(BenchmarkResults!$B$1:$D$35,SUMPRODUCT((T66&gt;=BenchmarkResults!$F$2:$F$35)*(mysql_hardware_log!T66&lt;BenchmarkResults!$G$2:$G$35)*ROW(BenchmarkResults!$F$2:$F$35)),{1,3})</f>
        <v>q1_top_cities</v>
      </c>
      <c r="B66" s="13">
        <v>2</v>
      </c>
      <c r="C66" s="16">
        <v>1</v>
      </c>
      <c r="D66" s="18">
        <v>0</v>
      </c>
      <c r="E66" s="16">
        <v>464384</v>
      </c>
      <c r="F66" s="13">
        <v>137788</v>
      </c>
      <c r="G66" s="13">
        <v>4132</v>
      </c>
      <c r="H66" s="18">
        <v>3594892</v>
      </c>
      <c r="I66" s="16">
        <v>14</v>
      </c>
      <c r="J66" s="18">
        <v>0</v>
      </c>
      <c r="K66" s="16">
        <v>4480</v>
      </c>
      <c r="L66" s="18">
        <v>1</v>
      </c>
      <c r="M66" s="16">
        <v>810</v>
      </c>
      <c r="N66" s="18">
        <v>302</v>
      </c>
      <c r="O66" s="16">
        <v>32</v>
      </c>
      <c r="P66" s="13">
        <v>2</v>
      </c>
      <c r="Q66" s="13">
        <v>65</v>
      </c>
      <c r="R66" s="13">
        <v>1</v>
      </c>
      <c r="S66" s="18">
        <v>0</v>
      </c>
      <c r="T66" s="21">
        <v>46247.33494212963</v>
      </c>
      <c r="U66" s="55">
        <f t="shared" si="0"/>
        <v>0.83333333333333337</v>
      </c>
      <c r="V66" s="55">
        <f t="shared" si="0"/>
        <v>0.16666666666666666</v>
      </c>
      <c r="W66" s="56">
        <f t="shared" si="1"/>
        <v>11143.5</v>
      </c>
    </row>
    <row r="67" spans="1:23" x14ac:dyDescent="0.3">
      <c r="A67" s="13" t="str" cm="1">
        <f t="array" ref="A67:B67">INDEX(BenchmarkResults!$B$1:$D$35,SUMPRODUCT((T67&gt;=BenchmarkResults!$F$2:$F$35)*(mysql_hardware_log!T67&lt;BenchmarkResults!$G$2:$G$35)*ROW(BenchmarkResults!$F$2:$F$35)),{1,3})</f>
        <v>q1_top_cities</v>
      </c>
      <c r="B67" s="13">
        <v>2</v>
      </c>
      <c r="C67" s="16">
        <v>2</v>
      </c>
      <c r="D67" s="18">
        <v>0</v>
      </c>
      <c r="E67" s="16">
        <v>464384</v>
      </c>
      <c r="F67" s="13">
        <v>126156</v>
      </c>
      <c r="G67" s="13">
        <v>4140</v>
      </c>
      <c r="H67" s="18">
        <v>3061960</v>
      </c>
      <c r="I67" s="16">
        <v>0</v>
      </c>
      <c r="J67" s="18">
        <v>0</v>
      </c>
      <c r="K67" s="16">
        <v>467</v>
      </c>
      <c r="L67" s="18">
        <v>1</v>
      </c>
      <c r="M67" s="16">
        <v>906</v>
      </c>
      <c r="N67" s="18">
        <v>377</v>
      </c>
      <c r="O67" s="16">
        <v>36</v>
      </c>
      <c r="P67" s="13">
        <v>7</v>
      </c>
      <c r="Q67" s="13">
        <v>57</v>
      </c>
      <c r="R67" s="13">
        <v>0</v>
      </c>
      <c r="S67" s="18">
        <v>0</v>
      </c>
      <c r="T67" s="21">
        <v>46247.335057870368</v>
      </c>
      <c r="U67" s="55">
        <f t="shared" si="0"/>
        <v>1</v>
      </c>
      <c r="V67" s="55">
        <f t="shared" si="0"/>
        <v>0.16666666666666666</v>
      </c>
      <c r="W67" s="56">
        <f t="shared" si="1"/>
        <v>9243</v>
      </c>
    </row>
    <row r="68" spans="1:23" x14ac:dyDescent="0.3">
      <c r="A68" s="13" t="str" cm="1">
        <f t="array" ref="A68:B68">INDEX(BenchmarkResults!$B$1:$D$35,SUMPRODUCT((T68&gt;=BenchmarkResults!$F$2:$F$35)*(mysql_hardware_log!T68&lt;BenchmarkResults!$G$2:$G$35)*ROW(BenchmarkResults!$F$2:$F$35)),{1,3})</f>
        <v>q1_top_cities</v>
      </c>
      <c r="B68" s="13">
        <v>2</v>
      </c>
      <c r="C68" s="16">
        <v>1</v>
      </c>
      <c r="D68" s="18">
        <v>0</v>
      </c>
      <c r="E68" s="16">
        <v>464384</v>
      </c>
      <c r="F68" s="13">
        <v>1048860</v>
      </c>
      <c r="G68" s="13">
        <v>4156</v>
      </c>
      <c r="H68" s="18">
        <v>2656992</v>
      </c>
      <c r="I68" s="16">
        <v>11</v>
      </c>
      <c r="J68" s="18">
        <v>0</v>
      </c>
      <c r="K68" s="16">
        <v>1104</v>
      </c>
      <c r="L68" s="18">
        <v>21</v>
      </c>
      <c r="M68" s="16">
        <v>1006</v>
      </c>
      <c r="N68" s="18">
        <v>558</v>
      </c>
      <c r="O68" s="16">
        <v>34</v>
      </c>
      <c r="P68" s="13">
        <v>6</v>
      </c>
      <c r="Q68" s="13">
        <v>60</v>
      </c>
      <c r="R68" s="13">
        <v>1</v>
      </c>
      <c r="S68" s="18">
        <v>0</v>
      </c>
      <c r="T68" s="21">
        <v>46247.335173611114</v>
      </c>
      <c r="U68" s="55">
        <f t="shared" si="0"/>
        <v>1</v>
      </c>
      <c r="V68" s="55">
        <f t="shared" si="0"/>
        <v>0.16666666666666666</v>
      </c>
      <c r="W68" s="56">
        <f t="shared" si="1"/>
        <v>7175</v>
      </c>
    </row>
    <row r="69" spans="1:23" x14ac:dyDescent="0.3">
      <c r="A69" s="13" t="str" cm="1">
        <f t="array" ref="A69:B69">INDEX(BenchmarkResults!$B$1:$D$35,SUMPRODUCT((T69&gt;=BenchmarkResults!$F$2:$F$35)*(mysql_hardware_log!T69&lt;BenchmarkResults!$G$2:$G$35)*ROW(BenchmarkResults!$F$2:$F$35)),{1,3})</f>
        <v>q1_top_cities</v>
      </c>
      <c r="B69" s="13">
        <v>2</v>
      </c>
      <c r="C69" s="16">
        <v>1</v>
      </c>
      <c r="D69" s="18">
        <v>0</v>
      </c>
      <c r="E69" s="16">
        <v>464384</v>
      </c>
      <c r="F69" s="13">
        <v>1046592</v>
      </c>
      <c r="G69" s="13">
        <v>4164</v>
      </c>
      <c r="H69" s="18">
        <v>2667120</v>
      </c>
      <c r="I69" s="16">
        <v>0</v>
      </c>
      <c r="J69" s="18">
        <v>0</v>
      </c>
      <c r="K69" s="16">
        <v>1013</v>
      </c>
      <c r="L69" s="18">
        <v>4</v>
      </c>
      <c r="M69" s="16">
        <v>746</v>
      </c>
      <c r="N69" s="18">
        <v>255</v>
      </c>
      <c r="O69" s="16">
        <v>32</v>
      </c>
      <c r="P69" s="13">
        <v>2</v>
      </c>
      <c r="Q69" s="13">
        <v>66</v>
      </c>
      <c r="R69" s="13">
        <v>0</v>
      </c>
      <c r="S69" s="18">
        <v>0</v>
      </c>
      <c r="T69" s="21">
        <v>46247.335289351853</v>
      </c>
      <c r="U69" s="55">
        <f t="shared" si="0"/>
        <v>1.1666666666666667</v>
      </c>
      <c r="V69" s="55">
        <f t="shared" si="0"/>
        <v>0</v>
      </c>
      <c r="W69" s="56">
        <f t="shared" si="1"/>
        <v>5280.5</v>
      </c>
    </row>
    <row r="70" spans="1:23" x14ac:dyDescent="0.3">
      <c r="A70" s="13" t="str" cm="1">
        <f t="array" ref="A70:B70">INDEX(BenchmarkResults!$B$1:$D$35,SUMPRODUCT((T70&gt;=BenchmarkResults!$F$2:$F$35)*(mysql_hardware_log!T70&lt;BenchmarkResults!$G$2:$G$35)*ROW(BenchmarkResults!$F$2:$F$35)),{1,3})</f>
        <v>q1_top_cities</v>
      </c>
      <c r="B70" s="13">
        <v>2</v>
      </c>
      <c r="C70" s="16">
        <v>2</v>
      </c>
      <c r="D70" s="18">
        <v>0</v>
      </c>
      <c r="E70" s="16">
        <v>464128</v>
      </c>
      <c r="F70" s="13">
        <v>1035532</v>
      </c>
      <c r="G70" s="13">
        <v>4172</v>
      </c>
      <c r="H70" s="18">
        <v>2676976</v>
      </c>
      <c r="I70" s="16">
        <v>10</v>
      </c>
      <c r="J70" s="18">
        <v>0</v>
      </c>
      <c r="K70" s="16">
        <v>1006</v>
      </c>
      <c r="L70" s="18">
        <v>1</v>
      </c>
      <c r="M70" s="16">
        <v>749</v>
      </c>
      <c r="N70" s="18">
        <v>280</v>
      </c>
      <c r="O70" s="16">
        <v>33</v>
      </c>
      <c r="P70" s="13">
        <v>2</v>
      </c>
      <c r="Q70" s="13">
        <v>65</v>
      </c>
      <c r="R70" s="13">
        <v>0</v>
      </c>
      <c r="S70" s="18">
        <v>0</v>
      </c>
      <c r="T70" s="21">
        <v>46247.335405092592</v>
      </c>
      <c r="U70" s="55">
        <f t="shared" si="0"/>
        <v>1.3333333333333333</v>
      </c>
      <c r="V70" s="55">
        <f t="shared" si="0"/>
        <v>0</v>
      </c>
      <c r="W70" s="56">
        <f t="shared" si="1"/>
        <v>3403.1666666666665</v>
      </c>
    </row>
    <row r="71" spans="1:23" x14ac:dyDescent="0.3">
      <c r="A71" s="13" t="str" cm="1">
        <f t="array" ref="A71:B71">INDEX(BenchmarkResults!$B$1:$D$35,SUMPRODUCT((T71&gt;=BenchmarkResults!$F$2:$F$35)*(mysql_hardware_log!T71&lt;BenchmarkResults!$G$2:$G$35)*ROW(BenchmarkResults!$F$2:$F$35)),{1,3})</f>
        <v>q1_top_cities</v>
      </c>
      <c r="B71" s="13">
        <v>2</v>
      </c>
      <c r="C71" s="16">
        <v>1</v>
      </c>
      <c r="D71" s="18">
        <v>0</v>
      </c>
      <c r="E71" s="16">
        <v>464128</v>
      </c>
      <c r="F71" s="13">
        <v>915612</v>
      </c>
      <c r="G71" s="13">
        <v>4180</v>
      </c>
      <c r="H71" s="18">
        <v>2776496</v>
      </c>
      <c r="I71" s="16">
        <v>4</v>
      </c>
      <c r="J71" s="18">
        <v>0</v>
      </c>
      <c r="K71" s="16">
        <v>9954</v>
      </c>
      <c r="L71" s="18">
        <v>3</v>
      </c>
      <c r="M71" s="16">
        <v>945</v>
      </c>
      <c r="N71" s="18">
        <v>328</v>
      </c>
      <c r="O71" s="16">
        <v>31</v>
      </c>
      <c r="P71" s="13">
        <v>9</v>
      </c>
      <c r="Q71" s="13">
        <v>59</v>
      </c>
      <c r="R71" s="13">
        <v>1</v>
      </c>
      <c r="S71" s="18">
        <v>0</v>
      </c>
      <c r="T71" s="21">
        <v>46247.335520833331</v>
      </c>
      <c r="U71" s="55">
        <f t="shared" si="0"/>
        <v>1.3333333333333333</v>
      </c>
      <c r="V71" s="55">
        <f t="shared" si="0"/>
        <v>0</v>
      </c>
      <c r="W71" s="56">
        <f t="shared" si="1"/>
        <v>3004</v>
      </c>
    </row>
    <row r="72" spans="1:23" x14ac:dyDescent="0.3">
      <c r="A72" s="13" t="str" cm="1">
        <f t="array" ref="A72:B72">INDEX(BenchmarkResults!$B$1:$D$35,SUMPRODUCT((T72&gt;=BenchmarkResults!$F$2:$F$35)*(mysql_hardware_log!T72&lt;BenchmarkResults!$G$2:$G$35)*ROW(BenchmarkResults!$F$2:$F$35)),{1,3})</f>
        <v>q1_top_cities</v>
      </c>
      <c r="B72" s="13">
        <v>2</v>
      </c>
      <c r="C72" s="16">
        <v>1</v>
      </c>
      <c r="D72" s="18">
        <v>0</v>
      </c>
      <c r="E72" s="16">
        <v>463872</v>
      </c>
      <c r="F72" s="13">
        <v>809016</v>
      </c>
      <c r="G72" s="13">
        <v>4188</v>
      </c>
      <c r="H72" s="18">
        <v>2883880</v>
      </c>
      <c r="I72" s="16">
        <v>7</v>
      </c>
      <c r="J72" s="18">
        <v>0</v>
      </c>
      <c r="K72" s="16">
        <v>10739</v>
      </c>
      <c r="L72" s="18">
        <v>2</v>
      </c>
      <c r="M72" s="16">
        <v>884</v>
      </c>
      <c r="N72" s="18">
        <v>309</v>
      </c>
      <c r="O72" s="16">
        <v>29</v>
      </c>
      <c r="P72" s="13">
        <v>4</v>
      </c>
      <c r="Q72" s="13">
        <v>65</v>
      </c>
      <c r="R72" s="13">
        <v>1</v>
      </c>
      <c r="S72" s="18">
        <v>0</v>
      </c>
      <c r="T72" s="21">
        <v>46247.335636574076</v>
      </c>
      <c r="U72" s="55">
        <f t="shared" si="0"/>
        <v>1.3333333333333333</v>
      </c>
      <c r="V72" s="55">
        <f t="shared" si="0"/>
        <v>0</v>
      </c>
      <c r="W72" s="56">
        <f t="shared" si="1"/>
        <v>4047.1666666666665</v>
      </c>
    </row>
    <row r="73" spans="1:23" x14ac:dyDescent="0.3">
      <c r="A73" s="13" t="str" cm="1">
        <f t="array" ref="A73:B73">INDEX(BenchmarkResults!$B$1:$D$35,SUMPRODUCT((T73&gt;=BenchmarkResults!$F$2:$F$35)*(mysql_hardware_log!T73&lt;BenchmarkResults!$G$2:$G$35)*ROW(BenchmarkResults!$F$2:$F$35)),{1,3})</f>
        <v>q1_top_cities</v>
      </c>
      <c r="B73" s="13">
        <v>2</v>
      </c>
      <c r="C73" s="16">
        <v>0</v>
      </c>
      <c r="D73" s="18">
        <v>0</v>
      </c>
      <c r="E73" s="16">
        <v>463872</v>
      </c>
      <c r="F73" s="13">
        <v>701160</v>
      </c>
      <c r="G73" s="13">
        <v>4196</v>
      </c>
      <c r="H73" s="18">
        <v>2987936</v>
      </c>
      <c r="I73" s="16">
        <v>5</v>
      </c>
      <c r="J73" s="18">
        <v>0</v>
      </c>
      <c r="K73" s="16">
        <v>10408</v>
      </c>
      <c r="L73" s="18">
        <v>2</v>
      </c>
      <c r="M73" s="16">
        <v>864</v>
      </c>
      <c r="N73" s="18">
        <v>291</v>
      </c>
      <c r="O73" s="16">
        <v>30</v>
      </c>
      <c r="P73" s="13">
        <v>4</v>
      </c>
      <c r="Q73" s="13">
        <v>65</v>
      </c>
      <c r="R73" s="13">
        <v>1</v>
      </c>
      <c r="S73" s="18">
        <v>0</v>
      </c>
      <c r="T73" s="21">
        <v>46247.335752314815</v>
      </c>
      <c r="U73" s="55">
        <f t="shared" ref="U73:V136" si="2">AVERAGE(C68:C73)</f>
        <v>1</v>
      </c>
      <c r="V73" s="55">
        <f t="shared" si="2"/>
        <v>0</v>
      </c>
      <c r="W73" s="56">
        <f t="shared" ref="W73:W136" si="3">AVERAGE(K68:K73)</f>
        <v>5704</v>
      </c>
    </row>
    <row r="74" spans="1:23" x14ac:dyDescent="0.3">
      <c r="A74" s="13" t="str" cm="1">
        <f t="array" ref="A74:B74">INDEX(BenchmarkResults!$B$1:$D$35,SUMPRODUCT((T74&gt;=BenchmarkResults!$F$2:$F$35)*(mysql_hardware_log!T74&lt;BenchmarkResults!$G$2:$G$35)*ROW(BenchmarkResults!$F$2:$F$35)),{1,3})</f>
        <v>q1_top_cities</v>
      </c>
      <c r="B74" s="13">
        <v>2</v>
      </c>
      <c r="C74" s="16">
        <v>1</v>
      </c>
      <c r="D74" s="18">
        <v>0</v>
      </c>
      <c r="E74" s="16">
        <v>463872</v>
      </c>
      <c r="F74" s="13">
        <v>606940</v>
      </c>
      <c r="G74" s="13">
        <v>4204</v>
      </c>
      <c r="H74" s="18">
        <v>3083928</v>
      </c>
      <c r="I74" s="16">
        <v>13</v>
      </c>
      <c r="J74" s="18">
        <v>0</v>
      </c>
      <c r="K74" s="16">
        <v>9616</v>
      </c>
      <c r="L74" s="18">
        <v>28</v>
      </c>
      <c r="M74" s="16">
        <v>850</v>
      </c>
      <c r="N74" s="18">
        <v>274</v>
      </c>
      <c r="O74" s="16">
        <v>30</v>
      </c>
      <c r="P74" s="13">
        <v>4</v>
      </c>
      <c r="Q74" s="13">
        <v>65</v>
      </c>
      <c r="R74" s="13">
        <v>1</v>
      </c>
      <c r="S74" s="18">
        <v>0</v>
      </c>
      <c r="T74" s="21">
        <v>46247.335868055554</v>
      </c>
      <c r="U74" s="55">
        <f t="shared" si="2"/>
        <v>1</v>
      </c>
      <c r="V74" s="55">
        <f t="shared" si="2"/>
        <v>0</v>
      </c>
      <c r="W74" s="56">
        <f t="shared" si="3"/>
        <v>7122.666666666667</v>
      </c>
    </row>
    <row r="75" spans="1:23" x14ac:dyDescent="0.3">
      <c r="A75" s="13" t="str" cm="1">
        <f t="array" ref="A75:B75">INDEX(BenchmarkResults!$B$1:$D$35,SUMPRODUCT((T75&gt;=BenchmarkResults!$F$2:$F$35)*(mysql_hardware_log!T75&lt;BenchmarkResults!$G$2:$G$35)*ROW(BenchmarkResults!$F$2:$F$35)),{1,3})</f>
        <v>q1_top_cities</v>
      </c>
      <c r="B75" s="13">
        <v>2</v>
      </c>
      <c r="C75" s="16">
        <v>1</v>
      </c>
      <c r="D75" s="18">
        <v>0</v>
      </c>
      <c r="E75" s="16">
        <v>463872</v>
      </c>
      <c r="F75" s="13">
        <v>524284</v>
      </c>
      <c r="G75" s="13">
        <v>4212</v>
      </c>
      <c r="H75" s="18">
        <v>3188068</v>
      </c>
      <c r="I75" s="16">
        <v>14</v>
      </c>
      <c r="J75" s="18">
        <v>0</v>
      </c>
      <c r="K75" s="16">
        <v>10428</v>
      </c>
      <c r="L75" s="18">
        <v>1</v>
      </c>
      <c r="M75" s="16">
        <v>857</v>
      </c>
      <c r="N75" s="18">
        <v>305</v>
      </c>
      <c r="O75" s="16">
        <v>31</v>
      </c>
      <c r="P75" s="13">
        <v>3</v>
      </c>
      <c r="Q75" s="13">
        <v>65</v>
      </c>
      <c r="R75" s="13">
        <v>1</v>
      </c>
      <c r="S75" s="18">
        <v>0</v>
      </c>
      <c r="T75" s="21">
        <v>46247.3359837963</v>
      </c>
      <c r="U75" s="55">
        <f t="shared" si="2"/>
        <v>1</v>
      </c>
      <c r="V75" s="55">
        <f t="shared" si="2"/>
        <v>0</v>
      </c>
      <c r="W75" s="56">
        <f t="shared" si="3"/>
        <v>8691.8333333333339</v>
      </c>
    </row>
    <row r="76" spans="1:23" x14ac:dyDescent="0.3">
      <c r="A76" s="13" t="str" cm="1">
        <f t="array" ref="A76:B76">INDEX(BenchmarkResults!$B$1:$D$35,SUMPRODUCT((T76&gt;=BenchmarkResults!$F$2:$F$35)*(mysql_hardware_log!T76&lt;BenchmarkResults!$G$2:$G$35)*ROW(BenchmarkResults!$F$2:$F$35)),{1,3})</f>
        <v>q1_top_cities</v>
      </c>
      <c r="B76" s="13">
        <v>2</v>
      </c>
      <c r="C76" s="16">
        <v>1</v>
      </c>
      <c r="D76" s="18">
        <v>0</v>
      </c>
      <c r="E76" s="16">
        <v>463872</v>
      </c>
      <c r="F76" s="13">
        <v>494044</v>
      </c>
      <c r="G76" s="13">
        <v>4220</v>
      </c>
      <c r="H76" s="18">
        <v>3221064</v>
      </c>
      <c r="I76" s="16">
        <v>12</v>
      </c>
      <c r="J76" s="18">
        <v>0</v>
      </c>
      <c r="K76" s="16">
        <v>3312</v>
      </c>
      <c r="L76" s="18">
        <v>1</v>
      </c>
      <c r="M76" s="16">
        <v>776</v>
      </c>
      <c r="N76" s="18">
        <v>289</v>
      </c>
      <c r="O76" s="16">
        <v>32</v>
      </c>
      <c r="P76" s="13">
        <v>2</v>
      </c>
      <c r="Q76" s="13">
        <v>66</v>
      </c>
      <c r="R76" s="13">
        <v>0</v>
      </c>
      <c r="S76" s="18">
        <v>0</v>
      </c>
      <c r="T76" s="21">
        <v>46247.336099537039</v>
      </c>
      <c r="U76" s="55">
        <f t="shared" si="2"/>
        <v>0.83333333333333337</v>
      </c>
      <c r="V76" s="55">
        <f t="shared" si="2"/>
        <v>0</v>
      </c>
      <c r="W76" s="56">
        <f t="shared" si="3"/>
        <v>9076.1666666666661</v>
      </c>
    </row>
    <row r="77" spans="1:23" x14ac:dyDescent="0.3">
      <c r="A77" s="13" t="str" cm="1">
        <f t="array" ref="A77:B77">INDEX(BenchmarkResults!$B$1:$D$35,SUMPRODUCT((T77&gt;=BenchmarkResults!$F$2:$F$35)*(mysql_hardware_log!T77&lt;BenchmarkResults!$G$2:$G$35)*ROW(BenchmarkResults!$F$2:$F$35)),{1,3})</f>
        <v>q1_top_cities</v>
      </c>
      <c r="B77" s="13">
        <v>2</v>
      </c>
      <c r="C77" s="16">
        <v>1</v>
      </c>
      <c r="D77" s="18">
        <v>0</v>
      </c>
      <c r="E77" s="16">
        <v>463872</v>
      </c>
      <c r="F77" s="13">
        <v>494044</v>
      </c>
      <c r="G77" s="13">
        <v>4228</v>
      </c>
      <c r="H77" s="18">
        <v>3232524</v>
      </c>
      <c r="I77" s="16">
        <v>0</v>
      </c>
      <c r="J77" s="18">
        <v>0</v>
      </c>
      <c r="K77" s="16">
        <v>1144</v>
      </c>
      <c r="L77" s="18">
        <v>3</v>
      </c>
      <c r="M77" s="16">
        <v>759</v>
      </c>
      <c r="N77" s="18">
        <v>312</v>
      </c>
      <c r="O77" s="16">
        <v>32</v>
      </c>
      <c r="P77" s="13">
        <v>2</v>
      </c>
      <c r="Q77" s="13">
        <v>66</v>
      </c>
      <c r="R77" s="13">
        <v>0</v>
      </c>
      <c r="S77" s="18">
        <v>0</v>
      </c>
      <c r="T77" s="21">
        <v>46247.336215277777</v>
      </c>
      <c r="U77" s="55">
        <f t="shared" si="2"/>
        <v>0.83333333333333337</v>
      </c>
      <c r="V77" s="55">
        <f t="shared" si="2"/>
        <v>0</v>
      </c>
      <c r="W77" s="56">
        <f t="shared" si="3"/>
        <v>7607.833333333333</v>
      </c>
    </row>
    <row r="78" spans="1:23" x14ac:dyDescent="0.3">
      <c r="A78" s="13" t="str" cm="1">
        <f t="array" ref="A78:B78">INDEX(BenchmarkResults!$B$1:$D$35,SUMPRODUCT((T78&gt;=BenchmarkResults!$F$2:$F$35)*(mysql_hardware_log!T78&lt;BenchmarkResults!$G$2:$G$35)*ROW(BenchmarkResults!$F$2:$F$35)),{1,3})</f>
        <v>q1_top_cities</v>
      </c>
      <c r="B78" s="13">
        <v>2</v>
      </c>
      <c r="C78" s="16">
        <v>1</v>
      </c>
      <c r="D78" s="18">
        <v>0</v>
      </c>
      <c r="E78" s="16">
        <v>463872</v>
      </c>
      <c r="F78" s="13">
        <v>486988</v>
      </c>
      <c r="G78" s="13">
        <v>4236</v>
      </c>
      <c r="H78" s="18">
        <v>3246416</v>
      </c>
      <c r="I78" s="16">
        <v>12</v>
      </c>
      <c r="J78" s="18">
        <v>0</v>
      </c>
      <c r="K78" s="16">
        <v>1406</v>
      </c>
      <c r="L78" s="18">
        <v>2</v>
      </c>
      <c r="M78" s="16">
        <v>763</v>
      </c>
      <c r="N78" s="18">
        <v>296</v>
      </c>
      <c r="O78" s="16">
        <v>32</v>
      </c>
      <c r="P78" s="13">
        <v>2</v>
      </c>
      <c r="Q78" s="13">
        <v>66</v>
      </c>
      <c r="R78" s="13">
        <v>0</v>
      </c>
      <c r="S78" s="18">
        <v>0</v>
      </c>
      <c r="T78" s="21">
        <v>46247.336331018516</v>
      </c>
      <c r="U78" s="55">
        <f t="shared" si="2"/>
        <v>0.83333333333333337</v>
      </c>
      <c r="V78" s="55">
        <f t="shared" si="2"/>
        <v>0</v>
      </c>
      <c r="W78" s="56">
        <f t="shared" si="3"/>
        <v>6052.333333333333</v>
      </c>
    </row>
    <row r="79" spans="1:23" x14ac:dyDescent="0.3">
      <c r="A79" s="13" t="str" cm="1">
        <f t="array" ref="A79:B79">INDEX(BenchmarkResults!$B$1:$D$35,SUMPRODUCT((T79&gt;=BenchmarkResults!$F$2:$F$35)*(mysql_hardware_log!T79&lt;BenchmarkResults!$G$2:$G$35)*ROW(BenchmarkResults!$F$2:$F$35)),{1,3})</f>
        <v>q1_top_cities</v>
      </c>
      <c r="B79" s="13">
        <v>2</v>
      </c>
      <c r="C79" s="16">
        <v>1</v>
      </c>
      <c r="D79" s="18">
        <v>0</v>
      </c>
      <c r="E79" s="16">
        <v>463872</v>
      </c>
      <c r="F79" s="13">
        <v>478844</v>
      </c>
      <c r="G79" s="13">
        <v>4244</v>
      </c>
      <c r="H79" s="18">
        <v>3255052</v>
      </c>
      <c r="I79" s="16">
        <v>16</v>
      </c>
      <c r="J79" s="18">
        <v>0</v>
      </c>
      <c r="K79" s="16">
        <v>873</v>
      </c>
      <c r="L79" s="18">
        <v>18</v>
      </c>
      <c r="M79" s="16">
        <v>756</v>
      </c>
      <c r="N79" s="18">
        <v>289</v>
      </c>
      <c r="O79" s="16">
        <v>33</v>
      </c>
      <c r="P79" s="13">
        <v>2</v>
      </c>
      <c r="Q79" s="13">
        <v>65</v>
      </c>
      <c r="R79" s="13">
        <v>0</v>
      </c>
      <c r="S79" s="18">
        <v>0</v>
      </c>
      <c r="T79" s="21">
        <v>46247.336446759262</v>
      </c>
      <c r="U79" s="55">
        <f t="shared" si="2"/>
        <v>1</v>
      </c>
      <c r="V79" s="55">
        <f t="shared" si="2"/>
        <v>0</v>
      </c>
      <c r="W79" s="56">
        <f t="shared" si="3"/>
        <v>4463.166666666667</v>
      </c>
    </row>
    <row r="80" spans="1:23" x14ac:dyDescent="0.3">
      <c r="A80" s="13" t="str" cm="1">
        <f t="array" ref="A80:B80">INDEX(BenchmarkResults!$B$1:$D$35,SUMPRODUCT((T80&gt;=BenchmarkResults!$F$2:$F$35)*(mysql_hardware_log!T80&lt;BenchmarkResults!$G$2:$G$35)*ROW(BenchmarkResults!$F$2:$F$35)),{1,3})</f>
        <v>q1_top_cities</v>
      </c>
      <c r="B80" s="13">
        <v>2</v>
      </c>
      <c r="C80" s="16">
        <v>1</v>
      </c>
      <c r="D80" s="18">
        <v>0</v>
      </c>
      <c r="E80" s="16">
        <v>463616</v>
      </c>
      <c r="F80" s="13">
        <v>470528</v>
      </c>
      <c r="G80" s="13">
        <v>4252</v>
      </c>
      <c r="H80" s="18">
        <v>3263932</v>
      </c>
      <c r="I80" s="16">
        <v>2</v>
      </c>
      <c r="J80" s="18">
        <v>0</v>
      </c>
      <c r="K80" s="16">
        <v>891</v>
      </c>
      <c r="L80" s="18">
        <v>4</v>
      </c>
      <c r="M80" s="16">
        <v>753</v>
      </c>
      <c r="N80" s="18">
        <v>304</v>
      </c>
      <c r="O80" s="16">
        <v>32</v>
      </c>
      <c r="P80" s="13">
        <v>2</v>
      </c>
      <c r="Q80" s="13">
        <v>66</v>
      </c>
      <c r="R80" s="13">
        <v>0</v>
      </c>
      <c r="S80" s="18">
        <v>0</v>
      </c>
      <c r="T80" s="21">
        <v>46247.336562500001</v>
      </c>
      <c r="U80" s="55">
        <f t="shared" si="2"/>
        <v>1</v>
      </c>
      <c r="V80" s="55">
        <f t="shared" si="2"/>
        <v>0</v>
      </c>
      <c r="W80" s="56">
        <f t="shared" si="3"/>
        <v>3009</v>
      </c>
    </row>
    <row r="81" spans="1:23" x14ac:dyDescent="0.3">
      <c r="A81" s="13" t="str" cm="1">
        <f t="array" ref="A81:B81">INDEX(BenchmarkResults!$B$1:$D$35,SUMPRODUCT((T81&gt;=BenchmarkResults!$F$2:$F$35)*(mysql_hardware_log!T81&lt;BenchmarkResults!$G$2:$G$35)*ROW(BenchmarkResults!$F$2:$F$35)),{1,3})</f>
        <v>q1_top_cities</v>
      </c>
      <c r="B81" s="13">
        <v>2</v>
      </c>
      <c r="C81" s="16">
        <v>1</v>
      </c>
      <c r="D81" s="18">
        <v>0</v>
      </c>
      <c r="E81" s="16">
        <v>463616</v>
      </c>
      <c r="F81" s="13">
        <v>462464</v>
      </c>
      <c r="G81" s="13">
        <v>4260</v>
      </c>
      <c r="H81" s="18">
        <v>3271384</v>
      </c>
      <c r="I81" s="16">
        <v>5</v>
      </c>
      <c r="J81" s="18">
        <v>0</v>
      </c>
      <c r="K81" s="16">
        <v>752</v>
      </c>
      <c r="L81" s="18">
        <v>2</v>
      </c>
      <c r="M81" s="16">
        <v>748</v>
      </c>
      <c r="N81" s="18">
        <v>281</v>
      </c>
      <c r="O81" s="16">
        <v>33</v>
      </c>
      <c r="P81" s="13">
        <v>1</v>
      </c>
      <c r="Q81" s="13">
        <v>66</v>
      </c>
      <c r="R81" s="13">
        <v>0</v>
      </c>
      <c r="S81" s="18">
        <v>0</v>
      </c>
      <c r="T81" s="21">
        <v>46247.336678240739</v>
      </c>
      <c r="U81" s="55">
        <f t="shared" si="2"/>
        <v>1</v>
      </c>
      <c r="V81" s="55">
        <f t="shared" si="2"/>
        <v>0</v>
      </c>
      <c r="W81" s="56">
        <f t="shared" si="3"/>
        <v>1396.3333333333333</v>
      </c>
    </row>
    <row r="82" spans="1:23" x14ac:dyDescent="0.3">
      <c r="A82" s="13" t="str" cm="1">
        <f t="array" ref="A82:B82">INDEX(BenchmarkResults!$B$1:$D$35,SUMPRODUCT((T82&gt;=BenchmarkResults!$F$2:$F$35)*(mysql_hardware_log!T82&lt;BenchmarkResults!$G$2:$G$35)*ROW(BenchmarkResults!$F$2:$F$35)),{1,3})</f>
        <v>q1_top_cities</v>
      </c>
      <c r="B82" s="13">
        <v>2</v>
      </c>
      <c r="C82" s="16">
        <v>1</v>
      </c>
      <c r="D82" s="18">
        <v>0</v>
      </c>
      <c r="E82" s="16">
        <v>463616</v>
      </c>
      <c r="F82" s="13">
        <v>451124</v>
      </c>
      <c r="G82" s="13">
        <v>4268</v>
      </c>
      <c r="H82" s="18">
        <v>3282540</v>
      </c>
      <c r="I82" s="16">
        <v>18</v>
      </c>
      <c r="J82" s="18">
        <v>0</v>
      </c>
      <c r="K82" s="16">
        <v>1130</v>
      </c>
      <c r="L82" s="18">
        <v>2</v>
      </c>
      <c r="M82" s="16">
        <v>742</v>
      </c>
      <c r="N82" s="18">
        <v>269</v>
      </c>
      <c r="O82" s="16">
        <v>33</v>
      </c>
      <c r="P82" s="13">
        <v>1</v>
      </c>
      <c r="Q82" s="13">
        <v>66</v>
      </c>
      <c r="R82" s="13">
        <v>0</v>
      </c>
      <c r="S82" s="18">
        <v>0</v>
      </c>
      <c r="T82" s="21">
        <v>46247.336793981478</v>
      </c>
      <c r="U82" s="55">
        <f t="shared" si="2"/>
        <v>1</v>
      </c>
      <c r="V82" s="55">
        <f t="shared" si="2"/>
        <v>0</v>
      </c>
      <c r="W82" s="56">
        <f t="shared" si="3"/>
        <v>1032.6666666666667</v>
      </c>
    </row>
    <row r="83" spans="1:23" x14ac:dyDescent="0.3">
      <c r="A83" s="13" t="str" cm="1">
        <f t="array" ref="A83:B83">INDEX(BenchmarkResults!$B$1:$D$35,SUMPRODUCT((T83&gt;=BenchmarkResults!$F$2:$F$35)*(mysql_hardware_log!T83&lt;BenchmarkResults!$G$2:$G$35)*ROW(BenchmarkResults!$F$2:$F$35)),{1,3})</f>
        <v>q1_top_cities</v>
      </c>
      <c r="B83" s="13">
        <v>2</v>
      </c>
      <c r="C83" s="16">
        <v>1</v>
      </c>
      <c r="D83" s="18">
        <v>0</v>
      </c>
      <c r="E83" s="16">
        <v>463616</v>
      </c>
      <c r="F83" s="13">
        <v>444068</v>
      </c>
      <c r="G83" s="13">
        <v>4276</v>
      </c>
      <c r="H83" s="18">
        <v>3289296</v>
      </c>
      <c r="I83" s="16">
        <v>5</v>
      </c>
      <c r="J83" s="18">
        <v>0</v>
      </c>
      <c r="K83" s="16">
        <v>686</v>
      </c>
      <c r="L83" s="18">
        <v>2</v>
      </c>
      <c r="M83" s="16">
        <v>732</v>
      </c>
      <c r="N83" s="18">
        <v>264</v>
      </c>
      <c r="O83" s="16">
        <v>32</v>
      </c>
      <c r="P83" s="13">
        <v>2</v>
      </c>
      <c r="Q83" s="13">
        <v>66</v>
      </c>
      <c r="R83" s="13">
        <v>0</v>
      </c>
      <c r="S83" s="18">
        <v>0</v>
      </c>
      <c r="T83" s="21">
        <v>46247.336909722224</v>
      </c>
      <c r="U83" s="55">
        <f t="shared" si="2"/>
        <v>1</v>
      </c>
      <c r="V83" s="55">
        <f t="shared" si="2"/>
        <v>0</v>
      </c>
      <c r="W83" s="56">
        <f t="shared" si="3"/>
        <v>956.33333333333337</v>
      </c>
    </row>
    <row r="84" spans="1:23" x14ac:dyDescent="0.3">
      <c r="A84" s="13" t="str" cm="1">
        <f t="array" ref="A84:B84">INDEX(BenchmarkResults!$B$1:$D$35,SUMPRODUCT((T84&gt;=BenchmarkResults!$F$2:$F$35)*(mysql_hardware_log!T84&lt;BenchmarkResults!$G$2:$G$35)*ROW(BenchmarkResults!$F$2:$F$35)),{1,3})</f>
        <v>q1_top_cities</v>
      </c>
      <c r="B84" s="13">
        <v>2</v>
      </c>
      <c r="C84" s="16">
        <v>1</v>
      </c>
      <c r="D84" s="18">
        <v>0</v>
      </c>
      <c r="E84" s="16">
        <v>463616</v>
      </c>
      <c r="F84" s="13">
        <v>431216</v>
      </c>
      <c r="G84" s="13">
        <v>4284</v>
      </c>
      <c r="H84" s="18">
        <v>3301184</v>
      </c>
      <c r="I84" s="16">
        <v>7</v>
      </c>
      <c r="J84" s="18">
        <v>0</v>
      </c>
      <c r="K84" s="16">
        <v>1196</v>
      </c>
      <c r="L84" s="18">
        <v>2</v>
      </c>
      <c r="M84" s="16">
        <v>726</v>
      </c>
      <c r="N84" s="18">
        <v>255</v>
      </c>
      <c r="O84" s="16">
        <v>32</v>
      </c>
      <c r="P84" s="13">
        <v>2</v>
      </c>
      <c r="Q84" s="13">
        <v>66</v>
      </c>
      <c r="R84" s="13">
        <v>0</v>
      </c>
      <c r="S84" s="18">
        <v>0</v>
      </c>
      <c r="T84" s="21">
        <v>46247.337025462963</v>
      </c>
      <c r="U84" s="55">
        <f t="shared" si="2"/>
        <v>1</v>
      </c>
      <c r="V84" s="55">
        <f t="shared" si="2"/>
        <v>0</v>
      </c>
      <c r="W84" s="56">
        <f t="shared" si="3"/>
        <v>921.33333333333337</v>
      </c>
    </row>
    <row r="85" spans="1:23" x14ac:dyDescent="0.3">
      <c r="A85" s="13" t="str" cm="1">
        <f t="array" ref="A85:B85">INDEX(BenchmarkResults!$B$1:$D$35,SUMPRODUCT((T85&gt;=BenchmarkResults!$F$2:$F$35)*(mysql_hardware_log!T85&lt;BenchmarkResults!$G$2:$G$35)*ROW(BenchmarkResults!$F$2:$F$35)),{1,3})</f>
        <v>q1_top_cities</v>
      </c>
      <c r="B85" s="13">
        <v>2</v>
      </c>
      <c r="C85" s="16">
        <v>1</v>
      </c>
      <c r="D85" s="18">
        <v>0</v>
      </c>
      <c r="E85" s="16">
        <v>463616</v>
      </c>
      <c r="F85" s="13">
        <v>421136</v>
      </c>
      <c r="G85" s="13">
        <v>4292</v>
      </c>
      <c r="H85" s="18">
        <v>3312132</v>
      </c>
      <c r="I85" s="16">
        <v>5</v>
      </c>
      <c r="J85" s="18">
        <v>0</v>
      </c>
      <c r="K85" s="16">
        <v>1103</v>
      </c>
      <c r="L85" s="18">
        <v>2</v>
      </c>
      <c r="M85" s="16">
        <v>746</v>
      </c>
      <c r="N85" s="18">
        <v>307</v>
      </c>
      <c r="O85" s="16">
        <v>33</v>
      </c>
      <c r="P85" s="13">
        <v>1</v>
      </c>
      <c r="Q85" s="13">
        <v>66</v>
      </c>
      <c r="R85" s="13">
        <v>0</v>
      </c>
      <c r="S85" s="18">
        <v>0</v>
      </c>
      <c r="T85" s="21">
        <v>46247.337141203701</v>
      </c>
      <c r="U85" s="55">
        <f t="shared" si="2"/>
        <v>1</v>
      </c>
      <c r="V85" s="55">
        <f t="shared" si="2"/>
        <v>0</v>
      </c>
      <c r="W85" s="56">
        <f t="shared" si="3"/>
        <v>959.66666666666663</v>
      </c>
    </row>
    <row r="86" spans="1:23" x14ac:dyDescent="0.3">
      <c r="A86" s="13" t="str" cm="1">
        <f t="array" ref="A86:B86">INDEX(BenchmarkResults!$B$1:$D$35,SUMPRODUCT((T86&gt;=BenchmarkResults!$F$2:$F$35)*(mysql_hardware_log!T86&lt;BenchmarkResults!$G$2:$G$35)*ROW(BenchmarkResults!$F$2:$F$35)),{1,3})</f>
        <v>q1_top_cities</v>
      </c>
      <c r="B86" s="13">
        <v>2</v>
      </c>
      <c r="C86" s="16">
        <v>1</v>
      </c>
      <c r="D86" s="18">
        <v>0</v>
      </c>
      <c r="E86" s="16">
        <v>463360</v>
      </c>
      <c r="F86" s="13">
        <v>410804</v>
      </c>
      <c r="G86" s="13">
        <v>4300</v>
      </c>
      <c r="H86" s="18">
        <v>3321712</v>
      </c>
      <c r="I86" s="16">
        <v>6</v>
      </c>
      <c r="J86" s="18">
        <v>0</v>
      </c>
      <c r="K86" s="16">
        <v>960</v>
      </c>
      <c r="L86" s="18">
        <v>2</v>
      </c>
      <c r="M86" s="16">
        <v>727</v>
      </c>
      <c r="N86" s="18">
        <v>269</v>
      </c>
      <c r="O86" s="16">
        <v>32</v>
      </c>
      <c r="P86" s="13">
        <v>2</v>
      </c>
      <c r="Q86" s="13">
        <v>66</v>
      </c>
      <c r="R86" s="13">
        <v>0</v>
      </c>
      <c r="S86" s="18">
        <v>0</v>
      </c>
      <c r="T86" s="21">
        <v>46247.337256944447</v>
      </c>
      <c r="U86" s="55">
        <f t="shared" si="2"/>
        <v>1</v>
      </c>
      <c r="V86" s="55">
        <f t="shared" si="2"/>
        <v>0</v>
      </c>
      <c r="W86" s="56">
        <f t="shared" si="3"/>
        <v>971.16666666666663</v>
      </c>
    </row>
    <row r="87" spans="1:23" x14ac:dyDescent="0.3">
      <c r="A87" s="13" t="str" cm="1">
        <f t="array" ref="A87:B87">INDEX(BenchmarkResults!$B$1:$D$35,SUMPRODUCT((T87&gt;=BenchmarkResults!$F$2:$F$35)*(mysql_hardware_log!T87&lt;BenchmarkResults!$G$2:$G$35)*ROW(BenchmarkResults!$F$2:$F$35)),{1,3})</f>
        <v>q1_top_cities</v>
      </c>
      <c r="B87" s="13">
        <v>2</v>
      </c>
      <c r="C87" s="16">
        <v>1</v>
      </c>
      <c r="D87" s="18">
        <v>0</v>
      </c>
      <c r="E87" s="16">
        <v>463360</v>
      </c>
      <c r="F87" s="13">
        <v>405008</v>
      </c>
      <c r="G87" s="13">
        <v>4308</v>
      </c>
      <c r="H87" s="18">
        <v>3328404</v>
      </c>
      <c r="I87" s="16">
        <v>3</v>
      </c>
      <c r="J87" s="18">
        <v>0</v>
      </c>
      <c r="K87" s="16">
        <v>675</v>
      </c>
      <c r="L87" s="18">
        <v>2</v>
      </c>
      <c r="M87" s="16">
        <v>732</v>
      </c>
      <c r="N87" s="18">
        <v>282</v>
      </c>
      <c r="O87" s="16">
        <v>32</v>
      </c>
      <c r="P87" s="13">
        <v>2</v>
      </c>
      <c r="Q87" s="13">
        <v>66</v>
      </c>
      <c r="R87" s="13">
        <v>0</v>
      </c>
      <c r="S87" s="18">
        <v>0</v>
      </c>
      <c r="T87" s="21">
        <v>46247.337372685186</v>
      </c>
      <c r="U87" s="55">
        <f t="shared" si="2"/>
        <v>1</v>
      </c>
      <c r="V87" s="55">
        <f t="shared" si="2"/>
        <v>0</v>
      </c>
      <c r="W87" s="56">
        <f t="shared" si="3"/>
        <v>958.33333333333337</v>
      </c>
    </row>
    <row r="88" spans="1:23" x14ac:dyDescent="0.3">
      <c r="A88" s="13" t="str" cm="1">
        <f t="array" ref="A88:B88">INDEX(BenchmarkResults!$B$1:$D$35,SUMPRODUCT((T88&gt;=BenchmarkResults!$F$2:$F$35)*(mysql_hardware_log!T88&lt;BenchmarkResults!$G$2:$G$35)*ROW(BenchmarkResults!$F$2:$F$35)),{1,3})</f>
        <v>q1_top_cities</v>
      </c>
      <c r="B88" s="13">
        <v>2</v>
      </c>
      <c r="C88" s="16">
        <v>1</v>
      </c>
      <c r="D88" s="18">
        <v>0</v>
      </c>
      <c r="E88" s="16">
        <v>463360</v>
      </c>
      <c r="F88" s="13">
        <v>400976</v>
      </c>
      <c r="G88" s="13">
        <v>4316</v>
      </c>
      <c r="H88" s="18">
        <v>3332008</v>
      </c>
      <c r="I88" s="16">
        <v>0</v>
      </c>
      <c r="J88" s="18">
        <v>0</v>
      </c>
      <c r="K88" s="16">
        <v>354</v>
      </c>
      <c r="L88" s="18">
        <v>2</v>
      </c>
      <c r="M88" s="16">
        <v>733</v>
      </c>
      <c r="N88" s="18">
        <v>291</v>
      </c>
      <c r="O88" s="16">
        <v>33</v>
      </c>
      <c r="P88" s="13">
        <v>1</v>
      </c>
      <c r="Q88" s="13">
        <v>65</v>
      </c>
      <c r="R88" s="13">
        <v>0</v>
      </c>
      <c r="S88" s="18">
        <v>0</v>
      </c>
      <c r="T88" s="21">
        <v>46247.337488425925</v>
      </c>
      <c r="U88" s="55">
        <f t="shared" si="2"/>
        <v>1</v>
      </c>
      <c r="V88" s="55">
        <f t="shared" si="2"/>
        <v>0</v>
      </c>
      <c r="W88" s="56">
        <f t="shared" si="3"/>
        <v>829</v>
      </c>
    </row>
    <row r="89" spans="1:23" x14ac:dyDescent="0.3">
      <c r="A89" s="13" t="str" cm="1">
        <f t="array" ref="A89:B89">INDEX(BenchmarkResults!$B$1:$D$35,SUMPRODUCT((T89&gt;=BenchmarkResults!$F$2:$F$35)*(mysql_hardware_log!T89&lt;BenchmarkResults!$G$2:$G$35)*ROW(BenchmarkResults!$F$2:$F$35)),{1,3})</f>
        <v>q1_top_cities</v>
      </c>
      <c r="B89" s="13">
        <v>2</v>
      </c>
      <c r="C89" s="16">
        <v>2</v>
      </c>
      <c r="D89" s="18">
        <v>0</v>
      </c>
      <c r="E89" s="16">
        <v>463360</v>
      </c>
      <c r="F89" s="13">
        <v>398740</v>
      </c>
      <c r="G89" s="13">
        <v>4324</v>
      </c>
      <c r="H89" s="18">
        <v>3332036</v>
      </c>
      <c r="I89" s="16">
        <v>2</v>
      </c>
      <c r="J89" s="18">
        <v>0</v>
      </c>
      <c r="K89" s="16">
        <v>4</v>
      </c>
      <c r="L89" s="18">
        <v>2</v>
      </c>
      <c r="M89" s="16">
        <v>717</v>
      </c>
      <c r="N89" s="18">
        <v>261</v>
      </c>
      <c r="O89" s="16">
        <v>33</v>
      </c>
      <c r="P89" s="13">
        <v>1</v>
      </c>
      <c r="Q89" s="13">
        <v>66</v>
      </c>
      <c r="R89" s="13">
        <v>0</v>
      </c>
      <c r="S89" s="18">
        <v>0</v>
      </c>
      <c r="T89" s="21">
        <v>46247.337604166663</v>
      </c>
      <c r="U89" s="55">
        <f t="shared" si="2"/>
        <v>1.1666666666666667</v>
      </c>
      <c r="V89" s="55">
        <f t="shared" si="2"/>
        <v>0</v>
      </c>
      <c r="W89" s="56">
        <f t="shared" si="3"/>
        <v>715.33333333333337</v>
      </c>
    </row>
    <row r="90" spans="1:23" x14ac:dyDescent="0.3">
      <c r="A90" s="13" t="str" cm="1">
        <f t="array" ref="A90:B90">INDEX(BenchmarkResults!$B$1:$D$35,SUMPRODUCT((T90&gt;=BenchmarkResults!$F$2:$F$35)*(mysql_hardware_log!T90&lt;BenchmarkResults!$G$2:$G$35)*ROW(BenchmarkResults!$F$2:$F$35)),{1,3})</f>
        <v>q1_top_cities</v>
      </c>
      <c r="B90" s="13">
        <v>2</v>
      </c>
      <c r="C90" s="16">
        <v>1</v>
      </c>
      <c r="D90" s="18">
        <v>0</v>
      </c>
      <c r="E90" s="16">
        <v>463360</v>
      </c>
      <c r="F90" s="13">
        <v>403412</v>
      </c>
      <c r="G90" s="13">
        <v>4332</v>
      </c>
      <c r="H90" s="18">
        <v>3332092</v>
      </c>
      <c r="I90" s="16">
        <v>3</v>
      </c>
      <c r="J90" s="18">
        <v>0</v>
      </c>
      <c r="K90" s="16">
        <v>8</v>
      </c>
      <c r="L90" s="18">
        <v>22</v>
      </c>
      <c r="M90" s="16">
        <v>731</v>
      </c>
      <c r="N90" s="18">
        <v>277</v>
      </c>
      <c r="O90" s="16">
        <v>33</v>
      </c>
      <c r="P90" s="13">
        <v>1</v>
      </c>
      <c r="Q90" s="13">
        <v>66</v>
      </c>
      <c r="R90" s="13">
        <v>0</v>
      </c>
      <c r="S90" s="18">
        <v>0</v>
      </c>
      <c r="T90" s="21">
        <v>46247.337719907409</v>
      </c>
      <c r="U90" s="55">
        <f t="shared" si="2"/>
        <v>1.1666666666666667</v>
      </c>
      <c r="V90" s="55">
        <f t="shared" si="2"/>
        <v>0</v>
      </c>
      <c r="W90" s="56">
        <f t="shared" si="3"/>
        <v>517.33333333333337</v>
      </c>
    </row>
    <row r="91" spans="1:23" x14ac:dyDescent="0.3">
      <c r="A91" s="13" t="str" cm="1">
        <f t="array" ref="A91:B91">INDEX(BenchmarkResults!$B$1:$D$35,SUMPRODUCT((T91&gt;=BenchmarkResults!$F$2:$F$35)*(mysql_hardware_log!T91&lt;BenchmarkResults!$G$2:$G$35)*ROW(BenchmarkResults!$F$2:$F$35)),{1,3})</f>
        <v>q1_top_cities</v>
      </c>
      <c r="B91" s="13">
        <v>2</v>
      </c>
      <c r="C91" s="16">
        <v>1</v>
      </c>
      <c r="D91" s="18">
        <v>0</v>
      </c>
      <c r="E91" s="16">
        <v>463360</v>
      </c>
      <c r="F91" s="13">
        <v>399380</v>
      </c>
      <c r="G91" s="13">
        <v>4340</v>
      </c>
      <c r="H91" s="18">
        <v>3336804</v>
      </c>
      <c r="I91" s="16">
        <v>0</v>
      </c>
      <c r="J91" s="18">
        <v>0</v>
      </c>
      <c r="K91" s="16">
        <v>471</v>
      </c>
      <c r="L91" s="18">
        <v>4</v>
      </c>
      <c r="M91" s="16">
        <v>737</v>
      </c>
      <c r="N91" s="18">
        <v>272</v>
      </c>
      <c r="O91" s="16">
        <v>32</v>
      </c>
      <c r="P91" s="13">
        <v>1</v>
      </c>
      <c r="Q91" s="13">
        <v>66</v>
      </c>
      <c r="R91" s="13">
        <v>0</v>
      </c>
      <c r="S91" s="18">
        <v>0</v>
      </c>
      <c r="T91" s="21">
        <v>46247.337835648148</v>
      </c>
      <c r="U91" s="55">
        <f t="shared" si="2"/>
        <v>1.1666666666666667</v>
      </c>
      <c r="V91" s="55">
        <f t="shared" si="2"/>
        <v>0</v>
      </c>
      <c r="W91" s="56">
        <f t="shared" si="3"/>
        <v>412</v>
      </c>
    </row>
    <row r="92" spans="1:23" x14ac:dyDescent="0.3">
      <c r="A92" s="13" t="str" cm="1">
        <f t="array" ref="A92:B92">INDEX(BenchmarkResults!$B$1:$D$35,SUMPRODUCT((T92&gt;=BenchmarkResults!$F$2:$F$35)*(mysql_hardware_log!T92&lt;BenchmarkResults!$G$2:$G$35)*ROW(BenchmarkResults!$F$2:$F$35)),{1,3})</f>
        <v>q1_top_cities</v>
      </c>
      <c r="B92" s="13">
        <v>2</v>
      </c>
      <c r="C92" s="16">
        <v>1</v>
      </c>
      <c r="D92" s="18">
        <v>0</v>
      </c>
      <c r="E92" s="16">
        <v>463360</v>
      </c>
      <c r="F92" s="13">
        <v>399380</v>
      </c>
      <c r="G92" s="13">
        <v>4348</v>
      </c>
      <c r="H92" s="18">
        <v>3336812</v>
      </c>
      <c r="I92" s="16">
        <v>0</v>
      </c>
      <c r="J92" s="18">
        <v>0</v>
      </c>
      <c r="K92" s="16">
        <v>1</v>
      </c>
      <c r="L92" s="18">
        <v>2</v>
      </c>
      <c r="M92" s="16">
        <v>709</v>
      </c>
      <c r="N92" s="18">
        <v>249</v>
      </c>
      <c r="O92" s="16">
        <v>33</v>
      </c>
      <c r="P92" s="13">
        <v>1</v>
      </c>
      <c r="Q92" s="13">
        <v>66</v>
      </c>
      <c r="R92" s="13">
        <v>0</v>
      </c>
      <c r="S92" s="18">
        <v>0</v>
      </c>
      <c r="T92" s="21">
        <v>46247.337951388887</v>
      </c>
      <c r="U92" s="55">
        <f t="shared" si="2"/>
        <v>1.1666666666666667</v>
      </c>
      <c r="V92" s="55">
        <f t="shared" si="2"/>
        <v>0</v>
      </c>
      <c r="W92" s="56">
        <f t="shared" si="3"/>
        <v>252.16666666666666</v>
      </c>
    </row>
    <row r="93" spans="1:23" x14ac:dyDescent="0.3">
      <c r="A93" s="13" t="str" cm="1">
        <f t="array" ref="A93:B93">INDEX(BenchmarkResults!$B$1:$D$35,SUMPRODUCT((T93&gt;=BenchmarkResults!$F$2:$F$35)*(mysql_hardware_log!T93&lt;BenchmarkResults!$G$2:$G$35)*ROW(BenchmarkResults!$F$2:$F$35)),{1,3})</f>
        <v>q1_top_cities</v>
      </c>
      <c r="B93" s="13">
        <v>2</v>
      </c>
      <c r="C93" s="16">
        <v>1</v>
      </c>
      <c r="D93" s="18">
        <v>0</v>
      </c>
      <c r="E93" s="16">
        <v>463360</v>
      </c>
      <c r="F93" s="13">
        <v>336632</v>
      </c>
      <c r="G93" s="13">
        <v>4356</v>
      </c>
      <c r="H93" s="18">
        <v>3397164</v>
      </c>
      <c r="I93" s="16">
        <v>0</v>
      </c>
      <c r="J93" s="18">
        <v>0</v>
      </c>
      <c r="K93" s="16">
        <v>6042</v>
      </c>
      <c r="L93" s="18">
        <v>2</v>
      </c>
      <c r="M93" s="16">
        <v>819</v>
      </c>
      <c r="N93" s="18">
        <v>284</v>
      </c>
      <c r="O93" s="16">
        <v>31</v>
      </c>
      <c r="P93" s="13">
        <v>3</v>
      </c>
      <c r="Q93" s="13">
        <v>64</v>
      </c>
      <c r="R93" s="13">
        <v>2</v>
      </c>
      <c r="S93" s="18">
        <v>0</v>
      </c>
      <c r="T93" s="21">
        <v>46247.338067129633</v>
      </c>
      <c r="U93" s="55">
        <f t="shared" si="2"/>
        <v>1.1666666666666667</v>
      </c>
      <c r="V93" s="55">
        <f t="shared" si="2"/>
        <v>0</v>
      </c>
      <c r="W93" s="56">
        <f t="shared" si="3"/>
        <v>1146.6666666666667</v>
      </c>
    </row>
    <row r="94" spans="1:23" x14ac:dyDescent="0.3">
      <c r="A94" s="13" t="str" cm="1">
        <f t="array" ref="A94:B94">INDEX(BenchmarkResults!$B$1:$D$35,SUMPRODUCT((T94&gt;=BenchmarkResults!$F$2:$F$35)*(mysql_hardware_log!T94&lt;BenchmarkResults!$G$2:$G$35)*ROW(BenchmarkResults!$F$2:$F$35)),{1,3})</f>
        <v>q1_top_cities</v>
      </c>
      <c r="B94" s="13">
        <v>2</v>
      </c>
      <c r="C94" s="16">
        <v>0</v>
      </c>
      <c r="D94" s="18">
        <v>1</v>
      </c>
      <c r="E94" s="16">
        <v>463360</v>
      </c>
      <c r="F94" s="13">
        <v>225500</v>
      </c>
      <c r="G94" s="13">
        <v>4364</v>
      </c>
      <c r="H94" s="18">
        <v>3506116</v>
      </c>
      <c r="I94" s="16">
        <v>0</v>
      </c>
      <c r="J94" s="18">
        <v>0</v>
      </c>
      <c r="K94" s="16">
        <v>10895</v>
      </c>
      <c r="L94" s="18">
        <v>2</v>
      </c>
      <c r="M94" s="16">
        <v>900</v>
      </c>
      <c r="N94" s="18">
        <v>333</v>
      </c>
      <c r="O94" s="16">
        <v>30</v>
      </c>
      <c r="P94" s="13">
        <v>4</v>
      </c>
      <c r="Q94" s="13">
        <v>65</v>
      </c>
      <c r="R94" s="13">
        <v>1</v>
      </c>
      <c r="S94" s="18">
        <v>0</v>
      </c>
      <c r="T94" s="21">
        <v>46247.338182870371</v>
      </c>
      <c r="U94" s="55">
        <f t="shared" si="2"/>
        <v>1</v>
      </c>
      <c r="V94" s="55">
        <f t="shared" si="2"/>
        <v>0.16666666666666666</v>
      </c>
      <c r="W94" s="56">
        <f t="shared" si="3"/>
        <v>2903.5</v>
      </c>
    </row>
    <row r="95" spans="1:23" x14ac:dyDescent="0.3">
      <c r="A95" s="13" t="str" cm="1">
        <f t="array" ref="A95:B95">INDEX(BenchmarkResults!$B$1:$D$35,SUMPRODUCT((T95&gt;=BenchmarkResults!$F$2:$F$35)*(mysql_hardware_log!T95&lt;BenchmarkResults!$G$2:$G$35)*ROW(BenchmarkResults!$F$2:$F$35)),{1,3})</f>
        <v>q1_top_cities</v>
      </c>
      <c r="B95" s="13">
        <v>2</v>
      </c>
      <c r="C95" s="16">
        <v>1</v>
      </c>
      <c r="D95" s="18">
        <v>0</v>
      </c>
      <c r="E95" s="16">
        <v>463360</v>
      </c>
      <c r="F95" s="13">
        <v>118904</v>
      </c>
      <c r="G95" s="13">
        <v>4372</v>
      </c>
      <c r="H95" s="18">
        <v>3618684</v>
      </c>
      <c r="I95" s="16">
        <v>0</v>
      </c>
      <c r="J95" s="18">
        <v>0</v>
      </c>
      <c r="K95" s="16">
        <v>11256</v>
      </c>
      <c r="L95" s="18">
        <v>2</v>
      </c>
      <c r="M95" s="16">
        <v>893</v>
      </c>
      <c r="N95" s="18">
        <v>317</v>
      </c>
      <c r="O95" s="16">
        <v>31</v>
      </c>
      <c r="P95" s="13">
        <v>3</v>
      </c>
      <c r="Q95" s="13">
        <v>64</v>
      </c>
      <c r="R95" s="13">
        <v>2</v>
      </c>
      <c r="S95" s="18">
        <v>0</v>
      </c>
      <c r="T95" s="21">
        <v>46247.33829861111</v>
      </c>
      <c r="U95" s="55">
        <f t="shared" si="2"/>
        <v>0.83333333333333337</v>
      </c>
      <c r="V95" s="55">
        <f t="shared" si="2"/>
        <v>0.16666666666666666</v>
      </c>
      <c r="W95" s="56">
        <f t="shared" si="3"/>
        <v>4778.833333333333</v>
      </c>
    </row>
    <row r="96" spans="1:23" x14ac:dyDescent="0.3">
      <c r="A96" s="13" t="str" cm="1">
        <f t="array" ref="A96:B96">INDEX(BenchmarkResults!$B$1:$D$35,SUMPRODUCT((T96&gt;=BenchmarkResults!$F$2:$F$35)*(mysql_hardware_log!T96&lt;BenchmarkResults!$G$2:$G$35)*ROW(BenchmarkResults!$F$2:$F$35)),{1,3})</f>
        <v>q1_top_cities</v>
      </c>
      <c r="B96" s="13">
        <v>2</v>
      </c>
      <c r="C96" s="16">
        <v>1</v>
      </c>
      <c r="D96" s="18">
        <v>0</v>
      </c>
      <c r="E96" s="16">
        <v>463360</v>
      </c>
      <c r="F96" s="13">
        <v>156228</v>
      </c>
      <c r="G96" s="13">
        <v>4380</v>
      </c>
      <c r="H96" s="18">
        <v>3569012</v>
      </c>
      <c r="I96" s="16">
        <v>3</v>
      </c>
      <c r="J96" s="18">
        <v>0</v>
      </c>
      <c r="K96" s="16">
        <v>10939</v>
      </c>
      <c r="L96" s="18">
        <v>2</v>
      </c>
      <c r="M96" s="16">
        <v>878</v>
      </c>
      <c r="N96" s="18">
        <v>324</v>
      </c>
      <c r="O96" s="16">
        <v>32</v>
      </c>
      <c r="P96" s="13">
        <v>2</v>
      </c>
      <c r="Q96" s="13">
        <v>64</v>
      </c>
      <c r="R96" s="13">
        <v>2</v>
      </c>
      <c r="S96" s="18">
        <v>0</v>
      </c>
      <c r="T96" s="21">
        <v>46247.338414351849</v>
      </c>
      <c r="U96" s="55">
        <f t="shared" si="2"/>
        <v>0.83333333333333337</v>
      </c>
      <c r="V96" s="55">
        <f t="shared" si="2"/>
        <v>0.16666666666666666</v>
      </c>
      <c r="W96" s="56">
        <f t="shared" si="3"/>
        <v>6600.666666666667</v>
      </c>
    </row>
    <row r="97" spans="1:23" x14ac:dyDescent="0.3">
      <c r="A97" s="13" t="str" cm="1">
        <f t="array" ref="A97:B97">INDEX(BenchmarkResults!$B$1:$D$35,SUMPRODUCT((T97&gt;=BenchmarkResults!$F$2:$F$35)*(mysql_hardware_log!T97&lt;BenchmarkResults!$G$2:$G$35)*ROW(BenchmarkResults!$F$2:$F$35)),{1,3})</f>
        <v>q1_top_cities</v>
      </c>
      <c r="B97" s="13">
        <v>2</v>
      </c>
      <c r="C97" s="16">
        <v>2</v>
      </c>
      <c r="D97" s="18">
        <v>0</v>
      </c>
      <c r="E97" s="16">
        <v>463360</v>
      </c>
      <c r="F97" s="13">
        <v>145072</v>
      </c>
      <c r="G97" s="13">
        <v>4388</v>
      </c>
      <c r="H97" s="18">
        <v>3581604</v>
      </c>
      <c r="I97" s="16">
        <v>0</v>
      </c>
      <c r="J97" s="18">
        <v>0</v>
      </c>
      <c r="K97" s="16">
        <v>11753</v>
      </c>
      <c r="L97" s="18">
        <v>2</v>
      </c>
      <c r="M97" s="16">
        <v>903</v>
      </c>
      <c r="N97" s="18">
        <v>349</v>
      </c>
      <c r="O97" s="16">
        <v>31</v>
      </c>
      <c r="P97" s="13">
        <v>2</v>
      </c>
      <c r="Q97" s="13">
        <v>64</v>
      </c>
      <c r="R97" s="13">
        <v>2</v>
      </c>
      <c r="S97" s="18">
        <v>0</v>
      </c>
      <c r="T97" s="21">
        <v>46247.338530092595</v>
      </c>
      <c r="U97" s="55">
        <f t="shared" si="2"/>
        <v>1</v>
      </c>
      <c r="V97" s="55">
        <f t="shared" si="2"/>
        <v>0.16666666666666666</v>
      </c>
      <c r="W97" s="56">
        <f t="shared" si="3"/>
        <v>8481</v>
      </c>
    </row>
    <row r="98" spans="1:23" x14ac:dyDescent="0.3">
      <c r="A98" s="13" t="str" cm="1">
        <f t="array" ref="A98:B98">INDEX(BenchmarkResults!$B$1:$D$35,SUMPRODUCT((T98&gt;=BenchmarkResults!$F$2:$F$35)*(mysql_hardware_log!T98&lt;BenchmarkResults!$G$2:$G$35)*ROW(BenchmarkResults!$F$2:$F$35)),{1,3})</f>
        <v>q1_top_cities</v>
      </c>
      <c r="B98" s="13">
        <v>2</v>
      </c>
      <c r="C98" s="16">
        <v>1</v>
      </c>
      <c r="D98" s="18">
        <v>0</v>
      </c>
      <c r="E98" s="16">
        <v>463360</v>
      </c>
      <c r="F98" s="13">
        <v>140288</v>
      </c>
      <c r="G98" s="13">
        <v>4396</v>
      </c>
      <c r="H98" s="18">
        <v>3588824</v>
      </c>
      <c r="I98" s="16">
        <v>0</v>
      </c>
      <c r="J98" s="18">
        <v>0</v>
      </c>
      <c r="K98" s="16">
        <v>11320</v>
      </c>
      <c r="L98" s="18">
        <v>2</v>
      </c>
      <c r="M98" s="16">
        <v>926</v>
      </c>
      <c r="N98" s="18">
        <v>359</v>
      </c>
      <c r="O98" s="16">
        <v>32</v>
      </c>
      <c r="P98" s="13">
        <v>2</v>
      </c>
      <c r="Q98" s="13">
        <v>64</v>
      </c>
      <c r="R98" s="13">
        <v>2</v>
      </c>
      <c r="S98" s="18">
        <v>0</v>
      </c>
      <c r="T98" s="21">
        <v>46247.338645833333</v>
      </c>
      <c r="U98" s="55">
        <f t="shared" si="2"/>
        <v>1</v>
      </c>
      <c r="V98" s="55">
        <f t="shared" si="2"/>
        <v>0.16666666666666666</v>
      </c>
      <c r="W98" s="56">
        <f t="shared" si="3"/>
        <v>10367.5</v>
      </c>
    </row>
    <row r="99" spans="1:23" x14ac:dyDescent="0.3">
      <c r="A99" s="13" t="str" cm="1">
        <f t="array" ref="A99:B99">INDEX(BenchmarkResults!$B$1:$D$35,SUMPRODUCT((T99&gt;=BenchmarkResults!$F$2:$F$35)*(mysql_hardware_log!T99&lt;BenchmarkResults!$G$2:$G$35)*ROW(BenchmarkResults!$F$2:$F$35)),{1,3})</f>
        <v>q1_top_cities</v>
      </c>
      <c r="B99" s="13">
        <v>2</v>
      </c>
      <c r="C99" s="16">
        <v>1</v>
      </c>
      <c r="D99" s="18">
        <v>0</v>
      </c>
      <c r="E99" s="16">
        <v>463360</v>
      </c>
      <c r="F99" s="13">
        <v>122432</v>
      </c>
      <c r="G99" s="13">
        <v>4404</v>
      </c>
      <c r="H99" s="18">
        <v>3600516</v>
      </c>
      <c r="I99" s="16">
        <v>0</v>
      </c>
      <c r="J99" s="18">
        <v>0</v>
      </c>
      <c r="K99" s="16">
        <v>11771</v>
      </c>
      <c r="L99" s="18">
        <v>2</v>
      </c>
      <c r="M99" s="16">
        <v>899</v>
      </c>
      <c r="N99" s="18">
        <v>323</v>
      </c>
      <c r="O99" s="16">
        <v>31</v>
      </c>
      <c r="P99" s="13">
        <v>2</v>
      </c>
      <c r="Q99" s="13">
        <v>65</v>
      </c>
      <c r="R99" s="13">
        <v>1</v>
      </c>
      <c r="S99" s="18">
        <v>0</v>
      </c>
      <c r="T99" s="21">
        <v>46247.338761574072</v>
      </c>
      <c r="U99" s="55">
        <f t="shared" si="2"/>
        <v>1</v>
      </c>
      <c r="V99" s="55">
        <f t="shared" si="2"/>
        <v>0.16666666666666666</v>
      </c>
      <c r="W99" s="56">
        <f t="shared" si="3"/>
        <v>11322.333333333334</v>
      </c>
    </row>
    <row r="100" spans="1:23" x14ac:dyDescent="0.3">
      <c r="A100" s="13" t="str" cm="1">
        <f t="array" ref="A100:B100">INDEX(BenchmarkResults!$B$1:$D$35,SUMPRODUCT((T100&gt;=BenchmarkResults!$F$2:$F$35)*(mysql_hardware_log!T100&lt;BenchmarkResults!$G$2:$G$35)*ROW(BenchmarkResults!$F$2:$F$35)),{1,3})</f>
        <v>q1_top_cities</v>
      </c>
      <c r="B100" s="13">
        <v>2</v>
      </c>
      <c r="C100" s="16">
        <v>1</v>
      </c>
      <c r="D100" s="18">
        <v>0</v>
      </c>
      <c r="E100" s="16">
        <v>463360</v>
      </c>
      <c r="F100" s="13">
        <v>116960</v>
      </c>
      <c r="G100" s="13">
        <v>4420</v>
      </c>
      <c r="H100" s="18">
        <v>3606768</v>
      </c>
      <c r="I100" s="16">
        <v>0</v>
      </c>
      <c r="J100" s="18">
        <v>0</v>
      </c>
      <c r="K100" s="16">
        <v>11139</v>
      </c>
      <c r="L100" s="18">
        <v>4</v>
      </c>
      <c r="M100" s="16">
        <v>885</v>
      </c>
      <c r="N100" s="18">
        <v>323</v>
      </c>
      <c r="O100" s="16">
        <v>32</v>
      </c>
      <c r="P100" s="13">
        <v>2</v>
      </c>
      <c r="Q100" s="13">
        <v>65</v>
      </c>
      <c r="R100" s="13">
        <v>1</v>
      </c>
      <c r="S100" s="18">
        <v>0</v>
      </c>
      <c r="T100" s="21">
        <v>46247.338877314818</v>
      </c>
      <c r="U100" s="55">
        <f t="shared" si="2"/>
        <v>1.1666666666666667</v>
      </c>
      <c r="V100" s="55">
        <f t="shared" si="2"/>
        <v>0</v>
      </c>
      <c r="W100" s="56">
        <f t="shared" si="3"/>
        <v>11363</v>
      </c>
    </row>
    <row r="101" spans="1:23" x14ac:dyDescent="0.3">
      <c r="A101" s="13" t="str" cm="1">
        <f t="array" ref="A101:B101">INDEX(BenchmarkResults!$B$1:$D$35,SUMPRODUCT((T101&gt;=BenchmarkResults!$F$2:$F$35)*(mysql_hardware_log!T101&lt;BenchmarkResults!$G$2:$G$35)*ROW(BenchmarkResults!$F$2:$F$35)),{1,3})</f>
        <v>q1_top_cities</v>
      </c>
      <c r="B101" s="13">
        <v>2</v>
      </c>
      <c r="C101" s="16">
        <v>1</v>
      </c>
      <c r="D101" s="18">
        <v>0</v>
      </c>
      <c r="E101" s="16">
        <v>463360</v>
      </c>
      <c r="F101" s="13">
        <v>124292</v>
      </c>
      <c r="G101" s="13">
        <v>4428</v>
      </c>
      <c r="H101" s="18">
        <v>3605740</v>
      </c>
      <c r="I101" s="16">
        <v>5</v>
      </c>
      <c r="J101" s="18">
        <v>0</v>
      </c>
      <c r="K101" s="16">
        <v>10604</v>
      </c>
      <c r="L101" s="18">
        <v>18</v>
      </c>
      <c r="M101" s="16">
        <v>899</v>
      </c>
      <c r="N101" s="18">
        <v>326</v>
      </c>
      <c r="O101" s="16">
        <v>31</v>
      </c>
      <c r="P101" s="13">
        <v>2</v>
      </c>
      <c r="Q101" s="13">
        <v>65</v>
      </c>
      <c r="R101" s="13">
        <v>2</v>
      </c>
      <c r="S101" s="18">
        <v>0</v>
      </c>
      <c r="T101" s="21">
        <v>46247.338993055557</v>
      </c>
      <c r="U101" s="55">
        <f t="shared" si="2"/>
        <v>1.1666666666666667</v>
      </c>
      <c r="V101" s="55">
        <f t="shared" si="2"/>
        <v>0</v>
      </c>
      <c r="W101" s="56">
        <f t="shared" si="3"/>
        <v>11254.333333333334</v>
      </c>
    </row>
    <row r="102" spans="1:23" x14ac:dyDescent="0.3">
      <c r="A102" s="13" t="str" cm="1">
        <f t="array" ref="A102:B102">INDEX(BenchmarkResults!$B$1:$D$35,SUMPRODUCT((T102&gt;=BenchmarkResults!$F$2:$F$35)*(mysql_hardware_log!T102&lt;BenchmarkResults!$G$2:$G$35)*ROW(BenchmarkResults!$F$2:$F$35)),{1,3})</f>
        <v>q1_top_cities</v>
      </c>
      <c r="B102" s="13">
        <v>2</v>
      </c>
      <c r="C102" s="16">
        <v>1</v>
      </c>
      <c r="D102" s="18">
        <v>0</v>
      </c>
      <c r="E102" s="16">
        <v>463104</v>
      </c>
      <c r="F102" s="13">
        <v>105896</v>
      </c>
      <c r="G102" s="13">
        <v>4436</v>
      </c>
      <c r="H102" s="18">
        <v>3618544</v>
      </c>
      <c r="I102" s="16">
        <v>4</v>
      </c>
      <c r="J102" s="18">
        <v>0</v>
      </c>
      <c r="K102" s="16">
        <v>11990</v>
      </c>
      <c r="L102" s="18">
        <v>2</v>
      </c>
      <c r="M102" s="16">
        <v>915</v>
      </c>
      <c r="N102" s="18">
        <v>331</v>
      </c>
      <c r="O102" s="16">
        <v>32</v>
      </c>
      <c r="P102" s="13">
        <v>2</v>
      </c>
      <c r="Q102" s="13">
        <v>65</v>
      </c>
      <c r="R102" s="13">
        <v>2</v>
      </c>
      <c r="S102" s="18">
        <v>0</v>
      </c>
      <c r="T102" s="21">
        <v>46247.339108796295</v>
      </c>
      <c r="U102" s="55">
        <f t="shared" si="2"/>
        <v>1.1666666666666667</v>
      </c>
      <c r="V102" s="55">
        <f t="shared" si="2"/>
        <v>0</v>
      </c>
      <c r="W102" s="56">
        <f t="shared" si="3"/>
        <v>11429.5</v>
      </c>
    </row>
    <row r="103" spans="1:23" x14ac:dyDescent="0.3">
      <c r="A103" s="13" t="str" cm="1">
        <f t="array" ref="A103:B103">INDEX(BenchmarkResults!$B$1:$D$35,SUMPRODUCT((T103&gt;=BenchmarkResults!$F$2:$F$35)*(mysql_hardware_log!T103&lt;BenchmarkResults!$G$2:$G$35)*ROW(BenchmarkResults!$F$2:$F$35)),{1,3})</f>
        <v>q1_top_cities</v>
      </c>
      <c r="B103" s="13">
        <v>2</v>
      </c>
      <c r="C103" s="16">
        <v>1</v>
      </c>
      <c r="D103" s="18">
        <v>0</v>
      </c>
      <c r="E103" s="16">
        <v>463104</v>
      </c>
      <c r="F103" s="13">
        <v>142044</v>
      </c>
      <c r="G103" s="13">
        <v>4444</v>
      </c>
      <c r="H103" s="18">
        <v>3589316</v>
      </c>
      <c r="I103" s="16">
        <v>0</v>
      </c>
      <c r="J103" s="18">
        <v>0</v>
      </c>
      <c r="K103" s="16">
        <v>13122</v>
      </c>
      <c r="L103" s="18">
        <v>2</v>
      </c>
      <c r="M103" s="16">
        <v>911</v>
      </c>
      <c r="N103" s="18">
        <v>356</v>
      </c>
      <c r="O103" s="16">
        <v>31</v>
      </c>
      <c r="P103" s="13">
        <v>2</v>
      </c>
      <c r="Q103" s="13">
        <v>65</v>
      </c>
      <c r="R103" s="13">
        <v>1</v>
      </c>
      <c r="S103" s="18">
        <v>0</v>
      </c>
      <c r="T103" s="21">
        <v>46247.339224537034</v>
      </c>
      <c r="U103" s="55">
        <f t="shared" si="2"/>
        <v>1</v>
      </c>
      <c r="V103" s="55">
        <f t="shared" si="2"/>
        <v>0</v>
      </c>
      <c r="W103" s="56">
        <f t="shared" si="3"/>
        <v>11657.666666666666</v>
      </c>
    </row>
    <row r="104" spans="1:23" x14ac:dyDescent="0.3">
      <c r="A104" s="13" t="str" cm="1">
        <f t="array" ref="A104:B104">INDEX(BenchmarkResults!$B$1:$D$35,SUMPRODUCT((T104&gt;=BenchmarkResults!$F$2:$F$35)*(mysql_hardware_log!T104&lt;BenchmarkResults!$G$2:$G$35)*ROW(BenchmarkResults!$F$2:$F$35)),{1,3})</f>
        <v>q1_top_cities</v>
      </c>
      <c r="B104" s="13">
        <v>2</v>
      </c>
      <c r="C104" s="16">
        <v>1</v>
      </c>
      <c r="D104" s="18">
        <v>0</v>
      </c>
      <c r="E104" s="16">
        <v>463104</v>
      </c>
      <c r="F104" s="13">
        <v>117376</v>
      </c>
      <c r="G104" s="13">
        <v>4452</v>
      </c>
      <c r="H104" s="18">
        <v>3611404</v>
      </c>
      <c r="I104" s="16">
        <v>0</v>
      </c>
      <c r="J104" s="18">
        <v>0</v>
      </c>
      <c r="K104" s="16">
        <v>12918</v>
      </c>
      <c r="L104" s="18">
        <v>3</v>
      </c>
      <c r="M104" s="16">
        <v>895</v>
      </c>
      <c r="N104" s="18">
        <v>312</v>
      </c>
      <c r="O104" s="16">
        <v>32</v>
      </c>
      <c r="P104" s="13">
        <v>2</v>
      </c>
      <c r="Q104" s="13">
        <v>65</v>
      </c>
      <c r="R104" s="13">
        <v>1</v>
      </c>
      <c r="S104" s="18">
        <v>0</v>
      </c>
      <c r="T104" s="21">
        <v>46247.33934027778</v>
      </c>
      <c r="U104" s="55">
        <f t="shared" si="2"/>
        <v>1</v>
      </c>
      <c r="V104" s="55">
        <f t="shared" si="2"/>
        <v>0</v>
      </c>
      <c r="W104" s="56">
        <f t="shared" si="3"/>
        <v>11924</v>
      </c>
    </row>
    <row r="105" spans="1:23" x14ac:dyDescent="0.3">
      <c r="A105" s="13" t="str" cm="1">
        <f t="array" ref="A105:B105">INDEX(BenchmarkResults!$B$1:$D$35,SUMPRODUCT((T105&gt;=BenchmarkResults!$F$2:$F$35)*(mysql_hardware_log!T105&lt;BenchmarkResults!$G$2:$G$35)*ROW(BenchmarkResults!$F$2:$F$35)),{1,3})</f>
        <v>q1_top_cities</v>
      </c>
      <c r="B105" s="13">
        <v>2</v>
      </c>
      <c r="C105" s="16">
        <v>1</v>
      </c>
      <c r="D105" s="18">
        <v>0</v>
      </c>
      <c r="E105" s="16">
        <v>463104</v>
      </c>
      <c r="F105" s="13">
        <v>146100</v>
      </c>
      <c r="G105" s="13">
        <v>4460</v>
      </c>
      <c r="H105" s="18">
        <v>3584848</v>
      </c>
      <c r="I105" s="16">
        <v>0</v>
      </c>
      <c r="J105" s="18">
        <v>0</v>
      </c>
      <c r="K105" s="16">
        <v>13291</v>
      </c>
      <c r="L105" s="18">
        <v>2</v>
      </c>
      <c r="M105" s="16">
        <v>912</v>
      </c>
      <c r="N105" s="18">
        <v>345</v>
      </c>
      <c r="O105" s="16">
        <v>31</v>
      </c>
      <c r="P105" s="13">
        <v>2</v>
      </c>
      <c r="Q105" s="13">
        <v>65</v>
      </c>
      <c r="R105" s="13">
        <v>1</v>
      </c>
      <c r="S105" s="18">
        <v>0</v>
      </c>
      <c r="T105" s="21">
        <v>46247.339456018519</v>
      </c>
      <c r="U105" s="55">
        <f t="shared" si="2"/>
        <v>1</v>
      </c>
      <c r="V105" s="55">
        <f t="shared" si="2"/>
        <v>0</v>
      </c>
      <c r="W105" s="56">
        <f t="shared" si="3"/>
        <v>12177.333333333334</v>
      </c>
    </row>
    <row r="106" spans="1:23" x14ac:dyDescent="0.3">
      <c r="A106" s="13" t="str" cm="1">
        <f t="array" ref="A106:B106">INDEX(BenchmarkResults!$B$1:$D$35,SUMPRODUCT((T106&gt;=BenchmarkResults!$F$2:$F$35)*(mysql_hardware_log!T106&lt;BenchmarkResults!$G$2:$G$35)*ROW(BenchmarkResults!$F$2:$F$35)),{1,3})</f>
        <v>q1_top_cities</v>
      </c>
      <c r="B106" s="13">
        <v>2</v>
      </c>
      <c r="C106" s="16">
        <v>1</v>
      </c>
      <c r="D106" s="18">
        <v>0</v>
      </c>
      <c r="E106" s="16">
        <v>463104</v>
      </c>
      <c r="F106" s="13">
        <v>118716</v>
      </c>
      <c r="G106" s="13">
        <v>4468</v>
      </c>
      <c r="H106" s="18">
        <v>3611708</v>
      </c>
      <c r="I106" s="16">
        <v>0</v>
      </c>
      <c r="J106" s="18">
        <v>0</v>
      </c>
      <c r="K106" s="16">
        <v>13386</v>
      </c>
      <c r="L106" s="18">
        <v>2</v>
      </c>
      <c r="M106" s="16">
        <v>932</v>
      </c>
      <c r="N106" s="18">
        <v>365</v>
      </c>
      <c r="O106" s="16">
        <v>32</v>
      </c>
      <c r="P106" s="13">
        <v>2</v>
      </c>
      <c r="Q106" s="13">
        <v>64</v>
      </c>
      <c r="R106" s="13">
        <v>2</v>
      </c>
      <c r="S106" s="18">
        <v>0</v>
      </c>
      <c r="T106" s="21">
        <v>46247.339571759258</v>
      </c>
      <c r="U106" s="55">
        <f t="shared" si="2"/>
        <v>1</v>
      </c>
      <c r="V106" s="55">
        <f t="shared" si="2"/>
        <v>0</v>
      </c>
      <c r="W106" s="56">
        <f t="shared" si="3"/>
        <v>12551.833333333334</v>
      </c>
    </row>
    <row r="107" spans="1:23" x14ac:dyDescent="0.3">
      <c r="A107" s="13" t="str" cm="1">
        <f t="array" ref="A107:B107">INDEX(BenchmarkResults!$B$1:$D$35,SUMPRODUCT((T107&gt;=BenchmarkResults!$F$2:$F$35)*(mysql_hardware_log!T107&lt;BenchmarkResults!$G$2:$G$35)*ROW(BenchmarkResults!$F$2:$F$35)),{1,3})</f>
        <v>q1_top_cities</v>
      </c>
      <c r="B107" s="13">
        <v>2</v>
      </c>
      <c r="C107" s="16">
        <v>1</v>
      </c>
      <c r="D107" s="18">
        <v>0</v>
      </c>
      <c r="E107" s="16">
        <v>463104</v>
      </c>
      <c r="F107" s="13">
        <v>146212</v>
      </c>
      <c r="G107" s="13">
        <v>4476</v>
      </c>
      <c r="H107" s="18">
        <v>3584380</v>
      </c>
      <c r="I107" s="16">
        <v>0</v>
      </c>
      <c r="J107" s="18">
        <v>0</v>
      </c>
      <c r="K107" s="16">
        <v>13313</v>
      </c>
      <c r="L107" s="18">
        <v>2</v>
      </c>
      <c r="M107" s="16">
        <v>900</v>
      </c>
      <c r="N107" s="18">
        <v>340</v>
      </c>
      <c r="O107" s="16">
        <v>32</v>
      </c>
      <c r="P107" s="13">
        <v>2</v>
      </c>
      <c r="Q107" s="13">
        <v>65</v>
      </c>
      <c r="R107" s="13">
        <v>1</v>
      </c>
      <c r="S107" s="18">
        <v>0</v>
      </c>
      <c r="T107" s="21">
        <v>46247.339687500003</v>
      </c>
      <c r="U107" s="55">
        <f t="shared" si="2"/>
        <v>1</v>
      </c>
      <c r="V107" s="55">
        <f t="shared" si="2"/>
        <v>0</v>
      </c>
      <c r="W107" s="56">
        <f t="shared" si="3"/>
        <v>13003.333333333334</v>
      </c>
    </row>
    <row r="108" spans="1:23" x14ac:dyDescent="0.3">
      <c r="A108" s="13" t="str" cm="1">
        <f t="array" ref="A108:B108">INDEX(BenchmarkResults!$B$1:$D$35,SUMPRODUCT((T108&gt;=BenchmarkResults!$F$2:$F$35)*(mysql_hardware_log!T108&lt;BenchmarkResults!$G$2:$G$35)*ROW(BenchmarkResults!$F$2:$F$35)),{1,3})</f>
        <v>q1_top_cities</v>
      </c>
      <c r="B108" s="13">
        <v>2</v>
      </c>
      <c r="C108" s="16">
        <v>1</v>
      </c>
      <c r="D108" s="18">
        <v>0</v>
      </c>
      <c r="E108" s="16">
        <v>463104</v>
      </c>
      <c r="F108" s="13">
        <v>114540</v>
      </c>
      <c r="G108" s="13">
        <v>4484</v>
      </c>
      <c r="H108" s="18">
        <v>3607304</v>
      </c>
      <c r="I108" s="16">
        <v>0</v>
      </c>
      <c r="J108" s="18">
        <v>0</v>
      </c>
      <c r="K108" s="16">
        <v>12993</v>
      </c>
      <c r="L108" s="18">
        <v>2</v>
      </c>
      <c r="M108" s="16">
        <v>909</v>
      </c>
      <c r="N108" s="18">
        <v>321</v>
      </c>
      <c r="O108" s="16">
        <v>32</v>
      </c>
      <c r="P108" s="13">
        <v>2</v>
      </c>
      <c r="Q108" s="13">
        <v>64</v>
      </c>
      <c r="R108" s="13">
        <v>2</v>
      </c>
      <c r="S108" s="18">
        <v>0</v>
      </c>
      <c r="T108" s="21">
        <v>46247.339803240742</v>
      </c>
      <c r="U108" s="55">
        <f t="shared" si="2"/>
        <v>1</v>
      </c>
      <c r="V108" s="55">
        <f t="shared" si="2"/>
        <v>0</v>
      </c>
      <c r="W108" s="56">
        <f t="shared" si="3"/>
        <v>13170.5</v>
      </c>
    </row>
    <row r="109" spans="1:23" x14ac:dyDescent="0.3">
      <c r="A109" s="13" t="str" cm="1">
        <f t="array" ref="A109:B109">INDEX(BenchmarkResults!$B$1:$D$35,SUMPRODUCT((T109&gt;=BenchmarkResults!$F$2:$F$35)*(mysql_hardware_log!T109&lt;BenchmarkResults!$G$2:$G$35)*ROW(BenchmarkResults!$F$2:$F$35)),{1,3})</f>
        <v>q1_top_cities</v>
      </c>
      <c r="B109" s="13">
        <v>2</v>
      </c>
      <c r="C109" s="16">
        <v>1</v>
      </c>
      <c r="D109" s="18">
        <v>0</v>
      </c>
      <c r="E109" s="16">
        <v>463104</v>
      </c>
      <c r="F109" s="13">
        <v>145788</v>
      </c>
      <c r="G109" s="13">
        <v>4492</v>
      </c>
      <c r="H109" s="18">
        <v>3582012</v>
      </c>
      <c r="I109" s="16">
        <v>0</v>
      </c>
      <c r="J109" s="18">
        <v>0</v>
      </c>
      <c r="K109" s="16">
        <v>13526</v>
      </c>
      <c r="L109" s="18">
        <v>2</v>
      </c>
      <c r="M109" s="16">
        <v>908</v>
      </c>
      <c r="N109" s="18">
        <v>308</v>
      </c>
      <c r="O109" s="16">
        <v>32</v>
      </c>
      <c r="P109" s="13">
        <v>2</v>
      </c>
      <c r="Q109" s="13">
        <v>64</v>
      </c>
      <c r="R109" s="13">
        <v>1</v>
      </c>
      <c r="S109" s="18">
        <v>0</v>
      </c>
      <c r="T109" s="21">
        <v>46247.339918981481</v>
      </c>
      <c r="U109" s="55">
        <f t="shared" si="2"/>
        <v>1</v>
      </c>
      <c r="V109" s="55">
        <f t="shared" si="2"/>
        <v>0</v>
      </c>
      <c r="W109" s="56">
        <f t="shared" si="3"/>
        <v>13237.833333333334</v>
      </c>
    </row>
    <row r="110" spans="1:23" x14ac:dyDescent="0.3">
      <c r="A110" s="13" t="str" cm="1">
        <f t="array" ref="A110:B110">INDEX(BenchmarkResults!$B$1:$D$35,SUMPRODUCT((T110&gt;=BenchmarkResults!$F$2:$F$35)*(mysql_hardware_log!T110&lt;BenchmarkResults!$G$2:$G$35)*ROW(BenchmarkResults!$F$2:$F$35)),{1,3})</f>
        <v>q1_top_cities</v>
      </c>
      <c r="B110" s="13">
        <v>2</v>
      </c>
      <c r="C110" s="16">
        <v>1</v>
      </c>
      <c r="D110" s="18">
        <v>0</v>
      </c>
      <c r="E110" s="16">
        <v>463104</v>
      </c>
      <c r="F110" s="13">
        <v>116280</v>
      </c>
      <c r="G110" s="13">
        <v>4500</v>
      </c>
      <c r="H110" s="18">
        <v>3613340</v>
      </c>
      <c r="I110" s="16">
        <v>0</v>
      </c>
      <c r="J110" s="18">
        <v>0</v>
      </c>
      <c r="K110" s="16">
        <v>13836</v>
      </c>
      <c r="L110" s="18">
        <v>2</v>
      </c>
      <c r="M110" s="16">
        <v>935</v>
      </c>
      <c r="N110" s="18">
        <v>367</v>
      </c>
      <c r="O110" s="16">
        <v>31</v>
      </c>
      <c r="P110" s="13">
        <v>2</v>
      </c>
      <c r="Q110" s="13">
        <v>65</v>
      </c>
      <c r="R110" s="13">
        <v>1</v>
      </c>
      <c r="S110" s="18">
        <v>0</v>
      </c>
      <c r="T110" s="21">
        <v>46247.34003472222</v>
      </c>
      <c r="U110" s="55">
        <f t="shared" si="2"/>
        <v>1</v>
      </c>
      <c r="V110" s="55">
        <f t="shared" si="2"/>
        <v>0</v>
      </c>
      <c r="W110" s="56">
        <f t="shared" si="3"/>
        <v>13390.833333333334</v>
      </c>
    </row>
    <row r="111" spans="1:23" x14ac:dyDescent="0.3">
      <c r="A111" s="13" t="str" cm="1">
        <f t="array" ref="A111:B111">INDEX(BenchmarkResults!$B$1:$D$35,SUMPRODUCT((T111&gt;=BenchmarkResults!$F$2:$F$35)*(mysql_hardware_log!T111&lt;BenchmarkResults!$G$2:$G$35)*ROW(BenchmarkResults!$F$2:$F$35)),{1,3})</f>
        <v>q1_top_cities</v>
      </c>
      <c r="B111" s="13">
        <v>2</v>
      </c>
      <c r="C111" s="16">
        <v>1</v>
      </c>
      <c r="D111" s="18">
        <v>0</v>
      </c>
      <c r="E111" s="16">
        <v>463104</v>
      </c>
      <c r="F111" s="13">
        <v>133112</v>
      </c>
      <c r="G111" s="13">
        <v>4508</v>
      </c>
      <c r="H111" s="18">
        <v>3590360</v>
      </c>
      <c r="I111" s="16">
        <v>0</v>
      </c>
      <c r="J111" s="18">
        <v>0</v>
      </c>
      <c r="K111" s="16">
        <v>13745</v>
      </c>
      <c r="L111" s="18">
        <v>8</v>
      </c>
      <c r="M111" s="16">
        <v>956</v>
      </c>
      <c r="N111" s="18">
        <v>378</v>
      </c>
      <c r="O111" s="16">
        <v>32</v>
      </c>
      <c r="P111" s="13">
        <v>2</v>
      </c>
      <c r="Q111" s="13">
        <v>64</v>
      </c>
      <c r="R111" s="13">
        <v>1</v>
      </c>
      <c r="S111" s="18">
        <v>0</v>
      </c>
      <c r="T111" s="21">
        <v>46247.340150462966</v>
      </c>
      <c r="U111" s="55">
        <f t="shared" si="2"/>
        <v>1</v>
      </c>
      <c r="V111" s="55">
        <f t="shared" si="2"/>
        <v>0</v>
      </c>
      <c r="W111" s="56">
        <f t="shared" si="3"/>
        <v>13466.5</v>
      </c>
    </row>
    <row r="112" spans="1:23" x14ac:dyDescent="0.3">
      <c r="A112" s="13" t="str" cm="1">
        <f t="array" ref="A112:B112">INDEX(BenchmarkResults!$B$1:$D$35,SUMPRODUCT((T112&gt;=BenchmarkResults!$F$2:$F$35)*(mysql_hardware_log!T112&lt;BenchmarkResults!$G$2:$G$35)*ROW(BenchmarkResults!$F$2:$F$35)),{1,3})</f>
        <v>q1_top_cities</v>
      </c>
      <c r="B112" s="13">
        <v>2</v>
      </c>
      <c r="C112" s="16">
        <v>1</v>
      </c>
      <c r="D112" s="18">
        <v>0</v>
      </c>
      <c r="E112" s="16">
        <v>463104</v>
      </c>
      <c r="F112" s="13">
        <v>114768</v>
      </c>
      <c r="G112" s="13">
        <v>4516</v>
      </c>
      <c r="H112" s="18">
        <v>3615356</v>
      </c>
      <c r="I112" s="16">
        <v>0</v>
      </c>
      <c r="J112" s="18">
        <v>0</v>
      </c>
      <c r="K112" s="16">
        <v>13204</v>
      </c>
      <c r="L112" s="18">
        <v>1</v>
      </c>
      <c r="M112" s="16">
        <v>931</v>
      </c>
      <c r="N112" s="18">
        <v>348</v>
      </c>
      <c r="O112" s="16">
        <v>32</v>
      </c>
      <c r="P112" s="13">
        <v>2</v>
      </c>
      <c r="Q112" s="13">
        <v>65</v>
      </c>
      <c r="R112" s="13">
        <v>1</v>
      </c>
      <c r="S112" s="18">
        <v>0</v>
      </c>
      <c r="T112" s="21">
        <v>46247.340266203704</v>
      </c>
      <c r="U112" s="55">
        <f t="shared" si="2"/>
        <v>1</v>
      </c>
      <c r="V112" s="55">
        <f t="shared" si="2"/>
        <v>0</v>
      </c>
      <c r="W112" s="56">
        <f t="shared" si="3"/>
        <v>13436.166666666666</v>
      </c>
    </row>
    <row r="113" spans="1:23" x14ac:dyDescent="0.3">
      <c r="A113" s="13" t="str" cm="1">
        <f t="array" ref="A113:B113">INDEX(BenchmarkResults!$B$1:$D$35,SUMPRODUCT((T113&gt;=BenchmarkResults!$F$2:$F$35)*(mysql_hardware_log!T113&lt;BenchmarkResults!$G$2:$G$35)*ROW(BenchmarkResults!$F$2:$F$35)),{1,3})</f>
        <v>q1_top_cities</v>
      </c>
      <c r="B113" s="13">
        <v>2</v>
      </c>
      <c r="C113" s="16">
        <v>0</v>
      </c>
      <c r="D113" s="18">
        <v>1</v>
      </c>
      <c r="E113" s="16">
        <v>463104</v>
      </c>
      <c r="F113" s="13">
        <v>141456</v>
      </c>
      <c r="G113" s="13">
        <v>4524</v>
      </c>
      <c r="H113" s="18">
        <v>3585216</v>
      </c>
      <c r="I113" s="16">
        <v>0</v>
      </c>
      <c r="J113" s="18">
        <v>0</v>
      </c>
      <c r="K113" s="16">
        <v>13042</v>
      </c>
      <c r="L113" s="18">
        <v>1</v>
      </c>
      <c r="M113" s="16">
        <v>921</v>
      </c>
      <c r="N113" s="18">
        <v>336</v>
      </c>
      <c r="O113" s="16">
        <v>32</v>
      </c>
      <c r="P113" s="13">
        <v>2</v>
      </c>
      <c r="Q113" s="13">
        <v>65</v>
      </c>
      <c r="R113" s="13">
        <v>1</v>
      </c>
      <c r="S113" s="18">
        <v>0</v>
      </c>
      <c r="T113" s="21">
        <v>46247.340381944443</v>
      </c>
      <c r="U113" s="55">
        <f t="shared" si="2"/>
        <v>0.83333333333333337</v>
      </c>
      <c r="V113" s="55">
        <f t="shared" si="2"/>
        <v>0.16666666666666666</v>
      </c>
      <c r="W113" s="56">
        <f t="shared" si="3"/>
        <v>13391</v>
      </c>
    </row>
    <row r="114" spans="1:23" x14ac:dyDescent="0.3">
      <c r="A114" s="13" t="str" cm="1">
        <f t="array" ref="A114:B114">INDEX(BenchmarkResults!$B$1:$D$35,SUMPRODUCT((T114&gt;=BenchmarkResults!$F$2:$F$35)*(mysql_hardware_log!T114&lt;BenchmarkResults!$G$2:$G$35)*ROW(BenchmarkResults!$F$2:$F$35)),{1,3})</f>
        <v>q1_top_cities</v>
      </c>
      <c r="B114" s="13">
        <v>2</v>
      </c>
      <c r="C114" s="16">
        <v>1</v>
      </c>
      <c r="D114" s="18">
        <v>0</v>
      </c>
      <c r="E114" s="16">
        <v>463104</v>
      </c>
      <c r="F114" s="13">
        <v>119932</v>
      </c>
      <c r="G114" s="13">
        <v>4532</v>
      </c>
      <c r="H114" s="18">
        <v>3609368</v>
      </c>
      <c r="I114" s="16">
        <v>0</v>
      </c>
      <c r="J114" s="18">
        <v>0</v>
      </c>
      <c r="K114" s="16">
        <v>13091</v>
      </c>
      <c r="L114" s="18">
        <v>17</v>
      </c>
      <c r="M114" s="16">
        <v>886</v>
      </c>
      <c r="N114" s="18">
        <v>324</v>
      </c>
      <c r="O114" s="16">
        <v>32</v>
      </c>
      <c r="P114" s="13">
        <v>2</v>
      </c>
      <c r="Q114" s="13">
        <v>65</v>
      </c>
      <c r="R114" s="13">
        <v>1</v>
      </c>
      <c r="S114" s="18">
        <v>0</v>
      </c>
      <c r="T114" s="21">
        <v>46247.340497685182</v>
      </c>
      <c r="U114" s="55">
        <f t="shared" si="2"/>
        <v>0.83333333333333337</v>
      </c>
      <c r="V114" s="55">
        <f t="shared" si="2"/>
        <v>0.16666666666666666</v>
      </c>
      <c r="W114" s="56">
        <f t="shared" si="3"/>
        <v>13407.333333333334</v>
      </c>
    </row>
    <row r="115" spans="1:23" x14ac:dyDescent="0.3">
      <c r="A115" s="13" t="str" cm="1">
        <f t="array" ref="A115:B115">INDEX(BenchmarkResults!$B$1:$D$35,SUMPRODUCT((T115&gt;=BenchmarkResults!$F$2:$F$35)*(mysql_hardware_log!T115&lt;BenchmarkResults!$G$2:$G$35)*ROW(BenchmarkResults!$F$2:$F$35)),{1,3})</f>
        <v>q1_top_cities</v>
      </c>
      <c r="B115" s="13">
        <v>2</v>
      </c>
      <c r="C115" s="16">
        <v>1</v>
      </c>
      <c r="D115" s="18">
        <v>0</v>
      </c>
      <c r="E115" s="16">
        <v>463104</v>
      </c>
      <c r="F115" s="13">
        <v>146896</v>
      </c>
      <c r="G115" s="13">
        <v>4540</v>
      </c>
      <c r="H115" s="18">
        <v>3582048</v>
      </c>
      <c r="I115" s="16">
        <v>3</v>
      </c>
      <c r="J115" s="18">
        <v>0</v>
      </c>
      <c r="K115" s="16">
        <v>13322</v>
      </c>
      <c r="L115" s="18">
        <v>2</v>
      </c>
      <c r="M115" s="16">
        <v>893</v>
      </c>
      <c r="N115" s="18">
        <v>341</v>
      </c>
      <c r="O115" s="16">
        <v>31</v>
      </c>
      <c r="P115" s="13">
        <v>2</v>
      </c>
      <c r="Q115" s="13">
        <v>65</v>
      </c>
      <c r="R115" s="13">
        <v>1</v>
      </c>
      <c r="S115" s="18">
        <v>0</v>
      </c>
      <c r="T115" s="21">
        <v>46247.340613425928</v>
      </c>
      <c r="U115" s="55">
        <f t="shared" si="2"/>
        <v>0.83333333333333337</v>
      </c>
      <c r="V115" s="55">
        <f t="shared" si="2"/>
        <v>0.16666666666666666</v>
      </c>
      <c r="W115" s="56">
        <f t="shared" si="3"/>
        <v>13373.333333333334</v>
      </c>
    </row>
    <row r="116" spans="1:23" x14ac:dyDescent="0.3">
      <c r="A116" s="13" t="str" cm="1">
        <f t="array" ref="A116:B116">INDEX(BenchmarkResults!$B$1:$D$35,SUMPRODUCT((T116&gt;=BenchmarkResults!$F$2:$F$35)*(mysql_hardware_log!T116&lt;BenchmarkResults!$G$2:$G$35)*ROW(BenchmarkResults!$F$2:$F$35)),{1,3})</f>
        <v>q1_top_cities</v>
      </c>
      <c r="B116" s="13">
        <v>2</v>
      </c>
      <c r="C116" s="16">
        <v>1</v>
      </c>
      <c r="D116" s="18">
        <v>0</v>
      </c>
      <c r="E116" s="16">
        <v>463104</v>
      </c>
      <c r="F116" s="13">
        <v>118816</v>
      </c>
      <c r="G116" s="13">
        <v>4548</v>
      </c>
      <c r="H116" s="18">
        <v>3606592</v>
      </c>
      <c r="I116" s="16">
        <v>0</v>
      </c>
      <c r="J116" s="18">
        <v>0</v>
      </c>
      <c r="K116" s="16">
        <v>13152</v>
      </c>
      <c r="L116" s="18">
        <v>1</v>
      </c>
      <c r="M116" s="16">
        <v>901</v>
      </c>
      <c r="N116" s="18">
        <v>332</v>
      </c>
      <c r="O116" s="16">
        <v>32</v>
      </c>
      <c r="P116" s="13">
        <v>2</v>
      </c>
      <c r="Q116" s="13">
        <v>65</v>
      </c>
      <c r="R116" s="13">
        <v>2</v>
      </c>
      <c r="S116" s="18">
        <v>0</v>
      </c>
      <c r="T116" s="21">
        <v>46247.340729166666</v>
      </c>
      <c r="U116" s="55">
        <f t="shared" si="2"/>
        <v>0.83333333333333337</v>
      </c>
      <c r="V116" s="55">
        <f t="shared" si="2"/>
        <v>0.16666666666666666</v>
      </c>
      <c r="W116" s="56">
        <f t="shared" si="3"/>
        <v>13259.333333333334</v>
      </c>
    </row>
    <row r="117" spans="1:23" x14ac:dyDescent="0.3">
      <c r="A117" s="13" t="str" cm="1">
        <f t="array" ref="A117:B117">INDEX(BenchmarkResults!$B$1:$D$35,SUMPRODUCT((T117&gt;=BenchmarkResults!$F$2:$F$35)*(mysql_hardware_log!T117&lt;BenchmarkResults!$G$2:$G$35)*ROW(BenchmarkResults!$F$2:$F$35)),{1,3})</f>
        <v>q1_top_cities</v>
      </c>
      <c r="B117" s="13">
        <v>2</v>
      </c>
      <c r="C117" s="16">
        <v>1</v>
      </c>
      <c r="D117" s="18">
        <v>0</v>
      </c>
      <c r="E117" s="16">
        <v>463104</v>
      </c>
      <c r="F117" s="13">
        <v>152584</v>
      </c>
      <c r="G117" s="13">
        <v>4556</v>
      </c>
      <c r="H117" s="18">
        <v>3577296</v>
      </c>
      <c r="I117" s="16">
        <v>0</v>
      </c>
      <c r="J117" s="18">
        <v>0</v>
      </c>
      <c r="K117" s="16">
        <v>13118</v>
      </c>
      <c r="L117" s="18">
        <v>1</v>
      </c>
      <c r="M117" s="16">
        <v>918</v>
      </c>
      <c r="N117" s="18">
        <v>316</v>
      </c>
      <c r="O117" s="16">
        <v>32</v>
      </c>
      <c r="P117" s="13">
        <v>2</v>
      </c>
      <c r="Q117" s="13">
        <v>64</v>
      </c>
      <c r="R117" s="13">
        <v>2</v>
      </c>
      <c r="S117" s="18">
        <v>0</v>
      </c>
      <c r="T117" s="21">
        <v>46247.340844907405</v>
      </c>
      <c r="U117" s="55">
        <f t="shared" si="2"/>
        <v>0.83333333333333337</v>
      </c>
      <c r="V117" s="55">
        <f t="shared" si="2"/>
        <v>0.16666666666666666</v>
      </c>
      <c r="W117" s="56">
        <f t="shared" si="3"/>
        <v>13154.833333333334</v>
      </c>
    </row>
    <row r="118" spans="1:23" x14ac:dyDescent="0.3">
      <c r="A118" s="13" t="str" cm="1">
        <f t="array" ref="A118:B118">INDEX(BenchmarkResults!$B$1:$D$35,SUMPRODUCT((T118&gt;=BenchmarkResults!$F$2:$F$35)*(mysql_hardware_log!T118&lt;BenchmarkResults!$G$2:$G$35)*ROW(BenchmarkResults!$F$2:$F$35)),{1,3})</f>
        <v>q1_top_cities</v>
      </c>
      <c r="B118" s="13">
        <v>2</v>
      </c>
      <c r="C118" s="16">
        <v>1</v>
      </c>
      <c r="D118" s="18">
        <v>0</v>
      </c>
      <c r="E118" s="16">
        <v>463104</v>
      </c>
      <c r="F118" s="13">
        <v>120976</v>
      </c>
      <c r="G118" s="13">
        <v>4564</v>
      </c>
      <c r="H118" s="18">
        <v>3601924</v>
      </c>
      <c r="I118" s="16">
        <v>0</v>
      </c>
      <c r="J118" s="18">
        <v>0</v>
      </c>
      <c r="K118" s="16">
        <v>13166</v>
      </c>
      <c r="L118" s="18">
        <v>2</v>
      </c>
      <c r="M118" s="16">
        <v>915</v>
      </c>
      <c r="N118" s="18">
        <v>339</v>
      </c>
      <c r="O118" s="16">
        <v>32</v>
      </c>
      <c r="P118" s="13">
        <v>2</v>
      </c>
      <c r="Q118" s="13">
        <v>65</v>
      </c>
      <c r="R118" s="13">
        <v>1</v>
      </c>
      <c r="S118" s="18">
        <v>0</v>
      </c>
      <c r="T118" s="21">
        <v>46247.340960648151</v>
      </c>
      <c r="U118" s="55">
        <f t="shared" si="2"/>
        <v>0.83333333333333337</v>
      </c>
      <c r="V118" s="55">
        <f t="shared" si="2"/>
        <v>0.16666666666666666</v>
      </c>
      <c r="W118" s="56">
        <f t="shared" si="3"/>
        <v>13148.5</v>
      </c>
    </row>
    <row r="119" spans="1:23" x14ac:dyDescent="0.3">
      <c r="A119" s="13" t="str" cm="1">
        <f t="array" ref="A119:B119">INDEX(BenchmarkResults!$B$1:$D$35,SUMPRODUCT((T119&gt;=BenchmarkResults!$F$2:$F$35)*(mysql_hardware_log!T119&lt;BenchmarkResults!$G$2:$G$35)*ROW(BenchmarkResults!$F$2:$F$35)),{1,3})</f>
        <v>q1_top_cities</v>
      </c>
      <c r="B119" s="13">
        <v>2</v>
      </c>
      <c r="C119" s="16">
        <v>0</v>
      </c>
      <c r="D119" s="18">
        <v>1</v>
      </c>
      <c r="E119" s="16">
        <v>463104</v>
      </c>
      <c r="F119" s="13">
        <v>155728</v>
      </c>
      <c r="G119" s="13">
        <v>4572</v>
      </c>
      <c r="H119" s="18">
        <v>3572952</v>
      </c>
      <c r="I119" s="16">
        <v>0</v>
      </c>
      <c r="J119" s="18">
        <v>0</v>
      </c>
      <c r="K119" s="16">
        <v>13153</v>
      </c>
      <c r="L119" s="18">
        <v>2</v>
      </c>
      <c r="M119" s="16">
        <v>913</v>
      </c>
      <c r="N119" s="18">
        <v>363</v>
      </c>
      <c r="O119" s="16">
        <v>31</v>
      </c>
      <c r="P119" s="13">
        <v>2</v>
      </c>
      <c r="Q119" s="13">
        <v>64</v>
      </c>
      <c r="R119" s="13">
        <v>2</v>
      </c>
      <c r="S119" s="18">
        <v>0</v>
      </c>
      <c r="T119" s="21">
        <v>46247.34107638889</v>
      </c>
      <c r="U119" s="55">
        <f t="shared" si="2"/>
        <v>0.83333333333333337</v>
      </c>
      <c r="V119" s="55">
        <f t="shared" si="2"/>
        <v>0.16666666666666666</v>
      </c>
      <c r="W119" s="56">
        <f t="shared" si="3"/>
        <v>13167</v>
      </c>
    </row>
    <row r="120" spans="1:23" x14ac:dyDescent="0.3">
      <c r="A120" s="13" t="str" cm="1">
        <f t="array" ref="A120:B120">INDEX(BenchmarkResults!$B$1:$D$35,SUMPRODUCT((T120&gt;=BenchmarkResults!$F$2:$F$35)*(mysql_hardware_log!T120&lt;BenchmarkResults!$G$2:$G$35)*ROW(BenchmarkResults!$F$2:$F$35)),{1,3})</f>
        <v>q1_top_cities</v>
      </c>
      <c r="B120" s="13">
        <v>2</v>
      </c>
      <c r="C120" s="16">
        <v>1</v>
      </c>
      <c r="D120" s="18">
        <v>0</v>
      </c>
      <c r="E120" s="16">
        <v>463104</v>
      </c>
      <c r="F120" s="13">
        <v>133556</v>
      </c>
      <c r="G120" s="13">
        <v>4580</v>
      </c>
      <c r="H120" s="18">
        <v>3595688</v>
      </c>
      <c r="I120" s="16">
        <v>0</v>
      </c>
      <c r="J120" s="18">
        <v>0</v>
      </c>
      <c r="K120" s="16">
        <v>12976</v>
      </c>
      <c r="L120" s="18">
        <v>2</v>
      </c>
      <c r="M120" s="16">
        <v>890</v>
      </c>
      <c r="N120" s="18">
        <v>310</v>
      </c>
      <c r="O120" s="16">
        <v>32</v>
      </c>
      <c r="P120" s="13">
        <v>2</v>
      </c>
      <c r="Q120" s="13">
        <v>65</v>
      </c>
      <c r="R120" s="13">
        <v>1</v>
      </c>
      <c r="S120" s="18">
        <v>0</v>
      </c>
      <c r="T120" s="21">
        <v>46247.341192129628</v>
      </c>
      <c r="U120" s="55">
        <f t="shared" si="2"/>
        <v>0.83333333333333337</v>
      </c>
      <c r="V120" s="55">
        <f t="shared" si="2"/>
        <v>0.16666666666666666</v>
      </c>
      <c r="W120" s="56">
        <f t="shared" si="3"/>
        <v>13147.833333333334</v>
      </c>
    </row>
    <row r="121" spans="1:23" x14ac:dyDescent="0.3">
      <c r="A121" s="13" t="str" cm="1">
        <f t="array" ref="A121:B121">INDEX(BenchmarkResults!$B$1:$D$35,SUMPRODUCT((T121&gt;=BenchmarkResults!$F$2:$F$35)*(mysql_hardware_log!T121&lt;BenchmarkResults!$G$2:$G$35)*ROW(BenchmarkResults!$F$2:$F$35)),{1,3})</f>
        <v>q1_top_cities</v>
      </c>
      <c r="B121" s="13">
        <v>2</v>
      </c>
      <c r="C121" s="16">
        <v>3</v>
      </c>
      <c r="D121" s="18">
        <v>0</v>
      </c>
      <c r="E121" s="16">
        <v>463104</v>
      </c>
      <c r="F121" s="13">
        <v>154504</v>
      </c>
      <c r="G121" s="13">
        <v>4588</v>
      </c>
      <c r="H121" s="18">
        <v>3572624</v>
      </c>
      <c r="I121" s="16">
        <v>0</v>
      </c>
      <c r="J121" s="18">
        <v>0</v>
      </c>
      <c r="K121" s="16">
        <v>13743</v>
      </c>
      <c r="L121" s="18">
        <v>2</v>
      </c>
      <c r="M121" s="16">
        <v>929</v>
      </c>
      <c r="N121" s="18">
        <v>343</v>
      </c>
      <c r="O121" s="16">
        <v>32</v>
      </c>
      <c r="P121" s="13">
        <v>2</v>
      </c>
      <c r="Q121" s="13">
        <v>64</v>
      </c>
      <c r="R121" s="13">
        <v>2</v>
      </c>
      <c r="S121" s="18">
        <v>0</v>
      </c>
      <c r="T121" s="21">
        <v>46247.341307870367</v>
      </c>
      <c r="U121" s="55">
        <f t="shared" si="2"/>
        <v>1.1666666666666667</v>
      </c>
      <c r="V121" s="55">
        <f t="shared" si="2"/>
        <v>0.16666666666666666</v>
      </c>
      <c r="W121" s="56">
        <f t="shared" si="3"/>
        <v>13218</v>
      </c>
    </row>
    <row r="122" spans="1:23" x14ac:dyDescent="0.3">
      <c r="A122" s="13" t="str" cm="1">
        <f t="array" ref="A122:B122">INDEX(BenchmarkResults!$B$1:$D$35,SUMPRODUCT((T122&gt;=BenchmarkResults!$F$2:$F$35)*(mysql_hardware_log!T122&lt;BenchmarkResults!$G$2:$G$35)*ROW(BenchmarkResults!$F$2:$F$35)),{1,3})</f>
        <v>q1_top_cities</v>
      </c>
      <c r="B122" s="13">
        <v>2</v>
      </c>
      <c r="C122" s="16">
        <v>1</v>
      </c>
      <c r="D122" s="18">
        <v>0</v>
      </c>
      <c r="E122" s="16">
        <v>463104</v>
      </c>
      <c r="F122" s="13">
        <v>130816</v>
      </c>
      <c r="G122" s="13">
        <v>4596</v>
      </c>
      <c r="H122" s="18">
        <v>3598264</v>
      </c>
      <c r="I122" s="16">
        <v>0</v>
      </c>
      <c r="J122" s="18">
        <v>0</v>
      </c>
      <c r="K122" s="16">
        <v>13216</v>
      </c>
      <c r="L122" s="18">
        <v>6</v>
      </c>
      <c r="M122" s="16">
        <v>919</v>
      </c>
      <c r="N122" s="18">
        <v>332</v>
      </c>
      <c r="O122" s="16">
        <v>31</v>
      </c>
      <c r="P122" s="13">
        <v>2</v>
      </c>
      <c r="Q122" s="13">
        <v>65</v>
      </c>
      <c r="R122" s="13">
        <v>2</v>
      </c>
      <c r="S122" s="18">
        <v>0</v>
      </c>
      <c r="T122" s="21">
        <v>46247.341423611113</v>
      </c>
      <c r="U122" s="55">
        <f t="shared" si="2"/>
        <v>1.1666666666666667</v>
      </c>
      <c r="V122" s="55">
        <f t="shared" si="2"/>
        <v>0.16666666666666666</v>
      </c>
      <c r="W122" s="56">
        <f t="shared" si="3"/>
        <v>13228.666666666666</v>
      </c>
    </row>
    <row r="123" spans="1:23" x14ac:dyDescent="0.3">
      <c r="A123" s="13" t="str" cm="1">
        <f t="array" ref="A123:B123">INDEX(BenchmarkResults!$B$1:$D$35,SUMPRODUCT((T123&gt;=BenchmarkResults!$F$2:$F$35)*(mysql_hardware_log!T123&lt;BenchmarkResults!$G$2:$G$35)*ROW(BenchmarkResults!$F$2:$F$35)),{1,3})</f>
        <v>q1_top_cities</v>
      </c>
      <c r="B123" s="13">
        <v>2</v>
      </c>
      <c r="C123" s="16">
        <v>1</v>
      </c>
      <c r="D123" s="18">
        <v>0</v>
      </c>
      <c r="E123" s="16">
        <v>463104</v>
      </c>
      <c r="F123" s="13">
        <v>103820</v>
      </c>
      <c r="G123" s="13">
        <v>4604</v>
      </c>
      <c r="H123" s="18">
        <v>3626064</v>
      </c>
      <c r="I123" s="16">
        <v>2</v>
      </c>
      <c r="J123" s="18">
        <v>0</v>
      </c>
      <c r="K123" s="16">
        <v>13488</v>
      </c>
      <c r="L123" s="18">
        <v>2</v>
      </c>
      <c r="M123" s="16">
        <v>935</v>
      </c>
      <c r="N123" s="18">
        <v>337</v>
      </c>
      <c r="O123" s="16">
        <v>31</v>
      </c>
      <c r="P123" s="13">
        <v>2</v>
      </c>
      <c r="Q123" s="13">
        <v>65</v>
      </c>
      <c r="R123" s="13">
        <v>2</v>
      </c>
      <c r="S123" s="18">
        <v>0</v>
      </c>
      <c r="T123" s="21">
        <v>46247.341539351852</v>
      </c>
      <c r="U123" s="55">
        <f t="shared" si="2"/>
        <v>1.1666666666666667</v>
      </c>
      <c r="V123" s="55">
        <f t="shared" si="2"/>
        <v>0.16666666666666666</v>
      </c>
      <c r="W123" s="56">
        <f t="shared" si="3"/>
        <v>13290.333333333334</v>
      </c>
    </row>
    <row r="124" spans="1:23" x14ac:dyDescent="0.3">
      <c r="A124" s="13" t="str" cm="1">
        <f t="array" ref="A124:B124">INDEX(BenchmarkResults!$B$1:$D$35,SUMPRODUCT((T124&gt;=BenchmarkResults!$F$2:$F$35)*(mysql_hardware_log!T124&lt;BenchmarkResults!$G$2:$G$35)*ROW(BenchmarkResults!$F$2:$F$35)),{1,3})</f>
        <v>q1_top_cities</v>
      </c>
      <c r="B124" s="13">
        <v>2</v>
      </c>
      <c r="C124" s="16">
        <v>1</v>
      </c>
      <c r="D124" s="18">
        <v>0</v>
      </c>
      <c r="E124" s="16">
        <v>463104</v>
      </c>
      <c r="F124" s="13">
        <v>137288</v>
      </c>
      <c r="G124" s="13">
        <v>4612</v>
      </c>
      <c r="H124" s="18">
        <v>3593040</v>
      </c>
      <c r="I124" s="16">
        <v>0</v>
      </c>
      <c r="J124" s="18">
        <v>0</v>
      </c>
      <c r="K124" s="16">
        <v>12740</v>
      </c>
      <c r="L124" s="18">
        <v>2</v>
      </c>
      <c r="M124" s="16">
        <v>897</v>
      </c>
      <c r="N124" s="18">
        <v>328</v>
      </c>
      <c r="O124" s="16">
        <v>33</v>
      </c>
      <c r="P124" s="13">
        <v>2</v>
      </c>
      <c r="Q124" s="13">
        <v>63</v>
      </c>
      <c r="R124" s="13">
        <v>2</v>
      </c>
      <c r="S124" s="18">
        <v>0</v>
      </c>
      <c r="T124" s="21">
        <v>46247.34165509259</v>
      </c>
      <c r="U124" s="55">
        <f t="shared" si="2"/>
        <v>1.1666666666666667</v>
      </c>
      <c r="V124" s="55">
        <f t="shared" si="2"/>
        <v>0.16666666666666666</v>
      </c>
      <c r="W124" s="56">
        <f t="shared" si="3"/>
        <v>13219.333333333334</v>
      </c>
    </row>
    <row r="125" spans="1:23" x14ac:dyDescent="0.3">
      <c r="A125" s="13" t="str" cm="1">
        <f t="array" ref="A125:B125">INDEX(BenchmarkResults!$B$1:$D$35,SUMPRODUCT((T125&gt;=BenchmarkResults!$F$2:$F$35)*(mysql_hardware_log!T125&lt;BenchmarkResults!$G$2:$G$35)*ROW(BenchmarkResults!$F$2:$F$35)),{1,3})</f>
        <v>q1_top_cities</v>
      </c>
      <c r="B125" s="13">
        <v>2</v>
      </c>
      <c r="C125" s="16">
        <v>1</v>
      </c>
      <c r="D125" s="18">
        <v>0</v>
      </c>
      <c r="E125" s="16">
        <v>463104</v>
      </c>
      <c r="F125" s="13">
        <v>110472</v>
      </c>
      <c r="G125" s="13">
        <v>4620</v>
      </c>
      <c r="H125" s="18">
        <v>3619148</v>
      </c>
      <c r="I125" s="16">
        <v>0</v>
      </c>
      <c r="J125" s="18">
        <v>0</v>
      </c>
      <c r="K125" s="16">
        <v>13311</v>
      </c>
      <c r="L125" s="18">
        <v>17</v>
      </c>
      <c r="M125" s="16">
        <v>910</v>
      </c>
      <c r="N125" s="18">
        <v>329</v>
      </c>
      <c r="O125" s="16">
        <v>32</v>
      </c>
      <c r="P125" s="13">
        <v>2</v>
      </c>
      <c r="Q125" s="13">
        <v>64</v>
      </c>
      <c r="R125" s="13">
        <v>2</v>
      </c>
      <c r="S125" s="18">
        <v>0</v>
      </c>
      <c r="T125" s="21">
        <v>46247.341770833336</v>
      </c>
      <c r="U125" s="55">
        <f t="shared" si="2"/>
        <v>1.3333333333333333</v>
      </c>
      <c r="V125" s="55">
        <f t="shared" si="2"/>
        <v>0</v>
      </c>
      <c r="W125" s="56">
        <f t="shared" si="3"/>
        <v>13245.666666666666</v>
      </c>
    </row>
    <row r="126" spans="1:23" x14ac:dyDescent="0.3">
      <c r="A126" s="13" t="str" cm="1">
        <f t="array" ref="A126:B126">INDEX(BenchmarkResults!$B$1:$D$35,SUMPRODUCT((T126&gt;=BenchmarkResults!$F$2:$F$35)*(mysql_hardware_log!T126&lt;BenchmarkResults!$G$2:$G$35)*ROW(BenchmarkResults!$F$2:$F$35)),{1,3})</f>
        <v>q1_top_cities</v>
      </c>
      <c r="B126" s="13">
        <v>2</v>
      </c>
      <c r="C126" s="16">
        <v>1</v>
      </c>
      <c r="D126" s="18">
        <v>0</v>
      </c>
      <c r="E126" s="16">
        <v>463104</v>
      </c>
      <c r="F126" s="13">
        <v>135948</v>
      </c>
      <c r="G126" s="13">
        <v>4628</v>
      </c>
      <c r="H126" s="18">
        <v>3591620</v>
      </c>
      <c r="I126" s="16">
        <v>0</v>
      </c>
      <c r="J126" s="18">
        <v>0</v>
      </c>
      <c r="K126" s="16">
        <v>13307</v>
      </c>
      <c r="L126" s="18">
        <v>3</v>
      </c>
      <c r="M126" s="16">
        <v>902</v>
      </c>
      <c r="N126" s="18">
        <v>318</v>
      </c>
      <c r="O126" s="16">
        <v>31</v>
      </c>
      <c r="P126" s="13">
        <v>2</v>
      </c>
      <c r="Q126" s="13">
        <v>65</v>
      </c>
      <c r="R126" s="13">
        <v>2</v>
      </c>
      <c r="S126" s="18">
        <v>0</v>
      </c>
      <c r="T126" s="21">
        <v>46247.341886574075</v>
      </c>
      <c r="U126" s="55">
        <f t="shared" si="2"/>
        <v>1.3333333333333333</v>
      </c>
      <c r="V126" s="55">
        <f t="shared" si="2"/>
        <v>0</v>
      </c>
      <c r="W126" s="56">
        <f t="shared" si="3"/>
        <v>13300.833333333334</v>
      </c>
    </row>
    <row r="127" spans="1:23" x14ac:dyDescent="0.3">
      <c r="A127" s="13" t="str" cm="1">
        <f t="array" ref="A127:B127">INDEX(BenchmarkResults!$B$1:$D$35,SUMPRODUCT((T127&gt;=BenchmarkResults!$F$2:$F$35)*(mysql_hardware_log!T127&lt;BenchmarkResults!$G$2:$G$35)*ROW(BenchmarkResults!$F$2:$F$35)),{1,3})</f>
        <v>q1_top_cities</v>
      </c>
      <c r="B127" s="13">
        <v>2</v>
      </c>
      <c r="C127" s="16">
        <v>1</v>
      </c>
      <c r="D127" s="18">
        <v>0</v>
      </c>
      <c r="E127" s="16">
        <v>463104</v>
      </c>
      <c r="F127" s="13">
        <v>114528</v>
      </c>
      <c r="G127" s="13">
        <v>4636</v>
      </c>
      <c r="H127" s="18">
        <v>3615576</v>
      </c>
      <c r="I127" s="16">
        <v>0</v>
      </c>
      <c r="J127" s="18">
        <v>0</v>
      </c>
      <c r="K127" s="16">
        <v>13097</v>
      </c>
      <c r="L127" s="18">
        <v>2</v>
      </c>
      <c r="M127" s="16">
        <v>890</v>
      </c>
      <c r="N127" s="18">
        <v>346</v>
      </c>
      <c r="O127" s="16">
        <v>32</v>
      </c>
      <c r="P127" s="13">
        <v>2</v>
      </c>
      <c r="Q127" s="13">
        <v>65</v>
      </c>
      <c r="R127" s="13">
        <v>1</v>
      </c>
      <c r="S127" s="18">
        <v>0</v>
      </c>
      <c r="T127" s="21">
        <v>46247.342002314814</v>
      </c>
      <c r="U127" s="55">
        <f t="shared" si="2"/>
        <v>1</v>
      </c>
      <c r="V127" s="55">
        <f t="shared" si="2"/>
        <v>0</v>
      </c>
      <c r="W127" s="56">
        <f t="shared" si="3"/>
        <v>13193.166666666666</v>
      </c>
    </row>
    <row r="128" spans="1:23" x14ac:dyDescent="0.3">
      <c r="A128" s="13" t="str" cm="1">
        <f t="array" ref="A128:B128">INDEX(BenchmarkResults!$B$1:$D$35,SUMPRODUCT((T128&gt;=BenchmarkResults!$F$2:$F$35)*(mysql_hardware_log!T128&lt;BenchmarkResults!$G$2:$G$35)*ROW(BenchmarkResults!$F$2:$F$35)),{1,3})</f>
        <v>q1_top_cities</v>
      </c>
      <c r="B128" s="13">
        <v>2</v>
      </c>
      <c r="C128" s="16">
        <v>2</v>
      </c>
      <c r="D128" s="18">
        <v>0</v>
      </c>
      <c r="E128" s="16">
        <v>463104</v>
      </c>
      <c r="F128" s="13">
        <v>123892</v>
      </c>
      <c r="G128" s="13">
        <v>4644</v>
      </c>
      <c r="H128" s="18">
        <v>3108072</v>
      </c>
      <c r="I128" s="16">
        <v>0</v>
      </c>
      <c r="J128" s="18">
        <v>0</v>
      </c>
      <c r="K128" s="16">
        <v>9479</v>
      </c>
      <c r="L128" s="18">
        <v>2</v>
      </c>
      <c r="M128" s="16">
        <v>985</v>
      </c>
      <c r="N128" s="18">
        <v>388</v>
      </c>
      <c r="O128" s="16">
        <v>33</v>
      </c>
      <c r="P128" s="13">
        <v>6</v>
      </c>
      <c r="Q128" s="13">
        <v>59</v>
      </c>
      <c r="R128" s="13">
        <v>1</v>
      </c>
      <c r="S128" s="18">
        <v>0</v>
      </c>
      <c r="T128" s="21">
        <v>46247.342118055552</v>
      </c>
      <c r="U128" s="55">
        <f t="shared" si="2"/>
        <v>1.1666666666666667</v>
      </c>
      <c r="V128" s="55">
        <f t="shared" si="2"/>
        <v>0</v>
      </c>
      <c r="W128" s="56">
        <f t="shared" si="3"/>
        <v>12570.333333333334</v>
      </c>
    </row>
    <row r="129" spans="1:23" x14ac:dyDescent="0.3">
      <c r="A129" s="13" t="str" cm="1">
        <f t="array" ref="A129:B129">INDEX(BenchmarkResults!$B$1:$D$35,SUMPRODUCT((T129&gt;=BenchmarkResults!$F$2:$F$35)*(mysql_hardware_log!T129&lt;BenchmarkResults!$G$2:$G$35)*ROW(BenchmarkResults!$F$2:$F$35)),{1,3})</f>
        <v>q1_top_cities</v>
      </c>
      <c r="B129" s="13">
        <v>2</v>
      </c>
      <c r="C129" s="16">
        <v>2</v>
      </c>
      <c r="D129" s="18">
        <v>0</v>
      </c>
      <c r="E129" s="16">
        <v>463104</v>
      </c>
      <c r="F129" s="13">
        <v>1033116</v>
      </c>
      <c r="G129" s="13">
        <v>4652</v>
      </c>
      <c r="H129" s="18">
        <v>2678508</v>
      </c>
      <c r="I129" s="16">
        <v>0</v>
      </c>
      <c r="J129" s="18">
        <v>0</v>
      </c>
      <c r="K129" s="16">
        <v>6581</v>
      </c>
      <c r="L129" s="18">
        <v>2</v>
      </c>
      <c r="M129" s="16">
        <v>1191</v>
      </c>
      <c r="N129" s="18">
        <v>556</v>
      </c>
      <c r="O129" s="16">
        <v>35</v>
      </c>
      <c r="P129" s="13">
        <v>25</v>
      </c>
      <c r="Q129" s="13">
        <v>38</v>
      </c>
      <c r="R129" s="13">
        <v>1</v>
      </c>
      <c r="S129" s="18">
        <v>0</v>
      </c>
      <c r="T129" s="21">
        <v>46247.342233796298</v>
      </c>
      <c r="U129" s="55">
        <f t="shared" si="2"/>
        <v>1.3333333333333333</v>
      </c>
      <c r="V129" s="55">
        <f t="shared" si="2"/>
        <v>0</v>
      </c>
      <c r="W129" s="56">
        <f t="shared" si="3"/>
        <v>11419.166666666666</v>
      </c>
    </row>
    <row r="130" spans="1:23" x14ac:dyDescent="0.3">
      <c r="A130" s="13" t="str" cm="1">
        <f t="array" ref="A130:B130">INDEX(BenchmarkResults!$B$1:$D$35,SUMPRODUCT((T130&gt;=BenchmarkResults!$F$2:$F$35)*(mysql_hardware_log!T130&lt;BenchmarkResults!$G$2:$G$35)*ROW(BenchmarkResults!$F$2:$F$35)),{1,3})</f>
        <v>q1_top_cities</v>
      </c>
      <c r="B130" s="13">
        <v>2</v>
      </c>
      <c r="C130" s="16">
        <v>1</v>
      </c>
      <c r="D130" s="18">
        <v>0</v>
      </c>
      <c r="E130" s="16">
        <v>463104</v>
      </c>
      <c r="F130" s="13">
        <v>916692</v>
      </c>
      <c r="G130" s="13">
        <v>4668</v>
      </c>
      <c r="H130" s="18">
        <v>2797276</v>
      </c>
      <c r="I130" s="16">
        <v>2</v>
      </c>
      <c r="J130" s="18">
        <v>0</v>
      </c>
      <c r="K130" s="16">
        <v>11882</v>
      </c>
      <c r="L130" s="18">
        <v>3</v>
      </c>
      <c r="M130" s="16">
        <v>861</v>
      </c>
      <c r="N130" s="18">
        <v>304</v>
      </c>
      <c r="O130" s="16">
        <v>29</v>
      </c>
      <c r="P130" s="13">
        <v>4</v>
      </c>
      <c r="Q130" s="13">
        <v>64</v>
      </c>
      <c r="R130" s="13">
        <v>2</v>
      </c>
      <c r="S130" s="18">
        <v>0</v>
      </c>
      <c r="T130" s="21">
        <v>46247.342349537037</v>
      </c>
      <c r="U130" s="55">
        <f t="shared" si="2"/>
        <v>1.3333333333333333</v>
      </c>
      <c r="V130" s="55">
        <f t="shared" si="2"/>
        <v>0</v>
      </c>
      <c r="W130" s="56">
        <f t="shared" si="3"/>
        <v>11276.166666666666</v>
      </c>
    </row>
    <row r="131" spans="1:23" x14ac:dyDescent="0.3">
      <c r="A131" s="13" t="str" cm="1">
        <f t="array" ref="A131:B131">INDEX(BenchmarkResults!$B$1:$D$35,SUMPRODUCT((T131&gt;=BenchmarkResults!$F$2:$F$35)*(mysql_hardware_log!T131&lt;BenchmarkResults!$G$2:$G$35)*ROW(BenchmarkResults!$F$2:$F$35)),{1,3})</f>
        <v>q1_top_cities</v>
      </c>
      <c r="B131" s="13">
        <v>2</v>
      </c>
      <c r="C131" s="16">
        <v>1</v>
      </c>
      <c r="D131" s="18">
        <v>0</v>
      </c>
      <c r="E131" s="16">
        <v>463104</v>
      </c>
      <c r="F131" s="13">
        <v>799764</v>
      </c>
      <c r="G131" s="13">
        <v>4676</v>
      </c>
      <c r="H131" s="18">
        <v>2916344</v>
      </c>
      <c r="I131" s="16">
        <v>0</v>
      </c>
      <c r="J131" s="18">
        <v>0</v>
      </c>
      <c r="K131" s="16">
        <v>11906</v>
      </c>
      <c r="L131" s="18">
        <v>2</v>
      </c>
      <c r="M131" s="16">
        <v>858</v>
      </c>
      <c r="N131" s="18">
        <v>303</v>
      </c>
      <c r="O131" s="16">
        <v>30</v>
      </c>
      <c r="P131" s="13">
        <v>4</v>
      </c>
      <c r="Q131" s="13">
        <v>65</v>
      </c>
      <c r="R131" s="13">
        <v>1</v>
      </c>
      <c r="S131" s="18">
        <v>0</v>
      </c>
      <c r="T131" s="21">
        <v>46247.342465277776</v>
      </c>
      <c r="U131" s="55">
        <f t="shared" si="2"/>
        <v>1.3333333333333333</v>
      </c>
      <c r="V131" s="55">
        <f t="shared" si="2"/>
        <v>0</v>
      </c>
      <c r="W131" s="56">
        <f t="shared" si="3"/>
        <v>11042</v>
      </c>
    </row>
    <row r="132" spans="1:23" x14ac:dyDescent="0.3">
      <c r="A132" s="13" t="str" cm="1">
        <f t="array" ref="A132:B132">INDEX(BenchmarkResults!$B$1:$D$35,SUMPRODUCT((T132&gt;=BenchmarkResults!$F$2:$F$35)*(mysql_hardware_log!T132&lt;BenchmarkResults!$G$2:$G$35)*ROW(BenchmarkResults!$F$2:$F$35)),{1,3})</f>
        <v>q1_top_cities</v>
      </c>
      <c r="B132" s="13">
        <v>2</v>
      </c>
      <c r="C132" s="16">
        <v>1</v>
      </c>
      <c r="D132" s="18">
        <v>0</v>
      </c>
      <c r="E132" s="16">
        <v>463104</v>
      </c>
      <c r="F132" s="13">
        <v>675912</v>
      </c>
      <c r="G132" s="13">
        <v>4692</v>
      </c>
      <c r="H132" s="18">
        <v>3039276</v>
      </c>
      <c r="I132" s="16">
        <v>3</v>
      </c>
      <c r="J132" s="18">
        <v>0</v>
      </c>
      <c r="K132" s="16">
        <v>12296</v>
      </c>
      <c r="L132" s="18">
        <v>4</v>
      </c>
      <c r="M132" s="16">
        <v>922</v>
      </c>
      <c r="N132" s="18">
        <v>384</v>
      </c>
      <c r="O132" s="16">
        <v>30</v>
      </c>
      <c r="P132" s="13">
        <v>5</v>
      </c>
      <c r="Q132" s="13">
        <v>64</v>
      </c>
      <c r="R132" s="13">
        <v>1</v>
      </c>
      <c r="S132" s="18">
        <v>0</v>
      </c>
      <c r="T132" s="21">
        <v>46247.342581018522</v>
      </c>
      <c r="U132" s="55">
        <f t="shared" si="2"/>
        <v>1.3333333333333333</v>
      </c>
      <c r="V132" s="55">
        <f t="shared" si="2"/>
        <v>0</v>
      </c>
      <c r="W132" s="56">
        <f t="shared" si="3"/>
        <v>10873.5</v>
      </c>
    </row>
    <row r="133" spans="1:23" x14ac:dyDescent="0.3">
      <c r="A133" s="13" t="str" cm="1">
        <f t="array" ref="A133:B133">INDEX(BenchmarkResults!$B$1:$D$35,SUMPRODUCT((T133&gt;=BenchmarkResults!$F$2:$F$35)*(mysql_hardware_log!T133&lt;BenchmarkResults!$G$2:$G$35)*ROW(BenchmarkResults!$F$2:$F$35)),{1,3})</f>
        <v>q1_top_cities</v>
      </c>
      <c r="B133" s="13">
        <v>2</v>
      </c>
      <c r="C133" s="16">
        <v>1</v>
      </c>
      <c r="D133" s="18">
        <v>0</v>
      </c>
      <c r="E133" s="16">
        <v>463104</v>
      </c>
      <c r="F133" s="13">
        <v>574484</v>
      </c>
      <c r="G133" s="13">
        <v>4700</v>
      </c>
      <c r="H133" s="18">
        <v>3161492</v>
      </c>
      <c r="I133" s="16">
        <v>0</v>
      </c>
      <c r="J133" s="18">
        <v>0</v>
      </c>
      <c r="K133" s="16">
        <v>12222</v>
      </c>
      <c r="L133" s="18">
        <v>42</v>
      </c>
      <c r="M133" s="16">
        <v>898</v>
      </c>
      <c r="N133" s="18">
        <v>299</v>
      </c>
      <c r="O133" s="16">
        <v>30</v>
      </c>
      <c r="P133" s="13">
        <v>4</v>
      </c>
      <c r="Q133" s="13">
        <v>65</v>
      </c>
      <c r="R133" s="13">
        <v>2</v>
      </c>
      <c r="S133" s="18">
        <v>0</v>
      </c>
      <c r="T133" s="21">
        <v>46247.34269675926</v>
      </c>
      <c r="U133" s="55">
        <f t="shared" si="2"/>
        <v>1.3333333333333333</v>
      </c>
      <c r="V133" s="55">
        <f t="shared" si="2"/>
        <v>0</v>
      </c>
      <c r="W133" s="56">
        <f t="shared" si="3"/>
        <v>10727.666666666666</v>
      </c>
    </row>
    <row r="134" spans="1:23" x14ac:dyDescent="0.3">
      <c r="A134" s="13" t="str" cm="1">
        <f t="array" ref="A134:B134">INDEX(BenchmarkResults!$B$1:$D$35,SUMPRODUCT((T134&gt;=BenchmarkResults!$F$2:$F$35)*(mysql_hardware_log!T134&lt;BenchmarkResults!$G$2:$G$35)*ROW(BenchmarkResults!$F$2:$F$35)),{1,3})</f>
        <v>q1_top_cities</v>
      </c>
      <c r="B134" s="13">
        <v>2</v>
      </c>
      <c r="C134" s="16">
        <v>1</v>
      </c>
      <c r="D134" s="18">
        <v>0</v>
      </c>
      <c r="E134" s="16">
        <v>463104</v>
      </c>
      <c r="F134" s="13">
        <v>449744</v>
      </c>
      <c r="G134" s="13">
        <v>4708</v>
      </c>
      <c r="H134" s="18">
        <v>3277520</v>
      </c>
      <c r="I134" s="16">
        <v>1</v>
      </c>
      <c r="J134" s="18">
        <v>0</v>
      </c>
      <c r="K134" s="16">
        <v>11601</v>
      </c>
      <c r="L134" s="18">
        <v>4</v>
      </c>
      <c r="M134" s="16">
        <v>892</v>
      </c>
      <c r="N134" s="18">
        <v>309</v>
      </c>
      <c r="O134" s="16">
        <v>29</v>
      </c>
      <c r="P134" s="13">
        <v>4</v>
      </c>
      <c r="Q134" s="13">
        <v>65</v>
      </c>
      <c r="R134" s="13">
        <v>1</v>
      </c>
      <c r="S134" s="18">
        <v>0</v>
      </c>
      <c r="T134" s="21">
        <v>46247.342812499999</v>
      </c>
      <c r="U134" s="55">
        <f t="shared" si="2"/>
        <v>1.1666666666666667</v>
      </c>
      <c r="V134" s="55">
        <f t="shared" si="2"/>
        <v>0</v>
      </c>
      <c r="W134" s="56">
        <f t="shared" si="3"/>
        <v>11081.333333333334</v>
      </c>
    </row>
    <row r="135" spans="1:23" x14ac:dyDescent="0.3">
      <c r="A135" s="13" t="str" cm="1">
        <f t="array" ref="A135:B135">INDEX(BenchmarkResults!$B$1:$D$35,SUMPRODUCT((T135&gt;=BenchmarkResults!$F$2:$F$35)*(mysql_hardware_log!T135&lt;BenchmarkResults!$G$2:$G$35)*ROW(BenchmarkResults!$F$2:$F$35)),{1,3})</f>
        <v>q1_top_cities</v>
      </c>
      <c r="B135" s="13">
        <v>3</v>
      </c>
      <c r="C135" s="16">
        <v>1</v>
      </c>
      <c r="D135" s="18">
        <v>0</v>
      </c>
      <c r="E135" s="16">
        <v>463104</v>
      </c>
      <c r="F135" s="13">
        <v>339368</v>
      </c>
      <c r="G135" s="13">
        <v>4716</v>
      </c>
      <c r="H135" s="18">
        <v>3390028</v>
      </c>
      <c r="I135" s="16">
        <v>2</v>
      </c>
      <c r="J135" s="18">
        <v>0</v>
      </c>
      <c r="K135" s="16">
        <v>11250</v>
      </c>
      <c r="L135" s="18">
        <v>2</v>
      </c>
      <c r="M135" s="16">
        <v>872</v>
      </c>
      <c r="N135" s="18">
        <v>316</v>
      </c>
      <c r="O135" s="16">
        <v>29</v>
      </c>
      <c r="P135" s="13">
        <v>5</v>
      </c>
      <c r="Q135" s="13">
        <v>64</v>
      </c>
      <c r="R135" s="13">
        <v>2</v>
      </c>
      <c r="S135" s="18">
        <v>0</v>
      </c>
      <c r="T135" s="21">
        <v>46247.342928240738</v>
      </c>
      <c r="U135" s="55">
        <f t="shared" si="2"/>
        <v>1</v>
      </c>
      <c r="V135" s="55">
        <f t="shared" si="2"/>
        <v>0</v>
      </c>
      <c r="W135" s="56">
        <f t="shared" si="3"/>
        <v>11859.5</v>
      </c>
    </row>
    <row r="136" spans="1:23" x14ac:dyDescent="0.3">
      <c r="A136" s="13" t="str" cm="1">
        <f t="array" ref="A136:B136">INDEX(BenchmarkResults!$B$1:$D$35,SUMPRODUCT((T136&gt;=BenchmarkResults!$F$2:$F$35)*(mysql_hardware_log!T136&lt;BenchmarkResults!$G$2:$G$35)*ROW(BenchmarkResults!$F$2:$F$35)),{1,3})</f>
        <v>q1_top_cities</v>
      </c>
      <c r="B136" s="13">
        <v>3</v>
      </c>
      <c r="C136" s="16">
        <v>1</v>
      </c>
      <c r="D136" s="18">
        <v>0</v>
      </c>
      <c r="E136" s="16">
        <v>463104</v>
      </c>
      <c r="F136" s="13">
        <v>232268</v>
      </c>
      <c r="G136" s="13">
        <v>4724</v>
      </c>
      <c r="H136" s="18">
        <v>3496544</v>
      </c>
      <c r="I136" s="16">
        <v>2</v>
      </c>
      <c r="J136" s="18">
        <v>0</v>
      </c>
      <c r="K136" s="16">
        <v>10658</v>
      </c>
      <c r="L136" s="18">
        <v>2</v>
      </c>
      <c r="M136" s="16">
        <v>860</v>
      </c>
      <c r="N136" s="18">
        <v>304</v>
      </c>
      <c r="O136" s="16">
        <v>29</v>
      </c>
      <c r="P136" s="13">
        <v>4</v>
      </c>
      <c r="Q136" s="13">
        <v>64</v>
      </c>
      <c r="R136" s="13">
        <v>2</v>
      </c>
      <c r="S136" s="18">
        <v>0</v>
      </c>
      <c r="T136" s="21">
        <v>46247.343043981484</v>
      </c>
      <c r="U136" s="55">
        <f t="shared" si="2"/>
        <v>1</v>
      </c>
      <c r="V136" s="55">
        <f t="shared" si="2"/>
        <v>0</v>
      </c>
      <c r="W136" s="56">
        <f t="shared" si="3"/>
        <v>11655.5</v>
      </c>
    </row>
    <row r="137" spans="1:23" x14ac:dyDescent="0.3">
      <c r="A137" s="13" t="str" cm="1">
        <f t="array" ref="A137:B137">INDEX(BenchmarkResults!$B$1:$D$35,SUMPRODUCT((T137&gt;=BenchmarkResults!$F$2:$F$35)*(mysql_hardware_log!T137&lt;BenchmarkResults!$G$2:$G$35)*ROW(BenchmarkResults!$F$2:$F$35)),{1,3})</f>
        <v>q1_top_cities</v>
      </c>
      <c r="B137" s="13">
        <v>3</v>
      </c>
      <c r="C137" s="16">
        <v>1</v>
      </c>
      <c r="D137" s="18">
        <v>0</v>
      </c>
      <c r="E137" s="16">
        <v>463104</v>
      </c>
      <c r="F137" s="13">
        <v>121892</v>
      </c>
      <c r="G137" s="13">
        <v>4732</v>
      </c>
      <c r="H137" s="18">
        <v>3607944</v>
      </c>
      <c r="I137" s="16">
        <v>2</v>
      </c>
      <c r="J137" s="18">
        <v>0</v>
      </c>
      <c r="K137" s="16">
        <v>11138</v>
      </c>
      <c r="L137" s="18">
        <v>2</v>
      </c>
      <c r="M137" s="16">
        <v>877</v>
      </c>
      <c r="N137" s="18">
        <v>329</v>
      </c>
      <c r="O137" s="16">
        <v>31</v>
      </c>
      <c r="P137" s="13">
        <v>3</v>
      </c>
      <c r="Q137" s="13">
        <v>65</v>
      </c>
      <c r="R137" s="13">
        <v>1</v>
      </c>
      <c r="S137" s="18">
        <v>0</v>
      </c>
      <c r="T137" s="21">
        <v>46247.343159722222</v>
      </c>
      <c r="U137" s="55">
        <f t="shared" ref="U137:V200" si="4">AVERAGE(C132:C137)</f>
        <v>1</v>
      </c>
      <c r="V137" s="55">
        <f t="shared" si="4"/>
        <v>0</v>
      </c>
      <c r="W137" s="56">
        <f t="shared" ref="W137:W200" si="5">AVERAGE(K132:K137)</f>
        <v>11527.5</v>
      </c>
    </row>
    <row r="138" spans="1:23" x14ac:dyDescent="0.3">
      <c r="A138" s="13" t="str" cm="1">
        <f t="array" ref="A138:B138">INDEX(BenchmarkResults!$B$1:$D$35,SUMPRODUCT((T138&gt;=BenchmarkResults!$F$2:$F$35)*(mysql_hardware_log!T138&lt;BenchmarkResults!$G$2:$G$35)*ROW(BenchmarkResults!$F$2:$F$35)),{1,3})</f>
        <v>q1_top_cities</v>
      </c>
      <c r="B138" s="13">
        <v>3</v>
      </c>
      <c r="C138" s="16">
        <v>1</v>
      </c>
      <c r="D138" s="18">
        <v>0</v>
      </c>
      <c r="E138" s="16">
        <v>463104</v>
      </c>
      <c r="F138" s="13">
        <v>121892</v>
      </c>
      <c r="G138" s="13">
        <v>4740</v>
      </c>
      <c r="H138" s="18">
        <v>3608588</v>
      </c>
      <c r="I138" s="16">
        <v>0</v>
      </c>
      <c r="J138" s="18">
        <v>0</v>
      </c>
      <c r="K138" s="16">
        <v>10771</v>
      </c>
      <c r="L138" s="18">
        <v>2</v>
      </c>
      <c r="M138" s="16">
        <v>868</v>
      </c>
      <c r="N138" s="18">
        <v>312</v>
      </c>
      <c r="O138" s="16">
        <v>31</v>
      </c>
      <c r="P138" s="13">
        <v>2</v>
      </c>
      <c r="Q138" s="13">
        <v>65</v>
      </c>
      <c r="R138" s="13">
        <v>1</v>
      </c>
      <c r="S138" s="18">
        <v>0</v>
      </c>
      <c r="T138" s="21">
        <v>46247.343275462961</v>
      </c>
      <c r="U138" s="55">
        <f t="shared" si="4"/>
        <v>1</v>
      </c>
      <c r="V138" s="55">
        <f t="shared" si="4"/>
        <v>0</v>
      </c>
      <c r="W138" s="56">
        <f t="shared" si="5"/>
        <v>11273.333333333334</v>
      </c>
    </row>
    <row r="139" spans="1:23" x14ac:dyDescent="0.3">
      <c r="A139" s="13" t="str" cm="1">
        <f t="array" ref="A139:B139">INDEX(BenchmarkResults!$B$1:$D$35,SUMPRODUCT((T139&gt;=BenchmarkResults!$F$2:$F$35)*(mysql_hardware_log!T139&lt;BenchmarkResults!$G$2:$G$35)*ROW(BenchmarkResults!$F$2:$F$35)),{1,3})</f>
        <v>q1_top_cities</v>
      </c>
      <c r="B139" s="13">
        <v>3</v>
      </c>
      <c r="C139" s="16">
        <v>1</v>
      </c>
      <c r="D139" s="18">
        <v>0</v>
      </c>
      <c r="E139" s="16">
        <v>463104</v>
      </c>
      <c r="F139" s="13">
        <v>118868</v>
      </c>
      <c r="G139" s="13">
        <v>4748</v>
      </c>
      <c r="H139" s="18">
        <v>3611056</v>
      </c>
      <c r="I139" s="16">
        <v>2</v>
      </c>
      <c r="J139" s="18">
        <v>0</v>
      </c>
      <c r="K139" s="16">
        <v>10947</v>
      </c>
      <c r="L139" s="18">
        <v>2</v>
      </c>
      <c r="M139" s="16">
        <v>891</v>
      </c>
      <c r="N139" s="18">
        <v>333</v>
      </c>
      <c r="O139" s="16">
        <v>31</v>
      </c>
      <c r="P139" s="13">
        <v>2</v>
      </c>
      <c r="Q139" s="13">
        <v>65</v>
      </c>
      <c r="R139" s="13">
        <v>2</v>
      </c>
      <c r="S139" s="18">
        <v>0</v>
      </c>
      <c r="T139" s="21">
        <v>46247.343391203707</v>
      </c>
      <c r="U139" s="55">
        <f t="shared" si="4"/>
        <v>1</v>
      </c>
      <c r="V139" s="55">
        <f t="shared" si="4"/>
        <v>0</v>
      </c>
      <c r="W139" s="56">
        <f t="shared" si="5"/>
        <v>11060.833333333334</v>
      </c>
    </row>
    <row r="140" spans="1:23" x14ac:dyDescent="0.3">
      <c r="A140" s="13" t="str" cm="1">
        <f t="array" ref="A140:B140">INDEX(BenchmarkResults!$B$1:$D$35,SUMPRODUCT((T140&gt;=BenchmarkResults!$F$2:$F$35)*(mysql_hardware_log!T140&lt;BenchmarkResults!$G$2:$G$35)*ROW(BenchmarkResults!$F$2:$F$35)),{1,3})</f>
        <v>q1_top_cities</v>
      </c>
      <c r="B140" s="13">
        <v>3</v>
      </c>
      <c r="C140" s="16">
        <v>1</v>
      </c>
      <c r="D140" s="18">
        <v>0</v>
      </c>
      <c r="E140" s="16">
        <v>463104</v>
      </c>
      <c r="F140" s="13">
        <v>111588</v>
      </c>
      <c r="G140" s="13">
        <v>4756</v>
      </c>
      <c r="H140" s="18">
        <v>3618272</v>
      </c>
      <c r="I140" s="16">
        <v>0</v>
      </c>
      <c r="J140" s="18">
        <v>0</v>
      </c>
      <c r="K140" s="16">
        <v>11427</v>
      </c>
      <c r="L140" s="18">
        <v>2</v>
      </c>
      <c r="M140" s="16">
        <v>884</v>
      </c>
      <c r="N140" s="18">
        <v>325</v>
      </c>
      <c r="O140" s="16">
        <v>31</v>
      </c>
      <c r="P140" s="13">
        <v>2</v>
      </c>
      <c r="Q140" s="13">
        <v>65</v>
      </c>
      <c r="R140" s="13">
        <v>2</v>
      </c>
      <c r="S140" s="18">
        <v>0</v>
      </c>
      <c r="T140" s="21">
        <v>46247.343506944446</v>
      </c>
      <c r="U140" s="55">
        <f t="shared" si="4"/>
        <v>1</v>
      </c>
      <c r="V140" s="55">
        <f t="shared" si="4"/>
        <v>0</v>
      </c>
      <c r="W140" s="56">
        <f t="shared" si="5"/>
        <v>11031.833333333334</v>
      </c>
    </row>
    <row r="141" spans="1:23" x14ac:dyDescent="0.3">
      <c r="A141" s="13" t="str" cm="1">
        <f t="array" ref="A141:B141">INDEX(BenchmarkResults!$B$1:$D$35,SUMPRODUCT((T141&gt;=BenchmarkResults!$F$2:$F$35)*(mysql_hardware_log!T141&lt;BenchmarkResults!$G$2:$G$35)*ROW(BenchmarkResults!$F$2:$F$35)),{1,3})</f>
        <v>q1_top_cities</v>
      </c>
      <c r="B141" s="13">
        <v>3</v>
      </c>
      <c r="C141" s="16">
        <v>1</v>
      </c>
      <c r="D141" s="18">
        <v>0</v>
      </c>
      <c r="E141" s="16">
        <v>463104</v>
      </c>
      <c r="F141" s="13">
        <v>158616</v>
      </c>
      <c r="G141" s="13">
        <v>4764</v>
      </c>
      <c r="H141" s="18">
        <v>3571012</v>
      </c>
      <c r="I141" s="16">
        <v>2</v>
      </c>
      <c r="J141" s="18">
        <v>0</v>
      </c>
      <c r="K141" s="16">
        <v>11170</v>
      </c>
      <c r="L141" s="18">
        <v>2</v>
      </c>
      <c r="M141" s="16">
        <v>867</v>
      </c>
      <c r="N141" s="18">
        <v>301</v>
      </c>
      <c r="O141" s="16">
        <v>32</v>
      </c>
      <c r="P141" s="13">
        <v>2</v>
      </c>
      <c r="Q141" s="13">
        <v>64</v>
      </c>
      <c r="R141" s="13">
        <v>1</v>
      </c>
      <c r="S141" s="18">
        <v>0</v>
      </c>
      <c r="T141" s="21">
        <v>46247.343622685185</v>
      </c>
      <c r="U141" s="55">
        <f t="shared" si="4"/>
        <v>1</v>
      </c>
      <c r="V141" s="55">
        <f t="shared" si="4"/>
        <v>0</v>
      </c>
      <c r="W141" s="56">
        <f t="shared" si="5"/>
        <v>11018.5</v>
      </c>
    </row>
    <row r="142" spans="1:23" x14ac:dyDescent="0.3">
      <c r="A142" s="13" t="str" cm="1">
        <f t="array" ref="A142:B142">INDEX(BenchmarkResults!$B$1:$D$35,SUMPRODUCT((T142&gt;=BenchmarkResults!$F$2:$F$35)*(mysql_hardware_log!T142&lt;BenchmarkResults!$G$2:$G$35)*ROW(BenchmarkResults!$F$2:$F$35)),{1,3})</f>
        <v>q1_top_cities</v>
      </c>
      <c r="B142" s="13">
        <v>3</v>
      </c>
      <c r="C142" s="16">
        <v>2</v>
      </c>
      <c r="D142" s="18">
        <v>0</v>
      </c>
      <c r="E142" s="16">
        <v>463104</v>
      </c>
      <c r="F142" s="13">
        <v>115560</v>
      </c>
      <c r="G142" s="13">
        <v>4772</v>
      </c>
      <c r="H142" s="18">
        <v>3612016</v>
      </c>
      <c r="I142" s="16">
        <v>2</v>
      </c>
      <c r="J142" s="18">
        <v>0</v>
      </c>
      <c r="K142" s="16">
        <v>12270</v>
      </c>
      <c r="L142" s="18">
        <v>2</v>
      </c>
      <c r="M142" s="16">
        <v>897</v>
      </c>
      <c r="N142" s="18">
        <v>319</v>
      </c>
      <c r="O142" s="16">
        <v>33</v>
      </c>
      <c r="P142" s="13">
        <v>2</v>
      </c>
      <c r="Q142" s="13">
        <v>64</v>
      </c>
      <c r="R142" s="13">
        <v>1</v>
      </c>
      <c r="S142" s="18">
        <v>0</v>
      </c>
      <c r="T142" s="21">
        <v>46247.343738425923</v>
      </c>
      <c r="U142" s="55">
        <f t="shared" si="4"/>
        <v>1.1666666666666667</v>
      </c>
      <c r="V142" s="55">
        <f t="shared" si="4"/>
        <v>0</v>
      </c>
      <c r="W142" s="56">
        <f t="shared" si="5"/>
        <v>11287.166666666666</v>
      </c>
    </row>
    <row r="143" spans="1:23" x14ac:dyDescent="0.3">
      <c r="A143" s="13" t="str" cm="1">
        <f t="array" ref="A143:B143">INDEX(BenchmarkResults!$B$1:$D$35,SUMPRODUCT((T143&gt;=BenchmarkResults!$F$2:$F$35)*(mysql_hardware_log!T143&lt;BenchmarkResults!$G$2:$G$35)*ROW(BenchmarkResults!$F$2:$F$35)),{1,3})</f>
        <v>q1_top_cities</v>
      </c>
      <c r="B143" s="13">
        <v>3</v>
      </c>
      <c r="C143" s="16">
        <v>1</v>
      </c>
      <c r="D143" s="18">
        <v>0</v>
      </c>
      <c r="E143" s="16">
        <v>463104</v>
      </c>
      <c r="F143" s="13">
        <v>103724</v>
      </c>
      <c r="G143" s="13">
        <v>4780</v>
      </c>
      <c r="H143" s="18">
        <v>3620632</v>
      </c>
      <c r="I143" s="16">
        <v>0</v>
      </c>
      <c r="J143" s="18">
        <v>0</v>
      </c>
      <c r="K143" s="16">
        <v>11566</v>
      </c>
      <c r="L143" s="18">
        <v>13</v>
      </c>
      <c r="M143" s="16">
        <v>877</v>
      </c>
      <c r="N143" s="18">
        <v>331</v>
      </c>
      <c r="O143" s="16">
        <v>32</v>
      </c>
      <c r="P143" s="13">
        <v>2</v>
      </c>
      <c r="Q143" s="13">
        <v>64</v>
      </c>
      <c r="R143" s="13">
        <v>1</v>
      </c>
      <c r="S143" s="18">
        <v>0</v>
      </c>
      <c r="T143" s="21">
        <v>46247.343854166669</v>
      </c>
      <c r="U143" s="55">
        <f t="shared" si="4"/>
        <v>1.1666666666666667</v>
      </c>
      <c r="V143" s="55">
        <f t="shared" si="4"/>
        <v>0</v>
      </c>
      <c r="W143" s="56">
        <f t="shared" si="5"/>
        <v>11358.5</v>
      </c>
    </row>
    <row r="144" spans="1:23" x14ac:dyDescent="0.3">
      <c r="A144" s="13" t="str" cm="1">
        <f t="array" ref="A144:B144">INDEX(BenchmarkResults!$B$1:$D$35,SUMPRODUCT((T144&gt;=BenchmarkResults!$F$2:$F$35)*(mysql_hardware_log!T144&lt;BenchmarkResults!$G$2:$G$35)*ROW(BenchmarkResults!$F$2:$F$35)),{1,3})</f>
        <v>q1_top_cities</v>
      </c>
      <c r="B144" s="13">
        <v>3</v>
      </c>
      <c r="C144" s="16">
        <v>0</v>
      </c>
      <c r="D144" s="18">
        <v>1</v>
      </c>
      <c r="E144" s="16">
        <v>463104</v>
      </c>
      <c r="F144" s="13">
        <v>139812</v>
      </c>
      <c r="G144" s="13">
        <v>4788</v>
      </c>
      <c r="H144" s="18">
        <v>3586736</v>
      </c>
      <c r="I144" s="16">
        <v>0</v>
      </c>
      <c r="J144" s="18">
        <v>0</v>
      </c>
      <c r="K144" s="16">
        <v>12630</v>
      </c>
      <c r="L144" s="18">
        <v>19</v>
      </c>
      <c r="M144" s="16">
        <v>868</v>
      </c>
      <c r="N144" s="18">
        <v>300</v>
      </c>
      <c r="O144" s="16">
        <v>32</v>
      </c>
      <c r="P144" s="13">
        <v>2</v>
      </c>
      <c r="Q144" s="13">
        <v>65</v>
      </c>
      <c r="R144" s="13">
        <v>2</v>
      </c>
      <c r="S144" s="18">
        <v>0</v>
      </c>
      <c r="T144" s="21">
        <v>46247.343969907408</v>
      </c>
      <c r="U144" s="55">
        <f t="shared" si="4"/>
        <v>1</v>
      </c>
      <c r="V144" s="55">
        <f t="shared" si="4"/>
        <v>0.16666666666666666</v>
      </c>
      <c r="W144" s="56">
        <f t="shared" si="5"/>
        <v>11668.333333333334</v>
      </c>
    </row>
    <row r="145" spans="1:23" x14ac:dyDescent="0.3">
      <c r="A145" s="13" t="str" cm="1">
        <f t="array" ref="A145:B145">INDEX(BenchmarkResults!$B$1:$D$35,SUMPRODUCT((T145&gt;=BenchmarkResults!$F$2:$F$35)*(mysql_hardware_log!T145&lt;BenchmarkResults!$G$2:$G$35)*ROW(BenchmarkResults!$F$2:$F$35)),{1,3})</f>
        <v>q1_top_cities</v>
      </c>
      <c r="B145" s="13">
        <v>3</v>
      </c>
      <c r="C145" s="16">
        <v>1</v>
      </c>
      <c r="D145" s="18">
        <v>0</v>
      </c>
      <c r="E145" s="16">
        <v>463104</v>
      </c>
      <c r="F145" s="13">
        <v>111840</v>
      </c>
      <c r="G145" s="13">
        <v>4796</v>
      </c>
      <c r="H145" s="18">
        <v>3617872</v>
      </c>
      <c r="I145" s="16">
        <v>0</v>
      </c>
      <c r="J145" s="18">
        <v>0</v>
      </c>
      <c r="K145" s="16">
        <v>8472</v>
      </c>
      <c r="L145" s="18">
        <v>2</v>
      </c>
      <c r="M145" s="16">
        <v>833</v>
      </c>
      <c r="N145" s="18">
        <v>316</v>
      </c>
      <c r="O145" s="16">
        <v>32</v>
      </c>
      <c r="P145" s="13">
        <v>2</v>
      </c>
      <c r="Q145" s="13">
        <v>65</v>
      </c>
      <c r="R145" s="13">
        <v>1</v>
      </c>
      <c r="S145" s="18">
        <v>0</v>
      </c>
      <c r="T145" s="21">
        <v>46247.344085648147</v>
      </c>
      <c r="U145" s="55">
        <f t="shared" si="4"/>
        <v>1</v>
      </c>
      <c r="V145" s="55">
        <f t="shared" si="4"/>
        <v>0.16666666666666666</v>
      </c>
      <c r="W145" s="56">
        <f t="shared" si="5"/>
        <v>11255.833333333334</v>
      </c>
    </row>
    <row r="146" spans="1:23" x14ac:dyDescent="0.3">
      <c r="A146" s="13" t="str" cm="1">
        <f t="array" ref="A146:B146">INDEX(BenchmarkResults!$B$1:$D$35,SUMPRODUCT((T146&gt;=BenchmarkResults!$F$2:$F$35)*(mysql_hardware_log!T146&lt;BenchmarkResults!$G$2:$G$35)*ROW(BenchmarkResults!$F$2:$F$35)),{1,3})</f>
        <v>q1_top_cities</v>
      </c>
      <c r="B146" s="13">
        <v>3</v>
      </c>
      <c r="C146" s="16">
        <v>1</v>
      </c>
      <c r="D146" s="18">
        <v>0</v>
      </c>
      <c r="E146" s="16">
        <v>463104</v>
      </c>
      <c r="F146" s="13">
        <v>126708</v>
      </c>
      <c r="G146" s="13">
        <v>4804</v>
      </c>
      <c r="H146" s="18">
        <v>3602200</v>
      </c>
      <c r="I146" s="16">
        <v>0</v>
      </c>
      <c r="J146" s="18">
        <v>0</v>
      </c>
      <c r="K146" s="16">
        <v>9134</v>
      </c>
      <c r="L146" s="18">
        <v>2</v>
      </c>
      <c r="M146" s="16">
        <v>850</v>
      </c>
      <c r="N146" s="18">
        <v>319</v>
      </c>
      <c r="O146" s="16">
        <v>32</v>
      </c>
      <c r="P146" s="13">
        <v>2</v>
      </c>
      <c r="Q146" s="13">
        <v>64</v>
      </c>
      <c r="R146" s="13">
        <v>1</v>
      </c>
      <c r="S146" s="18">
        <v>0</v>
      </c>
      <c r="T146" s="21">
        <v>46247.344201388885</v>
      </c>
      <c r="U146" s="55">
        <f t="shared" si="4"/>
        <v>1</v>
      </c>
      <c r="V146" s="55">
        <f t="shared" si="4"/>
        <v>0.16666666666666666</v>
      </c>
      <c r="W146" s="56">
        <f t="shared" si="5"/>
        <v>10873.666666666666</v>
      </c>
    </row>
    <row r="147" spans="1:23" x14ac:dyDescent="0.3">
      <c r="A147" s="13" t="str" cm="1">
        <f t="array" ref="A147:B147">INDEX(BenchmarkResults!$B$1:$D$35,SUMPRODUCT((T147&gt;=BenchmarkResults!$F$2:$F$35)*(mysql_hardware_log!T147&lt;BenchmarkResults!$G$2:$G$35)*ROW(BenchmarkResults!$F$2:$F$35)),{1,3})</f>
        <v>q1_top_cities</v>
      </c>
      <c r="B147" s="13">
        <v>3</v>
      </c>
      <c r="C147" s="16">
        <v>1</v>
      </c>
      <c r="D147" s="18">
        <v>0</v>
      </c>
      <c r="E147" s="16">
        <v>463104</v>
      </c>
      <c r="F147" s="13">
        <v>165080</v>
      </c>
      <c r="G147" s="13">
        <v>4812</v>
      </c>
      <c r="H147" s="18">
        <v>3567536</v>
      </c>
      <c r="I147" s="16">
        <v>0</v>
      </c>
      <c r="J147" s="18">
        <v>0</v>
      </c>
      <c r="K147" s="16">
        <v>11506</v>
      </c>
      <c r="L147" s="18">
        <v>4</v>
      </c>
      <c r="M147" s="16">
        <v>905</v>
      </c>
      <c r="N147" s="18">
        <v>340</v>
      </c>
      <c r="O147" s="16">
        <v>32</v>
      </c>
      <c r="P147" s="13">
        <v>5</v>
      </c>
      <c r="Q147" s="13">
        <v>62</v>
      </c>
      <c r="R147" s="13">
        <v>1</v>
      </c>
      <c r="S147" s="18">
        <v>0</v>
      </c>
      <c r="T147" s="21">
        <v>46247.344317129631</v>
      </c>
      <c r="U147" s="55">
        <f t="shared" si="4"/>
        <v>1</v>
      </c>
      <c r="V147" s="55">
        <f t="shared" si="4"/>
        <v>0.16666666666666666</v>
      </c>
      <c r="W147" s="56">
        <f t="shared" si="5"/>
        <v>10929.666666666666</v>
      </c>
    </row>
    <row r="148" spans="1:23" x14ac:dyDescent="0.3">
      <c r="A148" s="13" t="str" cm="1">
        <f t="array" ref="A148:B148">INDEX(BenchmarkResults!$B$1:$D$35,SUMPRODUCT((T148&gt;=BenchmarkResults!$F$2:$F$35)*(mysql_hardware_log!T148&lt;BenchmarkResults!$G$2:$G$35)*ROW(BenchmarkResults!$F$2:$F$35)),{1,3})</f>
        <v>q1_top_cities</v>
      </c>
      <c r="B148" s="13">
        <v>3</v>
      </c>
      <c r="C148" s="16">
        <v>1</v>
      </c>
      <c r="D148" s="18">
        <v>0</v>
      </c>
      <c r="E148" s="16">
        <v>463104</v>
      </c>
      <c r="F148" s="13">
        <v>112916</v>
      </c>
      <c r="G148" s="13">
        <v>4820</v>
      </c>
      <c r="H148" s="18">
        <v>3614644</v>
      </c>
      <c r="I148" s="16">
        <v>0</v>
      </c>
      <c r="J148" s="18">
        <v>0</v>
      </c>
      <c r="K148" s="16">
        <v>9885</v>
      </c>
      <c r="L148" s="18">
        <v>2</v>
      </c>
      <c r="M148" s="16">
        <v>871</v>
      </c>
      <c r="N148" s="18">
        <v>342</v>
      </c>
      <c r="O148" s="16">
        <v>31</v>
      </c>
      <c r="P148" s="13">
        <v>3</v>
      </c>
      <c r="Q148" s="13">
        <v>65</v>
      </c>
      <c r="R148" s="13">
        <v>1</v>
      </c>
      <c r="S148" s="18">
        <v>0</v>
      </c>
      <c r="T148" s="21">
        <v>46247.34443287037</v>
      </c>
      <c r="U148" s="55">
        <f t="shared" si="4"/>
        <v>0.83333333333333337</v>
      </c>
      <c r="V148" s="55">
        <f t="shared" si="4"/>
        <v>0.16666666666666666</v>
      </c>
      <c r="W148" s="56">
        <f t="shared" si="5"/>
        <v>10532.166666666666</v>
      </c>
    </row>
    <row r="149" spans="1:23" x14ac:dyDescent="0.3">
      <c r="A149" s="13" t="str" cm="1">
        <f t="array" ref="A149:B149">INDEX(BenchmarkResults!$B$1:$D$35,SUMPRODUCT((T149&gt;=BenchmarkResults!$F$2:$F$35)*(mysql_hardware_log!T149&lt;BenchmarkResults!$G$2:$G$35)*ROW(BenchmarkResults!$F$2:$F$35)),{1,3})</f>
        <v>q1_top_cities</v>
      </c>
      <c r="B149" s="13">
        <v>3</v>
      </c>
      <c r="C149" s="16">
        <v>1</v>
      </c>
      <c r="D149" s="18">
        <v>0</v>
      </c>
      <c r="E149" s="16">
        <v>463104</v>
      </c>
      <c r="F149" s="13">
        <v>133156</v>
      </c>
      <c r="G149" s="13">
        <v>4828</v>
      </c>
      <c r="H149" s="18">
        <v>3601072</v>
      </c>
      <c r="I149" s="16">
        <v>4</v>
      </c>
      <c r="J149" s="18">
        <v>0</v>
      </c>
      <c r="K149" s="16">
        <v>8958</v>
      </c>
      <c r="L149" s="18">
        <v>3</v>
      </c>
      <c r="M149" s="16">
        <v>872</v>
      </c>
      <c r="N149" s="18">
        <v>323</v>
      </c>
      <c r="O149" s="16">
        <v>32</v>
      </c>
      <c r="P149" s="13">
        <v>3</v>
      </c>
      <c r="Q149" s="13">
        <v>62</v>
      </c>
      <c r="R149" s="13">
        <v>2</v>
      </c>
      <c r="S149" s="18">
        <v>1</v>
      </c>
      <c r="T149" s="21">
        <v>46247.344548611109</v>
      </c>
      <c r="U149" s="55">
        <f t="shared" si="4"/>
        <v>0.83333333333333337</v>
      </c>
      <c r="V149" s="55">
        <f t="shared" si="4"/>
        <v>0.16666666666666666</v>
      </c>
      <c r="W149" s="56">
        <f t="shared" si="5"/>
        <v>10097.5</v>
      </c>
    </row>
    <row r="150" spans="1:23" x14ac:dyDescent="0.3">
      <c r="A150" s="13" t="str" cm="1">
        <f t="array" ref="A150:B150">INDEX(BenchmarkResults!$B$1:$D$35,SUMPRODUCT((T150&gt;=BenchmarkResults!$F$2:$F$35)*(mysql_hardware_log!T150&lt;BenchmarkResults!$G$2:$G$35)*ROW(BenchmarkResults!$F$2:$F$35)),{1,3})</f>
        <v>q1_top_cities</v>
      </c>
      <c r="B150" s="13">
        <v>3</v>
      </c>
      <c r="C150" s="16">
        <v>1</v>
      </c>
      <c r="D150" s="18">
        <v>0</v>
      </c>
      <c r="E150" s="16">
        <v>463104</v>
      </c>
      <c r="F150" s="13">
        <v>122464</v>
      </c>
      <c r="G150" s="13">
        <v>4836</v>
      </c>
      <c r="H150" s="18">
        <v>3597532</v>
      </c>
      <c r="I150" s="16">
        <v>2</v>
      </c>
      <c r="J150" s="18">
        <v>0</v>
      </c>
      <c r="K150" s="16">
        <v>9892</v>
      </c>
      <c r="L150" s="18">
        <v>3</v>
      </c>
      <c r="M150" s="16">
        <v>880</v>
      </c>
      <c r="N150" s="18">
        <v>329</v>
      </c>
      <c r="O150" s="16">
        <v>31</v>
      </c>
      <c r="P150" s="13">
        <v>3</v>
      </c>
      <c r="Q150" s="13">
        <v>65</v>
      </c>
      <c r="R150" s="13">
        <v>1</v>
      </c>
      <c r="S150" s="18">
        <v>0</v>
      </c>
      <c r="T150" s="21">
        <v>46247.344664351855</v>
      </c>
      <c r="U150" s="55">
        <f t="shared" si="4"/>
        <v>1</v>
      </c>
      <c r="V150" s="55">
        <f t="shared" si="4"/>
        <v>0</v>
      </c>
      <c r="W150" s="56">
        <f t="shared" si="5"/>
        <v>9641.1666666666661</v>
      </c>
    </row>
    <row r="151" spans="1:23" x14ac:dyDescent="0.3">
      <c r="A151" s="13" t="str" cm="1">
        <f t="array" ref="A151:B151">INDEX(BenchmarkResults!$B$1:$D$35,SUMPRODUCT((T151&gt;=BenchmarkResults!$F$2:$F$35)*(mysql_hardware_log!T151&lt;BenchmarkResults!$G$2:$G$35)*ROW(BenchmarkResults!$F$2:$F$35)),{1,3})</f>
        <v>q1_top_cities</v>
      </c>
      <c r="B151" s="13">
        <v>3</v>
      </c>
      <c r="C151" s="16">
        <v>1</v>
      </c>
      <c r="D151" s="18">
        <v>0</v>
      </c>
      <c r="E151" s="16">
        <v>463104</v>
      </c>
      <c r="F151" s="13">
        <v>136112</v>
      </c>
      <c r="G151" s="13">
        <v>4844</v>
      </c>
      <c r="H151" s="18">
        <v>3594868</v>
      </c>
      <c r="I151" s="16">
        <v>0</v>
      </c>
      <c r="J151" s="18">
        <v>0</v>
      </c>
      <c r="K151" s="16">
        <v>10200</v>
      </c>
      <c r="L151" s="18">
        <v>2</v>
      </c>
      <c r="M151" s="16">
        <v>863</v>
      </c>
      <c r="N151" s="18">
        <v>312</v>
      </c>
      <c r="O151" s="16">
        <v>31</v>
      </c>
      <c r="P151" s="13">
        <v>2</v>
      </c>
      <c r="Q151" s="13">
        <v>65</v>
      </c>
      <c r="R151" s="13">
        <v>1</v>
      </c>
      <c r="S151" s="18">
        <v>0</v>
      </c>
      <c r="T151" s="21">
        <v>46247.344780092593</v>
      </c>
      <c r="U151" s="55">
        <f t="shared" si="4"/>
        <v>1</v>
      </c>
      <c r="V151" s="55">
        <f t="shared" si="4"/>
        <v>0</v>
      </c>
      <c r="W151" s="56">
        <f t="shared" si="5"/>
        <v>9929.1666666666661</v>
      </c>
    </row>
    <row r="152" spans="1:23" x14ac:dyDescent="0.3">
      <c r="A152" s="13" t="str" cm="1">
        <f t="array" ref="A152:B152">INDEX(BenchmarkResults!$B$1:$D$35,SUMPRODUCT((T152&gt;=BenchmarkResults!$F$2:$F$35)*(mysql_hardware_log!T152&lt;BenchmarkResults!$G$2:$G$35)*ROW(BenchmarkResults!$F$2:$F$35)),{1,3})</f>
        <v>q1_top_cities</v>
      </c>
      <c r="B152" s="13">
        <v>3</v>
      </c>
      <c r="C152" s="16">
        <v>1</v>
      </c>
      <c r="D152" s="18">
        <v>0</v>
      </c>
      <c r="E152" s="16">
        <v>463104</v>
      </c>
      <c r="F152" s="13">
        <v>139856</v>
      </c>
      <c r="G152" s="13">
        <v>4852</v>
      </c>
      <c r="H152" s="18">
        <v>3591460</v>
      </c>
      <c r="I152" s="16">
        <v>0</v>
      </c>
      <c r="J152" s="18">
        <v>0</v>
      </c>
      <c r="K152" s="16">
        <v>10290</v>
      </c>
      <c r="L152" s="18">
        <v>2</v>
      </c>
      <c r="M152" s="16">
        <v>859</v>
      </c>
      <c r="N152" s="18">
        <v>288</v>
      </c>
      <c r="O152" s="16">
        <v>32</v>
      </c>
      <c r="P152" s="13">
        <v>2</v>
      </c>
      <c r="Q152" s="13">
        <v>65</v>
      </c>
      <c r="R152" s="13">
        <v>1</v>
      </c>
      <c r="S152" s="18">
        <v>0</v>
      </c>
      <c r="T152" s="21">
        <v>46247.344895833332</v>
      </c>
      <c r="U152" s="55">
        <f t="shared" si="4"/>
        <v>1</v>
      </c>
      <c r="V152" s="55">
        <f t="shared" si="4"/>
        <v>0</v>
      </c>
      <c r="W152" s="56">
        <f t="shared" si="5"/>
        <v>10121.833333333334</v>
      </c>
    </row>
    <row r="153" spans="1:23" x14ac:dyDescent="0.3">
      <c r="A153" s="13" t="str" cm="1">
        <f t="array" ref="A153:B153">INDEX(BenchmarkResults!$B$1:$D$35,SUMPRODUCT((T153&gt;=BenchmarkResults!$F$2:$F$35)*(mysql_hardware_log!T153&lt;BenchmarkResults!$G$2:$G$35)*ROW(BenchmarkResults!$F$2:$F$35)),{1,3})</f>
        <v>q1_top_cities</v>
      </c>
      <c r="B153" s="13">
        <v>3</v>
      </c>
      <c r="C153" s="16">
        <v>1</v>
      </c>
      <c r="D153" s="18">
        <v>0</v>
      </c>
      <c r="E153" s="16">
        <v>463104</v>
      </c>
      <c r="F153" s="13">
        <v>153028</v>
      </c>
      <c r="G153" s="13">
        <v>4860</v>
      </c>
      <c r="H153" s="18">
        <v>3583720</v>
      </c>
      <c r="I153" s="16">
        <v>2</v>
      </c>
      <c r="J153" s="18">
        <v>0</v>
      </c>
      <c r="K153" s="16">
        <v>9766</v>
      </c>
      <c r="L153" s="18">
        <v>2</v>
      </c>
      <c r="M153" s="16">
        <v>846</v>
      </c>
      <c r="N153" s="18">
        <v>286</v>
      </c>
      <c r="O153" s="16">
        <v>32</v>
      </c>
      <c r="P153" s="13">
        <v>2</v>
      </c>
      <c r="Q153" s="13">
        <v>65</v>
      </c>
      <c r="R153" s="13">
        <v>1</v>
      </c>
      <c r="S153" s="18">
        <v>0</v>
      </c>
      <c r="T153" s="21">
        <v>46247.345011574071</v>
      </c>
      <c r="U153" s="55">
        <f t="shared" si="4"/>
        <v>1</v>
      </c>
      <c r="V153" s="55">
        <f t="shared" si="4"/>
        <v>0</v>
      </c>
      <c r="W153" s="56">
        <f t="shared" si="5"/>
        <v>9831.8333333333339</v>
      </c>
    </row>
    <row r="154" spans="1:23" x14ac:dyDescent="0.3">
      <c r="A154" s="13" t="str" cm="1">
        <f t="array" ref="A154:B154">INDEX(BenchmarkResults!$B$1:$D$35,SUMPRODUCT((T154&gt;=BenchmarkResults!$F$2:$F$35)*(mysql_hardware_log!T154&lt;BenchmarkResults!$G$2:$G$35)*ROW(BenchmarkResults!$F$2:$F$35)),{1,3})</f>
        <v>q1_top_cities</v>
      </c>
      <c r="B154" s="13">
        <v>3</v>
      </c>
      <c r="C154" s="16">
        <v>1</v>
      </c>
      <c r="D154" s="18">
        <v>0</v>
      </c>
      <c r="E154" s="16">
        <v>463104</v>
      </c>
      <c r="F154" s="13">
        <v>162560</v>
      </c>
      <c r="G154" s="13">
        <v>4868</v>
      </c>
      <c r="H154" s="18">
        <v>3570616</v>
      </c>
      <c r="I154" s="16">
        <v>0</v>
      </c>
      <c r="J154" s="18">
        <v>0</v>
      </c>
      <c r="K154" s="16">
        <v>9189</v>
      </c>
      <c r="L154" s="18">
        <v>2</v>
      </c>
      <c r="M154" s="16">
        <v>842</v>
      </c>
      <c r="N154" s="18">
        <v>287</v>
      </c>
      <c r="O154" s="16">
        <v>32</v>
      </c>
      <c r="P154" s="13">
        <v>2</v>
      </c>
      <c r="Q154" s="13">
        <v>64</v>
      </c>
      <c r="R154" s="13">
        <v>1</v>
      </c>
      <c r="S154" s="18">
        <v>0</v>
      </c>
      <c r="T154" s="21">
        <v>46247.345127314817</v>
      </c>
      <c r="U154" s="55">
        <f t="shared" si="4"/>
        <v>1</v>
      </c>
      <c r="V154" s="55">
        <f t="shared" si="4"/>
        <v>0</v>
      </c>
      <c r="W154" s="56">
        <f t="shared" si="5"/>
        <v>9715.8333333333339</v>
      </c>
    </row>
    <row r="155" spans="1:23" x14ac:dyDescent="0.3">
      <c r="A155" s="13" t="str" cm="1">
        <f t="array" ref="A155:B155">INDEX(BenchmarkResults!$B$1:$D$35,SUMPRODUCT((T155&gt;=BenchmarkResults!$F$2:$F$35)*(mysql_hardware_log!T155&lt;BenchmarkResults!$G$2:$G$35)*ROW(BenchmarkResults!$F$2:$F$35)),{1,3})</f>
        <v>q1_top_cities</v>
      </c>
      <c r="B155" s="13">
        <v>3</v>
      </c>
      <c r="C155" s="16">
        <v>1</v>
      </c>
      <c r="D155" s="18">
        <v>0</v>
      </c>
      <c r="E155" s="16">
        <v>463104</v>
      </c>
      <c r="F155" s="13">
        <v>115732</v>
      </c>
      <c r="G155" s="13">
        <v>4876</v>
      </c>
      <c r="H155" s="18">
        <v>3619512</v>
      </c>
      <c r="I155" s="16">
        <v>7</v>
      </c>
      <c r="J155" s="18">
        <v>0</v>
      </c>
      <c r="K155" s="16">
        <v>9890</v>
      </c>
      <c r="L155" s="18">
        <v>32</v>
      </c>
      <c r="M155" s="16">
        <v>868</v>
      </c>
      <c r="N155" s="18">
        <v>311</v>
      </c>
      <c r="O155" s="16">
        <v>33</v>
      </c>
      <c r="P155" s="13">
        <v>2</v>
      </c>
      <c r="Q155" s="13">
        <v>62</v>
      </c>
      <c r="R155" s="13">
        <v>2</v>
      </c>
      <c r="S155" s="18">
        <v>0</v>
      </c>
      <c r="T155" s="21">
        <v>46247.345243055555</v>
      </c>
      <c r="U155" s="55">
        <f t="shared" si="4"/>
        <v>1</v>
      </c>
      <c r="V155" s="55">
        <f t="shared" si="4"/>
        <v>0</v>
      </c>
      <c r="W155" s="56">
        <f t="shared" si="5"/>
        <v>9871.1666666666661</v>
      </c>
    </row>
    <row r="156" spans="1:23" x14ac:dyDescent="0.3">
      <c r="A156" s="13" t="str" cm="1">
        <f t="array" ref="A156:B156">INDEX(BenchmarkResults!$B$1:$D$35,SUMPRODUCT((T156&gt;=BenchmarkResults!$F$2:$F$35)*(mysql_hardware_log!T156&lt;BenchmarkResults!$G$2:$G$35)*ROW(BenchmarkResults!$F$2:$F$35)),{1,3})</f>
        <v>q1_top_cities</v>
      </c>
      <c r="B156" s="13">
        <v>3</v>
      </c>
      <c r="C156" s="16">
        <v>1</v>
      </c>
      <c r="D156" s="18">
        <v>0</v>
      </c>
      <c r="E156" s="16">
        <v>463104</v>
      </c>
      <c r="F156" s="13">
        <v>120832</v>
      </c>
      <c r="G156" s="13">
        <v>4892</v>
      </c>
      <c r="H156" s="18">
        <v>3616008</v>
      </c>
      <c r="I156" s="16">
        <v>0</v>
      </c>
      <c r="J156" s="18">
        <v>0</v>
      </c>
      <c r="K156" s="16">
        <v>10094</v>
      </c>
      <c r="L156" s="18">
        <v>8</v>
      </c>
      <c r="M156" s="16">
        <v>881</v>
      </c>
      <c r="N156" s="18">
        <v>363</v>
      </c>
      <c r="O156" s="16">
        <v>32</v>
      </c>
      <c r="P156" s="13">
        <v>2</v>
      </c>
      <c r="Q156" s="13">
        <v>64</v>
      </c>
      <c r="R156" s="13">
        <v>1</v>
      </c>
      <c r="S156" s="18">
        <v>0</v>
      </c>
      <c r="T156" s="21">
        <v>46247.345358796294</v>
      </c>
      <c r="U156" s="55">
        <f t="shared" si="4"/>
        <v>1</v>
      </c>
      <c r="V156" s="55">
        <f t="shared" si="4"/>
        <v>0</v>
      </c>
      <c r="W156" s="56">
        <f t="shared" si="5"/>
        <v>9904.8333333333339</v>
      </c>
    </row>
    <row r="157" spans="1:23" x14ac:dyDescent="0.3">
      <c r="A157" s="13" t="str" cm="1">
        <f t="array" ref="A157:B157">INDEX(BenchmarkResults!$B$1:$D$35,SUMPRODUCT((T157&gt;=BenchmarkResults!$F$2:$F$35)*(mysql_hardware_log!T157&lt;BenchmarkResults!$G$2:$G$35)*ROW(BenchmarkResults!$F$2:$F$35)),{1,3})</f>
        <v>q1_top_cities</v>
      </c>
      <c r="B157" s="13">
        <v>3</v>
      </c>
      <c r="C157" s="16">
        <v>1</v>
      </c>
      <c r="D157" s="18">
        <v>0</v>
      </c>
      <c r="E157" s="16">
        <v>463104</v>
      </c>
      <c r="F157" s="13">
        <v>161472</v>
      </c>
      <c r="G157" s="13">
        <v>4900</v>
      </c>
      <c r="H157" s="18">
        <v>3572540</v>
      </c>
      <c r="I157" s="16">
        <v>0</v>
      </c>
      <c r="J157" s="18">
        <v>0</v>
      </c>
      <c r="K157" s="16">
        <v>11242</v>
      </c>
      <c r="L157" s="18">
        <v>15</v>
      </c>
      <c r="M157" s="16">
        <v>859</v>
      </c>
      <c r="N157" s="18">
        <v>294</v>
      </c>
      <c r="O157" s="16">
        <v>32</v>
      </c>
      <c r="P157" s="13">
        <v>2</v>
      </c>
      <c r="Q157" s="13">
        <v>64</v>
      </c>
      <c r="R157" s="13">
        <v>1</v>
      </c>
      <c r="S157" s="18">
        <v>0</v>
      </c>
      <c r="T157" s="21">
        <v>46247.34547453704</v>
      </c>
      <c r="U157" s="55">
        <f t="shared" si="4"/>
        <v>1</v>
      </c>
      <c r="V157" s="55">
        <f t="shared" si="4"/>
        <v>0</v>
      </c>
      <c r="W157" s="56">
        <f t="shared" si="5"/>
        <v>10078.5</v>
      </c>
    </row>
    <row r="158" spans="1:23" x14ac:dyDescent="0.3">
      <c r="A158" s="13" t="str" cm="1">
        <f t="array" ref="A158:B158">INDEX(BenchmarkResults!$B$1:$D$35,SUMPRODUCT((T158&gt;=BenchmarkResults!$F$2:$F$35)*(mysql_hardware_log!T158&lt;BenchmarkResults!$G$2:$G$35)*ROW(BenchmarkResults!$F$2:$F$35)),{1,3})</f>
        <v>q1_top_cities</v>
      </c>
      <c r="B158" s="13">
        <v>3</v>
      </c>
      <c r="C158" s="16">
        <v>3</v>
      </c>
      <c r="D158" s="18">
        <v>0</v>
      </c>
      <c r="E158" s="16">
        <v>463104</v>
      </c>
      <c r="F158" s="13">
        <v>154164</v>
      </c>
      <c r="G158" s="13">
        <v>4908</v>
      </c>
      <c r="H158" s="18">
        <v>3582932</v>
      </c>
      <c r="I158" s="16">
        <v>0</v>
      </c>
      <c r="J158" s="18">
        <v>0</v>
      </c>
      <c r="K158" s="16">
        <v>11307</v>
      </c>
      <c r="L158" s="18">
        <v>2</v>
      </c>
      <c r="M158" s="16">
        <v>858</v>
      </c>
      <c r="N158" s="18">
        <v>315</v>
      </c>
      <c r="O158" s="16">
        <v>32</v>
      </c>
      <c r="P158" s="13">
        <v>2</v>
      </c>
      <c r="Q158" s="13">
        <v>65</v>
      </c>
      <c r="R158" s="13">
        <v>1</v>
      </c>
      <c r="S158" s="18">
        <v>0</v>
      </c>
      <c r="T158" s="21">
        <v>46247.345590277779</v>
      </c>
      <c r="U158" s="55">
        <f t="shared" si="4"/>
        <v>1.3333333333333333</v>
      </c>
      <c r="V158" s="55">
        <f t="shared" si="4"/>
        <v>0</v>
      </c>
      <c r="W158" s="56">
        <f t="shared" si="5"/>
        <v>10248</v>
      </c>
    </row>
    <row r="159" spans="1:23" x14ac:dyDescent="0.3">
      <c r="A159" s="13" t="str" cm="1">
        <f t="array" ref="A159:B159">INDEX(BenchmarkResults!$B$1:$D$35,SUMPRODUCT((T159&gt;=BenchmarkResults!$F$2:$F$35)*(mysql_hardware_log!T159&lt;BenchmarkResults!$G$2:$G$35)*ROW(BenchmarkResults!$F$2:$F$35)),{1,3})</f>
        <v>q1_top_cities</v>
      </c>
      <c r="B159" s="13">
        <v>3</v>
      </c>
      <c r="C159" s="16">
        <v>1</v>
      </c>
      <c r="D159" s="18">
        <v>0</v>
      </c>
      <c r="E159" s="16">
        <v>463104</v>
      </c>
      <c r="F159" s="13">
        <v>131836</v>
      </c>
      <c r="G159" s="13">
        <v>4916</v>
      </c>
      <c r="H159" s="18">
        <v>3600660</v>
      </c>
      <c r="I159" s="16">
        <v>0</v>
      </c>
      <c r="J159" s="18">
        <v>0</v>
      </c>
      <c r="K159" s="16">
        <v>10804</v>
      </c>
      <c r="L159" s="18">
        <v>4</v>
      </c>
      <c r="M159" s="16">
        <v>889</v>
      </c>
      <c r="N159" s="18">
        <v>331</v>
      </c>
      <c r="O159" s="16">
        <v>32</v>
      </c>
      <c r="P159" s="13">
        <v>2</v>
      </c>
      <c r="Q159" s="13">
        <v>64</v>
      </c>
      <c r="R159" s="13">
        <v>2</v>
      </c>
      <c r="S159" s="18">
        <v>0</v>
      </c>
      <c r="T159" s="21">
        <v>46247.345706018517</v>
      </c>
      <c r="U159" s="55">
        <f t="shared" si="4"/>
        <v>1.3333333333333333</v>
      </c>
      <c r="V159" s="55">
        <f t="shared" si="4"/>
        <v>0</v>
      </c>
      <c r="W159" s="56">
        <f t="shared" si="5"/>
        <v>10421</v>
      </c>
    </row>
    <row r="160" spans="1:23" x14ac:dyDescent="0.3">
      <c r="A160" s="13" t="str" cm="1">
        <f t="array" ref="A160:B160">INDEX(BenchmarkResults!$B$1:$D$35,SUMPRODUCT((T160&gt;=BenchmarkResults!$F$2:$F$35)*(mysql_hardware_log!T160&lt;BenchmarkResults!$G$2:$G$35)*ROW(BenchmarkResults!$F$2:$F$35)),{1,3})</f>
        <v>q1_top_cities</v>
      </c>
      <c r="B160" s="13">
        <v>3</v>
      </c>
      <c r="C160" s="16">
        <v>3</v>
      </c>
      <c r="D160" s="18">
        <v>0</v>
      </c>
      <c r="E160" s="16">
        <v>463104</v>
      </c>
      <c r="F160" s="13">
        <v>146336</v>
      </c>
      <c r="G160" s="13">
        <v>4924</v>
      </c>
      <c r="H160" s="18">
        <v>3590004</v>
      </c>
      <c r="I160" s="16">
        <v>0</v>
      </c>
      <c r="J160" s="18">
        <v>0</v>
      </c>
      <c r="K160" s="16">
        <v>9328</v>
      </c>
      <c r="L160" s="18">
        <v>2</v>
      </c>
      <c r="M160" s="16">
        <v>829</v>
      </c>
      <c r="N160" s="18">
        <v>285</v>
      </c>
      <c r="O160" s="16">
        <v>32</v>
      </c>
      <c r="P160" s="13">
        <v>2</v>
      </c>
      <c r="Q160" s="13">
        <v>65</v>
      </c>
      <c r="R160" s="13">
        <v>1</v>
      </c>
      <c r="S160" s="18">
        <v>0</v>
      </c>
      <c r="T160" s="21">
        <v>46247.345821759256</v>
      </c>
      <c r="U160" s="55">
        <f t="shared" si="4"/>
        <v>1.6666666666666667</v>
      </c>
      <c r="V160" s="55">
        <f t="shared" si="4"/>
        <v>0</v>
      </c>
      <c r="W160" s="56">
        <f t="shared" si="5"/>
        <v>10444.166666666666</v>
      </c>
    </row>
    <row r="161" spans="1:23" x14ac:dyDescent="0.3">
      <c r="A161" s="13" t="str" cm="1">
        <f t="array" ref="A161:B161">INDEX(BenchmarkResults!$B$1:$D$35,SUMPRODUCT((T161&gt;=BenchmarkResults!$F$2:$F$35)*(mysql_hardware_log!T161&lt;BenchmarkResults!$G$2:$G$35)*ROW(BenchmarkResults!$F$2:$F$35)),{1,3})</f>
        <v>q1_top_cities</v>
      </c>
      <c r="B161" s="13">
        <v>3</v>
      </c>
      <c r="C161" s="16">
        <v>2</v>
      </c>
      <c r="D161" s="18">
        <v>0</v>
      </c>
      <c r="E161" s="16">
        <v>463104</v>
      </c>
      <c r="F161" s="13">
        <v>132980</v>
      </c>
      <c r="G161" s="13">
        <v>4932</v>
      </c>
      <c r="H161" s="18">
        <v>3594788</v>
      </c>
      <c r="I161" s="16">
        <v>2</v>
      </c>
      <c r="J161" s="18">
        <v>0</v>
      </c>
      <c r="K161" s="16">
        <v>7840</v>
      </c>
      <c r="L161" s="18">
        <v>2</v>
      </c>
      <c r="M161" s="16">
        <v>838</v>
      </c>
      <c r="N161" s="18">
        <v>301</v>
      </c>
      <c r="O161" s="16">
        <v>31</v>
      </c>
      <c r="P161" s="13">
        <v>2</v>
      </c>
      <c r="Q161" s="13">
        <v>65</v>
      </c>
      <c r="R161" s="13">
        <v>1</v>
      </c>
      <c r="S161" s="18">
        <v>0</v>
      </c>
      <c r="T161" s="21">
        <v>46247.345937500002</v>
      </c>
      <c r="U161" s="55">
        <f t="shared" si="4"/>
        <v>1.8333333333333333</v>
      </c>
      <c r="V161" s="55">
        <f t="shared" si="4"/>
        <v>0</v>
      </c>
      <c r="W161" s="56">
        <f t="shared" si="5"/>
        <v>10102.5</v>
      </c>
    </row>
    <row r="162" spans="1:23" x14ac:dyDescent="0.3">
      <c r="A162" s="13" t="str" cm="1">
        <f t="array" ref="A162:B162">INDEX(BenchmarkResults!$B$1:$D$35,SUMPRODUCT((T162&gt;=BenchmarkResults!$F$2:$F$35)*(mysql_hardware_log!T162&lt;BenchmarkResults!$G$2:$G$35)*ROW(BenchmarkResults!$F$2:$F$35)),{1,3})</f>
        <v>q1_top_cities</v>
      </c>
      <c r="B162" s="13">
        <v>3</v>
      </c>
      <c r="C162" s="16">
        <v>1</v>
      </c>
      <c r="D162" s="18">
        <v>0</v>
      </c>
      <c r="E162" s="16">
        <v>463104</v>
      </c>
      <c r="F162" s="13">
        <v>133760</v>
      </c>
      <c r="G162" s="13">
        <v>4948</v>
      </c>
      <c r="H162" s="18">
        <v>3602260</v>
      </c>
      <c r="I162" s="16">
        <v>0</v>
      </c>
      <c r="J162" s="18">
        <v>0</v>
      </c>
      <c r="K162" s="16">
        <v>5920</v>
      </c>
      <c r="L162" s="18">
        <v>3</v>
      </c>
      <c r="M162" s="16">
        <v>825</v>
      </c>
      <c r="N162" s="18">
        <v>329</v>
      </c>
      <c r="O162" s="16">
        <v>32</v>
      </c>
      <c r="P162" s="13">
        <v>2</v>
      </c>
      <c r="Q162" s="13">
        <v>65</v>
      </c>
      <c r="R162" s="13">
        <v>1</v>
      </c>
      <c r="S162" s="18">
        <v>0</v>
      </c>
      <c r="T162" s="21">
        <v>46247.346053240741</v>
      </c>
      <c r="U162" s="55">
        <f t="shared" si="4"/>
        <v>1.8333333333333333</v>
      </c>
      <c r="V162" s="55">
        <f t="shared" si="4"/>
        <v>0</v>
      </c>
      <c r="W162" s="56">
        <f t="shared" si="5"/>
        <v>9406.8333333333339</v>
      </c>
    </row>
    <row r="163" spans="1:23" x14ac:dyDescent="0.3">
      <c r="A163" s="13" t="str" cm="1">
        <f t="array" ref="A163:B163">INDEX(BenchmarkResults!$B$1:$D$35,SUMPRODUCT((T163&gt;=BenchmarkResults!$F$2:$F$35)*(mysql_hardware_log!T163&lt;BenchmarkResults!$G$2:$G$35)*ROW(BenchmarkResults!$F$2:$F$35)),{1,3})</f>
        <v>q1_top_cities</v>
      </c>
      <c r="B163" s="13">
        <v>3</v>
      </c>
      <c r="C163" s="16">
        <v>1</v>
      </c>
      <c r="D163" s="18">
        <v>0</v>
      </c>
      <c r="E163" s="16">
        <v>463104</v>
      </c>
      <c r="F163" s="13">
        <v>106068</v>
      </c>
      <c r="G163" s="13">
        <v>4956</v>
      </c>
      <c r="H163" s="18">
        <v>3629948</v>
      </c>
      <c r="I163" s="16">
        <v>0</v>
      </c>
      <c r="J163" s="18">
        <v>0</v>
      </c>
      <c r="K163" s="16">
        <v>8874</v>
      </c>
      <c r="L163" s="18">
        <v>2</v>
      </c>
      <c r="M163" s="16">
        <v>864</v>
      </c>
      <c r="N163" s="18">
        <v>302</v>
      </c>
      <c r="O163" s="16">
        <v>33</v>
      </c>
      <c r="P163" s="13">
        <v>2</v>
      </c>
      <c r="Q163" s="13">
        <v>64</v>
      </c>
      <c r="R163" s="13">
        <v>1</v>
      </c>
      <c r="S163" s="18">
        <v>0</v>
      </c>
      <c r="T163" s="21">
        <v>46247.346168981479</v>
      </c>
      <c r="U163" s="55">
        <f t="shared" si="4"/>
        <v>1.8333333333333333</v>
      </c>
      <c r="V163" s="55">
        <f t="shared" si="4"/>
        <v>0</v>
      </c>
      <c r="W163" s="56">
        <f t="shared" si="5"/>
        <v>9012.1666666666661</v>
      </c>
    </row>
    <row r="164" spans="1:23" x14ac:dyDescent="0.3">
      <c r="A164" s="13" t="str" cm="1">
        <f t="array" ref="A164:B164">INDEX(BenchmarkResults!$B$1:$D$35,SUMPRODUCT((T164&gt;=BenchmarkResults!$F$2:$F$35)*(mysql_hardware_log!T164&lt;BenchmarkResults!$G$2:$G$35)*ROW(BenchmarkResults!$F$2:$F$35)),{1,3})</f>
        <v>q1_top_cities</v>
      </c>
      <c r="B164" s="13">
        <v>3</v>
      </c>
      <c r="C164" s="16">
        <v>1</v>
      </c>
      <c r="D164" s="18">
        <v>0</v>
      </c>
      <c r="E164" s="16">
        <v>463104</v>
      </c>
      <c r="F164" s="13">
        <v>133448</v>
      </c>
      <c r="G164" s="13">
        <v>4964</v>
      </c>
      <c r="H164" s="18">
        <v>3601188</v>
      </c>
      <c r="I164" s="16">
        <v>0</v>
      </c>
      <c r="J164" s="18">
        <v>0</v>
      </c>
      <c r="K164" s="16">
        <v>7564</v>
      </c>
      <c r="L164" s="18">
        <v>2</v>
      </c>
      <c r="M164" s="16">
        <v>842</v>
      </c>
      <c r="N164" s="18">
        <v>293</v>
      </c>
      <c r="O164" s="16">
        <v>32</v>
      </c>
      <c r="P164" s="13">
        <v>2</v>
      </c>
      <c r="Q164" s="13">
        <v>65</v>
      </c>
      <c r="R164" s="13">
        <v>1</v>
      </c>
      <c r="S164" s="18">
        <v>0</v>
      </c>
      <c r="T164" s="21">
        <v>46247.346284722225</v>
      </c>
      <c r="U164" s="55">
        <f t="shared" si="4"/>
        <v>1.5</v>
      </c>
      <c r="V164" s="55">
        <f t="shared" si="4"/>
        <v>0</v>
      </c>
      <c r="W164" s="56">
        <f t="shared" si="5"/>
        <v>8388.3333333333339</v>
      </c>
    </row>
    <row r="165" spans="1:23" x14ac:dyDescent="0.3">
      <c r="A165" s="13" t="str" cm="1">
        <f t="array" ref="A165:B165">INDEX(BenchmarkResults!$B$1:$D$35,SUMPRODUCT((T165&gt;=BenchmarkResults!$F$2:$F$35)*(mysql_hardware_log!T165&lt;BenchmarkResults!$G$2:$G$35)*ROW(BenchmarkResults!$F$2:$F$35)),{1,3})</f>
        <v>q1_top_cities</v>
      </c>
      <c r="B165" s="13">
        <v>3</v>
      </c>
      <c r="C165" s="16">
        <v>1</v>
      </c>
      <c r="D165" s="18">
        <v>0</v>
      </c>
      <c r="E165" s="16">
        <v>463104</v>
      </c>
      <c r="F165" s="13">
        <v>131712</v>
      </c>
      <c r="G165" s="13">
        <v>4972</v>
      </c>
      <c r="H165" s="18">
        <v>3603216</v>
      </c>
      <c r="I165" s="16">
        <v>0</v>
      </c>
      <c r="J165" s="18">
        <v>0</v>
      </c>
      <c r="K165" s="16">
        <v>200</v>
      </c>
      <c r="L165" s="18">
        <v>2</v>
      </c>
      <c r="M165" s="16">
        <v>725</v>
      </c>
      <c r="N165" s="18">
        <v>275</v>
      </c>
      <c r="O165" s="16">
        <v>33</v>
      </c>
      <c r="P165" s="13">
        <v>1</v>
      </c>
      <c r="Q165" s="13">
        <v>66</v>
      </c>
      <c r="R165" s="13">
        <v>0</v>
      </c>
      <c r="S165" s="18">
        <v>0</v>
      </c>
      <c r="T165" s="21">
        <v>46247.346400462964</v>
      </c>
      <c r="U165" s="55">
        <f t="shared" si="4"/>
        <v>1.5</v>
      </c>
      <c r="V165" s="55">
        <f t="shared" si="4"/>
        <v>0</v>
      </c>
      <c r="W165" s="56">
        <f t="shared" si="5"/>
        <v>6621</v>
      </c>
    </row>
    <row r="166" spans="1:23" x14ac:dyDescent="0.3">
      <c r="A166" s="13" t="str" cm="1">
        <f t="array" ref="A166:B166">INDEX(BenchmarkResults!$B$1:$D$35,SUMPRODUCT((T166&gt;=BenchmarkResults!$F$2:$F$35)*(mysql_hardware_log!T166&lt;BenchmarkResults!$G$2:$G$35)*ROW(BenchmarkResults!$F$2:$F$35)),{1,3})</f>
        <v>q1_top_cities</v>
      </c>
      <c r="B166" s="13">
        <v>3</v>
      </c>
      <c r="C166" s="16">
        <v>1</v>
      </c>
      <c r="D166" s="18">
        <v>0</v>
      </c>
      <c r="E166" s="16">
        <v>463104</v>
      </c>
      <c r="F166" s="13">
        <v>127932</v>
      </c>
      <c r="G166" s="13">
        <v>4988</v>
      </c>
      <c r="H166" s="18">
        <v>3605428</v>
      </c>
      <c r="I166" s="16">
        <v>0</v>
      </c>
      <c r="J166" s="18">
        <v>0</v>
      </c>
      <c r="K166" s="16">
        <v>221</v>
      </c>
      <c r="L166" s="18">
        <v>4</v>
      </c>
      <c r="M166" s="16">
        <v>727</v>
      </c>
      <c r="N166" s="18">
        <v>272</v>
      </c>
      <c r="O166" s="16">
        <v>33</v>
      </c>
      <c r="P166" s="13">
        <v>1</v>
      </c>
      <c r="Q166" s="13">
        <v>65</v>
      </c>
      <c r="R166" s="13">
        <v>0</v>
      </c>
      <c r="S166" s="18">
        <v>0</v>
      </c>
      <c r="T166" s="21">
        <v>46247.346516203703</v>
      </c>
      <c r="U166" s="55">
        <f t="shared" si="4"/>
        <v>1.1666666666666667</v>
      </c>
      <c r="V166" s="55">
        <f t="shared" si="4"/>
        <v>0</v>
      </c>
      <c r="W166" s="56">
        <f t="shared" si="5"/>
        <v>5103.166666666667</v>
      </c>
    </row>
    <row r="167" spans="1:23" x14ac:dyDescent="0.3">
      <c r="A167" s="13" t="str" cm="1">
        <f t="array" ref="A167:B167">INDEX(BenchmarkResults!$B$1:$D$35,SUMPRODUCT((T167&gt;=BenchmarkResults!$F$2:$F$35)*(mysql_hardware_log!T167&lt;BenchmarkResults!$G$2:$G$35)*ROW(BenchmarkResults!$F$2:$F$35)),{1,3})</f>
        <v>q1_top_cities</v>
      </c>
      <c r="B167" s="13">
        <v>3</v>
      </c>
      <c r="C167" s="16">
        <v>1</v>
      </c>
      <c r="D167" s="18">
        <v>0</v>
      </c>
      <c r="E167" s="16">
        <v>463104</v>
      </c>
      <c r="F167" s="13">
        <v>116948</v>
      </c>
      <c r="G167" s="13">
        <v>4996</v>
      </c>
      <c r="H167" s="18">
        <v>3615704</v>
      </c>
      <c r="I167" s="16">
        <v>0</v>
      </c>
      <c r="J167" s="18">
        <v>0</v>
      </c>
      <c r="K167" s="16">
        <v>11626</v>
      </c>
      <c r="L167" s="18">
        <v>6</v>
      </c>
      <c r="M167" s="16">
        <v>910</v>
      </c>
      <c r="N167" s="18">
        <v>351</v>
      </c>
      <c r="O167" s="16">
        <v>32</v>
      </c>
      <c r="P167" s="13">
        <v>2</v>
      </c>
      <c r="Q167" s="13">
        <v>64</v>
      </c>
      <c r="R167" s="13">
        <v>1</v>
      </c>
      <c r="S167" s="18">
        <v>0</v>
      </c>
      <c r="T167" s="21">
        <v>46247.346631944441</v>
      </c>
      <c r="U167" s="55">
        <f t="shared" si="4"/>
        <v>1</v>
      </c>
      <c r="V167" s="55">
        <f t="shared" si="4"/>
        <v>0</v>
      </c>
      <c r="W167" s="56">
        <f t="shared" si="5"/>
        <v>5734.166666666667</v>
      </c>
    </row>
    <row r="168" spans="1:23" x14ac:dyDescent="0.3">
      <c r="A168" s="13" t="str" cm="1">
        <f t="array" ref="A168:B168">INDEX(BenchmarkResults!$B$1:$D$35,SUMPRODUCT((T168&gt;=BenchmarkResults!$F$2:$F$35)*(mysql_hardware_log!T168&lt;BenchmarkResults!$G$2:$G$35)*ROW(BenchmarkResults!$F$2:$F$35)),{1,3})</f>
        <v>q1_top_cities</v>
      </c>
      <c r="B168" s="13">
        <v>3</v>
      </c>
      <c r="C168" s="16">
        <v>1</v>
      </c>
      <c r="D168" s="18">
        <v>0</v>
      </c>
      <c r="E168" s="16">
        <v>463104</v>
      </c>
      <c r="F168" s="13">
        <v>155492</v>
      </c>
      <c r="G168" s="13">
        <v>5004</v>
      </c>
      <c r="H168" s="18">
        <v>3581808</v>
      </c>
      <c r="I168" s="16">
        <v>0</v>
      </c>
      <c r="J168" s="18">
        <v>0</v>
      </c>
      <c r="K168" s="16">
        <v>12282</v>
      </c>
      <c r="L168" s="18">
        <v>2</v>
      </c>
      <c r="M168" s="16">
        <v>890</v>
      </c>
      <c r="N168" s="18">
        <v>335</v>
      </c>
      <c r="O168" s="16">
        <v>31</v>
      </c>
      <c r="P168" s="13">
        <v>2</v>
      </c>
      <c r="Q168" s="13">
        <v>64</v>
      </c>
      <c r="R168" s="13">
        <v>2</v>
      </c>
      <c r="S168" s="18">
        <v>0</v>
      </c>
      <c r="T168" s="21">
        <v>46247.346747685187</v>
      </c>
      <c r="U168" s="55">
        <f t="shared" si="4"/>
        <v>1</v>
      </c>
      <c r="V168" s="55">
        <f t="shared" si="4"/>
        <v>0</v>
      </c>
      <c r="W168" s="56">
        <f t="shared" si="5"/>
        <v>6794.5</v>
      </c>
    </row>
    <row r="169" spans="1:23" x14ac:dyDescent="0.3">
      <c r="A169" s="13" t="str" cm="1">
        <f t="array" ref="A169:B169">INDEX(BenchmarkResults!$B$1:$D$35,SUMPRODUCT((T169&gt;=BenchmarkResults!$F$2:$F$35)*(mysql_hardware_log!T169&lt;BenchmarkResults!$G$2:$G$35)*ROW(BenchmarkResults!$F$2:$F$35)),{1,3})</f>
        <v>q1_top_cities</v>
      </c>
      <c r="B169" s="13">
        <v>3</v>
      </c>
      <c r="C169" s="16">
        <v>1</v>
      </c>
      <c r="D169" s="18">
        <v>0</v>
      </c>
      <c r="E169" s="16">
        <v>463104</v>
      </c>
      <c r="F169" s="13">
        <v>106088</v>
      </c>
      <c r="G169" s="13">
        <v>5012</v>
      </c>
      <c r="H169" s="18">
        <v>3603600</v>
      </c>
      <c r="I169" s="16">
        <v>0</v>
      </c>
      <c r="J169" s="18">
        <v>0</v>
      </c>
      <c r="K169" s="16">
        <v>12595</v>
      </c>
      <c r="L169" s="18">
        <v>16</v>
      </c>
      <c r="M169" s="16">
        <v>936</v>
      </c>
      <c r="N169" s="18">
        <v>369</v>
      </c>
      <c r="O169" s="16">
        <v>32</v>
      </c>
      <c r="P169" s="13">
        <v>3</v>
      </c>
      <c r="Q169" s="13">
        <v>64</v>
      </c>
      <c r="R169" s="13">
        <v>1</v>
      </c>
      <c r="S169" s="18">
        <v>0</v>
      </c>
      <c r="T169" s="21">
        <v>46247.346863425926</v>
      </c>
      <c r="U169" s="55">
        <f t="shared" si="4"/>
        <v>1</v>
      </c>
      <c r="V169" s="55">
        <f t="shared" si="4"/>
        <v>0</v>
      </c>
      <c r="W169" s="56">
        <f t="shared" si="5"/>
        <v>7414.666666666667</v>
      </c>
    </row>
    <row r="170" spans="1:23" x14ac:dyDescent="0.3">
      <c r="A170" s="13" t="str" cm="1">
        <f t="array" ref="A170:B170">INDEX(BenchmarkResults!$B$1:$D$35,SUMPRODUCT((T170&gt;=BenchmarkResults!$F$2:$F$35)*(mysql_hardware_log!T170&lt;BenchmarkResults!$G$2:$G$35)*ROW(BenchmarkResults!$F$2:$F$35)),{1,3})</f>
        <v>q1_top_cities</v>
      </c>
      <c r="B170" s="13">
        <v>3</v>
      </c>
      <c r="C170" s="16">
        <v>1</v>
      </c>
      <c r="D170" s="18">
        <v>0</v>
      </c>
      <c r="E170" s="16">
        <v>463104</v>
      </c>
      <c r="F170" s="13">
        <v>107808</v>
      </c>
      <c r="G170" s="13">
        <v>5020</v>
      </c>
      <c r="H170" s="18">
        <v>3628896</v>
      </c>
      <c r="I170" s="16">
        <v>0</v>
      </c>
      <c r="J170" s="18">
        <v>0</v>
      </c>
      <c r="K170" s="16">
        <v>13107</v>
      </c>
      <c r="L170" s="18">
        <v>4</v>
      </c>
      <c r="M170" s="16">
        <v>914</v>
      </c>
      <c r="N170" s="18">
        <v>325</v>
      </c>
      <c r="O170" s="16">
        <v>31</v>
      </c>
      <c r="P170" s="13">
        <v>2</v>
      </c>
      <c r="Q170" s="13">
        <v>64</v>
      </c>
      <c r="R170" s="13">
        <v>2</v>
      </c>
      <c r="S170" s="18">
        <v>0</v>
      </c>
      <c r="T170" s="21">
        <v>46247.346979166665</v>
      </c>
      <c r="U170" s="55">
        <f t="shared" si="4"/>
        <v>1</v>
      </c>
      <c r="V170" s="55">
        <f t="shared" si="4"/>
        <v>0</v>
      </c>
      <c r="W170" s="56">
        <f t="shared" si="5"/>
        <v>8338.5</v>
      </c>
    </row>
    <row r="171" spans="1:23" x14ac:dyDescent="0.3">
      <c r="A171" s="13" t="str" cm="1">
        <f t="array" ref="A171:B171">INDEX(BenchmarkResults!$B$1:$D$35,SUMPRODUCT((T171&gt;=BenchmarkResults!$F$2:$F$35)*(mysql_hardware_log!T171&lt;BenchmarkResults!$G$2:$G$35)*ROW(BenchmarkResults!$F$2:$F$35)),{1,3})</f>
        <v>q1_top_cities</v>
      </c>
      <c r="B171" s="13">
        <v>3</v>
      </c>
      <c r="C171" s="16">
        <v>1</v>
      </c>
      <c r="D171" s="18">
        <v>0</v>
      </c>
      <c r="E171" s="16">
        <v>463104</v>
      </c>
      <c r="F171" s="13">
        <v>142208</v>
      </c>
      <c r="G171" s="13">
        <v>5028</v>
      </c>
      <c r="H171" s="18">
        <v>3592952</v>
      </c>
      <c r="I171" s="16">
        <v>0</v>
      </c>
      <c r="J171" s="18">
        <v>0</v>
      </c>
      <c r="K171" s="16">
        <v>12377</v>
      </c>
      <c r="L171" s="18">
        <v>2</v>
      </c>
      <c r="M171" s="16">
        <v>894</v>
      </c>
      <c r="N171" s="18">
        <v>317</v>
      </c>
      <c r="O171" s="16">
        <v>32</v>
      </c>
      <c r="P171" s="13">
        <v>3</v>
      </c>
      <c r="Q171" s="13">
        <v>64</v>
      </c>
      <c r="R171" s="13">
        <v>1</v>
      </c>
      <c r="S171" s="18">
        <v>0</v>
      </c>
      <c r="T171" s="21">
        <v>46247.347094907411</v>
      </c>
      <c r="U171" s="55">
        <f t="shared" si="4"/>
        <v>1</v>
      </c>
      <c r="V171" s="55">
        <f t="shared" si="4"/>
        <v>0</v>
      </c>
      <c r="W171" s="56">
        <f t="shared" si="5"/>
        <v>10368</v>
      </c>
    </row>
    <row r="172" spans="1:23" x14ac:dyDescent="0.3">
      <c r="A172" s="13" t="str" cm="1">
        <f t="array" ref="A172:B172">INDEX(BenchmarkResults!$B$1:$D$35,SUMPRODUCT((T172&gt;=BenchmarkResults!$F$2:$F$35)*(mysql_hardware_log!T172&lt;BenchmarkResults!$G$2:$G$35)*ROW(BenchmarkResults!$F$2:$F$35)),{1,3})</f>
        <v>q1_top_cities</v>
      </c>
      <c r="B172" s="13">
        <v>3</v>
      </c>
      <c r="C172" s="16">
        <v>0</v>
      </c>
      <c r="D172" s="18">
        <v>1</v>
      </c>
      <c r="E172" s="16">
        <v>462848</v>
      </c>
      <c r="F172" s="13">
        <v>126332</v>
      </c>
      <c r="G172" s="13">
        <v>5036</v>
      </c>
      <c r="H172" s="18">
        <v>3612740</v>
      </c>
      <c r="I172" s="16">
        <v>3</v>
      </c>
      <c r="J172" s="18">
        <v>0</v>
      </c>
      <c r="K172" s="16">
        <v>12707</v>
      </c>
      <c r="L172" s="18">
        <v>2</v>
      </c>
      <c r="M172" s="16">
        <v>882</v>
      </c>
      <c r="N172" s="18">
        <v>317</v>
      </c>
      <c r="O172" s="16">
        <v>32</v>
      </c>
      <c r="P172" s="13">
        <v>2</v>
      </c>
      <c r="Q172" s="13">
        <v>65</v>
      </c>
      <c r="R172" s="13">
        <v>1</v>
      </c>
      <c r="S172" s="18">
        <v>0</v>
      </c>
      <c r="T172" s="21">
        <v>46247.347210648149</v>
      </c>
      <c r="U172" s="55">
        <f t="shared" si="4"/>
        <v>0.83333333333333337</v>
      </c>
      <c r="V172" s="55">
        <f t="shared" si="4"/>
        <v>0.16666666666666666</v>
      </c>
      <c r="W172" s="56">
        <f t="shared" si="5"/>
        <v>12449</v>
      </c>
    </row>
    <row r="173" spans="1:23" x14ac:dyDescent="0.3">
      <c r="A173" s="13" t="str" cm="1">
        <f t="array" ref="A173:B173">INDEX(BenchmarkResults!$B$1:$D$35,SUMPRODUCT((T173&gt;=BenchmarkResults!$F$2:$F$35)*(mysql_hardware_log!T173&lt;BenchmarkResults!$G$2:$G$35)*ROW(BenchmarkResults!$F$2:$F$35)),{1,3})</f>
        <v>q1_top_cities</v>
      </c>
      <c r="B173" s="13">
        <v>3</v>
      </c>
      <c r="C173" s="16">
        <v>1</v>
      </c>
      <c r="D173" s="18">
        <v>0</v>
      </c>
      <c r="E173" s="16">
        <v>462848</v>
      </c>
      <c r="F173" s="13">
        <v>106964</v>
      </c>
      <c r="G173" s="13">
        <v>5044</v>
      </c>
      <c r="H173" s="18">
        <v>3601676</v>
      </c>
      <c r="I173" s="16">
        <v>0</v>
      </c>
      <c r="J173" s="18">
        <v>0</v>
      </c>
      <c r="K173" s="16">
        <v>12060</v>
      </c>
      <c r="L173" s="18">
        <v>2</v>
      </c>
      <c r="M173" s="16">
        <v>895</v>
      </c>
      <c r="N173" s="18">
        <v>334</v>
      </c>
      <c r="O173" s="16">
        <v>32</v>
      </c>
      <c r="P173" s="13">
        <v>3</v>
      </c>
      <c r="Q173" s="13">
        <v>63</v>
      </c>
      <c r="R173" s="13">
        <v>1</v>
      </c>
      <c r="S173" s="18">
        <v>0</v>
      </c>
      <c r="T173" s="21">
        <v>46247.347326388888</v>
      </c>
      <c r="U173" s="55">
        <f t="shared" si="4"/>
        <v>0.83333333333333337</v>
      </c>
      <c r="V173" s="55">
        <f t="shared" si="4"/>
        <v>0.16666666666666666</v>
      </c>
      <c r="W173" s="56">
        <f t="shared" si="5"/>
        <v>12521.333333333334</v>
      </c>
    </row>
    <row r="174" spans="1:23" x14ac:dyDescent="0.3">
      <c r="A174" s="13" t="str" cm="1">
        <f t="array" ref="A174:B174">INDEX(BenchmarkResults!$B$1:$D$35,SUMPRODUCT((T174&gt;=BenchmarkResults!$F$2:$F$35)*(mysql_hardware_log!T174&lt;BenchmarkResults!$G$2:$G$35)*ROW(BenchmarkResults!$F$2:$F$35)),{1,3})</f>
        <v>q1_top_cities</v>
      </c>
      <c r="B174" s="13">
        <v>3</v>
      </c>
      <c r="C174" s="16">
        <v>1</v>
      </c>
      <c r="D174" s="18">
        <v>0</v>
      </c>
      <c r="E174" s="16">
        <v>462848</v>
      </c>
      <c r="F174" s="13">
        <v>128532</v>
      </c>
      <c r="G174" s="13">
        <v>5052</v>
      </c>
      <c r="H174" s="18">
        <v>3581340</v>
      </c>
      <c r="I174" s="16">
        <v>0</v>
      </c>
      <c r="J174" s="18">
        <v>0</v>
      </c>
      <c r="K174" s="16">
        <v>11402</v>
      </c>
      <c r="L174" s="18">
        <v>2</v>
      </c>
      <c r="M174" s="16">
        <v>899</v>
      </c>
      <c r="N174" s="18">
        <v>353</v>
      </c>
      <c r="O174" s="16">
        <v>31</v>
      </c>
      <c r="P174" s="13">
        <v>4</v>
      </c>
      <c r="Q174" s="13">
        <v>64</v>
      </c>
      <c r="R174" s="13">
        <v>1</v>
      </c>
      <c r="S174" s="18">
        <v>0</v>
      </c>
      <c r="T174" s="21">
        <v>46247.347442129627</v>
      </c>
      <c r="U174" s="55">
        <f t="shared" si="4"/>
        <v>0.83333333333333337</v>
      </c>
      <c r="V174" s="55">
        <f t="shared" si="4"/>
        <v>0.16666666666666666</v>
      </c>
      <c r="W174" s="56">
        <f t="shared" si="5"/>
        <v>12374.666666666666</v>
      </c>
    </row>
    <row r="175" spans="1:23" x14ac:dyDescent="0.3">
      <c r="A175" s="13" t="str" cm="1">
        <f t="array" ref="A175:B175">INDEX(BenchmarkResults!$B$1:$D$35,SUMPRODUCT((T175&gt;=BenchmarkResults!$F$2:$F$35)*(mysql_hardware_log!T175&lt;BenchmarkResults!$G$2:$G$35)*ROW(BenchmarkResults!$F$2:$F$35)),{1,3})</f>
        <v>q1_top_cities</v>
      </c>
      <c r="B175" s="13">
        <v>3</v>
      </c>
      <c r="C175" s="16">
        <v>1</v>
      </c>
      <c r="D175" s="18">
        <v>0</v>
      </c>
      <c r="E175" s="16">
        <v>462848</v>
      </c>
      <c r="F175" s="13">
        <v>152348</v>
      </c>
      <c r="G175" s="13">
        <v>5060</v>
      </c>
      <c r="H175" s="18">
        <v>3583756</v>
      </c>
      <c r="I175" s="16">
        <v>0</v>
      </c>
      <c r="J175" s="18">
        <v>0</v>
      </c>
      <c r="K175" s="16">
        <v>11722</v>
      </c>
      <c r="L175" s="18">
        <v>2</v>
      </c>
      <c r="M175" s="16">
        <v>871</v>
      </c>
      <c r="N175" s="18">
        <v>313</v>
      </c>
      <c r="O175" s="16">
        <v>32</v>
      </c>
      <c r="P175" s="13">
        <v>2</v>
      </c>
      <c r="Q175" s="13">
        <v>64</v>
      </c>
      <c r="R175" s="13">
        <v>1</v>
      </c>
      <c r="S175" s="18">
        <v>0</v>
      </c>
      <c r="T175" s="21">
        <v>46247.347557870373</v>
      </c>
      <c r="U175" s="55">
        <f t="shared" si="4"/>
        <v>0.83333333333333337</v>
      </c>
      <c r="V175" s="55">
        <f t="shared" si="4"/>
        <v>0.16666666666666666</v>
      </c>
      <c r="W175" s="56">
        <f t="shared" si="5"/>
        <v>12229.166666666666</v>
      </c>
    </row>
    <row r="176" spans="1:23" x14ac:dyDescent="0.3">
      <c r="A176" s="13" t="str" cm="1">
        <f t="array" ref="A176:B176">INDEX(BenchmarkResults!$B$1:$D$35,SUMPRODUCT((T176&gt;=BenchmarkResults!$F$2:$F$35)*(mysql_hardware_log!T176&lt;BenchmarkResults!$G$2:$G$35)*ROW(BenchmarkResults!$F$2:$F$35)),{1,3})</f>
        <v>q1_top_cities</v>
      </c>
      <c r="B176" s="13">
        <v>3</v>
      </c>
      <c r="C176" s="16">
        <v>1</v>
      </c>
      <c r="D176" s="18">
        <v>0</v>
      </c>
      <c r="E176" s="16">
        <v>462848</v>
      </c>
      <c r="F176" s="13">
        <v>127848</v>
      </c>
      <c r="G176" s="13">
        <v>5068</v>
      </c>
      <c r="H176" s="18">
        <v>3612096</v>
      </c>
      <c r="I176" s="16">
        <v>0</v>
      </c>
      <c r="J176" s="18">
        <v>0</v>
      </c>
      <c r="K176" s="16">
        <v>11885</v>
      </c>
      <c r="L176" s="18">
        <v>2</v>
      </c>
      <c r="M176" s="16">
        <v>893</v>
      </c>
      <c r="N176" s="18">
        <v>336</v>
      </c>
      <c r="O176" s="16">
        <v>32</v>
      </c>
      <c r="P176" s="13">
        <v>2</v>
      </c>
      <c r="Q176" s="13">
        <v>65</v>
      </c>
      <c r="R176" s="13">
        <v>1</v>
      </c>
      <c r="S176" s="18">
        <v>0</v>
      </c>
      <c r="T176" s="21">
        <v>46247.347673611112</v>
      </c>
      <c r="U176" s="55">
        <f t="shared" si="4"/>
        <v>0.83333333333333337</v>
      </c>
      <c r="V176" s="55">
        <f t="shared" si="4"/>
        <v>0.16666666666666666</v>
      </c>
      <c r="W176" s="56">
        <f t="shared" si="5"/>
        <v>12025.5</v>
      </c>
    </row>
    <row r="177" spans="1:23" x14ac:dyDescent="0.3">
      <c r="A177" s="13" t="str" cm="1">
        <f t="array" ref="A177:B177">INDEX(BenchmarkResults!$B$1:$D$35,SUMPRODUCT((T177&gt;=BenchmarkResults!$F$2:$F$35)*(mysql_hardware_log!T177&lt;BenchmarkResults!$G$2:$G$35)*ROW(BenchmarkResults!$F$2:$F$35)),{1,3})</f>
        <v>q1_top_cities</v>
      </c>
      <c r="B177" s="13">
        <v>3</v>
      </c>
      <c r="C177" s="16">
        <v>1</v>
      </c>
      <c r="D177" s="18">
        <v>0</v>
      </c>
      <c r="E177" s="16">
        <v>462848</v>
      </c>
      <c r="F177" s="13">
        <v>160512</v>
      </c>
      <c r="G177" s="13">
        <v>5076</v>
      </c>
      <c r="H177" s="18">
        <v>3576716</v>
      </c>
      <c r="I177" s="16">
        <v>0</v>
      </c>
      <c r="J177" s="18">
        <v>0</v>
      </c>
      <c r="K177" s="16">
        <v>12180</v>
      </c>
      <c r="L177" s="18">
        <v>2</v>
      </c>
      <c r="M177" s="16">
        <v>878</v>
      </c>
      <c r="N177" s="18">
        <v>319</v>
      </c>
      <c r="O177" s="16">
        <v>32</v>
      </c>
      <c r="P177" s="13">
        <v>3</v>
      </c>
      <c r="Q177" s="13">
        <v>64</v>
      </c>
      <c r="R177" s="13">
        <v>1</v>
      </c>
      <c r="S177" s="18">
        <v>0</v>
      </c>
      <c r="T177" s="21">
        <v>46247.34778935185</v>
      </c>
      <c r="U177" s="55">
        <f t="shared" si="4"/>
        <v>0.83333333333333337</v>
      </c>
      <c r="V177" s="55">
        <f t="shared" si="4"/>
        <v>0.16666666666666666</v>
      </c>
      <c r="W177" s="56">
        <f t="shared" si="5"/>
        <v>11992.666666666666</v>
      </c>
    </row>
    <row r="178" spans="1:23" x14ac:dyDescent="0.3">
      <c r="A178" s="13" t="str" cm="1">
        <f t="array" ref="A178:B178">INDEX(BenchmarkResults!$B$1:$D$35,SUMPRODUCT((T178&gt;=BenchmarkResults!$F$2:$F$35)*(mysql_hardware_log!T178&lt;BenchmarkResults!$G$2:$G$35)*ROW(BenchmarkResults!$F$2:$F$35)),{1,3})</f>
        <v>q1_top_cities</v>
      </c>
      <c r="B178" s="13">
        <v>3</v>
      </c>
      <c r="C178" s="16">
        <v>1</v>
      </c>
      <c r="D178" s="18">
        <v>0</v>
      </c>
      <c r="E178" s="16">
        <v>462848</v>
      </c>
      <c r="F178" s="13">
        <v>150332</v>
      </c>
      <c r="G178" s="13">
        <v>5084</v>
      </c>
      <c r="H178" s="18">
        <v>3587616</v>
      </c>
      <c r="I178" s="16">
        <v>0</v>
      </c>
      <c r="J178" s="18">
        <v>0</v>
      </c>
      <c r="K178" s="16">
        <v>11638</v>
      </c>
      <c r="L178" s="18">
        <v>6</v>
      </c>
      <c r="M178" s="16">
        <v>907</v>
      </c>
      <c r="N178" s="18">
        <v>340</v>
      </c>
      <c r="O178" s="16">
        <v>32</v>
      </c>
      <c r="P178" s="13">
        <v>2</v>
      </c>
      <c r="Q178" s="13">
        <v>65</v>
      </c>
      <c r="R178" s="13">
        <v>1</v>
      </c>
      <c r="S178" s="18">
        <v>0</v>
      </c>
      <c r="T178" s="21">
        <v>46247.347905092596</v>
      </c>
      <c r="U178" s="55">
        <f t="shared" si="4"/>
        <v>1</v>
      </c>
      <c r="V178" s="55">
        <f t="shared" si="4"/>
        <v>0</v>
      </c>
      <c r="W178" s="56">
        <f t="shared" si="5"/>
        <v>11814.5</v>
      </c>
    </row>
    <row r="179" spans="1:23" x14ac:dyDescent="0.3">
      <c r="A179" s="13" t="str" cm="1">
        <f t="array" ref="A179:B179">INDEX(BenchmarkResults!$B$1:$D$35,SUMPRODUCT((T179&gt;=BenchmarkResults!$F$2:$F$35)*(mysql_hardware_log!T179&lt;BenchmarkResults!$G$2:$G$35)*ROW(BenchmarkResults!$F$2:$F$35)),{1,3})</f>
        <v>q1_top_cities</v>
      </c>
      <c r="B179" s="13">
        <v>3</v>
      </c>
      <c r="C179" s="16">
        <v>1</v>
      </c>
      <c r="D179" s="18">
        <v>0</v>
      </c>
      <c r="E179" s="16">
        <v>462848</v>
      </c>
      <c r="F179" s="13">
        <v>135704</v>
      </c>
      <c r="G179" s="13">
        <v>5092</v>
      </c>
      <c r="H179" s="18">
        <v>3596520</v>
      </c>
      <c r="I179" s="16">
        <v>0</v>
      </c>
      <c r="J179" s="18">
        <v>0</v>
      </c>
      <c r="K179" s="16">
        <v>11625</v>
      </c>
      <c r="L179" s="18">
        <v>3</v>
      </c>
      <c r="M179" s="16">
        <v>893</v>
      </c>
      <c r="N179" s="18">
        <v>304</v>
      </c>
      <c r="O179" s="16">
        <v>32</v>
      </c>
      <c r="P179" s="13">
        <v>2</v>
      </c>
      <c r="Q179" s="13">
        <v>65</v>
      </c>
      <c r="R179" s="13">
        <v>1</v>
      </c>
      <c r="S179" s="18">
        <v>0</v>
      </c>
      <c r="T179" s="21">
        <v>46247.348020833335</v>
      </c>
      <c r="U179" s="55">
        <f t="shared" si="4"/>
        <v>1</v>
      </c>
      <c r="V179" s="55">
        <f t="shared" si="4"/>
        <v>0</v>
      </c>
      <c r="W179" s="56">
        <f t="shared" si="5"/>
        <v>11742</v>
      </c>
    </row>
    <row r="180" spans="1:23" x14ac:dyDescent="0.3">
      <c r="A180" s="13" t="str" cm="1">
        <f t="array" ref="A180:B180">INDEX(BenchmarkResults!$B$1:$D$35,SUMPRODUCT((T180&gt;=BenchmarkResults!$F$2:$F$35)*(mysql_hardware_log!T180&lt;BenchmarkResults!$G$2:$G$35)*ROW(BenchmarkResults!$F$2:$F$35)),{1,3})</f>
        <v>q1_top_cities</v>
      </c>
      <c r="B180" s="13">
        <v>3</v>
      </c>
      <c r="C180" s="16">
        <v>1</v>
      </c>
      <c r="D180" s="18">
        <v>0</v>
      </c>
      <c r="E180" s="16">
        <v>462848</v>
      </c>
      <c r="F180" s="13">
        <v>127536</v>
      </c>
      <c r="G180" s="13">
        <v>5100</v>
      </c>
      <c r="H180" s="18">
        <v>3611268</v>
      </c>
      <c r="I180" s="16">
        <v>0</v>
      </c>
      <c r="J180" s="18">
        <v>0</v>
      </c>
      <c r="K180" s="16">
        <v>11936</v>
      </c>
      <c r="L180" s="18">
        <v>2</v>
      </c>
      <c r="M180" s="16">
        <v>888</v>
      </c>
      <c r="N180" s="18">
        <v>310</v>
      </c>
      <c r="O180" s="16">
        <v>32</v>
      </c>
      <c r="P180" s="13">
        <v>2</v>
      </c>
      <c r="Q180" s="13">
        <v>65</v>
      </c>
      <c r="R180" s="13">
        <v>1</v>
      </c>
      <c r="S180" s="18">
        <v>0</v>
      </c>
      <c r="T180" s="21">
        <v>46247.348136574074</v>
      </c>
      <c r="U180" s="55">
        <f t="shared" si="4"/>
        <v>1</v>
      </c>
      <c r="V180" s="55">
        <f t="shared" si="4"/>
        <v>0</v>
      </c>
      <c r="W180" s="56">
        <f t="shared" si="5"/>
        <v>11831</v>
      </c>
    </row>
    <row r="181" spans="1:23" x14ac:dyDescent="0.3">
      <c r="A181" s="13" t="str" cm="1">
        <f t="array" ref="A181:B181">INDEX(BenchmarkResults!$B$1:$D$35,SUMPRODUCT((T181&gt;=BenchmarkResults!$F$2:$F$35)*(mysql_hardware_log!T181&lt;BenchmarkResults!$G$2:$G$35)*ROW(BenchmarkResults!$F$2:$F$35)),{1,3})</f>
        <v>q1_top_cities</v>
      </c>
      <c r="B181" s="13">
        <v>3</v>
      </c>
      <c r="C181" s="16">
        <v>1</v>
      </c>
      <c r="D181" s="18">
        <v>0</v>
      </c>
      <c r="E181" s="16">
        <v>462848</v>
      </c>
      <c r="F181" s="13">
        <v>109420</v>
      </c>
      <c r="G181" s="13">
        <v>5108</v>
      </c>
      <c r="H181" s="18">
        <v>3630552</v>
      </c>
      <c r="I181" s="16">
        <v>0</v>
      </c>
      <c r="J181" s="18">
        <v>0</v>
      </c>
      <c r="K181" s="16">
        <v>12456</v>
      </c>
      <c r="L181" s="18">
        <v>16</v>
      </c>
      <c r="M181" s="16">
        <v>898</v>
      </c>
      <c r="N181" s="18">
        <v>355</v>
      </c>
      <c r="O181" s="16">
        <v>32</v>
      </c>
      <c r="P181" s="13">
        <v>2</v>
      </c>
      <c r="Q181" s="13">
        <v>65</v>
      </c>
      <c r="R181" s="13">
        <v>1</v>
      </c>
      <c r="S181" s="18">
        <v>0</v>
      </c>
      <c r="T181" s="21">
        <v>46247.348252314812</v>
      </c>
      <c r="U181" s="55">
        <f t="shared" si="4"/>
        <v>1</v>
      </c>
      <c r="V181" s="55">
        <f t="shared" si="4"/>
        <v>0</v>
      </c>
      <c r="W181" s="56">
        <f t="shared" si="5"/>
        <v>11953.333333333334</v>
      </c>
    </row>
    <row r="182" spans="1:23" x14ac:dyDescent="0.3">
      <c r="A182" s="13" t="str" cm="1">
        <f t="array" ref="A182:B182">INDEX(BenchmarkResults!$B$1:$D$35,SUMPRODUCT((T182&gt;=BenchmarkResults!$F$2:$F$35)*(mysql_hardware_log!T182&lt;BenchmarkResults!$G$2:$G$35)*ROW(BenchmarkResults!$F$2:$F$35)),{1,3})</f>
        <v>q1_top_cities</v>
      </c>
      <c r="B182" s="13">
        <v>3</v>
      </c>
      <c r="C182" s="16">
        <v>0</v>
      </c>
      <c r="D182" s="18">
        <v>1</v>
      </c>
      <c r="E182" s="16">
        <v>462848</v>
      </c>
      <c r="F182" s="13">
        <v>141608</v>
      </c>
      <c r="G182" s="13">
        <v>5116</v>
      </c>
      <c r="H182" s="18">
        <v>3596256</v>
      </c>
      <c r="I182" s="16">
        <v>0</v>
      </c>
      <c r="J182" s="18">
        <v>0</v>
      </c>
      <c r="K182" s="16">
        <v>12163</v>
      </c>
      <c r="L182" s="18">
        <v>3</v>
      </c>
      <c r="M182" s="16">
        <v>918</v>
      </c>
      <c r="N182" s="18">
        <v>350</v>
      </c>
      <c r="O182" s="16">
        <v>32</v>
      </c>
      <c r="P182" s="13">
        <v>2</v>
      </c>
      <c r="Q182" s="13">
        <v>65</v>
      </c>
      <c r="R182" s="13">
        <v>1</v>
      </c>
      <c r="S182" s="18">
        <v>0</v>
      </c>
      <c r="T182" s="21">
        <v>46247.348368055558</v>
      </c>
      <c r="U182" s="55">
        <f t="shared" si="4"/>
        <v>0.83333333333333337</v>
      </c>
      <c r="V182" s="55">
        <f t="shared" si="4"/>
        <v>0.16666666666666666</v>
      </c>
      <c r="W182" s="56">
        <f t="shared" si="5"/>
        <v>11999.666666666666</v>
      </c>
    </row>
    <row r="183" spans="1:23" x14ac:dyDescent="0.3">
      <c r="A183" s="13" t="str" cm="1">
        <f t="array" ref="A183:B183">INDEX(BenchmarkResults!$B$1:$D$35,SUMPRODUCT((T183&gt;=BenchmarkResults!$F$2:$F$35)*(mysql_hardware_log!T183&lt;BenchmarkResults!$G$2:$G$35)*ROW(BenchmarkResults!$F$2:$F$35)),{1,3})</f>
        <v>q1_top_cities</v>
      </c>
      <c r="B183" s="13">
        <v>3</v>
      </c>
      <c r="C183" s="16">
        <v>2</v>
      </c>
      <c r="D183" s="18">
        <v>0</v>
      </c>
      <c r="E183" s="16">
        <v>462848</v>
      </c>
      <c r="F183" s="13">
        <v>125192</v>
      </c>
      <c r="G183" s="13">
        <v>5124</v>
      </c>
      <c r="H183" s="18">
        <v>3608424</v>
      </c>
      <c r="I183" s="16">
        <v>0</v>
      </c>
      <c r="J183" s="18">
        <v>0</v>
      </c>
      <c r="K183" s="16">
        <v>11732</v>
      </c>
      <c r="L183" s="18">
        <v>2</v>
      </c>
      <c r="M183" s="16">
        <v>880</v>
      </c>
      <c r="N183" s="18">
        <v>291</v>
      </c>
      <c r="O183" s="16">
        <v>32</v>
      </c>
      <c r="P183" s="13">
        <v>2</v>
      </c>
      <c r="Q183" s="13">
        <v>65</v>
      </c>
      <c r="R183" s="13">
        <v>1</v>
      </c>
      <c r="S183" s="18">
        <v>0</v>
      </c>
      <c r="T183" s="21">
        <v>46247.348483796297</v>
      </c>
      <c r="U183" s="55">
        <f t="shared" si="4"/>
        <v>1</v>
      </c>
      <c r="V183" s="55">
        <f t="shared" si="4"/>
        <v>0.16666666666666666</v>
      </c>
      <c r="W183" s="56">
        <f t="shared" si="5"/>
        <v>11925</v>
      </c>
    </row>
    <row r="184" spans="1:23" x14ac:dyDescent="0.3">
      <c r="A184" s="13" t="str" cm="1">
        <f t="array" ref="A184:B184">INDEX(BenchmarkResults!$B$1:$D$35,SUMPRODUCT((T184&gt;=BenchmarkResults!$F$2:$F$35)*(mysql_hardware_log!T184&lt;BenchmarkResults!$G$2:$G$35)*ROW(BenchmarkResults!$F$2:$F$35)),{1,3})</f>
        <v>q1_top_cities</v>
      </c>
      <c r="B184" s="13">
        <v>3</v>
      </c>
      <c r="C184" s="16">
        <v>1</v>
      </c>
      <c r="D184" s="18">
        <v>0</v>
      </c>
      <c r="E184" s="16">
        <v>462848</v>
      </c>
      <c r="F184" s="13">
        <v>175532</v>
      </c>
      <c r="G184" s="13">
        <v>5132</v>
      </c>
      <c r="H184" s="18">
        <v>3564792</v>
      </c>
      <c r="I184" s="16">
        <v>0</v>
      </c>
      <c r="J184" s="18">
        <v>0</v>
      </c>
      <c r="K184" s="16">
        <v>11665</v>
      </c>
      <c r="L184" s="18">
        <v>2</v>
      </c>
      <c r="M184" s="16">
        <v>902</v>
      </c>
      <c r="N184" s="18">
        <v>343</v>
      </c>
      <c r="O184" s="16">
        <v>32</v>
      </c>
      <c r="P184" s="13">
        <v>3</v>
      </c>
      <c r="Q184" s="13">
        <v>64</v>
      </c>
      <c r="R184" s="13">
        <v>1</v>
      </c>
      <c r="S184" s="18">
        <v>0</v>
      </c>
      <c r="T184" s="21">
        <v>46247.348599537036</v>
      </c>
      <c r="U184" s="55">
        <f t="shared" si="4"/>
        <v>1</v>
      </c>
      <c r="V184" s="55">
        <f t="shared" si="4"/>
        <v>0.16666666666666666</v>
      </c>
      <c r="W184" s="56">
        <f t="shared" si="5"/>
        <v>11929.5</v>
      </c>
    </row>
    <row r="185" spans="1:23" x14ac:dyDescent="0.3">
      <c r="A185" s="13" t="str" cm="1">
        <f t="array" ref="A185:B185">INDEX(BenchmarkResults!$B$1:$D$35,SUMPRODUCT((T185&gt;=BenchmarkResults!$F$2:$F$35)*(mysql_hardware_log!T185&lt;BenchmarkResults!$G$2:$G$35)*ROW(BenchmarkResults!$F$2:$F$35)),{1,3})</f>
        <v>q1_top_cities</v>
      </c>
      <c r="B185" s="13">
        <v>3</v>
      </c>
      <c r="C185" s="16">
        <v>1</v>
      </c>
      <c r="D185" s="18">
        <v>0</v>
      </c>
      <c r="E185" s="16">
        <v>462848</v>
      </c>
      <c r="F185" s="13">
        <v>164636</v>
      </c>
      <c r="G185" s="13">
        <v>5148</v>
      </c>
      <c r="H185" s="18">
        <v>3571728</v>
      </c>
      <c r="I185" s="16">
        <v>0</v>
      </c>
      <c r="J185" s="18">
        <v>0</v>
      </c>
      <c r="K185" s="16">
        <v>11366</v>
      </c>
      <c r="L185" s="18">
        <v>8</v>
      </c>
      <c r="M185" s="16">
        <v>875</v>
      </c>
      <c r="N185" s="18">
        <v>325</v>
      </c>
      <c r="O185" s="16">
        <v>32</v>
      </c>
      <c r="P185" s="13">
        <v>2</v>
      </c>
      <c r="Q185" s="13">
        <v>65</v>
      </c>
      <c r="R185" s="13">
        <v>1</v>
      </c>
      <c r="S185" s="18">
        <v>0</v>
      </c>
      <c r="T185" s="21">
        <v>46247.348715277774</v>
      </c>
      <c r="U185" s="55">
        <f t="shared" si="4"/>
        <v>1</v>
      </c>
      <c r="V185" s="55">
        <f t="shared" si="4"/>
        <v>0.16666666666666666</v>
      </c>
      <c r="W185" s="56">
        <f t="shared" si="5"/>
        <v>11886.333333333334</v>
      </c>
    </row>
    <row r="186" spans="1:23" x14ac:dyDescent="0.3">
      <c r="A186" s="13" t="str" cm="1">
        <f t="array" ref="A186:B186">INDEX(BenchmarkResults!$B$1:$D$35,SUMPRODUCT((T186&gt;=BenchmarkResults!$F$2:$F$35)*(mysql_hardware_log!T186&lt;BenchmarkResults!$G$2:$G$35)*ROW(BenchmarkResults!$F$2:$F$35)),{1,3})</f>
        <v>q1_top_cities</v>
      </c>
      <c r="B186" s="13">
        <v>3</v>
      </c>
      <c r="C186" s="16">
        <v>1</v>
      </c>
      <c r="D186" s="18">
        <v>0</v>
      </c>
      <c r="E186" s="16">
        <v>462848</v>
      </c>
      <c r="F186" s="13">
        <v>127512</v>
      </c>
      <c r="G186" s="13">
        <v>5156</v>
      </c>
      <c r="H186" s="18">
        <v>3583220</v>
      </c>
      <c r="I186" s="16">
        <v>0</v>
      </c>
      <c r="J186" s="18">
        <v>0</v>
      </c>
      <c r="K186" s="16">
        <v>11850</v>
      </c>
      <c r="L186" s="18">
        <v>4</v>
      </c>
      <c r="M186" s="16">
        <v>904</v>
      </c>
      <c r="N186" s="18">
        <v>326</v>
      </c>
      <c r="O186" s="16">
        <v>32</v>
      </c>
      <c r="P186" s="13">
        <v>2</v>
      </c>
      <c r="Q186" s="13">
        <v>65</v>
      </c>
      <c r="R186" s="13">
        <v>1</v>
      </c>
      <c r="S186" s="18">
        <v>0</v>
      </c>
      <c r="T186" s="21">
        <v>46247.34883101852</v>
      </c>
      <c r="U186" s="55">
        <f t="shared" si="4"/>
        <v>1</v>
      </c>
      <c r="V186" s="55">
        <f t="shared" si="4"/>
        <v>0.16666666666666666</v>
      </c>
      <c r="W186" s="56">
        <f t="shared" si="5"/>
        <v>11872</v>
      </c>
    </row>
    <row r="187" spans="1:23" x14ac:dyDescent="0.3">
      <c r="A187" s="13" t="str" cm="1">
        <f t="array" ref="A187:B187">INDEX(BenchmarkResults!$B$1:$D$35,SUMPRODUCT((T187&gt;=BenchmarkResults!$F$2:$F$35)*(mysql_hardware_log!T187&lt;BenchmarkResults!$G$2:$G$35)*ROW(BenchmarkResults!$F$2:$F$35)),{1,3})</f>
        <v>q1_top_cities</v>
      </c>
      <c r="B187" s="13">
        <v>3</v>
      </c>
      <c r="C187" s="16">
        <v>1</v>
      </c>
      <c r="D187" s="18">
        <v>0</v>
      </c>
      <c r="E187" s="16">
        <v>462848</v>
      </c>
      <c r="F187" s="13">
        <v>144436</v>
      </c>
      <c r="G187" s="13">
        <v>5164</v>
      </c>
      <c r="H187" s="18">
        <v>3595908</v>
      </c>
      <c r="I187" s="16">
        <v>0</v>
      </c>
      <c r="J187" s="18">
        <v>0</v>
      </c>
      <c r="K187" s="16">
        <v>11992</v>
      </c>
      <c r="L187" s="18">
        <v>2</v>
      </c>
      <c r="M187" s="16">
        <v>889</v>
      </c>
      <c r="N187" s="18">
        <v>313</v>
      </c>
      <c r="O187" s="16">
        <v>32</v>
      </c>
      <c r="P187" s="13">
        <v>2</v>
      </c>
      <c r="Q187" s="13">
        <v>65</v>
      </c>
      <c r="R187" s="13">
        <v>1</v>
      </c>
      <c r="S187" s="18">
        <v>0</v>
      </c>
      <c r="T187" s="21">
        <v>46247.348946759259</v>
      </c>
      <c r="U187" s="55">
        <f t="shared" si="4"/>
        <v>1</v>
      </c>
      <c r="V187" s="55">
        <f t="shared" si="4"/>
        <v>0.16666666666666666</v>
      </c>
      <c r="W187" s="56">
        <f t="shared" si="5"/>
        <v>11794.666666666666</v>
      </c>
    </row>
    <row r="188" spans="1:23" x14ac:dyDescent="0.3">
      <c r="A188" s="13" t="str" cm="1">
        <f t="array" ref="A188:B188">INDEX(BenchmarkResults!$B$1:$D$35,SUMPRODUCT((T188&gt;=BenchmarkResults!$F$2:$F$35)*(mysql_hardware_log!T188&lt;BenchmarkResults!$G$2:$G$35)*ROW(BenchmarkResults!$F$2:$F$35)),{1,3})</f>
        <v>q1_top_cities</v>
      </c>
      <c r="B188" s="13">
        <v>3</v>
      </c>
      <c r="C188" s="16">
        <v>1</v>
      </c>
      <c r="D188" s="18">
        <v>0</v>
      </c>
      <c r="E188" s="16">
        <v>462848</v>
      </c>
      <c r="F188" s="13">
        <v>129280</v>
      </c>
      <c r="G188" s="13">
        <v>5172</v>
      </c>
      <c r="H188" s="18">
        <v>3607696</v>
      </c>
      <c r="I188" s="16">
        <v>0</v>
      </c>
      <c r="J188" s="18">
        <v>0</v>
      </c>
      <c r="K188" s="16">
        <v>11880</v>
      </c>
      <c r="L188" s="18">
        <v>2</v>
      </c>
      <c r="M188" s="16">
        <v>880</v>
      </c>
      <c r="N188" s="18">
        <v>309</v>
      </c>
      <c r="O188" s="16">
        <v>32</v>
      </c>
      <c r="P188" s="13">
        <v>3</v>
      </c>
      <c r="Q188" s="13">
        <v>64</v>
      </c>
      <c r="R188" s="13">
        <v>1</v>
      </c>
      <c r="S188" s="18">
        <v>0</v>
      </c>
      <c r="T188" s="21">
        <v>46247.349062499998</v>
      </c>
      <c r="U188" s="55">
        <f t="shared" si="4"/>
        <v>1.1666666666666667</v>
      </c>
      <c r="V188" s="55">
        <f t="shared" si="4"/>
        <v>0</v>
      </c>
      <c r="W188" s="56">
        <f t="shared" si="5"/>
        <v>11747.5</v>
      </c>
    </row>
    <row r="189" spans="1:23" x14ac:dyDescent="0.3">
      <c r="A189" s="13" t="str" cm="1">
        <f t="array" ref="A189:B189">INDEX(BenchmarkResults!$B$1:$D$35,SUMPRODUCT((T189&gt;=BenchmarkResults!$F$2:$F$35)*(mysql_hardware_log!T189&lt;BenchmarkResults!$G$2:$G$35)*ROW(BenchmarkResults!$F$2:$F$35)),{1,3})</f>
        <v>q1_top_cities</v>
      </c>
      <c r="B189" s="13">
        <v>3</v>
      </c>
      <c r="C189" s="16">
        <v>1</v>
      </c>
      <c r="D189" s="18">
        <v>0</v>
      </c>
      <c r="E189" s="16">
        <v>462848</v>
      </c>
      <c r="F189" s="13">
        <v>129164</v>
      </c>
      <c r="G189" s="13">
        <v>5180</v>
      </c>
      <c r="H189" s="18">
        <v>3046988</v>
      </c>
      <c r="I189" s="16">
        <v>0</v>
      </c>
      <c r="J189" s="18">
        <v>0</v>
      </c>
      <c r="K189" s="16">
        <v>8520</v>
      </c>
      <c r="L189" s="18">
        <v>6</v>
      </c>
      <c r="M189" s="16">
        <v>1019</v>
      </c>
      <c r="N189" s="18">
        <v>427</v>
      </c>
      <c r="O189" s="16">
        <v>33</v>
      </c>
      <c r="P189" s="13">
        <v>6</v>
      </c>
      <c r="Q189" s="13">
        <v>58</v>
      </c>
      <c r="R189" s="13">
        <v>2</v>
      </c>
      <c r="S189" s="18">
        <v>0</v>
      </c>
      <c r="T189" s="21">
        <v>46247.349178240744</v>
      </c>
      <c r="U189" s="55">
        <f t="shared" si="4"/>
        <v>1</v>
      </c>
      <c r="V189" s="55">
        <f t="shared" si="4"/>
        <v>0</v>
      </c>
      <c r="W189" s="56">
        <f t="shared" si="5"/>
        <v>11212.166666666666</v>
      </c>
    </row>
    <row r="190" spans="1:23" x14ac:dyDescent="0.3">
      <c r="A190" s="13" t="str" cm="1">
        <f t="array" ref="A190:B190">INDEX(BenchmarkResults!$B$1:$D$35,SUMPRODUCT((T190&gt;=BenchmarkResults!$F$2:$F$35)*(mysql_hardware_log!T190&lt;BenchmarkResults!$G$2:$G$35)*ROW(BenchmarkResults!$F$2:$F$35)),{1,3})</f>
        <v>q1_top_cities</v>
      </c>
      <c r="B190" s="13">
        <v>3</v>
      </c>
      <c r="C190" s="16">
        <v>1</v>
      </c>
      <c r="D190" s="18">
        <v>0</v>
      </c>
      <c r="E190" s="16">
        <v>462848</v>
      </c>
      <c r="F190" s="13">
        <v>980140</v>
      </c>
      <c r="G190" s="13">
        <v>3252</v>
      </c>
      <c r="H190" s="18">
        <v>2733488</v>
      </c>
      <c r="I190" s="16">
        <v>0</v>
      </c>
      <c r="J190" s="18">
        <v>0</v>
      </c>
      <c r="K190" s="16">
        <v>8906</v>
      </c>
      <c r="L190" s="18">
        <v>4</v>
      </c>
      <c r="M190" s="16">
        <v>1102</v>
      </c>
      <c r="N190" s="18">
        <v>591</v>
      </c>
      <c r="O190" s="16">
        <v>32</v>
      </c>
      <c r="P190" s="13">
        <v>11</v>
      </c>
      <c r="Q190" s="13">
        <v>56</v>
      </c>
      <c r="R190" s="13">
        <v>1</v>
      </c>
      <c r="S190" s="18">
        <v>0</v>
      </c>
      <c r="T190" s="21">
        <v>46247.349293981482</v>
      </c>
      <c r="U190" s="55">
        <f t="shared" si="4"/>
        <v>1</v>
      </c>
      <c r="V190" s="55">
        <f t="shared" si="4"/>
        <v>0</v>
      </c>
      <c r="W190" s="56">
        <f t="shared" si="5"/>
        <v>10752.333333333334</v>
      </c>
    </row>
    <row r="191" spans="1:23" x14ac:dyDescent="0.3">
      <c r="A191" s="13" t="str" cm="1">
        <f t="array" ref="A191:B191">INDEX(BenchmarkResults!$B$1:$D$35,SUMPRODUCT((T191&gt;=BenchmarkResults!$F$2:$F$35)*(mysql_hardware_log!T191&lt;BenchmarkResults!$G$2:$G$35)*ROW(BenchmarkResults!$F$2:$F$35)),{1,3})</f>
        <v>q1_top_cities</v>
      </c>
      <c r="B191" s="13">
        <v>3</v>
      </c>
      <c r="C191" s="16">
        <v>1</v>
      </c>
      <c r="D191" s="18">
        <v>0</v>
      </c>
      <c r="E191" s="16">
        <v>462848</v>
      </c>
      <c r="F191" s="13">
        <v>889672</v>
      </c>
      <c r="G191" s="13">
        <v>3260</v>
      </c>
      <c r="H191" s="18">
        <v>2846532</v>
      </c>
      <c r="I191" s="16">
        <v>0</v>
      </c>
      <c r="J191" s="18">
        <v>0</v>
      </c>
      <c r="K191" s="16">
        <v>11300</v>
      </c>
      <c r="L191" s="18">
        <v>2</v>
      </c>
      <c r="M191" s="16">
        <v>873</v>
      </c>
      <c r="N191" s="18">
        <v>304</v>
      </c>
      <c r="O191" s="16">
        <v>29</v>
      </c>
      <c r="P191" s="13">
        <v>4</v>
      </c>
      <c r="Q191" s="13">
        <v>65</v>
      </c>
      <c r="R191" s="13">
        <v>1</v>
      </c>
      <c r="S191" s="18">
        <v>0</v>
      </c>
      <c r="T191" s="21">
        <v>46247.349409722221</v>
      </c>
      <c r="U191" s="55">
        <f t="shared" si="4"/>
        <v>1</v>
      </c>
      <c r="V191" s="55">
        <f t="shared" si="4"/>
        <v>0</v>
      </c>
      <c r="W191" s="56">
        <f t="shared" si="5"/>
        <v>10741.333333333334</v>
      </c>
    </row>
    <row r="192" spans="1:23" x14ac:dyDescent="0.3">
      <c r="A192" s="13" t="str" cm="1">
        <f t="array" ref="A192:B192">INDEX(BenchmarkResults!$B$1:$D$35,SUMPRODUCT((T192&gt;=BenchmarkResults!$F$2:$F$35)*(mysql_hardware_log!T192&lt;BenchmarkResults!$G$2:$G$35)*ROW(BenchmarkResults!$F$2:$F$35)),{1,3})</f>
        <v>q1_top_cities</v>
      </c>
      <c r="B192" s="13">
        <v>3</v>
      </c>
      <c r="C192" s="16">
        <v>2</v>
      </c>
      <c r="D192" s="18">
        <v>0</v>
      </c>
      <c r="E192" s="16">
        <v>462848</v>
      </c>
      <c r="F192" s="13">
        <v>745808</v>
      </c>
      <c r="G192" s="13">
        <v>3268</v>
      </c>
      <c r="H192" s="18">
        <v>2958712</v>
      </c>
      <c r="I192" s="16">
        <v>2</v>
      </c>
      <c r="J192" s="18">
        <v>0</v>
      </c>
      <c r="K192" s="16">
        <v>11228</v>
      </c>
      <c r="L192" s="18">
        <v>16</v>
      </c>
      <c r="M192" s="16">
        <v>898</v>
      </c>
      <c r="N192" s="18">
        <v>292</v>
      </c>
      <c r="O192" s="16">
        <v>29</v>
      </c>
      <c r="P192" s="13">
        <v>6</v>
      </c>
      <c r="Q192" s="13">
        <v>63</v>
      </c>
      <c r="R192" s="13">
        <v>2</v>
      </c>
      <c r="S192" s="18">
        <v>0</v>
      </c>
      <c r="T192" s="21">
        <v>46247.34952546296</v>
      </c>
      <c r="U192" s="55">
        <f t="shared" si="4"/>
        <v>1.1666666666666667</v>
      </c>
      <c r="V192" s="55">
        <f t="shared" si="4"/>
        <v>0</v>
      </c>
      <c r="W192" s="56">
        <f t="shared" si="5"/>
        <v>10637.666666666666</v>
      </c>
    </row>
    <row r="193" spans="1:23" x14ac:dyDescent="0.3">
      <c r="A193" s="13" t="str" cm="1">
        <f t="array" ref="A193:B193">INDEX(BenchmarkResults!$B$1:$D$35,SUMPRODUCT((T193&gt;=BenchmarkResults!$F$2:$F$35)*(mysql_hardware_log!T193&lt;BenchmarkResults!$G$2:$G$35)*ROW(BenchmarkResults!$F$2:$F$35)),{1,3})</f>
        <v>q1_top_cities</v>
      </c>
      <c r="B193" s="13">
        <v>3</v>
      </c>
      <c r="C193" s="16">
        <v>1</v>
      </c>
      <c r="D193" s="18">
        <v>0</v>
      </c>
      <c r="E193" s="16">
        <v>462848</v>
      </c>
      <c r="F193" s="13">
        <v>647688</v>
      </c>
      <c r="G193" s="13">
        <v>3276</v>
      </c>
      <c r="H193" s="18">
        <v>3076708</v>
      </c>
      <c r="I193" s="16">
        <v>7</v>
      </c>
      <c r="J193" s="18">
        <v>0</v>
      </c>
      <c r="K193" s="16">
        <v>11803</v>
      </c>
      <c r="L193" s="18">
        <v>2</v>
      </c>
      <c r="M193" s="16">
        <v>930</v>
      </c>
      <c r="N193" s="18">
        <v>339</v>
      </c>
      <c r="O193" s="16">
        <v>30</v>
      </c>
      <c r="P193" s="13">
        <v>7</v>
      </c>
      <c r="Q193" s="13">
        <v>62</v>
      </c>
      <c r="R193" s="13">
        <v>1</v>
      </c>
      <c r="S193" s="18">
        <v>0</v>
      </c>
      <c r="T193" s="21">
        <v>46247.349641203706</v>
      </c>
      <c r="U193" s="55">
        <f t="shared" si="4"/>
        <v>1.1666666666666667</v>
      </c>
      <c r="V193" s="55">
        <f t="shared" si="4"/>
        <v>0</v>
      </c>
      <c r="W193" s="56">
        <f t="shared" si="5"/>
        <v>10606.166666666666</v>
      </c>
    </row>
    <row r="194" spans="1:23" x14ac:dyDescent="0.3">
      <c r="A194" s="13" t="str" cm="1">
        <f t="array" ref="A194:B194">INDEX(BenchmarkResults!$B$1:$D$35,SUMPRODUCT((T194&gt;=BenchmarkResults!$F$2:$F$35)*(mysql_hardware_log!T194&lt;BenchmarkResults!$G$2:$G$35)*ROW(BenchmarkResults!$F$2:$F$35)),{1,3})</f>
        <v>q1_top_cities</v>
      </c>
      <c r="B194" s="13">
        <v>3</v>
      </c>
      <c r="C194" s="16">
        <v>1</v>
      </c>
      <c r="D194" s="18">
        <v>0</v>
      </c>
      <c r="E194" s="16">
        <v>462848</v>
      </c>
      <c r="F194" s="13">
        <v>517684</v>
      </c>
      <c r="G194" s="13">
        <v>3284</v>
      </c>
      <c r="H194" s="18">
        <v>3204160</v>
      </c>
      <c r="I194" s="16">
        <v>0</v>
      </c>
      <c r="J194" s="18">
        <v>0</v>
      </c>
      <c r="K194" s="16">
        <v>12740</v>
      </c>
      <c r="L194" s="18">
        <v>30</v>
      </c>
      <c r="M194" s="16">
        <v>923</v>
      </c>
      <c r="N194" s="18">
        <v>371</v>
      </c>
      <c r="O194" s="16">
        <v>29</v>
      </c>
      <c r="P194" s="13">
        <v>5</v>
      </c>
      <c r="Q194" s="13">
        <v>63</v>
      </c>
      <c r="R194" s="13">
        <v>2</v>
      </c>
      <c r="S194" s="18">
        <v>0</v>
      </c>
      <c r="T194" s="21">
        <v>46247.349756944444</v>
      </c>
      <c r="U194" s="55">
        <f t="shared" si="4"/>
        <v>1.1666666666666667</v>
      </c>
      <c r="V194" s="55">
        <f t="shared" si="4"/>
        <v>0</v>
      </c>
      <c r="W194" s="56">
        <f t="shared" si="5"/>
        <v>10749.5</v>
      </c>
    </row>
    <row r="195" spans="1:23" x14ac:dyDescent="0.3">
      <c r="A195" s="13" t="str" cm="1">
        <f t="array" ref="A195:B195">INDEX(BenchmarkResults!$B$1:$D$35,SUMPRODUCT((T195&gt;=BenchmarkResults!$F$2:$F$35)*(mysql_hardware_log!T195&lt;BenchmarkResults!$G$2:$G$35)*ROW(BenchmarkResults!$F$2:$F$35)),{1,3})</f>
        <v>q1_top_cities</v>
      </c>
      <c r="B195" s="13">
        <v>3</v>
      </c>
      <c r="C195" s="16">
        <v>1</v>
      </c>
      <c r="D195" s="18">
        <v>0</v>
      </c>
      <c r="E195" s="16">
        <v>462848</v>
      </c>
      <c r="F195" s="13">
        <v>406300</v>
      </c>
      <c r="G195" s="13">
        <v>3292</v>
      </c>
      <c r="H195" s="18">
        <v>3318276</v>
      </c>
      <c r="I195" s="16">
        <v>2</v>
      </c>
      <c r="J195" s="18">
        <v>0</v>
      </c>
      <c r="K195" s="16">
        <v>11417</v>
      </c>
      <c r="L195" s="18">
        <v>3</v>
      </c>
      <c r="M195" s="16">
        <v>871</v>
      </c>
      <c r="N195" s="18">
        <v>306</v>
      </c>
      <c r="O195" s="16">
        <v>30</v>
      </c>
      <c r="P195" s="13">
        <v>4</v>
      </c>
      <c r="Q195" s="13">
        <v>64</v>
      </c>
      <c r="R195" s="13">
        <v>1</v>
      </c>
      <c r="S195" s="18">
        <v>0</v>
      </c>
      <c r="T195" s="21">
        <v>46247.349872685183</v>
      </c>
      <c r="U195" s="55">
        <f t="shared" si="4"/>
        <v>1.1666666666666667</v>
      </c>
      <c r="V195" s="55">
        <f t="shared" si="4"/>
        <v>0</v>
      </c>
      <c r="W195" s="56">
        <f t="shared" si="5"/>
        <v>11232.333333333334</v>
      </c>
    </row>
    <row r="196" spans="1:23" x14ac:dyDescent="0.3">
      <c r="A196" s="13" t="str" cm="1">
        <f t="array" ref="A196:B196">INDEX(BenchmarkResults!$B$1:$D$35,SUMPRODUCT((T196&gt;=BenchmarkResults!$F$2:$F$35)*(mysql_hardware_log!T196&lt;BenchmarkResults!$G$2:$G$35)*ROW(BenchmarkResults!$F$2:$F$35)),{1,3})</f>
        <v>q1_top_cities</v>
      </c>
      <c r="B196" s="13">
        <v>3</v>
      </c>
      <c r="C196" s="16">
        <v>1</v>
      </c>
      <c r="D196" s="18">
        <v>0</v>
      </c>
      <c r="E196" s="16">
        <v>462848</v>
      </c>
      <c r="F196" s="13">
        <v>300964</v>
      </c>
      <c r="G196" s="13">
        <v>3308</v>
      </c>
      <c r="H196" s="18">
        <v>3432144</v>
      </c>
      <c r="I196" s="16">
        <v>2</v>
      </c>
      <c r="J196" s="18">
        <v>0</v>
      </c>
      <c r="K196" s="16">
        <v>11385</v>
      </c>
      <c r="L196" s="18">
        <v>3</v>
      </c>
      <c r="M196" s="16">
        <v>884</v>
      </c>
      <c r="N196" s="18">
        <v>311</v>
      </c>
      <c r="O196" s="16">
        <v>30</v>
      </c>
      <c r="P196" s="13">
        <v>4</v>
      </c>
      <c r="Q196" s="13">
        <v>64</v>
      </c>
      <c r="R196" s="13">
        <v>1</v>
      </c>
      <c r="S196" s="18">
        <v>0</v>
      </c>
      <c r="T196" s="21">
        <v>46247.349988425929</v>
      </c>
      <c r="U196" s="55">
        <f t="shared" si="4"/>
        <v>1.1666666666666667</v>
      </c>
      <c r="V196" s="55">
        <f t="shared" si="4"/>
        <v>0</v>
      </c>
      <c r="W196" s="56">
        <f t="shared" si="5"/>
        <v>11645.5</v>
      </c>
    </row>
    <row r="197" spans="1:23" x14ac:dyDescent="0.3">
      <c r="A197" s="13" t="str" cm="1">
        <f t="array" ref="A197:B197">INDEX(BenchmarkResults!$B$1:$D$35,SUMPRODUCT((T197&gt;=BenchmarkResults!$F$2:$F$35)*(mysql_hardware_log!T197&lt;BenchmarkResults!$G$2:$G$35)*ROW(BenchmarkResults!$F$2:$F$35)),{1,3})</f>
        <v>q1_top_cities</v>
      </c>
      <c r="B197" s="13">
        <v>3</v>
      </c>
      <c r="C197" s="16">
        <v>1</v>
      </c>
      <c r="D197" s="18">
        <v>0</v>
      </c>
      <c r="E197" s="16">
        <v>462848</v>
      </c>
      <c r="F197" s="13">
        <v>184540</v>
      </c>
      <c r="G197" s="13">
        <v>3316</v>
      </c>
      <c r="H197" s="18">
        <v>3543916</v>
      </c>
      <c r="I197" s="16">
        <v>0</v>
      </c>
      <c r="J197" s="18">
        <v>0</v>
      </c>
      <c r="K197" s="16">
        <v>11180</v>
      </c>
      <c r="L197" s="18">
        <v>2</v>
      </c>
      <c r="M197" s="16">
        <v>884</v>
      </c>
      <c r="N197" s="18">
        <v>302</v>
      </c>
      <c r="O197" s="16">
        <v>31</v>
      </c>
      <c r="P197" s="13">
        <v>3</v>
      </c>
      <c r="Q197" s="13">
        <v>65</v>
      </c>
      <c r="R197" s="13">
        <v>1</v>
      </c>
      <c r="S197" s="18">
        <v>0</v>
      </c>
      <c r="T197" s="21">
        <v>46247.350104166668</v>
      </c>
      <c r="U197" s="55">
        <f t="shared" si="4"/>
        <v>1.1666666666666667</v>
      </c>
      <c r="V197" s="55">
        <f t="shared" si="4"/>
        <v>0</v>
      </c>
      <c r="W197" s="56">
        <f t="shared" si="5"/>
        <v>11625.5</v>
      </c>
    </row>
    <row r="198" spans="1:23" x14ac:dyDescent="0.3">
      <c r="A198" s="13" t="str" cm="1">
        <f t="array" ref="A198:B198">INDEX(BenchmarkResults!$B$1:$D$35,SUMPRODUCT((T198&gt;=BenchmarkResults!$F$2:$F$35)*(mysql_hardware_log!T198&lt;BenchmarkResults!$G$2:$G$35)*ROW(BenchmarkResults!$F$2:$F$35)),{1,3})</f>
        <v>q1_top_cities</v>
      </c>
      <c r="B198" s="13">
        <v>3</v>
      </c>
      <c r="C198" s="16">
        <v>2</v>
      </c>
      <c r="D198" s="18">
        <v>0</v>
      </c>
      <c r="E198" s="16">
        <v>462848</v>
      </c>
      <c r="F198" s="13">
        <v>129924</v>
      </c>
      <c r="G198" s="13">
        <v>2892</v>
      </c>
      <c r="H198" s="18">
        <v>3605180</v>
      </c>
      <c r="I198" s="16">
        <v>0</v>
      </c>
      <c r="J198" s="18">
        <v>0</v>
      </c>
      <c r="K198" s="16">
        <v>11964</v>
      </c>
      <c r="L198" s="18">
        <v>2</v>
      </c>
      <c r="M198" s="16">
        <v>896</v>
      </c>
      <c r="N198" s="18">
        <v>323</v>
      </c>
      <c r="O198" s="16">
        <v>31</v>
      </c>
      <c r="P198" s="13">
        <v>2</v>
      </c>
      <c r="Q198" s="13">
        <v>64</v>
      </c>
      <c r="R198" s="13">
        <v>2</v>
      </c>
      <c r="S198" s="18">
        <v>0</v>
      </c>
      <c r="T198" s="21">
        <v>46247.350219907406</v>
      </c>
      <c r="U198" s="55">
        <f t="shared" si="4"/>
        <v>1.1666666666666667</v>
      </c>
      <c r="V198" s="55">
        <f t="shared" si="4"/>
        <v>0</v>
      </c>
      <c r="W198" s="56">
        <f t="shared" si="5"/>
        <v>11748.166666666666</v>
      </c>
    </row>
    <row r="199" spans="1:23" x14ac:dyDescent="0.3">
      <c r="A199" s="13" t="str" cm="1">
        <f t="array" ref="A199:B199">INDEX(BenchmarkResults!$B$1:$D$35,SUMPRODUCT((T199&gt;=BenchmarkResults!$F$2:$F$35)*(mysql_hardware_log!T199&lt;BenchmarkResults!$G$2:$G$35)*ROW(BenchmarkResults!$F$2:$F$35)),{1,3})</f>
        <v>q1_top_cities</v>
      </c>
      <c r="B199" s="13">
        <v>3</v>
      </c>
      <c r="C199" s="16">
        <v>1</v>
      </c>
      <c r="D199" s="18">
        <v>0</v>
      </c>
      <c r="E199" s="16">
        <v>462848</v>
      </c>
      <c r="F199" s="13">
        <v>125212</v>
      </c>
      <c r="G199" s="13">
        <v>2780</v>
      </c>
      <c r="H199" s="18">
        <v>3611584</v>
      </c>
      <c r="I199" s="16">
        <v>22</v>
      </c>
      <c r="J199" s="18">
        <v>0</v>
      </c>
      <c r="K199" s="16">
        <v>11974</v>
      </c>
      <c r="L199" s="18">
        <v>2</v>
      </c>
      <c r="M199" s="16">
        <v>909</v>
      </c>
      <c r="N199" s="18">
        <v>355</v>
      </c>
      <c r="O199" s="16">
        <v>32</v>
      </c>
      <c r="P199" s="13">
        <v>3</v>
      </c>
      <c r="Q199" s="13">
        <v>63</v>
      </c>
      <c r="R199" s="13">
        <v>2</v>
      </c>
      <c r="S199" s="18">
        <v>0</v>
      </c>
      <c r="T199" s="21">
        <v>46247.350335648145</v>
      </c>
      <c r="U199" s="55">
        <f t="shared" si="4"/>
        <v>1.1666666666666667</v>
      </c>
      <c r="V199" s="55">
        <f t="shared" si="4"/>
        <v>0</v>
      </c>
      <c r="W199" s="56">
        <f t="shared" si="5"/>
        <v>11776.666666666666</v>
      </c>
    </row>
    <row r="200" spans="1:23" x14ac:dyDescent="0.3">
      <c r="A200" s="13" t="str" cm="1">
        <f t="array" ref="A200:B200">INDEX(BenchmarkResults!$B$1:$D$35,SUMPRODUCT((T200&gt;=BenchmarkResults!$F$2:$F$35)*(mysql_hardware_log!T200&lt;BenchmarkResults!$G$2:$G$35)*ROW(BenchmarkResults!$F$2:$F$35)),{1,3})</f>
        <v>q1_top_cities</v>
      </c>
      <c r="B200" s="13">
        <v>3</v>
      </c>
      <c r="C200" s="16">
        <v>1</v>
      </c>
      <c r="D200" s="18">
        <v>0</v>
      </c>
      <c r="E200" s="16">
        <v>462848</v>
      </c>
      <c r="F200" s="13">
        <v>116532</v>
      </c>
      <c r="G200" s="13">
        <v>2796</v>
      </c>
      <c r="H200" s="18">
        <v>3616148</v>
      </c>
      <c r="I200" s="16">
        <v>0</v>
      </c>
      <c r="J200" s="18">
        <v>0</v>
      </c>
      <c r="K200" s="16">
        <v>11498</v>
      </c>
      <c r="L200" s="18">
        <v>6</v>
      </c>
      <c r="M200" s="16">
        <v>891</v>
      </c>
      <c r="N200" s="18">
        <v>319</v>
      </c>
      <c r="O200" s="16">
        <v>32</v>
      </c>
      <c r="P200" s="13">
        <v>2</v>
      </c>
      <c r="Q200" s="13">
        <v>65</v>
      </c>
      <c r="R200" s="13">
        <v>1</v>
      </c>
      <c r="S200" s="18">
        <v>0</v>
      </c>
      <c r="T200" s="21">
        <v>46247.350451388891</v>
      </c>
      <c r="U200" s="55">
        <f t="shared" si="4"/>
        <v>1.1666666666666667</v>
      </c>
      <c r="V200" s="55">
        <f t="shared" si="4"/>
        <v>0</v>
      </c>
      <c r="W200" s="56">
        <f t="shared" si="5"/>
        <v>11569.666666666666</v>
      </c>
    </row>
    <row r="201" spans="1:23" x14ac:dyDescent="0.3">
      <c r="A201" s="13" t="str" cm="1">
        <f t="array" ref="A201:B201">INDEX(BenchmarkResults!$B$1:$D$35,SUMPRODUCT((T201&gt;=BenchmarkResults!$F$2:$F$35)*(mysql_hardware_log!T201&lt;BenchmarkResults!$G$2:$G$35)*ROW(BenchmarkResults!$F$2:$F$35)),{1,3})</f>
        <v>q1_top_cities</v>
      </c>
      <c r="B201" s="13">
        <v>3</v>
      </c>
      <c r="C201" s="16">
        <v>1</v>
      </c>
      <c r="D201" s="18">
        <v>0</v>
      </c>
      <c r="E201" s="16">
        <v>463616</v>
      </c>
      <c r="F201" s="13">
        <v>148376</v>
      </c>
      <c r="G201" s="13">
        <v>2804</v>
      </c>
      <c r="H201" s="18">
        <v>3579184</v>
      </c>
      <c r="I201" s="16">
        <v>0</v>
      </c>
      <c r="J201" s="18">
        <v>87</v>
      </c>
      <c r="K201" s="16">
        <v>12051</v>
      </c>
      <c r="L201" s="18">
        <v>89</v>
      </c>
      <c r="M201" s="16">
        <v>922</v>
      </c>
      <c r="N201" s="18">
        <v>297</v>
      </c>
      <c r="O201" s="16">
        <v>31</v>
      </c>
      <c r="P201" s="13">
        <v>3</v>
      </c>
      <c r="Q201" s="13">
        <v>64</v>
      </c>
      <c r="R201" s="13">
        <v>1</v>
      </c>
      <c r="S201" s="18">
        <v>0</v>
      </c>
      <c r="T201" s="21">
        <v>46247.35056712963</v>
      </c>
      <c r="U201" s="55">
        <f t="shared" ref="U201:V264" si="6">AVERAGE(C196:C201)</f>
        <v>1.1666666666666667</v>
      </c>
      <c r="V201" s="55">
        <f t="shared" si="6"/>
        <v>0</v>
      </c>
      <c r="W201" s="56">
        <f t="shared" ref="W201:W264" si="7">AVERAGE(K196:K201)</f>
        <v>11675.333333333334</v>
      </c>
    </row>
    <row r="202" spans="1:23" x14ac:dyDescent="0.3">
      <c r="A202" s="13" t="str" cm="1">
        <f t="array" ref="A202:B202">INDEX(BenchmarkResults!$B$1:$D$35,SUMPRODUCT((T202&gt;=BenchmarkResults!$F$2:$F$35)*(mysql_hardware_log!T202&lt;BenchmarkResults!$G$2:$G$35)*ROW(BenchmarkResults!$F$2:$F$35)),{1,3})</f>
        <v>q1_top_cities</v>
      </c>
      <c r="B202" s="13">
        <v>3</v>
      </c>
      <c r="C202" s="16">
        <v>1</v>
      </c>
      <c r="D202" s="18">
        <v>0</v>
      </c>
      <c r="E202" s="16">
        <v>463616</v>
      </c>
      <c r="F202" s="13">
        <v>143260</v>
      </c>
      <c r="G202" s="13">
        <v>2812</v>
      </c>
      <c r="H202" s="18">
        <v>3588300</v>
      </c>
      <c r="I202" s="16">
        <v>0</v>
      </c>
      <c r="J202" s="18">
        <v>0</v>
      </c>
      <c r="K202" s="16">
        <v>11923</v>
      </c>
      <c r="L202" s="18">
        <v>4</v>
      </c>
      <c r="M202" s="16">
        <v>888</v>
      </c>
      <c r="N202" s="18">
        <v>314</v>
      </c>
      <c r="O202" s="16">
        <v>32</v>
      </c>
      <c r="P202" s="13">
        <v>2</v>
      </c>
      <c r="Q202" s="13">
        <v>65</v>
      </c>
      <c r="R202" s="13">
        <v>1</v>
      </c>
      <c r="S202" s="18">
        <v>0</v>
      </c>
      <c r="T202" s="21">
        <v>46247.350682870368</v>
      </c>
      <c r="U202" s="55">
        <f t="shared" si="6"/>
        <v>1.1666666666666667</v>
      </c>
      <c r="V202" s="55">
        <f t="shared" si="6"/>
        <v>0</v>
      </c>
      <c r="W202" s="56">
        <f t="shared" si="7"/>
        <v>11765</v>
      </c>
    </row>
    <row r="203" spans="1:23" x14ac:dyDescent="0.3">
      <c r="A203" s="13" t="str" cm="1">
        <f t="array" ref="A203:B203">INDEX(BenchmarkResults!$B$1:$D$35,SUMPRODUCT((T203&gt;=BenchmarkResults!$F$2:$F$35)*(mysql_hardware_log!T203&lt;BenchmarkResults!$G$2:$G$35)*ROW(BenchmarkResults!$F$2:$F$35)),{1,3})</f>
        <v>q1_top_cities</v>
      </c>
      <c r="B203" s="13">
        <v>3</v>
      </c>
      <c r="C203" s="16">
        <v>1</v>
      </c>
      <c r="D203" s="18">
        <v>0</v>
      </c>
      <c r="E203" s="16">
        <v>463616</v>
      </c>
      <c r="F203" s="13">
        <v>125088</v>
      </c>
      <c r="G203" s="13">
        <v>2820</v>
      </c>
      <c r="H203" s="18">
        <v>3597728</v>
      </c>
      <c r="I203" s="16">
        <v>0</v>
      </c>
      <c r="J203" s="18">
        <v>0</v>
      </c>
      <c r="K203" s="16">
        <v>11945</v>
      </c>
      <c r="L203" s="18">
        <v>17</v>
      </c>
      <c r="M203" s="16">
        <v>904</v>
      </c>
      <c r="N203" s="18">
        <v>339</v>
      </c>
      <c r="O203" s="16">
        <v>32</v>
      </c>
      <c r="P203" s="13">
        <v>2</v>
      </c>
      <c r="Q203" s="13">
        <v>65</v>
      </c>
      <c r="R203" s="13">
        <v>1</v>
      </c>
      <c r="S203" s="18">
        <v>0</v>
      </c>
      <c r="T203" s="21">
        <v>46247.350798611114</v>
      </c>
      <c r="U203" s="55">
        <f t="shared" si="6"/>
        <v>1.1666666666666667</v>
      </c>
      <c r="V203" s="55">
        <f t="shared" si="6"/>
        <v>0</v>
      </c>
      <c r="W203" s="56">
        <f t="shared" si="7"/>
        <v>11892.5</v>
      </c>
    </row>
    <row r="204" spans="1:23" x14ac:dyDescent="0.3">
      <c r="A204" s="13" t="str" cm="1">
        <f t="array" ref="A204:B204">INDEX(BenchmarkResults!$B$1:$D$35,SUMPRODUCT((T204&gt;=BenchmarkResults!$F$2:$F$35)*(mysql_hardware_log!T204&lt;BenchmarkResults!$G$2:$G$35)*ROW(BenchmarkResults!$F$2:$F$35)),{1,3})</f>
        <v>q1_top_cities</v>
      </c>
      <c r="B204" s="13">
        <v>3</v>
      </c>
      <c r="C204" s="16">
        <v>1</v>
      </c>
      <c r="D204" s="18">
        <v>0</v>
      </c>
      <c r="E204" s="16">
        <v>463616</v>
      </c>
      <c r="F204" s="13">
        <v>120552</v>
      </c>
      <c r="G204" s="13">
        <v>2828</v>
      </c>
      <c r="H204" s="18">
        <v>3607652</v>
      </c>
      <c r="I204" s="16">
        <v>0</v>
      </c>
      <c r="J204" s="18">
        <v>0</v>
      </c>
      <c r="K204" s="16">
        <v>12000</v>
      </c>
      <c r="L204" s="18">
        <v>2</v>
      </c>
      <c r="M204" s="16">
        <v>886</v>
      </c>
      <c r="N204" s="18">
        <v>286</v>
      </c>
      <c r="O204" s="16">
        <v>31</v>
      </c>
      <c r="P204" s="13">
        <v>2</v>
      </c>
      <c r="Q204" s="13">
        <v>64</v>
      </c>
      <c r="R204" s="13">
        <v>2</v>
      </c>
      <c r="S204" s="18">
        <v>0</v>
      </c>
      <c r="T204" s="21">
        <v>46247.350914351853</v>
      </c>
      <c r="U204" s="55">
        <f t="shared" si="6"/>
        <v>1</v>
      </c>
      <c r="V204" s="55">
        <f t="shared" si="6"/>
        <v>0</v>
      </c>
      <c r="W204" s="56">
        <f t="shared" si="7"/>
        <v>11898.5</v>
      </c>
    </row>
    <row r="205" spans="1:23" x14ac:dyDescent="0.3">
      <c r="A205" s="13" t="str" cm="1">
        <f t="array" ref="A205:B205">INDEX(BenchmarkResults!$B$1:$D$35,SUMPRODUCT((T205&gt;=BenchmarkResults!$F$2:$F$35)*(mysql_hardware_log!T205&lt;BenchmarkResults!$G$2:$G$35)*ROW(BenchmarkResults!$F$2:$F$35)),{1,3})</f>
        <v>q2_avg_order_city</v>
      </c>
      <c r="B205" s="13">
        <v>1</v>
      </c>
      <c r="C205" s="16">
        <v>0</v>
      </c>
      <c r="D205" s="18">
        <v>0</v>
      </c>
      <c r="E205" s="16">
        <v>463616</v>
      </c>
      <c r="F205" s="13">
        <v>113540</v>
      </c>
      <c r="G205" s="13">
        <v>2824</v>
      </c>
      <c r="H205" s="18">
        <v>3616748</v>
      </c>
      <c r="I205" s="16">
        <v>0</v>
      </c>
      <c r="J205" s="18">
        <v>0</v>
      </c>
      <c r="K205" s="16">
        <v>11350</v>
      </c>
      <c r="L205" s="18">
        <v>2</v>
      </c>
      <c r="M205" s="16">
        <v>875</v>
      </c>
      <c r="N205" s="18">
        <v>300</v>
      </c>
      <c r="O205" s="16">
        <v>32</v>
      </c>
      <c r="P205" s="13">
        <v>2</v>
      </c>
      <c r="Q205" s="13">
        <v>65</v>
      </c>
      <c r="R205" s="13">
        <v>1</v>
      </c>
      <c r="S205" s="18">
        <v>0</v>
      </c>
      <c r="T205" s="21">
        <v>46247.351030092592</v>
      </c>
      <c r="U205" s="55">
        <f t="shared" si="6"/>
        <v>0.83333333333333337</v>
      </c>
      <c r="V205" s="55">
        <f t="shared" si="6"/>
        <v>0</v>
      </c>
      <c r="W205" s="56">
        <f t="shared" si="7"/>
        <v>11794.5</v>
      </c>
    </row>
    <row r="206" spans="1:23" x14ac:dyDescent="0.3">
      <c r="A206" s="13" t="str" cm="1">
        <f t="array" ref="A206:B206">INDEX(BenchmarkResults!$B$1:$D$35,SUMPRODUCT((T206&gt;=BenchmarkResults!$F$2:$F$35)*(mysql_hardware_log!T206&lt;BenchmarkResults!$G$2:$G$35)*ROW(BenchmarkResults!$F$2:$F$35)),{1,3})</f>
        <v>q2_avg_order_city</v>
      </c>
      <c r="B206" s="13">
        <v>1</v>
      </c>
      <c r="C206" s="16">
        <v>0</v>
      </c>
      <c r="D206" s="18">
        <v>1</v>
      </c>
      <c r="E206" s="16">
        <v>463616</v>
      </c>
      <c r="F206" s="13">
        <v>112440</v>
      </c>
      <c r="G206" s="13">
        <v>2832</v>
      </c>
      <c r="H206" s="18">
        <v>3606092</v>
      </c>
      <c r="I206" s="16">
        <v>2</v>
      </c>
      <c r="J206" s="18">
        <v>0</v>
      </c>
      <c r="K206" s="16">
        <v>20960</v>
      </c>
      <c r="L206" s="18">
        <v>3</v>
      </c>
      <c r="M206" s="16">
        <v>3625</v>
      </c>
      <c r="N206" s="18">
        <v>2663</v>
      </c>
      <c r="O206" s="16">
        <v>5</v>
      </c>
      <c r="P206" s="13">
        <v>5</v>
      </c>
      <c r="Q206" s="13">
        <v>49</v>
      </c>
      <c r="R206" s="13">
        <v>40</v>
      </c>
      <c r="S206" s="18">
        <v>0</v>
      </c>
      <c r="T206" s="21">
        <v>46247.351145833331</v>
      </c>
      <c r="U206" s="55">
        <f t="shared" si="6"/>
        <v>0.66666666666666663</v>
      </c>
      <c r="V206" s="55">
        <f t="shared" si="6"/>
        <v>0.16666666666666666</v>
      </c>
      <c r="W206" s="56">
        <f t="shared" si="7"/>
        <v>13371.5</v>
      </c>
    </row>
    <row r="207" spans="1:23" x14ac:dyDescent="0.3">
      <c r="A207" s="13" t="str" cm="1">
        <f t="array" ref="A207:B207">INDEX(BenchmarkResults!$B$1:$D$35,SUMPRODUCT((T207&gt;=BenchmarkResults!$F$2:$F$35)*(mysql_hardware_log!T207&lt;BenchmarkResults!$G$2:$G$35)*ROW(BenchmarkResults!$F$2:$F$35)),{1,3})</f>
        <v>q2_avg_order_city</v>
      </c>
      <c r="B207" s="13">
        <v>1</v>
      </c>
      <c r="C207" s="16">
        <v>0</v>
      </c>
      <c r="D207" s="18">
        <v>1</v>
      </c>
      <c r="E207" s="16">
        <v>463616</v>
      </c>
      <c r="F207" s="13">
        <v>104772</v>
      </c>
      <c r="G207" s="13">
        <v>2840</v>
      </c>
      <c r="H207" s="18">
        <v>3621396</v>
      </c>
      <c r="I207" s="16">
        <v>0</v>
      </c>
      <c r="J207" s="18">
        <v>0</v>
      </c>
      <c r="K207" s="16">
        <v>99786</v>
      </c>
      <c r="L207" s="18">
        <v>2</v>
      </c>
      <c r="M207" s="16">
        <v>3798</v>
      </c>
      <c r="N207" s="18">
        <v>2181</v>
      </c>
      <c r="O207" s="16">
        <v>12</v>
      </c>
      <c r="P207" s="13">
        <v>11</v>
      </c>
      <c r="Q207" s="13">
        <v>48</v>
      </c>
      <c r="R207" s="13">
        <v>29</v>
      </c>
      <c r="S207" s="18">
        <v>1</v>
      </c>
      <c r="T207" s="21">
        <v>46247.351261574076</v>
      </c>
      <c r="U207" s="55">
        <f t="shared" si="6"/>
        <v>0.5</v>
      </c>
      <c r="V207" s="55">
        <f t="shared" si="6"/>
        <v>0.33333333333333331</v>
      </c>
      <c r="W207" s="56">
        <f t="shared" si="7"/>
        <v>27994</v>
      </c>
    </row>
    <row r="208" spans="1:23" x14ac:dyDescent="0.3">
      <c r="A208" s="13" t="str" cm="1">
        <f t="array" ref="A208:B208">INDEX(BenchmarkResults!$B$1:$D$35,SUMPRODUCT((T208&gt;=BenchmarkResults!$F$2:$F$35)*(mysql_hardware_log!T208&lt;BenchmarkResults!$G$2:$G$35)*ROW(BenchmarkResults!$F$2:$F$35)),{1,3})</f>
        <v>q2_avg_order_city</v>
      </c>
      <c r="B208" s="13">
        <v>1</v>
      </c>
      <c r="C208" s="16">
        <v>1</v>
      </c>
      <c r="D208" s="18">
        <v>0</v>
      </c>
      <c r="E208" s="16">
        <v>461568</v>
      </c>
      <c r="F208" s="13">
        <v>128872</v>
      </c>
      <c r="G208" s="13">
        <v>2848</v>
      </c>
      <c r="H208" s="18">
        <v>3591968</v>
      </c>
      <c r="I208" s="16">
        <v>359</v>
      </c>
      <c r="J208" s="18">
        <v>0</v>
      </c>
      <c r="K208" s="16">
        <v>84532</v>
      </c>
      <c r="L208" s="18">
        <v>2</v>
      </c>
      <c r="M208" s="16">
        <v>2947</v>
      </c>
      <c r="N208" s="18">
        <v>1605</v>
      </c>
      <c r="O208" s="16">
        <v>27</v>
      </c>
      <c r="P208" s="13">
        <v>9</v>
      </c>
      <c r="Q208" s="13">
        <v>48</v>
      </c>
      <c r="R208" s="13">
        <v>16</v>
      </c>
      <c r="S208" s="18">
        <v>0</v>
      </c>
      <c r="T208" s="21">
        <v>46247.351377314815</v>
      </c>
      <c r="U208" s="55">
        <f t="shared" si="6"/>
        <v>0.5</v>
      </c>
      <c r="V208" s="55">
        <f t="shared" si="6"/>
        <v>0.33333333333333331</v>
      </c>
      <c r="W208" s="56">
        <f t="shared" si="7"/>
        <v>40095.5</v>
      </c>
    </row>
    <row r="209" spans="1:23" x14ac:dyDescent="0.3">
      <c r="A209" s="13" t="str" cm="1">
        <f t="array" ref="A209:B209">INDEX(BenchmarkResults!$B$1:$D$35,SUMPRODUCT((T209&gt;=BenchmarkResults!$F$2:$F$35)*(mysql_hardware_log!T209&lt;BenchmarkResults!$G$2:$G$35)*ROW(BenchmarkResults!$F$2:$F$35)),{1,3})</f>
        <v>q2_avg_order_city</v>
      </c>
      <c r="B209" s="13">
        <v>1</v>
      </c>
      <c r="C209" s="16">
        <v>2</v>
      </c>
      <c r="D209" s="18">
        <v>0</v>
      </c>
      <c r="E209" s="16">
        <v>461568</v>
      </c>
      <c r="F209" s="13">
        <v>124040</v>
      </c>
      <c r="G209" s="13">
        <v>2856</v>
      </c>
      <c r="H209" s="18">
        <v>3602036</v>
      </c>
      <c r="I209" s="16">
        <v>2</v>
      </c>
      <c r="J209" s="18">
        <v>0</v>
      </c>
      <c r="K209" s="16">
        <v>27192</v>
      </c>
      <c r="L209" s="18">
        <v>2</v>
      </c>
      <c r="M209" s="16">
        <v>1542</v>
      </c>
      <c r="N209" s="18">
        <v>801</v>
      </c>
      <c r="O209" s="16">
        <v>34</v>
      </c>
      <c r="P209" s="13">
        <v>5</v>
      </c>
      <c r="Q209" s="13">
        <v>56</v>
      </c>
      <c r="R209" s="13">
        <v>4</v>
      </c>
      <c r="S209" s="18">
        <v>0</v>
      </c>
      <c r="T209" s="21">
        <v>46247.351493055554</v>
      </c>
      <c r="U209" s="55">
        <f t="shared" si="6"/>
        <v>0.66666666666666663</v>
      </c>
      <c r="V209" s="55">
        <f t="shared" si="6"/>
        <v>0.33333333333333331</v>
      </c>
      <c r="W209" s="56">
        <f t="shared" si="7"/>
        <v>42636.666666666664</v>
      </c>
    </row>
    <row r="210" spans="1:23" x14ac:dyDescent="0.3">
      <c r="A210" s="13" t="str" cm="1">
        <f t="array" ref="A210:B210">INDEX(BenchmarkResults!$B$1:$D$35,SUMPRODUCT((T210&gt;=BenchmarkResults!$F$2:$F$35)*(mysql_hardware_log!T210&lt;BenchmarkResults!$G$2:$G$35)*ROW(BenchmarkResults!$F$2:$F$35)),{1,3})</f>
        <v>q2_avg_order_city</v>
      </c>
      <c r="B210" s="13">
        <v>1</v>
      </c>
      <c r="C210" s="16">
        <v>1</v>
      </c>
      <c r="D210" s="18">
        <v>0</v>
      </c>
      <c r="E210" s="16">
        <v>461568</v>
      </c>
      <c r="F210" s="13">
        <v>143428</v>
      </c>
      <c r="G210" s="13">
        <v>2864</v>
      </c>
      <c r="H210" s="18">
        <v>3585552</v>
      </c>
      <c r="I210" s="16">
        <v>0</v>
      </c>
      <c r="J210" s="18">
        <v>0</v>
      </c>
      <c r="K210" s="16">
        <v>8236</v>
      </c>
      <c r="L210" s="18">
        <v>2</v>
      </c>
      <c r="M210" s="16">
        <v>1046</v>
      </c>
      <c r="N210" s="18">
        <v>655</v>
      </c>
      <c r="O210" s="16">
        <v>30</v>
      </c>
      <c r="P210" s="13">
        <v>3</v>
      </c>
      <c r="Q210" s="13">
        <v>63</v>
      </c>
      <c r="R210" s="13">
        <v>4</v>
      </c>
      <c r="S210" s="18">
        <v>0</v>
      </c>
      <c r="T210" s="21">
        <v>46247.3516087963</v>
      </c>
      <c r="U210" s="55">
        <f t="shared" si="6"/>
        <v>0.66666666666666663</v>
      </c>
      <c r="V210" s="55">
        <f t="shared" si="6"/>
        <v>0.33333333333333331</v>
      </c>
      <c r="W210" s="56">
        <f t="shared" si="7"/>
        <v>42009.333333333336</v>
      </c>
    </row>
    <row r="211" spans="1:23" x14ac:dyDescent="0.3">
      <c r="A211" s="13" t="str" cm="1">
        <f t="array" ref="A211:B211">INDEX(BenchmarkResults!$B$1:$D$35,SUMPRODUCT((T211&gt;=BenchmarkResults!$F$2:$F$35)*(mysql_hardware_log!T211&lt;BenchmarkResults!$G$2:$G$35)*ROW(BenchmarkResults!$F$2:$F$35)),{1,3})</f>
        <v>q2_avg_order_city</v>
      </c>
      <c r="B211" s="13">
        <v>1</v>
      </c>
      <c r="C211" s="16">
        <v>1</v>
      </c>
      <c r="D211" s="18">
        <v>0</v>
      </c>
      <c r="E211" s="16">
        <v>461568</v>
      </c>
      <c r="F211" s="13">
        <v>136304</v>
      </c>
      <c r="G211" s="13">
        <v>2872</v>
      </c>
      <c r="H211" s="18">
        <v>3591228</v>
      </c>
      <c r="I211" s="16">
        <v>0</v>
      </c>
      <c r="J211" s="18">
        <v>0</v>
      </c>
      <c r="K211" s="16">
        <v>29946</v>
      </c>
      <c r="L211" s="18">
        <v>4</v>
      </c>
      <c r="M211" s="16">
        <v>1343</v>
      </c>
      <c r="N211" s="18">
        <v>766</v>
      </c>
      <c r="O211" s="16">
        <v>28</v>
      </c>
      <c r="P211" s="13">
        <v>5</v>
      </c>
      <c r="Q211" s="13">
        <v>62</v>
      </c>
      <c r="R211" s="13">
        <v>4</v>
      </c>
      <c r="S211" s="18">
        <v>0</v>
      </c>
      <c r="T211" s="21">
        <v>46247.351724537039</v>
      </c>
      <c r="U211" s="55">
        <f t="shared" si="6"/>
        <v>0.83333333333333337</v>
      </c>
      <c r="V211" s="55">
        <f t="shared" si="6"/>
        <v>0.33333333333333331</v>
      </c>
      <c r="W211" s="56">
        <f t="shared" si="7"/>
        <v>45108.666666666664</v>
      </c>
    </row>
    <row r="212" spans="1:23" x14ac:dyDescent="0.3">
      <c r="A212" s="13" t="str" cm="1">
        <f t="array" ref="A212:B212">INDEX(BenchmarkResults!$B$1:$D$35,SUMPRODUCT((T212&gt;=BenchmarkResults!$F$2:$F$35)*(mysql_hardware_log!T212&lt;BenchmarkResults!$G$2:$G$35)*ROW(BenchmarkResults!$F$2:$F$35)),{1,3})</f>
        <v>q2_avg_order_city</v>
      </c>
      <c r="B212" s="13">
        <v>1</v>
      </c>
      <c r="C212" s="16">
        <v>1</v>
      </c>
      <c r="D212" s="18">
        <v>0</v>
      </c>
      <c r="E212" s="16">
        <v>461568</v>
      </c>
      <c r="F212" s="13">
        <v>154392</v>
      </c>
      <c r="G212" s="13">
        <v>2880</v>
      </c>
      <c r="H212" s="18">
        <v>3568120</v>
      </c>
      <c r="I212" s="16">
        <v>0</v>
      </c>
      <c r="J212" s="18">
        <v>0</v>
      </c>
      <c r="K212" s="16">
        <v>29901</v>
      </c>
      <c r="L212" s="18">
        <v>2</v>
      </c>
      <c r="M212" s="16">
        <v>1312</v>
      </c>
      <c r="N212" s="18">
        <v>670</v>
      </c>
      <c r="O212" s="16">
        <v>28</v>
      </c>
      <c r="P212" s="13">
        <v>4</v>
      </c>
      <c r="Q212" s="13">
        <v>63</v>
      </c>
      <c r="R212" s="13">
        <v>4</v>
      </c>
      <c r="S212" s="18">
        <v>0</v>
      </c>
      <c r="T212" s="21">
        <v>46247.351840277777</v>
      </c>
      <c r="U212" s="55">
        <f t="shared" si="6"/>
        <v>1</v>
      </c>
      <c r="V212" s="55">
        <f t="shared" si="6"/>
        <v>0.16666666666666666</v>
      </c>
      <c r="W212" s="56">
        <f t="shared" si="7"/>
        <v>46598.833333333336</v>
      </c>
    </row>
    <row r="213" spans="1:23" x14ac:dyDescent="0.3">
      <c r="A213" s="13" t="str" cm="1">
        <f t="array" ref="A213:B213">INDEX(BenchmarkResults!$B$1:$D$35,SUMPRODUCT((T213&gt;=BenchmarkResults!$F$2:$F$35)*(mysql_hardware_log!T213&lt;BenchmarkResults!$G$2:$G$35)*ROW(BenchmarkResults!$F$2:$F$35)),{1,3})</f>
        <v>q2_avg_order_city</v>
      </c>
      <c r="B213" s="13">
        <v>1</v>
      </c>
      <c r="C213" s="16">
        <v>1</v>
      </c>
      <c r="D213" s="18">
        <v>0</v>
      </c>
      <c r="E213" s="16">
        <v>461568</v>
      </c>
      <c r="F213" s="13">
        <v>136012</v>
      </c>
      <c r="G213" s="13">
        <v>2888</v>
      </c>
      <c r="H213" s="18">
        <v>3585716</v>
      </c>
      <c r="I213" s="16">
        <v>4</v>
      </c>
      <c r="J213" s="18">
        <v>0</v>
      </c>
      <c r="K213" s="16">
        <v>23709</v>
      </c>
      <c r="L213" s="18">
        <v>2</v>
      </c>
      <c r="M213" s="16">
        <v>1162</v>
      </c>
      <c r="N213" s="18">
        <v>560</v>
      </c>
      <c r="O213" s="16">
        <v>30</v>
      </c>
      <c r="P213" s="13">
        <v>4</v>
      </c>
      <c r="Q213" s="13">
        <v>63</v>
      </c>
      <c r="R213" s="13">
        <v>2</v>
      </c>
      <c r="S213" s="18">
        <v>1</v>
      </c>
      <c r="T213" s="21">
        <v>46247.351956018516</v>
      </c>
      <c r="U213" s="55">
        <f t="shared" si="6"/>
        <v>1.1666666666666667</v>
      </c>
      <c r="V213" s="55">
        <f t="shared" si="6"/>
        <v>0</v>
      </c>
      <c r="W213" s="56">
        <f t="shared" si="7"/>
        <v>33919.333333333336</v>
      </c>
    </row>
    <row r="214" spans="1:23" x14ac:dyDescent="0.3">
      <c r="A214" s="13" t="str" cm="1">
        <f t="array" ref="A214:B214">INDEX(BenchmarkResults!$B$1:$D$35,SUMPRODUCT((T214&gt;=BenchmarkResults!$F$2:$F$35)*(mysql_hardware_log!T214&lt;BenchmarkResults!$G$2:$G$35)*ROW(BenchmarkResults!$F$2:$F$35)),{1,3})</f>
        <v>q2_avg_order_city</v>
      </c>
      <c r="B214" s="13">
        <v>1</v>
      </c>
      <c r="C214" s="16">
        <v>1</v>
      </c>
      <c r="D214" s="18">
        <v>0</v>
      </c>
      <c r="E214" s="16">
        <v>461568</v>
      </c>
      <c r="F214" s="13">
        <v>136904</v>
      </c>
      <c r="G214" s="13">
        <v>2896</v>
      </c>
      <c r="H214" s="18">
        <v>3589664</v>
      </c>
      <c r="I214" s="16">
        <v>0</v>
      </c>
      <c r="J214" s="18">
        <v>0</v>
      </c>
      <c r="K214" s="16">
        <v>5896</v>
      </c>
      <c r="L214" s="18">
        <v>18</v>
      </c>
      <c r="M214" s="16">
        <v>921</v>
      </c>
      <c r="N214" s="18">
        <v>516</v>
      </c>
      <c r="O214" s="16">
        <v>31</v>
      </c>
      <c r="P214" s="13">
        <v>3</v>
      </c>
      <c r="Q214" s="13">
        <v>65</v>
      </c>
      <c r="R214" s="13">
        <v>1</v>
      </c>
      <c r="S214" s="18">
        <v>0</v>
      </c>
      <c r="T214" s="21">
        <v>46247.352071759262</v>
      </c>
      <c r="U214" s="55">
        <f t="shared" si="6"/>
        <v>1.1666666666666667</v>
      </c>
      <c r="V214" s="55">
        <f t="shared" si="6"/>
        <v>0</v>
      </c>
      <c r="W214" s="56">
        <f t="shared" si="7"/>
        <v>20813.333333333332</v>
      </c>
    </row>
    <row r="215" spans="1:23" x14ac:dyDescent="0.3">
      <c r="A215" s="13" t="str" cm="1">
        <f t="array" ref="A215:B215">INDEX(BenchmarkResults!$B$1:$D$35,SUMPRODUCT((T215&gt;=BenchmarkResults!$F$2:$F$35)*(mysql_hardware_log!T215&lt;BenchmarkResults!$G$2:$G$35)*ROW(BenchmarkResults!$F$2:$F$35)),{1,3})</f>
        <v>q2_avg_order_city</v>
      </c>
      <c r="B215" s="13">
        <v>1</v>
      </c>
      <c r="C215" s="16">
        <v>3</v>
      </c>
      <c r="D215" s="18">
        <v>0</v>
      </c>
      <c r="E215" s="16">
        <v>461568</v>
      </c>
      <c r="F215" s="13">
        <v>137996</v>
      </c>
      <c r="G215" s="13">
        <v>2904</v>
      </c>
      <c r="H215" s="18">
        <v>3589820</v>
      </c>
      <c r="I215" s="16">
        <v>0</v>
      </c>
      <c r="J215" s="18">
        <v>0</v>
      </c>
      <c r="K215" s="16">
        <v>16392</v>
      </c>
      <c r="L215" s="18">
        <v>18</v>
      </c>
      <c r="M215" s="16">
        <v>1177</v>
      </c>
      <c r="N215" s="18">
        <v>629</v>
      </c>
      <c r="O215" s="16">
        <v>29</v>
      </c>
      <c r="P215" s="13">
        <v>4</v>
      </c>
      <c r="Q215" s="13">
        <v>62</v>
      </c>
      <c r="R215" s="13">
        <v>4</v>
      </c>
      <c r="S215" s="18">
        <v>1</v>
      </c>
      <c r="T215" s="21">
        <v>46247.352187500001</v>
      </c>
      <c r="U215" s="55">
        <f t="shared" si="6"/>
        <v>1.3333333333333333</v>
      </c>
      <c r="V215" s="55">
        <f t="shared" si="6"/>
        <v>0</v>
      </c>
      <c r="W215" s="56">
        <f t="shared" si="7"/>
        <v>19013.333333333332</v>
      </c>
    </row>
    <row r="216" spans="1:23" x14ac:dyDescent="0.3">
      <c r="A216" s="13" t="str" cm="1">
        <f t="array" ref="A216:B216">INDEX(BenchmarkResults!$B$1:$D$35,SUMPRODUCT((T216&gt;=BenchmarkResults!$F$2:$F$35)*(mysql_hardware_log!T216&lt;BenchmarkResults!$G$2:$G$35)*ROW(BenchmarkResults!$F$2:$F$35)),{1,3})</f>
        <v>q2_avg_order_city</v>
      </c>
      <c r="B216" s="13">
        <v>1</v>
      </c>
      <c r="C216" s="16">
        <v>1</v>
      </c>
      <c r="D216" s="18">
        <v>0</v>
      </c>
      <c r="E216" s="16">
        <v>461568</v>
      </c>
      <c r="F216" s="13">
        <v>105668</v>
      </c>
      <c r="G216" s="13">
        <v>2912</v>
      </c>
      <c r="H216" s="18">
        <v>3619880</v>
      </c>
      <c r="I216" s="16">
        <v>0</v>
      </c>
      <c r="J216" s="18">
        <v>0</v>
      </c>
      <c r="K216" s="16">
        <v>8507</v>
      </c>
      <c r="L216" s="18">
        <v>2</v>
      </c>
      <c r="M216" s="16">
        <v>1068</v>
      </c>
      <c r="N216" s="18">
        <v>585</v>
      </c>
      <c r="O216" s="16">
        <v>29</v>
      </c>
      <c r="P216" s="13">
        <v>3</v>
      </c>
      <c r="Q216" s="13">
        <v>62</v>
      </c>
      <c r="R216" s="13">
        <v>4</v>
      </c>
      <c r="S216" s="18">
        <v>3</v>
      </c>
      <c r="T216" s="21">
        <v>46247.352303240739</v>
      </c>
      <c r="U216" s="55">
        <f t="shared" si="6"/>
        <v>1.3333333333333333</v>
      </c>
      <c r="V216" s="55">
        <f t="shared" si="6"/>
        <v>0</v>
      </c>
      <c r="W216" s="56">
        <f t="shared" si="7"/>
        <v>19058.5</v>
      </c>
    </row>
    <row r="217" spans="1:23" x14ac:dyDescent="0.3">
      <c r="A217" s="13" t="str" cm="1">
        <f t="array" ref="A217:B217">INDEX(BenchmarkResults!$B$1:$D$35,SUMPRODUCT((T217&gt;=BenchmarkResults!$F$2:$F$35)*(mysql_hardware_log!T217&lt;BenchmarkResults!$G$2:$G$35)*ROW(BenchmarkResults!$F$2:$F$35)),{1,3})</f>
        <v>q2_avg_order_city</v>
      </c>
      <c r="B217" s="13">
        <v>1</v>
      </c>
      <c r="C217" s="16">
        <v>1</v>
      </c>
      <c r="D217" s="18">
        <v>0</v>
      </c>
      <c r="E217" s="16">
        <v>461568</v>
      </c>
      <c r="F217" s="13">
        <v>127112</v>
      </c>
      <c r="G217" s="13">
        <v>2920</v>
      </c>
      <c r="H217" s="18">
        <v>3598972</v>
      </c>
      <c r="I217" s="16">
        <v>0</v>
      </c>
      <c r="J217" s="18">
        <v>0</v>
      </c>
      <c r="K217" s="16">
        <v>8867</v>
      </c>
      <c r="L217" s="18">
        <v>2</v>
      </c>
      <c r="M217" s="16">
        <v>1079</v>
      </c>
      <c r="N217" s="18">
        <v>637</v>
      </c>
      <c r="O217" s="16">
        <v>31</v>
      </c>
      <c r="P217" s="13">
        <v>3</v>
      </c>
      <c r="Q217" s="13">
        <v>63</v>
      </c>
      <c r="R217" s="13">
        <v>3</v>
      </c>
      <c r="S217" s="18">
        <v>1</v>
      </c>
      <c r="T217" s="21">
        <v>46247.352418981478</v>
      </c>
      <c r="U217" s="55">
        <f t="shared" si="6"/>
        <v>1.3333333333333333</v>
      </c>
      <c r="V217" s="55">
        <f t="shared" si="6"/>
        <v>0</v>
      </c>
      <c r="W217" s="56">
        <f t="shared" si="7"/>
        <v>15545.333333333334</v>
      </c>
    </row>
    <row r="218" spans="1:23" x14ac:dyDescent="0.3">
      <c r="A218" s="13" t="str" cm="1">
        <f t="array" ref="A218:B218">INDEX(BenchmarkResults!$B$1:$D$35,SUMPRODUCT((T218&gt;=BenchmarkResults!$F$2:$F$35)*(mysql_hardware_log!T218&lt;BenchmarkResults!$G$2:$G$35)*ROW(BenchmarkResults!$F$2:$F$35)),{1,3})</f>
        <v>q2_avg_order_city</v>
      </c>
      <c r="B218" s="13">
        <v>1</v>
      </c>
      <c r="C218" s="16">
        <v>1</v>
      </c>
      <c r="D218" s="18">
        <v>0</v>
      </c>
      <c r="E218" s="16">
        <v>461568</v>
      </c>
      <c r="F218" s="13">
        <v>151928</v>
      </c>
      <c r="G218" s="13">
        <v>2928</v>
      </c>
      <c r="H218" s="18">
        <v>3575156</v>
      </c>
      <c r="I218" s="16">
        <v>0</v>
      </c>
      <c r="J218" s="18">
        <v>0</v>
      </c>
      <c r="K218" s="16">
        <v>8657</v>
      </c>
      <c r="L218" s="18">
        <v>4</v>
      </c>
      <c r="M218" s="16">
        <v>1116</v>
      </c>
      <c r="N218" s="18">
        <v>642</v>
      </c>
      <c r="O218" s="16">
        <v>30</v>
      </c>
      <c r="P218" s="13">
        <v>3</v>
      </c>
      <c r="Q218" s="13">
        <v>62</v>
      </c>
      <c r="R218" s="13">
        <v>4</v>
      </c>
      <c r="S218" s="18">
        <v>1</v>
      </c>
      <c r="T218" s="21">
        <v>46247.352534722224</v>
      </c>
      <c r="U218" s="55">
        <f t="shared" si="6"/>
        <v>1.3333333333333333</v>
      </c>
      <c r="V218" s="55">
        <f t="shared" si="6"/>
        <v>0</v>
      </c>
      <c r="W218" s="56">
        <f t="shared" si="7"/>
        <v>12004.666666666666</v>
      </c>
    </row>
    <row r="219" spans="1:23" x14ac:dyDescent="0.3">
      <c r="A219" s="13" t="str" cm="1">
        <f t="array" ref="A219:B219">INDEX(BenchmarkResults!$B$1:$D$35,SUMPRODUCT((T219&gt;=BenchmarkResults!$F$2:$F$35)*(mysql_hardware_log!T219&lt;BenchmarkResults!$G$2:$G$35)*ROW(BenchmarkResults!$F$2:$F$35)),{1,3})</f>
        <v>q2_avg_order_city</v>
      </c>
      <c r="B219" s="13">
        <v>1</v>
      </c>
      <c r="C219" s="16">
        <v>1</v>
      </c>
      <c r="D219" s="18">
        <v>0</v>
      </c>
      <c r="E219" s="16">
        <v>461568</v>
      </c>
      <c r="F219" s="13">
        <v>105796</v>
      </c>
      <c r="G219" s="13">
        <v>2936</v>
      </c>
      <c r="H219" s="18">
        <v>3621056</v>
      </c>
      <c r="I219" s="16">
        <v>0</v>
      </c>
      <c r="J219" s="18">
        <v>0</v>
      </c>
      <c r="K219" s="16">
        <v>10115</v>
      </c>
      <c r="L219" s="18">
        <v>2</v>
      </c>
      <c r="M219" s="16">
        <v>1094</v>
      </c>
      <c r="N219" s="18">
        <v>644</v>
      </c>
      <c r="O219" s="16">
        <v>31</v>
      </c>
      <c r="P219" s="13">
        <v>3</v>
      </c>
      <c r="Q219" s="13">
        <v>63</v>
      </c>
      <c r="R219" s="13">
        <v>4</v>
      </c>
      <c r="S219" s="18">
        <v>0</v>
      </c>
      <c r="T219" s="21">
        <v>46247.352650462963</v>
      </c>
      <c r="U219" s="55">
        <f t="shared" si="6"/>
        <v>1.3333333333333333</v>
      </c>
      <c r="V219" s="55">
        <f t="shared" si="6"/>
        <v>0</v>
      </c>
      <c r="W219" s="56">
        <f t="shared" si="7"/>
        <v>9739</v>
      </c>
    </row>
    <row r="220" spans="1:23" x14ac:dyDescent="0.3">
      <c r="A220" s="13" t="str" cm="1">
        <f t="array" ref="A220:B220">INDEX(BenchmarkResults!$B$1:$D$35,SUMPRODUCT((T220&gt;=BenchmarkResults!$F$2:$F$35)*(mysql_hardware_log!T220&lt;BenchmarkResults!$G$2:$G$35)*ROW(BenchmarkResults!$F$2:$F$35)),{1,3})</f>
        <v>q2_avg_order_city</v>
      </c>
      <c r="B220" s="13">
        <v>1</v>
      </c>
      <c r="C220" s="16">
        <v>1</v>
      </c>
      <c r="D220" s="18">
        <v>0</v>
      </c>
      <c r="E220" s="16">
        <v>461568</v>
      </c>
      <c r="F220" s="13">
        <v>118632</v>
      </c>
      <c r="G220" s="13">
        <v>2944</v>
      </c>
      <c r="H220" s="18">
        <v>3607568</v>
      </c>
      <c r="I220" s="16">
        <v>0</v>
      </c>
      <c r="J220" s="18">
        <v>0</v>
      </c>
      <c r="K220" s="16">
        <v>9664</v>
      </c>
      <c r="L220" s="18">
        <v>2</v>
      </c>
      <c r="M220" s="16">
        <v>1079</v>
      </c>
      <c r="N220" s="18">
        <v>648</v>
      </c>
      <c r="O220" s="16">
        <v>30</v>
      </c>
      <c r="P220" s="13">
        <v>3</v>
      </c>
      <c r="Q220" s="13">
        <v>63</v>
      </c>
      <c r="R220" s="13">
        <v>3</v>
      </c>
      <c r="S220" s="18">
        <v>1</v>
      </c>
      <c r="T220" s="21">
        <v>46247.352766203701</v>
      </c>
      <c r="U220" s="55">
        <f t="shared" si="6"/>
        <v>1.3333333333333333</v>
      </c>
      <c r="V220" s="55">
        <f t="shared" si="6"/>
        <v>0</v>
      </c>
      <c r="W220" s="56">
        <f t="shared" si="7"/>
        <v>10367</v>
      </c>
    </row>
    <row r="221" spans="1:23" x14ac:dyDescent="0.3">
      <c r="A221" s="13" t="str" cm="1">
        <f t="array" ref="A221:B221">INDEX(BenchmarkResults!$B$1:$D$35,SUMPRODUCT((T221&gt;=BenchmarkResults!$F$2:$F$35)*(mysql_hardware_log!T221&lt;BenchmarkResults!$G$2:$G$35)*ROW(BenchmarkResults!$F$2:$F$35)),{1,3})</f>
        <v>q2_avg_order_city</v>
      </c>
      <c r="B221" s="13">
        <v>1</v>
      </c>
      <c r="C221" s="16">
        <v>1</v>
      </c>
      <c r="D221" s="18">
        <v>0</v>
      </c>
      <c r="E221" s="16">
        <v>461568</v>
      </c>
      <c r="F221" s="13">
        <v>134264</v>
      </c>
      <c r="G221" s="13">
        <v>2952</v>
      </c>
      <c r="H221" s="18">
        <v>3588624</v>
      </c>
      <c r="I221" s="16">
        <v>0</v>
      </c>
      <c r="J221" s="18">
        <v>0</v>
      </c>
      <c r="K221" s="16">
        <v>9135</v>
      </c>
      <c r="L221" s="18">
        <v>2</v>
      </c>
      <c r="M221" s="16">
        <v>1100</v>
      </c>
      <c r="N221" s="18">
        <v>657</v>
      </c>
      <c r="O221" s="16">
        <v>30</v>
      </c>
      <c r="P221" s="13">
        <v>3</v>
      </c>
      <c r="Q221" s="13">
        <v>64</v>
      </c>
      <c r="R221" s="13">
        <v>2</v>
      </c>
      <c r="S221" s="18">
        <v>1</v>
      </c>
      <c r="T221" s="21">
        <v>46247.352881944447</v>
      </c>
      <c r="U221" s="55">
        <f t="shared" si="6"/>
        <v>1</v>
      </c>
      <c r="V221" s="55">
        <f t="shared" si="6"/>
        <v>0</v>
      </c>
      <c r="W221" s="56">
        <f t="shared" si="7"/>
        <v>9157.5</v>
      </c>
    </row>
    <row r="222" spans="1:23" x14ac:dyDescent="0.3">
      <c r="A222" s="13" t="str" cm="1">
        <f t="array" ref="A222:B222">INDEX(BenchmarkResults!$B$1:$D$35,SUMPRODUCT((T222&gt;=BenchmarkResults!$F$2:$F$35)*(mysql_hardware_log!T222&lt;BenchmarkResults!$G$2:$G$35)*ROW(BenchmarkResults!$F$2:$F$35)),{1,3})</f>
        <v>q2_avg_order_city</v>
      </c>
      <c r="B222" s="13">
        <v>1</v>
      </c>
      <c r="C222" s="16">
        <v>1</v>
      </c>
      <c r="D222" s="18">
        <v>0</v>
      </c>
      <c r="E222" s="16">
        <v>461568</v>
      </c>
      <c r="F222" s="13">
        <v>132292</v>
      </c>
      <c r="G222" s="13">
        <v>2964</v>
      </c>
      <c r="H222" s="18">
        <v>3593252</v>
      </c>
      <c r="I222" s="16">
        <v>0</v>
      </c>
      <c r="J222" s="18">
        <v>0</v>
      </c>
      <c r="K222" s="16">
        <v>5966</v>
      </c>
      <c r="L222" s="18">
        <v>6</v>
      </c>
      <c r="M222" s="16">
        <v>1053</v>
      </c>
      <c r="N222" s="18">
        <v>685</v>
      </c>
      <c r="O222" s="16">
        <v>32</v>
      </c>
      <c r="P222" s="13">
        <v>2</v>
      </c>
      <c r="Q222" s="13">
        <v>64</v>
      </c>
      <c r="R222" s="13">
        <v>2</v>
      </c>
      <c r="S222" s="18">
        <v>0</v>
      </c>
      <c r="T222" s="21">
        <v>46247.352997685186</v>
      </c>
      <c r="U222" s="55">
        <f t="shared" si="6"/>
        <v>1</v>
      </c>
      <c r="V222" s="55">
        <f t="shared" si="6"/>
        <v>0</v>
      </c>
      <c r="W222" s="56">
        <f t="shared" si="7"/>
        <v>8734</v>
      </c>
    </row>
    <row r="223" spans="1:23" x14ac:dyDescent="0.3">
      <c r="A223" s="13" t="str" cm="1">
        <f t="array" ref="A223:B223">INDEX(BenchmarkResults!$B$1:$D$35,SUMPRODUCT((T223&gt;=BenchmarkResults!$F$2:$F$35)*(mysql_hardware_log!T223&lt;BenchmarkResults!$G$2:$G$35)*ROW(BenchmarkResults!$F$2:$F$35)),{1,3})</f>
        <v>q2_avg_order_city</v>
      </c>
      <c r="B223" s="13">
        <v>1</v>
      </c>
      <c r="C223" s="16">
        <v>1</v>
      </c>
      <c r="D223" s="18">
        <v>0</v>
      </c>
      <c r="E223" s="16">
        <v>461568</v>
      </c>
      <c r="F223" s="13">
        <v>110112</v>
      </c>
      <c r="G223" s="13">
        <v>2972</v>
      </c>
      <c r="H223" s="18">
        <v>3615144</v>
      </c>
      <c r="I223" s="16">
        <v>0</v>
      </c>
      <c r="J223" s="18">
        <v>0</v>
      </c>
      <c r="K223" s="16">
        <v>7700</v>
      </c>
      <c r="L223" s="18">
        <v>4</v>
      </c>
      <c r="M223" s="16">
        <v>1031</v>
      </c>
      <c r="N223" s="18">
        <v>636</v>
      </c>
      <c r="O223" s="16">
        <v>31</v>
      </c>
      <c r="P223" s="13">
        <v>3</v>
      </c>
      <c r="Q223" s="13">
        <v>63</v>
      </c>
      <c r="R223" s="13">
        <v>3</v>
      </c>
      <c r="S223" s="18">
        <v>0</v>
      </c>
      <c r="T223" s="21">
        <v>46247.353113425925</v>
      </c>
      <c r="U223" s="55">
        <f t="shared" si="6"/>
        <v>1</v>
      </c>
      <c r="V223" s="55">
        <f t="shared" si="6"/>
        <v>0</v>
      </c>
      <c r="W223" s="56">
        <f t="shared" si="7"/>
        <v>8539.5</v>
      </c>
    </row>
    <row r="224" spans="1:23" x14ac:dyDescent="0.3">
      <c r="A224" s="13" t="str" cm="1">
        <f t="array" ref="A224:B224">INDEX(BenchmarkResults!$B$1:$D$35,SUMPRODUCT((T224&gt;=BenchmarkResults!$F$2:$F$35)*(mysql_hardware_log!T224&lt;BenchmarkResults!$G$2:$G$35)*ROW(BenchmarkResults!$F$2:$F$35)),{1,3})</f>
        <v>q2_avg_order_city</v>
      </c>
      <c r="B224" s="13">
        <v>1</v>
      </c>
      <c r="C224" s="16">
        <v>1</v>
      </c>
      <c r="D224" s="18">
        <v>0</v>
      </c>
      <c r="E224" s="16">
        <v>461568</v>
      </c>
      <c r="F224" s="13">
        <v>157452</v>
      </c>
      <c r="G224" s="13">
        <v>2980</v>
      </c>
      <c r="H224" s="18">
        <v>3570448</v>
      </c>
      <c r="I224" s="16">
        <v>0</v>
      </c>
      <c r="J224" s="18">
        <v>0</v>
      </c>
      <c r="K224" s="16">
        <v>6566</v>
      </c>
      <c r="L224" s="18">
        <v>2</v>
      </c>
      <c r="M224" s="16">
        <v>978</v>
      </c>
      <c r="N224" s="18">
        <v>615</v>
      </c>
      <c r="O224" s="16">
        <v>31</v>
      </c>
      <c r="P224" s="13">
        <v>3</v>
      </c>
      <c r="Q224" s="13">
        <v>63</v>
      </c>
      <c r="R224" s="13">
        <v>3</v>
      </c>
      <c r="S224" s="18">
        <v>0</v>
      </c>
      <c r="T224" s="21">
        <v>46247.353229166663</v>
      </c>
      <c r="U224" s="55">
        <f t="shared" si="6"/>
        <v>1</v>
      </c>
      <c r="V224" s="55">
        <f t="shared" si="6"/>
        <v>0</v>
      </c>
      <c r="W224" s="56">
        <f t="shared" si="7"/>
        <v>8191</v>
      </c>
    </row>
    <row r="225" spans="1:23" x14ac:dyDescent="0.3">
      <c r="A225" s="13" t="str" cm="1">
        <f t="array" ref="A225:B225">INDEX(BenchmarkResults!$B$1:$D$35,SUMPRODUCT((T225&gt;=BenchmarkResults!$F$2:$F$35)*(mysql_hardware_log!T225&lt;BenchmarkResults!$G$2:$G$35)*ROW(BenchmarkResults!$F$2:$F$35)),{1,3})</f>
        <v>q2_avg_order_city</v>
      </c>
      <c r="B225" s="13">
        <v>1</v>
      </c>
      <c r="C225" s="16">
        <v>1</v>
      </c>
      <c r="D225" s="18">
        <v>0</v>
      </c>
      <c r="E225" s="16">
        <v>461568</v>
      </c>
      <c r="F225" s="13">
        <v>148548</v>
      </c>
      <c r="G225" s="13">
        <v>2988</v>
      </c>
      <c r="H225" s="18">
        <v>3578456</v>
      </c>
      <c r="I225" s="16">
        <v>0</v>
      </c>
      <c r="J225" s="18">
        <v>0</v>
      </c>
      <c r="K225" s="16">
        <v>6296</v>
      </c>
      <c r="L225" s="18">
        <v>16</v>
      </c>
      <c r="M225" s="16">
        <v>1010</v>
      </c>
      <c r="N225" s="18">
        <v>692</v>
      </c>
      <c r="O225" s="16">
        <v>32</v>
      </c>
      <c r="P225" s="13">
        <v>3</v>
      </c>
      <c r="Q225" s="13">
        <v>64</v>
      </c>
      <c r="R225" s="13">
        <v>1</v>
      </c>
      <c r="S225" s="18">
        <v>0</v>
      </c>
      <c r="T225" s="21">
        <v>46247.353344907409</v>
      </c>
      <c r="U225" s="55">
        <f t="shared" si="6"/>
        <v>1</v>
      </c>
      <c r="V225" s="55">
        <f t="shared" si="6"/>
        <v>0</v>
      </c>
      <c r="W225" s="56">
        <f t="shared" si="7"/>
        <v>7554.5</v>
      </c>
    </row>
    <row r="226" spans="1:23" x14ac:dyDescent="0.3">
      <c r="A226" s="13" t="str" cm="1">
        <f t="array" ref="A226:B226">INDEX(BenchmarkResults!$B$1:$D$35,SUMPRODUCT((T226&gt;=BenchmarkResults!$F$2:$F$35)*(mysql_hardware_log!T226&lt;BenchmarkResults!$G$2:$G$35)*ROW(BenchmarkResults!$F$2:$F$35)),{1,3})</f>
        <v>q2_avg_order_city</v>
      </c>
      <c r="B226" s="13">
        <v>1</v>
      </c>
      <c r="C226" s="16">
        <v>1</v>
      </c>
      <c r="D226" s="18">
        <v>0</v>
      </c>
      <c r="E226" s="16">
        <v>461568</v>
      </c>
      <c r="F226" s="13">
        <v>150600</v>
      </c>
      <c r="G226" s="13">
        <v>2996</v>
      </c>
      <c r="H226" s="18">
        <v>3575936</v>
      </c>
      <c r="I226" s="16">
        <v>0</v>
      </c>
      <c r="J226" s="18">
        <v>0</v>
      </c>
      <c r="K226" s="16">
        <v>5264</v>
      </c>
      <c r="L226" s="18">
        <v>2</v>
      </c>
      <c r="M226" s="16">
        <v>1042</v>
      </c>
      <c r="N226" s="18">
        <v>730</v>
      </c>
      <c r="O226" s="16">
        <v>31</v>
      </c>
      <c r="P226" s="13">
        <v>2</v>
      </c>
      <c r="Q226" s="13">
        <v>65</v>
      </c>
      <c r="R226" s="13">
        <v>1</v>
      </c>
      <c r="S226" s="18">
        <v>0</v>
      </c>
      <c r="T226" s="21">
        <v>46247.353460648148</v>
      </c>
      <c r="U226" s="55">
        <f t="shared" si="6"/>
        <v>1</v>
      </c>
      <c r="V226" s="55">
        <f t="shared" si="6"/>
        <v>0</v>
      </c>
      <c r="W226" s="56">
        <f t="shared" si="7"/>
        <v>6821.166666666667</v>
      </c>
    </row>
    <row r="227" spans="1:23" x14ac:dyDescent="0.3">
      <c r="A227" s="13" t="str" cm="1">
        <f t="array" ref="A227:B227">INDEX(BenchmarkResults!$B$1:$D$35,SUMPRODUCT((T227&gt;=BenchmarkResults!$F$2:$F$35)*(mysql_hardware_log!T227&lt;BenchmarkResults!$G$2:$G$35)*ROW(BenchmarkResults!$F$2:$F$35)),{1,3})</f>
        <v>q2_avg_order_city</v>
      </c>
      <c r="B227" s="13">
        <v>1</v>
      </c>
      <c r="C227" s="16">
        <v>1</v>
      </c>
      <c r="D227" s="18">
        <v>0</v>
      </c>
      <c r="E227" s="16">
        <v>461568</v>
      </c>
      <c r="F227" s="13">
        <v>104232</v>
      </c>
      <c r="G227" s="13">
        <v>3004</v>
      </c>
      <c r="H227" s="18">
        <v>3622488</v>
      </c>
      <c r="I227" s="16">
        <v>0</v>
      </c>
      <c r="J227" s="18">
        <v>0</v>
      </c>
      <c r="K227" s="16">
        <v>4649</v>
      </c>
      <c r="L227" s="18">
        <v>2</v>
      </c>
      <c r="M227" s="16">
        <v>984</v>
      </c>
      <c r="N227" s="18">
        <v>668</v>
      </c>
      <c r="O227" s="16">
        <v>32</v>
      </c>
      <c r="P227" s="13">
        <v>3</v>
      </c>
      <c r="Q227" s="13">
        <v>64</v>
      </c>
      <c r="R227" s="13">
        <v>2</v>
      </c>
      <c r="S227" s="18">
        <v>0</v>
      </c>
      <c r="T227" s="21">
        <v>46247.353576388887</v>
      </c>
      <c r="U227" s="55">
        <f t="shared" si="6"/>
        <v>1</v>
      </c>
      <c r="V227" s="55">
        <f t="shared" si="6"/>
        <v>0</v>
      </c>
      <c r="W227" s="56">
        <f t="shared" si="7"/>
        <v>6073.5</v>
      </c>
    </row>
    <row r="228" spans="1:23" x14ac:dyDescent="0.3">
      <c r="A228" s="13" t="str" cm="1">
        <f t="array" ref="A228:B228">INDEX(BenchmarkResults!$B$1:$D$35,SUMPRODUCT((T228&gt;=BenchmarkResults!$F$2:$F$35)*(mysql_hardware_log!T228&lt;BenchmarkResults!$G$2:$G$35)*ROW(BenchmarkResults!$F$2:$F$35)),{1,3})</f>
        <v>q2_avg_order_city</v>
      </c>
      <c r="B228" s="13">
        <v>1</v>
      </c>
      <c r="C228" s="16">
        <v>2</v>
      </c>
      <c r="D228" s="18">
        <v>0</v>
      </c>
      <c r="E228" s="16">
        <v>461568</v>
      </c>
      <c r="F228" s="13">
        <v>144216</v>
      </c>
      <c r="G228" s="13">
        <v>3012</v>
      </c>
      <c r="H228" s="18">
        <v>3581716</v>
      </c>
      <c r="I228" s="16">
        <v>0</v>
      </c>
      <c r="J228" s="18">
        <v>0</v>
      </c>
      <c r="K228" s="16">
        <v>6958</v>
      </c>
      <c r="L228" s="18">
        <v>2</v>
      </c>
      <c r="M228" s="16">
        <v>1016</v>
      </c>
      <c r="N228" s="18">
        <v>666</v>
      </c>
      <c r="O228" s="16">
        <v>32</v>
      </c>
      <c r="P228" s="13">
        <v>3</v>
      </c>
      <c r="Q228" s="13">
        <v>64</v>
      </c>
      <c r="R228" s="13">
        <v>1</v>
      </c>
      <c r="S228" s="18">
        <v>0</v>
      </c>
      <c r="T228" s="21">
        <v>46247.353692129633</v>
      </c>
      <c r="U228" s="55">
        <f t="shared" si="6"/>
        <v>1.1666666666666667</v>
      </c>
      <c r="V228" s="55">
        <f t="shared" si="6"/>
        <v>0</v>
      </c>
      <c r="W228" s="56">
        <f t="shared" si="7"/>
        <v>6238.833333333333</v>
      </c>
    </row>
    <row r="229" spans="1:23" x14ac:dyDescent="0.3">
      <c r="A229" s="13" t="str" cm="1">
        <f t="array" ref="A229:B229">INDEX(BenchmarkResults!$B$1:$D$35,SUMPRODUCT((T229&gt;=BenchmarkResults!$F$2:$F$35)*(mysql_hardware_log!T229&lt;BenchmarkResults!$G$2:$G$35)*ROW(BenchmarkResults!$F$2:$F$35)),{1,3})</f>
        <v>q2_avg_order_city</v>
      </c>
      <c r="B229" s="13">
        <v>1</v>
      </c>
      <c r="C229" s="16">
        <v>0</v>
      </c>
      <c r="D229" s="18">
        <v>1</v>
      </c>
      <c r="E229" s="16">
        <v>461568</v>
      </c>
      <c r="F229" s="13">
        <v>139096</v>
      </c>
      <c r="G229" s="13">
        <v>3020</v>
      </c>
      <c r="H229" s="18">
        <v>3586480</v>
      </c>
      <c r="I229" s="16">
        <v>0</v>
      </c>
      <c r="J229" s="18">
        <v>0</v>
      </c>
      <c r="K229" s="16">
        <v>11506</v>
      </c>
      <c r="L229" s="18">
        <v>2</v>
      </c>
      <c r="M229" s="16">
        <v>1075</v>
      </c>
      <c r="N229" s="18">
        <v>688</v>
      </c>
      <c r="O229" s="16">
        <v>31</v>
      </c>
      <c r="P229" s="13">
        <v>3</v>
      </c>
      <c r="Q229" s="13">
        <v>64</v>
      </c>
      <c r="R229" s="13">
        <v>2</v>
      </c>
      <c r="S229" s="18">
        <v>0</v>
      </c>
      <c r="T229" s="21">
        <v>46247.353807870371</v>
      </c>
      <c r="U229" s="55">
        <f t="shared" si="6"/>
        <v>1</v>
      </c>
      <c r="V229" s="55">
        <f t="shared" si="6"/>
        <v>0.16666666666666666</v>
      </c>
      <c r="W229" s="56">
        <f t="shared" si="7"/>
        <v>6873.166666666667</v>
      </c>
    </row>
    <row r="230" spans="1:23" x14ac:dyDescent="0.3">
      <c r="A230" s="13" t="str" cm="1">
        <f t="array" ref="A230:B230">INDEX(BenchmarkResults!$B$1:$D$35,SUMPRODUCT((T230&gt;=BenchmarkResults!$F$2:$F$35)*(mysql_hardware_log!T230&lt;BenchmarkResults!$G$2:$G$35)*ROW(BenchmarkResults!$F$2:$F$35)),{1,3})</f>
        <v>q2_avg_order_city</v>
      </c>
      <c r="B230" s="13">
        <v>1</v>
      </c>
      <c r="C230" s="16">
        <v>1</v>
      </c>
      <c r="D230" s="18">
        <v>0</v>
      </c>
      <c r="E230" s="16">
        <v>461568</v>
      </c>
      <c r="F230" s="13">
        <v>124816</v>
      </c>
      <c r="G230" s="13">
        <v>3028</v>
      </c>
      <c r="H230" s="18">
        <v>3603296</v>
      </c>
      <c r="I230" s="16">
        <v>0</v>
      </c>
      <c r="J230" s="18">
        <v>0</v>
      </c>
      <c r="K230" s="16">
        <v>12690</v>
      </c>
      <c r="L230" s="18">
        <v>2</v>
      </c>
      <c r="M230" s="16">
        <v>1132</v>
      </c>
      <c r="N230" s="18">
        <v>727</v>
      </c>
      <c r="O230" s="16">
        <v>31</v>
      </c>
      <c r="P230" s="13">
        <v>3</v>
      </c>
      <c r="Q230" s="13">
        <v>64</v>
      </c>
      <c r="R230" s="13">
        <v>2</v>
      </c>
      <c r="S230" s="18">
        <v>0</v>
      </c>
      <c r="T230" s="21">
        <v>46247.35392361111</v>
      </c>
      <c r="U230" s="55">
        <f t="shared" si="6"/>
        <v>1</v>
      </c>
      <c r="V230" s="55">
        <f t="shared" si="6"/>
        <v>0.16666666666666666</v>
      </c>
      <c r="W230" s="56">
        <f t="shared" si="7"/>
        <v>7893.833333333333</v>
      </c>
    </row>
    <row r="231" spans="1:23" x14ac:dyDescent="0.3">
      <c r="A231" s="13" t="str" cm="1">
        <f t="array" ref="A231:B231">INDEX(BenchmarkResults!$B$1:$D$35,SUMPRODUCT((T231&gt;=BenchmarkResults!$F$2:$F$35)*(mysql_hardware_log!T231&lt;BenchmarkResults!$G$2:$G$35)*ROW(BenchmarkResults!$F$2:$F$35)),{1,3})</f>
        <v>q2_avg_order_city</v>
      </c>
      <c r="B231" s="13">
        <v>1</v>
      </c>
      <c r="C231" s="16">
        <v>2</v>
      </c>
      <c r="D231" s="18">
        <v>0</v>
      </c>
      <c r="E231" s="16">
        <v>461568</v>
      </c>
      <c r="F231" s="13">
        <v>111740</v>
      </c>
      <c r="G231" s="13">
        <v>3036</v>
      </c>
      <c r="H231" s="18">
        <v>3615896</v>
      </c>
      <c r="I231" s="16">
        <v>0</v>
      </c>
      <c r="J231" s="18">
        <v>0</v>
      </c>
      <c r="K231" s="16">
        <v>12321</v>
      </c>
      <c r="L231" s="18">
        <v>2</v>
      </c>
      <c r="M231" s="16">
        <v>1085</v>
      </c>
      <c r="N231" s="18">
        <v>691</v>
      </c>
      <c r="O231" s="16">
        <v>31</v>
      </c>
      <c r="P231" s="13">
        <v>3</v>
      </c>
      <c r="Q231" s="13">
        <v>64</v>
      </c>
      <c r="R231" s="13">
        <v>2</v>
      </c>
      <c r="S231" s="18">
        <v>0</v>
      </c>
      <c r="T231" s="21">
        <v>46247.354039351849</v>
      </c>
      <c r="U231" s="55">
        <f t="shared" si="6"/>
        <v>1.1666666666666667</v>
      </c>
      <c r="V231" s="55">
        <f t="shared" si="6"/>
        <v>0.16666666666666666</v>
      </c>
      <c r="W231" s="56">
        <f t="shared" si="7"/>
        <v>8898</v>
      </c>
    </row>
    <row r="232" spans="1:23" x14ac:dyDescent="0.3">
      <c r="A232" s="13" t="str" cm="1">
        <f t="array" ref="A232:B232">INDEX(BenchmarkResults!$B$1:$D$35,SUMPRODUCT((T232&gt;=BenchmarkResults!$F$2:$F$35)*(mysql_hardware_log!T232&lt;BenchmarkResults!$G$2:$G$35)*ROW(BenchmarkResults!$F$2:$F$35)),{1,3})</f>
        <v>q2_avg_order_city</v>
      </c>
      <c r="B232" s="13">
        <v>1</v>
      </c>
      <c r="C232" s="16">
        <v>1</v>
      </c>
      <c r="D232" s="18">
        <v>0</v>
      </c>
      <c r="E232" s="16">
        <v>461568</v>
      </c>
      <c r="F232" s="13">
        <v>155136</v>
      </c>
      <c r="G232" s="13">
        <v>3044</v>
      </c>
      <c r="H232" s="18">
        <v>3572684</v>
      </c>
      <c r="I232" s="16">
        <v>0</v>
      </c>
      <c r="J232" s="18">
        <v>0</v>
      </c>
      <c r="K232" s="16">
        <v>12208</v>
      </c>
      <c r="L232" s="18">
        <v>2</v>
      </c>
      <c r="M232" s="16">
        <v>1078</v>
      </c>
      <c r="N232" s="18">
        <v>686</v>
      </c>
      <c r="O232" s="16">
        <v>32</v>
      </c>
      <c r="P232" s="13">
        <v>3</v>
      </c>
      <c r="Q232" s="13">
        <v>64</v>
      </c>
      <c r="R232" s="13">
        <v>2</v>
      </c>
      <c r="S232" s="18">
        <v>0</v>
      </c>
      <c r="T232" s="21">
        <v>46247.354155092595</v>
      </c>
      <c r="U232" s="55">
        <f t="shared" si="6"/>
        <v>1.1666666666666667</v>
      </c>
      <c r="V232" s="55">
        <f t="shared" si="6"/>
        <v>0.16666666666666666</v>
      </c>
      <c r="W232" s="56">
        <f t="shared" si="7"/>
        <v>10055.333333333334</v>
      </c>
    </row>
    <row r="233" spans="1:23" x14ac:dyDescent="0.3">
      <c r="A233" s="13" t="str" cm="1">
        <f t="array" ref="A233:B233">INDEX(BenchmarkResults!$B$1:$D$35,SUMPRODUCT((T233&gt;=BenchmarkResults!$F$2:$F$35)*(mysql_hardware_log!T233&lt;BenchmarkResults!$G$2:$G$35)*ROW(BenchmarkResults!$F$2:$F$35)),{1,3})</f>
        <v>q2_avg_order_city</v>
      </c>
      <c r="B233" s="13">
        <v>1</v>
      </c>
      <c r="C233" s="16">
        <v>1</v>
      </c>
      <c r="D233" s="18">
        <v>0</v>
      </c>
      <c r="E233" s="16">
        <v>461568</v>
      </c>
      <c r="F233" s="13">
        <v>140856</v>
      </c>
      <c r="G233" s="13">
        <v>3060</v>
      </c>
      <c r="H233" s="18">
        <v>3585740</v>
      </c>
      <c r="I233" s="16">
        <v>0</v>
      </c>
      <c r="J233" s="18">
        <v>0</v>
      </c>
      <c r="K233" s="16">
        <v>11910</v>
      </c>
      <c r="L233" s="18">
        <v>6</v>
      </c>
      <c r="M233" s="16">
        <v>1093</v>
      </c>
      <c r="N233" s="18">
        <v>714</v>
      </c>
      <c r="O233" s="16">
        <v>31</v>
      </c>
      <c r="P233" s="13">
        <v>3</v>
      </c>
      <c r="Q233" s="13">
        <v>63</v>
      </c>
      <c r="R233" s="13">
        <v>2</v>
      </c>
      <c r="S233" s="18">
        <v>0</v>
      </c>
      <c r="T233" s="21">
        <v>46247.354270833333</v>
      </c>
      <c r="U233" s="55">
        <f t="shared" si="6"/>
        <v>1.1666666666666667</v>
      </c>
      <c r="V233" s="55">
        <f t="shared" si="6"/>
        <v>0.16666666666666666</v>
      </c>
      <c r="W233" s="56">
        <f t="shared" si="7"/>
        <v>11265.5</v>
      </c>
    </row>
    <row r="234" spans="1:23" x14ac:dyDescent="0.3">
      <c r="A234" s="13" t="str" cm="1">
        <f t="array" ref="A234:B234">INDEX(BenchmarkResults!$B$1:$D$35,SUMPRODUCT((T234&gt;=BenchmarkResults!$F$2:$F$35)*(mysql_hardware_log!T234&lt;BenchmarkResults!$G$2:$G$35)*ROW(BenchmarkResults!$F$2:$F$35)),{1,3})</f>
        <v>q2_avg_order_city</v>
      </c>
      <c r="B234" s="13">
        <v>1</v>
      </c>
      <c r="C234" s="16">
        <v>1</v>
      </c>
      <c r="D234" s="18">
        <v>0</v>
      </c>
      <c r="E234" s="16">
        <v>461568</v>
      </c>
      <c r="F234" s="13">
        <v>126996</v>
      </c>
      <c r="G234" s="13">
        <v>3068</v>
      </c>
      <c r="H234" s="18">
        <v>3599844</v>
      </c>
      <c r="I234" s="16">
        <v>0</v>
      </c>
      <c r="J234" s="18">
        <v>0</v>
      </c>
      <c r="K234" s="16">
        <v>11985</v>
      </c>
      <c r="L234" s="18">
        <v>2</v>
      </c>
      <c r="M234" s="16">
        <v>1062</v>
      </c>
      <c r="N234" s="18">
        <v>678</v>
      </c>
      <c r="O234" s="16">
        <v>31</v>
      </c>
      <c r="P234" s="13">
        <v>3</v>
      </c>
      <c r="Q234" s="13">
        <v>65</v>
      </c>
      <c r="R234" s="13">
        <v>2</v>
      </c>
      <c r="S234" s="18">
        <v>0</v>
      </c>
      <c r="T234" s="21">
        <v>46247.354386574072</v>
      </c>
      <c r="U234" s="55">
        <f t="shared" si="6"/>
        <v>1</v>
      </c>
      <c r="V234" s="55">
        <f t="shared" si="6"/>
        <v>0.16666666666666666</v>
      </c>
      <c r="W234" s="56">
        <f t="shared" si="7"/>
        <v>12103.333333333334</v>
      </c>
    </row>
    <row r="235" spans="1:23" x14ac:dyDescent="0.3">
      <c r="A235" s="13" t="str" cm="1">
        <f t="array" ref="A235:B235">INDEX(BenchmarkResults!$B$1:$D$35,SUMPRODUCT((T235&gt;=BenchmarkResults!$F$2:$F$35)*(mysql_hardware_log!T235&lt;BenchmarkResults!$G$2:$G$35)*ROW(BenchmarkResults!$F$2:$F$35)),{1,3})</f>
        <v>q2_avg_order_city</v>
      </c>
      <c r="B235" s="13">
        <v>1</v>
      </c>
      <c r="C235" s="16">
        <v>1</v>
      </c>
      <c r="D235" s="18">
        <v>0</v>
      </c>
      <c r="E235" s="16">
        <v>461568</v>
      </c>
      <c r="F235" s="13">
        <v>121876</v>
      </c>
      <c r="G235" s="13">
        <v>3076</v>
      </c>
      <c r="H235" s="18">
        <v>3604488</v>
      </c>
      <c r="I235" s="16">
        <v>0</v>
      </c>
      <c r="J235" s="18">
        <v>0</v>
      </c>
      <c r="K235" s="16">
        <v>11165</v>
      </c>
      <c r="L235" s="18">
        <v>2</v>
      </c>
      <c r="M235" s="16">
        <v>1070</v>
      </c>
      <c r="N235" s="18">
        <v>704</v>
      </c>
      <c r="O235" s="16">
        <v>31</v>
      </c>
      <c r="P235" s="13">
        <v>3</v>
      </c>
      <c r="Q235" s="13">
        <v>64</v>
      </c>
      <c r="R235" s="13">
        <v>2</v>
      </c>
      <c r="S235" s="18">
        <v>0</v>
      </c>
      <c r="T235" s="21">
        <v>46247.354502314818</v>
      </c>
      <c r="U235" s="55">
        <f t="shared" si="6"/>
        <v>1.1666666666666667</v>
      </c>
      <c r="V235" s="55">
        <f t="shared" si="6"/>
        <v>0</v>
      </c>
      <c r="W235" s="56">
        <f t="shared" si="7"/>
        <v>12046.5</v>
      </c>
    </row>
    <row r="236" spans="1:23" x14ac:dyDescent="0.3">
      <c r="A236" s="13" t="str" cm="1">
        <f t="array" ref="A236:B236">INDEX(BenchmarkResults!$B$1:$D$35,SUMPRODUCT((T236&gt;=BenchmarkResults!$F$2:$F$35)*(mysql_hardware_log!T236&lt;BenchmarkResults!$G$2:$G$35)*ROW(BenchmarkResults!$F$2:$F$35)),{1,3})</f>
        <v>q2_avg_order_city</v>
      </c>
      <c r="B236" s="13">
        <v>1</v>
      </c>
      <c r="C236" s="16">
        <v>1</v>
      </c>
      <c r="D236" s="18">
        <v>0</v>
      </c>
      <c r="E236" s="16">
        <v>461568</v>
      </c>
      <c r="F236" s="13">
        <v>139124</v>
      </c>
      <c r="G236" s="13">
        <v>3084</v>
      </c>
      <c r="H236" s="18">
        <v>3589100</v>
      </c>
      <c r="I236" s="16">
        <v>0</v>
      </c>
      <c r="J236" s="18">
        <v>0</v>
      </c>
      <c r="K236" s="16">
        <v>9288</v>
      </c>
      <c r="L236" s="18">
        <v>19</v>
      </c>
      <c r="M236" s="16">
        <v>1007</v>
      </c>
      <c r="N236" s="18">
        <v>628</v>
      </c>
      <c r="O236" s="16">
        <v>31</v>
      </c>
      <c r="P236" s="13">
        <v>3</v>
      </c>
      <c r="Q236" s="13">
        <v>64</v>
      </c>
      <c r="R236" s="13">
        <v>1</v>
      </c>
      <c r="S236" s="18">
        <v>1</v>
      </c>
      <c r="T236" s="21">
        <v>46247.354618055557</v>
      </c>
      <c r="U236" s="55">
        <f t="shared" si="6"/>
        <v>1.1666666666666667</v>
      </c>
      <c r="V236" s="55">
        <f t="shared" si="6"/>
        <v>0</v>
      </c>
      <c r="W236" s="56">
        <f t="shared" si="7"/>
        <v>11479.5</v>
      </c>
    </row>
    <row r="237" spans="1:23" x14ac:dyDescent="0.3">
      <c r="A237" s="13" t="str" cm="1">
        <f t="array" ref="A237:B237">INDEX(BenchmarkResults!$B$1:$D$35,SUMPRODUCT((T237&gt;=BenchmarkResults!$F$2:$F$35)*(mysql_hardware_log!T237&lt;BenchmarkResults!$G$2:$G$35)*ROW(BenchmarkResults!$F$2:$F$35)),{1,3})</f>
        <v>q2_avg_order_city</v>
      </c>
      <c r="B237" s="13">
        <v>1</v>
      </c>
      <c r="C237" s="16">
        <v>1</v>
      </c>
      <c r="D237" s="18">
        <v>0</v>
      </c>
      <c r="E237" s="16">
        <v>461568</v>
      </c>
      <c r="F237" s="13">
        <v>142624</v>
      </c>
      <c r="G237" s="13">
        <v>3092</v>
      </c>
      <c r="H237" s="18">
        <v>3585348</v>
      </c>
      <c r="I237" s="16">
        <v>0</v>
      </c>
      <c r="J237" s="18">
        <v>0</v>
      </c>
      <c r="K237" s="16">
        <v>10196</v>
      </c>
      <c r="L237" s="18">
        <v>2</v>
      </c>
      <c r="M237" s="16">
        <v>1019</v>
      </c>
      <c r="N237" s="18">
        <v>648</v>
      </c>
      <c r="O237" s="16">
        <v>32</v>
      </c>
      <c r="P237" s="13">
        <v>3</v>
      </c>
      <c r="Q237" s="13">
        <v>64</v>
      </c>
      <c r="R237" s="13">
        <v>1</v>
      </c>
      <c r="S237" s="18">
        <v>0</v>
      </c>
      <c r="T237" s="21">
        <v>46247.354733796295</v>
      </c>
      <c r="U237" s="55">
        <f t="shared" si="6"/>
        <v>1</v>
      </c>
      <c r="V237" s="55">
        <f t="shared" si="6"/>
        <v>0</v>
      </c>
      <c r="W237" s="56">
        <f t="shared" si="7"/>
        <v>11125.333333333334</v>
      </c>
    </row>
    <row r="238" spans="1:23" x14ac:dyDescent="0.3">
      <c r="A238" s="13" t="str" cm="1">
        <f t="array" ref="A238:B238">INDEX(BenchmarkResults!$B$1:$D$35,SUMPRODUCT((T238&gt;=BenchmarkResults!$F$2:$F$35)*(mysql_hardware_log!T238&lt;BenchmarkResults!$G$2:$G$35)*ROW(BenchmarkResults!$F$2:$F$35)),{1,3})</f>
        <v>q2_avg_order_city</v>
      </c>
      <c r="B238" s="13">
        <v>1</v>
      </c>
      <c r="C238" s="16">
        <v>1</v>
      </c>
      <c r="D238" s="18">
        <v>0</v>
      </c>
      <c r="E238" s="16">
        <v>461568</v>
      </c>
      <c r="F238" s="13">
        <v>155024</v>
      </c>
      <c r="G238" s="13">
        <v>3100</v>
      </c>
      <c r="H238" s="18">
        <v>3570964</v>
      </c>
      <c r="I238" s="16">
        <v>0</v>
      </c>
      <c r="J238" s="18">
        <v>0</v>
      </c>
      <c r="K238" s="16">
        <v>9410</v>
      </c>
      <c r="L238" s="18">
        <v>2</v>
      </c>
      <c r="M238" s="16">
        <v>1015</v>
      </c>
      <c r="N238" s="18">
        <v>623</v>
      </c>
      <c r="O238" s="16">
        <v>32</v>
      </c>
      <c r="P238" s="13">
        <v>2</v>
      </c>
      <c r="Q238" s="13">
        <v>64</v>
      </c>
      <c r="R238" s="13">
        <v>1</v>
      </c>
      <c r="S238" s="18">
        <v>0</v>
      </c>
      <c r="T238" s="21">
        <v>46247.354849537034</v>
      </c>
      <c r="U238" s="55">
        <f t="shared" si="6"/>
        <v>1</v>
      </c>
      <c r="V238" s="55">
        <f t="shared" si="6"/>
        <v>0</v>
      </c>
      <c r="W238" s="56">
        <f t="shared" si="7"/>
        <v>10659</v>
      </c>
    </row>
    <row r="239" spans="1:23" x14ac:dyDescent="0.3">
      <c r="A239" s="13" t="str" cm="1">
        <f t="array" ref="A239:B239">INDEX(BenchmarkResults!$B$1:$D$35,SUMPRODUCT((T239&gt;=BenchmarkResults!$F$2:$F$35)*(mysql_hardware_log!T239&lt;BenchmarkResults!$G$2:$G$35)*ROW(BenchmarkResults!$F$2:$F$35)),{1,3})</f>
        <v>q2_avg_order_city</v>
      </c>
      <c r="B239" s="13">
        <v>1</v>
      </c>
      <c r="C239" s="16">
        <v>1</v>
      </c>
      <c r="D239" s="18">
        <v>0</v>
      </c>
      <c r="E239" s="16">
        <v>461568</v>
      </c>
      <c r="F239" s="13">
        <v>153252</v>
      </c>
      <c r="G239" s="13">
        <v>3108</v>
      </c>
      <c r="H239" s="18">
        <v>3574596</v>
      </c>
      <c r="I239" s="16">
        <v>0</v>
      </c>
      <c r="J239" s="18">
        <v>0</v>
      </c>
      <c r="K239" s="16">
        <v>5875</v>
      </c>
      <c r="L239" s="18">
        <v>3</v>
      </c>
      <c r="M239" s="16">
        <v>978</v>
      </c>
      <c r="N239" s="18">
        <v>649</v>
      </c>
      <c r="O239" s="16">
        <v>32</v>
      </c>
      <c r="P239" s="13">
        <v>2</v>
      </c>
      <c r="Q239" s="13">
        <v>64</v>
      </c>
      <c r="R239" s="13">
        <v>2</v>
      </c>
      <c r="S239" s="18">
        <v>0</v>
      </c>
      <c r="T239" s="21">
        <v>46247.35496527778</v>
      </c>
      <c r="U239" s="55">
        <f t="shared" si="6"/>
        <v>1</v>
      </c>
      <c r="V239" s="55">
        <f t="shared" si="6"/>
        <v>0</v>
      </c>
      <c r="W239" s="56">
        <f t="shared" si="7"/>
        <v>9653.1666666666661</v>
      </c>
    </row>
    <row r="240" spans="1:23" x14ac:dyDescent="0.3">
      <c r="A240" s="13" t="str" cm="1">
        <f t="array" ref="A240:B240">INDEX(BenchmarkResults!$B$1:$D$35,SUMPRODUCT((T240&gt;=BenchmarkResults!$F$2:$F$35)*(mysql_hardware_log!T240&lt;BenchmarkResults!$G$2:$G$35)*ROW(BenchmarkResults!$F$2:$F$35)),{1,3})</f>
        <v>q2_avg_order_city</v>
      </c>
      <c r="B240" s="13">
        <v>1</v>
      </c>
      <c r="C240" s="16">
        <v>1</v>
      </c>
      <c r="D240" s="18">
        <v>0</v>
      </c>
      <c r="E240" s="16">
        <v>461568</v>
      </c>
      <c r="F240" s="13">
        <v>115704</v>
      </c>
      <c r="G240" s="13">
        <v>3116</v>
      </c>
      <c r="H240" s="18">
        <v>3610488</v>
      </c>
      <c r="I240" s="16">
        <v>0</v>
      </c>
      <c r="J240" s="18">
        <v>0</v>
      </c>
      <c r="K240" s="16">
        <v>3597</v>
      </c>
      <c r="L240" s="18">
        <v>2</v>
      </c>
      <c r="M240" s="16">
        <v>968</v>
      </c>
      <c r="N240" s="18">
        <v>658</v>
      </c>
      <c r="O240" s="16">
        <v>32</v>
      </c>
      <c r="P240" s="13">
        <v>2</v>
      </c>
      <c r="Q240" s="13">
        <v>65</v>
      </c>
      <c r="R240" s="13">
        <v>1</v>
      </c>
      <c r="S240" s="18">
        <v>0</v>
      </c>
      <c r="T240" s="21">
        <v>46247.355081018519</v>
      </c>
      <c r="U240" s="55">
        <f t="shared" si="6"/>
        <v>1</v>
      </c>
      <c r="V240" s="55">
        <f t="shared" si="6"/>
        <v>0</v>
      </c>
      <c r="W240" s="56">
        <f t="shared" si="7"/>
        <v>8255.1666666666661</v>
      </c>
    </row>
    <row r="241" spans="1:23" x14ac:dyDescent="0.3">
      <c r="A241" s="13" t="str" cm="1">
        <f t="array" ref="A241:B241">INDEX(BenchmarkResults!$B$1:$D$35,SUMPRODUCT((T241&gt;=BenchmarkResults!$F$2:$F$35)*(mysql_hardware_log!T241&lt;BenchmarkResults!$G$2:$G$35)*ROW(BenchmarkResults!$F$2:$F$35)),{1,3})</f>
        <v>q2_avg_order_city</v>
      </c>
      <c r="B241" s="13">
        <v>1</v>
      </c>
      <c r="C241" s="16">
        <v>1</v>
      </c>
      <c r="D241" s="18">
        <v>0</v>
      </c>
      <c r="E241" s="16">
        <v>461568</v>
      </c>
      <c r="F241" s="13">
        <v>132748</v>
      </c>
      <c r="G241" s="13">
        <v>3124</v>
      </c>
      <c r="H241" s="18">
        <v>3593792</v>
      </c>
      <c r="I241" s="16">
        <v>0</v>
      </c>
      <c r="J241" s="18">
        <v>0</v>
      </c>
      <c r="K241" s="16">
        <v>3755</v>
      </c>
      <c r="L241" s="18">
        <v>2</v>
      </c>
      <c r="M241" s="16">
        <v>931</v>
      </c>
      <c r="N241" s="18">
        <v>628</v>
      </c>
      <c r="O241" s="16">
        <v>32</v>
      </c>
      <c r="P241" s="13">
        <v>2</v>
      </c>
      <c r="Q241" s="13">
        <v>65</v>
      </c>
      <c r="R241" s="13">
        <v>1</v>
      </c>
      <c r="S241" s="18">
        <v>0</v>
      </c>
      <c r="T241" s="21">
        <v>46247.355196759258</v>
      </c>
      <c r="U241" s="55">
        <f t="shared" si="6"/>
        <v>1</v>
      </c>
      <c r="V241" s="55">
        <f t="shared" si="6"/>
        <v>0</v>
      </c>
      <c r="W241" s="56">
        <f t="shared" si="7"/>
        <v>7020.166666666667</v>
      </c>
    </row>
    <row r="242" spans="1:23" x14ac:dyDescent="0.3">
      <c r="A242" s="13" t="str" cm="1">
        <f t="array" ref="A242:B242">INDEX(BenchmarkResults!$B$1:$D$35,SUMPRODUCT((T242&gt;=BenchmarkResults!$F$2:$F$35)*(mysql_hardware_log!T242&lt;BenchmarkResults!$G$2:$G$35)*ROW(BenchmarkResults!$F$2:$F$35)),{1,3})</f>
        <v>q2_avg_order_city</v>
      </c>
      <c r="B242" s="13">
        <v>1</v>
      </c>
      <c r="C242" s="16">
        <v>1</v>
      </c>
      <c r="D242" s="18">
        <v>0</v>
      </c>
      <c r="E242" s="16">
        <v>461568</v>
      </c>
      <c r="F242" s="13">
        <v>149964</v>
      </c>
      <c r="G242" s="13">
        <v>3132</v>
      </c>
      <c r="H242" s="18">
        <v>3575872</v>
      </c>
      <c r="I242" s="16">
        <v>0</v>
      </c>
      <c r="J242" s="18">
        <v>0</v>
      </c>
      <c r="K242" s="16">
        <v>3707</v>
      </c>
      <c r="L242" s="18">
        <v>2</v>
      </c>
      <c r="M242" s="16">
        <v>969</v>
      </c>
      <c r="N242" s="18">
        <v>667</v>
      </c>
      <c r="O242" s="16">
        <v>32</v>
      </c>
      <c r="P242" s="13">
        <v>2</v>
      </c>
      <c r="Q242" s="13">
        <v>65</v>
      </c>
      <c r="R242" s="13">
        <v>1</v>
      </c>
      <c r="S242" s="18">
        <v>0</v>
      </c>
      <c r="T242" s="21">
        <v>46247.355312500003</v>
      </c>
      <c r="U242" s="55">
        <f t="shared" si="6"/>
        <v>1</v>
      </c>
      <c r="V242" s="55">
        <f t="shared" si="6"/>
        <v>0</v>
      </c>
      <c r="W242" s="56">
        <f t="shared" si="7"/>
        <v>6090</v>
      </c>
    </row>
    <row r="243" spans="1:23" x14ac:dyDescent="0.3">
      <c r="A243" s="13" t="str" cm="1">
        <f t="array" ref="A243:B243">INDEX(BenchmarkResults!$B$1:$D$35,SUMPRODUCT((T243&gt;=BenchmarkResults!$F$2:$F$35)*(mysql_hardware_log!T243&lt;BenchmarkResults!$G$2:$G$35)*ROW(BenchmarkResults!$F$2:$F$35)),{1,3})</f>
        <v>q2_avg_order_city</v>
      </c>
      <c r="B243" s="13">
        <v>1</v>
      </c>
      <c r="C243" s="16">
        <v>1</v>
      </c>
      <c r="D243" s="18">
        <v>0</v>
      </c>
      <c r="E243" s="16">
        <v>461568</v>
      </c>
      <c r="F243" s="13">
        <v>139832</v>
      </c>
      <c r="G243" s="13">
        <v>3140</v>
      </c>
      <c r="H243" s="18">
        <v>3586780</v>
      </c>
      <c r="I243" s="16">
        <v>0</v>
      </c>
      <c r="J243" s="18">
        <v>0</v>
      </c>
      <c r="K243" s="16">
        <v>12125</v>
      </c>
      <c r="L243" s="18">
        <v>2</v>
      </c>
      <c r="M243" s="16">
        <v>1075</v>
      </c>
      <c r="N243" s="18">
        <v>678</v>
      </c>
      <c r="O243" s="16">
        <v>31</v>
      </c>
      <c r="P243" s="13">
        <v>3</v>
      </c>
      <c r="Q243" s="13">
        <v>64</v>
      </c>
      <c r="R243" s="13">
        <v>2</v>
      </c>
      <c r="S243" s="18">
        <v>0</v>
      </c>
      <c r="T243" s="21">
        <v>46247.355428240742</v>
      </c>
      <c r="U243" s="55">
        <f t="shared" si="6"/>
        <v>1</v>
      </c>
      <c r="V243" s="55">
        <f t="shared" si="6"/>
        <v>0</v>
      </c>
      <c r="W243" s="56">
        <f t="shared" si="7"/>
        <v>6411.5</v>
      </c>
    </row>
    <row r="244" spans="1:23" x14ac:dyDescent="0.3">
      <c r="A244" s="13" t="str" cm="1">
        <f t="array" ref="A244:B244">INDEX(BenchmarkResults!$B$1:$D$35,SUMPRODUCT((T244&gt;=BenchmarkResults!$F$2:$F$35)*(mysql_hardware_log!T244&lt;BenchmarkResults!$G$2:$G$35)*ROW(BenchmarkResults!$F$2:$F$35)),{1,3})</f>
        <v>q2_avg_order_city</v>
      </c>
      <c r="B244" s="13">
        <v>2</v>
      </c>
      <c r="C244" s="16">
        <v>0</v>
      </c>
      <c r="D244" s="18">
        <v>1</v>
      </c>
      <c r="E244" s="16">
        <v>461568</v>
      </c>
      <c r="F244" s="13">
        <v>134812</v>
      </c>
      <c r="G244" s="13">
        <v>3148</v>
      </c>
      <c r="H244" s="18">
        <v>3590352</v>
      </c>
      <c r="I244" s="16">
        <v>1</v>
      </c>
      <c r="J244" s="18">
        <v>0</v>
      </c>
      <c r="K244" s="16">
        <v>11288</v>
      </c>
      <c r="L244" s="18">
        <v>2</v>
      </c>
      <c r="M244" s="16">
        <v>1376</v>
      </c>
      <c r="N244" s="18">
        <v>871</v>
      </c>
      <c r="O244" s="16">
        <v>27</v>
      </c>
      <c r="P244" s="13">
        <v>4</v>
      </c>
      <c r="Q244" s="13">
        <v>62</v>
      </c>
      <c r="R244" s="13">
        <v>7</v>
      </c>
      <c r="S244" s="18">
        <v>0</v>
      </c>
      <c r="T244" s="21">
        <v>46247.355543981481</v>
      </c>
      <c r="U244" s="55">
        <f t="shared" si="6"/>
        <v>0.83333333333333337</v>
      </c>
      <c r="V244" s="55">
        <f t="shared" si="6"/>
        <v>0.16666666666666666</v>
      </c>
      <c r="W244" s="56">
        <f t="shared" si="7"/>
        <v>6724.5</v>
      </c>
    </row>
    <row r="245" spans="1:23" x14ac:dyDescent="0.3">
      <c r="A245" s="13" t="str" cm="1">
        <f t="array" ref="A245:B245">INDEX(BenchmarkResults!$B$1:$D$35,SUMPRODUCT((T245&gt;=BenchmarkResults!$F$2:$F$35)*(mysql_hardware_log!T245&lt;BenchmarkResults!$G$2:$G$35)*ROW(BenchmarkResults!$F$2:$F$35)),{1,3})</f>
        <v>q2_avg_order_city</v>
      </c>
      <c r="B245" s="13">
        <v>2</v>
      </c>
      <c r="C245" s="16">
        <v>0</v>
      </c>
      <c r="D245" s="18">
        <v>1</v>
      </c>
      <c r="E245" s="16">
        <v>461568</v>
      </c>
      <c r="F245" s="13">
        <v>137268</v>
      </c>
      <c r="G245" s="13">
        <v>3156</v>
      </c>
      <c r="H245" s="18">
        <v>3590452</v>
      </c>
      <c r="I245" s="16">
        <v>0</v>
      </c>
      <c r="J245" s="18">
        <v>0</v>
      </c>
      <c r="K245" s="16">
        <v>60472</v>
      </c>
      <c r="L245" s="18">
        <v>4</v>
      </c>
      <c r="M245" s="16">
        <v>3887</v>
      </c>
      <c r="N245" s="18">
        <v>2552</v>
      </c>
      <c r="O245" s="16">
        <v>8</v>
      </c>
      <c r="P245" s="13">
        <v>9</v>
      </c>
      <c r="Q245" s="13">
        <v>48</v>
      </c>
      <c r="R245" s="13">
        <v>35</v>
      </c>
      <c r="S245" s="18">
        <v>0</v>
      </c>
      <c r="T245" s="21">
        <v>46247.35565972222</v>
      </c>
      <c r="U245" s="55">
        <f t="shared" si="6"/>
        <v>0.66666666666666663</v>
      </c>
      <c r="V245" s="55">
        <f t="shared" si="6"/>
        <v>0.33333333333333331</v>
      </c>
      <c r="W245" s="56">
        <f t="shared" si="7"/>
        <v>15824</v>
      </c>
    </row>
    <row r="246" spans="1:23" x14ac:dyDescent="0.3">
      <c r="A246" s="13" t="str" cm="1">
        <f t="array" ref="A246:B246">INDEX(BenchmarkResults!$B$1:$D$35,SUMPRODUCT((T246&gt;=BenchmarkResults!$F$2:$F$35)*(mysql_hardware_log!T246&lt;BenchmarkResults!$G$2:$G$35)*ROW(BenchmarkResults!$F$2:$F$35)),{1,3})</f>
        <v>q2_avg_order_city</v>
      </c>
      <c r="B246" s="13">
        <v>2</v>
      </c>
      <c r="C246" s="16">
        <v>0</v>
      </c>
      <c r="D246" s="18">
        <v>1</v>
      </c>
      <c r="E246" s="16">
        <v>460032</v>
      </c>
      <c r="F246" s="13">
        <v>105140</v>
      </c>
      <c r="G246" s="13">
        <v>3164</v>
      </c>
      <c r="H246" s="18">
        <v>3619888</v>
      </c>
      <c r="I246" s="16">
        <v>214</v>
      </c>
      <c r="J246" s="18">
        <v>0</v>
      </c>
      <c r="K246" s="16">
        <v>107819</v>
      </c>
      <c r="L246" s="18">
        <v>3</v>
      </c>
      <c r="M246" s="16">
        <v>3483</v>
      </c>
      <c r="N246" s="18">
        <v>1933</v>
      </c>
      <c r="O246" s="16">
        <v>18</v>
      </c>
      <c r="P246" s="13">
        <v>12</v>
      </c>
      <c r="Q246" s="13">
        <v>48</v>
      </c>
      <c r="R246" s="13">
        <v>23</v>
      </c>
      <c r="S246" s="18">
        <v>0</v>
      </c>
      <c r="T246" s="21">
        <v>46247.355775462966</v>
      </c>
      <c r="U246" s="55">
        <f t="shared" si="6"/>
        <v>0.5</v>
      </c>
      <c r="V246" s="55">
        <f t="shared" si="6"/>
        <v>0.5</v>
      </c>
      <c r="W246" s="56">
        <f t="shared" si="7"/>
        <v>33194.333333333336</v>
      </c>
    </row>
    <row r="247" spans="1:23" x14ac:dyDescent="0.3">
      <c r="A247" s="13" t="str" cm="1">
        <f t="array" ref="A247:B247">INDEX(BenchmarkResults!$B$1:$D$35,SUMPRODUCT((T247&gt;=BenchmarkResults!$F$2:$F$35)*(mysql_hardware_log!T247&lt;BenchmarkResults!$G$2:$G$35)*ROW(BenchmarkResults!$F$2:$F$35)),{1,3})</f>
        <v>q2_avg_order_city</v>
      </c>
      <c r="B247" s="13">
        <v>2</v>
      </c>
      <c r="C247" s="16">
        <v>1</v>
      </c>
      <c r="D247" s="18">
        <v>0</v>
      </c>
      <c r="E247" s="16">
        <v>460032</v>
      </c>
      <c r="F247" s="13">
        <v>121036</v>
      </c>
      <c r="G247" s="13">
        <v>3172</v>
      </c>
      <c r="H247" s="18">
        <v>3596844</v>
      </c>
      <c r="I247" s="16">
        <v>27</v>
      </c>
      <c r="J247" s="18">
        <v>0</v>
      </c>
      <c r="K247" s="16">
        <v>30155</v>
      </c>
      <c r="L247" s="18">
        <v>2</v>
      </c>
      <c r="M247" s="16">
        <v>1769</v>
      </c>
      <c r="N247" s="18">
        <v>866</v>
      </c>
      <c r="O247" s="16">
        <v>30</v>
      </c>
      <c r="P247" s="13">
        <v>5</v>
      </c>
      <c r="Q247" s="13">
        <v>59</v>
      </c>
      <c r="R247" s="13">
        <v>6</v>
      </c>
      <c r="S247" s="18">
        <v>0</v>
      </c>
      <c r="T247" s="21">
        <v>46247.355891203704</v>
      </c>
      <c r="U247" s="55">
        <f t="shared" si="6"/>
        <v>0.5</v>
      </c>
      <c r="V247" s="55">
        <f t="shared" si="6"/>
        <v>0.5</v>
      </c>
      <c r="W247" s="56">
        <f t="shared" si="7"/>
        <v>37594.333333333336</v>
      </c>
    </row>
    <row r="248" spans="1:23" x14ac:dyDescent="0.3">
      <c r="A248" s="13" t="str" cm="1">
        <f t="array" ref="A248:B248">INDEX(BenchmarkResults!$B$1:$D$35,SUMPRODUCT((T248&gt;=BenchmarkResults!$F$2:$F$35)*(mysql_hardware_log!T248&lt;BenchmarkResults!$G$2:$G$35)*ROW(BenchmarkResults!$F$2:$F$35)),{1,3})</f>
        <v>q2_avg_order_city</v>
      </c>
      <c r="B248" s="13">
        <v>2</v>
      </c>
      <c r="C248" s="16">
        <v>1</v>
      </c>
      <c r="D248" s="18">
        <v>0</v>
      </c>
      <c r="E248" s="16">
        <v>460032</v>
      </c>
      <c r="F248" s="13">
        <v>154176</v>
      </c>
      <c r="G248" s="13">
        <v>3180</v>
      </c>
      <c r="H248" s="18">
        <v>3572608</v>
      </c>
      <c r="I248" s="16">
        <v>0</v>
      </c>
      <c r="J248" s="18">
        <v>0</v>
      </c>
      <c r="K248" s="16">
        <v>14089</v>
      </c>
      <c r="L248" s="18">
        <v>17</v>
      </c>
      <c r="M248" s="16">
        <v>1207</v>
      </c>
      <c r="N248" s="18">
        <v>666</v>
      </c>
      <c r="O248" s="16">
        <v>30</v>
      </c>
      <c r="P248" s="13">
        <v>3</v>
      </c>
      <c r="Q248" s="13">
        <v>63</v>
      </c>
      <c r="R248" s="13">
        <v>3</v>
      </c>
      <c r="S248" s="18">
        <v>0</v>
      </c>
      <c r="T248" s="21">
        <v>46247.356006944443</v>
      </c>
      <c r="U248" s="55">
        <f t="shared" si="6"/>
        <v>0.5</v>
      </c>
      <c r="V248" s="55">
        <f t="shared" si="6"/>
        <v>0.5</v>
      </c>
      <c r="W248" s="56">
        <f t="shared" si="7"/>
        <v>39324.666666666664</v>
      </c>
    </row>
    <row r="249" spans="1:23" x14ac:dyDescent="0.3">
      <c r="A249" s="13" t="str" cm="1">
        <f t="array" ref="A249:B249">INDEX(BenchmarkResults!$B$1:$D$35,SUMPRODUCT((T249&gt;=BenchmarkResults!$F$2:$F$35)*(mysql_hardware_log!T249&lt;BenchmarkResults!$G$2:$G$35)*ROW(BenchmarkResults!$F$2:$F$35)),{1,3})</f>
        <v>q2_avg_order_city</v>
      </c>
      <c r="B249" s="13">
        <v>2</v>
      </c>
      <c r="C249" s="16">
        <v>1</v>
      </c>
      <c r="D249" s="18">
        <v>0</v>
      </c>
      <c r="E249" s="16">
        <v>460032</v>
      </c>
      <c r="F249" s="13">
        <v>148484</v>
      </c>
      <c r="G249" s="13">
        <v>3188</v>
      </c>
      <c r="H249" s="18">
        <v>3576104</v>
      </c>
      <c r="I249" s="16">
        <v>0</v>
      </c>
      <c r="J249" s="18">
        <v>0</v>
      </c>
      <c r="K249" s="16">
        <v>11364</v>
      </c>
      <c r="L249" s="18">
        <v>2</v>
      </c>
      <c r="M249" s="16">
        <v>1126</v>
      </c>
      <c r="N249" s="18">
        <v>653</v>
      </c>
      <c r="O249" s="16">
        <v>29</v>
      </c>
      <c r="P249" s="13">
        <v>3</v>
      </c>
      <c r="Q249" s="13">
        <v>60</v>
      </c>
      <c r="R249" s="13">
        <v>4</v>
      </c>
      <c r="S249" s="18">
        <v>4</v>
      </c>
      <c r="T249" s="21">
        <v>46247.356122685182</v>
      </c>
      <c r="U249" s="55">
        <f t="shared" si="6"/>
        <v>0.5</v>
      </c>
      <c r="V249" s="55">
        <f t="shared" si="6"/>
        <v>0.5</v>
      </c>
      <c r="W249" s="56">
        <f t="shared" si="7"/>
        <v>39197.833333333336</v>
      </c>
    </row>
    <row r="250" spans="1:23" x14ac:dyDescent="0.3">
      <c r="A250" s="13" t="str" cm="1">
        <f t="array" ref="A250:B250">INDEX(BenchmarkResults!$B$1:$D$35,SUMPRODUCT((T250&gt;=BenchmarkResults!$F$2:$F$35)*(mysql_hardware_log!T250&lt;BenchmarkResults!$G$2:$G$35)*ROW(BenchmarkResults!$F$2:$F$35)),{1,3})</f>
        <v>q2_avg_order_city</v>
      </c>
      <c r="B250" s="13">
        <v>2</v>
      </c>
      <c r="C250" s="16">
        <v>3</v>
      </c>
      <c r="D250" s="18">
        <v>0</v>
      </c>
      <c r="E250" s="16">
        <v>460032</v>
      </c>
      <c r="F250" s="13">
        <v>118532</v>
      </c>
      <c r="G250" s="13">
        <v>3196</v>
      </c>
      <c r="H250" s="18">
        <v>3005700</v>
      </c>
      <c r="I250" s="16">
        <v>0</v>
      </c>
      <c r="J250" s="18">
        <v>0</v>
      </c>
      <c r="K250" s="16">
        <v>22645</v>
      </c>
      <c r="L250" s="18">
        <v>2</v>
      </c>
      <c r="M250" s="16">
        <v>1406</v>
      </c>
      <c r="N250" s="18">
        <v>768</v>
      </c>
      <c r="O250" s="16">
        <v>31</v>
      </c>
      <c r="P250" s="13">
        <v>9</v>
      </c>
      <c r="Q250" s="13">
        <v>56</v>
      </c>
      <c r="R250" s="13">
        <v>4</v>
      </c>
      <c r="S250" s="18">
        <v>0</v>
      </c>
      <c r="T250" s="21">
        <v>46247.356238425928</v>
      </c>
      <c r="U250" s="55">
        <f t="shared" si="6"/>
        <v>1</v>
      </c>
      <c r="V250" s="55">
        <f t="shared" si="6"/>
        <v>0.33333333333333331</v>
      </c>
      <c r="W250" s="56">
        <f t="shared" si="7"/>
        <v>41090.666666666664</v>
      </c>
    </row>
    <row r="251" spans="1:23" x14ac:dyDescent="0.3">
      <c r="A251" s="13" t="str" cm="1">
        <f t="array" ref="A251:B251">INDEX(BenchmarkResults!$B$1:$D$35,SUMPRODUCT((T251&gt;=BenchmarkResults!$F$2:$F$35)*(mysql_hardware_log!T251&lt;BenchmarkResults!$G$2:$G$35)*ROW(BenchmarkResults!$F$2:$F$35)),{1,3})</f>
        <v>q2_avg_order_city</v>
      </c>
      <c r="B251" s="13">
        <v>2</v>
      </c>
      <c r="C251" s="16">
        <v>1</v>
      </c>
      <c r="D251" s="18">
        <v>0</v>
      </c>
      <c r="E251" s="16">
        <v>460032</v>
      </c>
      <c r="F251" s="13">
        <v>912444</v>
      </c>
      <c r="G251" s="13">
        <v>3204</v>
      </c>
      <c r="H251" s="18">
        <v>2786780</v>
      </c>
      <c r="I251" s="16">
        <v>0</v>
      </c>
      <c r="J251" s="18">
        <v>0</v>
      </c>
      <c r="K251" s="16">
        <v>19483</v>
      </c>
      <c r="L251" s="18">
        <v>2</v>
      </c>
      <c r="M251" s="16">
        <v>1424</v>
      </c>
      <c r="N251" s="18">
        <v>796</v>
      </c>
      <c r="O251" s="16">
        <v>32</v>
      </c>
      <c r="P251" s="13">
        <v>25</v>
      </c>
      <c r="Q251" s="13">
        <v>39</v>
      </c>
      <c r="R251" s="13">
        <v>3</v>
      </c>
      <c r="S251" s="18">
        <v>0</v>
      </c>
      <c r="T251" s="21">
        <v>46247.356354166666</v>
      </c>
      <c r="U251" s="55">
        <f t="shared" si="6"/>
        <v>1.1666666666666667</v>
      </c>
      <c r="V251" s="55">
        <f t="shared" si="6"/>
        <v>0.16666666666666666</v>
      </c>
      <c r="W251" s="56">
        <f t="shared" si="7"/>
        <v>34259.166666666664</v>
      </c>
    </row>
    <row r="252" spans="1:23" x14ac:dyDescent="0.3">
      <c r="A252" s="13" t="str" cm="1">
        <f t="array" ref="A252:B252">INDEX(BenchmarkResults!$B$1:$D$35,SUMPRODUCT((T252&gt;=BenchmarkResults!$F$2:$F$35)*(mysql_hardware_log!T252&lt;BenchmarkResults!$G$2:$G$35)*ROW(BenchmarkResults!$F$2:$F$35)),{1,3})</f>
        <v>q2_avg_order_city</v>
      </c>
      <c r="B252" s="13">
        <v>2</v>
      </c>
      <c r="C252" s="16">
        <v>2</v>
      </c>
      <c r="D252" s="18">
        <v>0</v>
      </c>
      <c r="E252" s="16">
        <v>460032</v>
      </c>
      <c r="F252" s="13">
        <v>661480</v>
      </c>
      <c r="G252" s="13">
        <v>3212</v>
      </c>
      <c r="H252" s="18">
        <v>3044276</v>
      </c>
      <c r="I252" s="16">
        <v>0</v>
      </c>
      <c r="J252" s="18">
        <v>0</v>
      </c>
      <c r="K252" s="16">
        <v>25751</v>
      </c>
      <c r="L252" s="18">
        <v>2</v>
      </c>
      <c r="M252" s="16">
        <v>1215</v>
      </c>
      <c r="N252" s="18">
        <v>590</v>
      </c>
      <c r="O252" s="16">
        <v>27</v>
      </c>
      <c r="P252" s="13">
        <v>7</v>
      </c>
      <c r="Q252" s="13">
        <v>64</v>
      </c>
      <c r="R252" s="13">
        <v>3</v>
      </c>
      <c r="S252" s="18">
        <v>0</v>
      </c>
      <c r="T252" s="21">
        <v>46247.356469907405</v>
      </c>
      <c r="U252" s="55">
        <f t="shared" si="6"/>
        <v>1.5</v>
      </c>
      <c r="V252" s="55">
        <f t="shared" si="6"/>
        <v>0</v>
      </c>
      <c r="W252" s="56">
        <f t="shared" si="7"/>
        <v>20581.166666666668</v>
      </c>
    </row>
    <row r="253" spans="1:23" x14ac:dyDescent="0.3">
      <c r="A253" s="13" t="str" cm="1">
        <f t="array" ref="A253:B253">INDEX(BenchmarkResults!$B$1:$D$35,SUMPRODUCT((T253&gt;=BenchmarkResults!$F$2:$F$35)*(mysql_hardware_log!T253&lt;BenchmarkResults!$G$2:$G$35)*ROW(BenchmarkResults!$F$2:$F$35)),{1,3})</f>
        <v>q2_avg_order_city</v>
      </c>
      <c r="B253" s="13">
        <v>2</v>
      </c>
      <c r="C253" s="16">
        <v>1</v>
      </c>
      <c r="D253" s="18">
        <v>0</v>
      </c>
      <c r="E253" s="16">
        <v>460032</v>
      </c>
      <c r="F253" s="13">
        <v>534248</v>
      </c>
      <c r="G253" s="13">
        <v>3220</v>
      </c>
      <c r="H253" s="18">
        <v>3191568</v>
      </c>
      <c r="I253" s="16">
        <v>3</v>
      </c>
      <c r="J253" s="18">
        <v>0</v>
      </c>
      <c r="K253" s="16">
        <v>14734</v>
      </c>
      <c r="L253" s="18">
        <v>2</v>
      </c>
      <c r="M253" s="16">
        <v>1045</v>
      </c>
      <c r="N253" s="18">
        <v>514</v>
      </c>
      <c r="O253" s="16">
        <v>29</v>
      </c>
      <c r="P253" s="13">
        <v>5</v>
      </c>
      <c r="Q253" s="13">
        <v>65</v>
      </c>
      <c r="R253" s="13">
        <v>2</v>
      </c>
      <c r="S253" s="18">
        <v>0</v>
      </c>
      <c r="T253" s="21">
        <v>46247.356585648151</v>
      </c>
      <c r="U253" s="55">
        <f t="shared" si="6"/>
        <v>1.5</v>
      </c>
      <c r="V253" s="55">
        <f t="shared" si="6"/>
        <v>0</v>
      </c>
      <c r="W253" s="56">
        <f t="shared" si="7"/>
        <v>18011</v>
      </c>
    </row>
    <row r="254" spans="1:23" x14ac:dyDescent="0.3">
      <c r="A254" s="13" t="str" cm="1">
        <f t="array" ref="A254:B254">INDEX(BenchmarkResults!$B$1:$D$35,SUMPRODUCT((T254&gt;=BenchmarkResults!$F$2:$F$35)*(mysql_hardware_log!T254&lt;BenchmarkResults!$G$2:$G$35)*ROW(BenchmarkResults!$F$2:$F$35)),{1,3})</f>
        <v>q2_avg_order_city</v>
      </c>
      <c r="B254" s="13">
        <v>2</v>
      </c>
      <c r="C254" s="16">
        <v>0</v>
      </c>
      <c r="D254" s="18">
        <v>1</v>
      </c>
      <c r="E254" s="16">
        <v>460032</v>
      </c>
      <c r="F254" s="13">
        <v>424880</v>
      </c>
      <c r="G254" s="13">
        <v>3228</v>
      </c>
      <c r="H254" s="18">
        <v>3300916</v>
      </c>
      <c r="I254" s="16">
        <v>0</v>
      </c>
      <c r="J254" s="18">
        <v>0</v>
      </c>
      <c r="K254" s="16">
        <v>10925</v>
      </c>
      <c r="L254" s="18">
        <v>2</v>
      </c>
      <c r="M254" s="16">
        <v>1083</v>
      </c>
      <c r="N254" s="18">
        <v>567</v>
      </c>
      <c r="O254" s="16">
        <v>28</v>
      </c>
      <c r="P254" s="13">
        <v>5</v>
      </c>
      <c r="Q254" s="13">
        <v>64</v>
      </c>
      <c r="R254" s="13">
        <v>3</v>
      </c>
      <c r="S254" s="18">
        <v>0</v>
      </c>
      <c r="T254" s="21">
        <v>46247.35670138889</v>
      </c>
      <c r="U254" s="55">
        <f t="shared" si="6"/>
        <v>1.3333333333333333</v>
      </c>
      <c r="V254" s="55">
        <f t="shared" si="6"/>
        <v>0.16666666666666666</v>
      </c>
      <c r="W254" s="56">
        <f t="shared" si="7"/>
        <v>17483.666666666668</v>
      </c>
    </row>
    <row r="255" spans="1:23" x14ac:dyDescent="0.3">
      <c r="A255" s="13" t="str" cm="1">
        <f t="array" ref="A255:B255">INDEX(BenchmarkResults!$B$1:$D$35,SUMPRODUCT((T255&gt;=BenchmarkResults!$F$2:$F$35)*(mysql_hardware_log!T255&lt;BenchmarkResults!$G$2:$G$35)*ROW(BenchmarkResults!$F$2:$F$35)),{1,3})</f>
        <v>q2_avg_order_city</v>
      </c>
      <c r="B255" s="13">
        <v>2</v>
      </c>
      <c r="C255" s="16">
        <v>1</v>
      </c>
      <c r="D255" s="18">
        <v>0</v>
      </c>
      <c r="E255" s="16">
        <v>460032</v>
      </c>
      <c r="F255" s="13">
        <v>299668</v>
      </c>
      <c r="G255" s="13">
        <v>3236</v>
      </c>
      <c r="H255" s="18">
        <v>3427592</v>
      </c>
      <c r="I255" s="16">
        <v>0</v>
      </c>
      <c r="J255" s="18">
        <v>0</v>
      </c>
      <c r="K255" s="16">
        <v>12674</v>
      </c>
      <c r="L255" s="18">
        <v>38</v>
      </c>
      <c r="M255" s="16">
        <v>1184</v>
      </c>
      <c r="N255" s="18">
        <v>679</v>
      </c>
      <c r="O255" s="16">
        <v>28</v>
      </c>
      <c r="P255" s="13">
        <v>5</v>
      </c>
      <c r="Q255" s="13">
        <v>64</v>
      </c>
      <c r="R255" s="13">
        <v>3</v>
      </c>
      <c r="S255" s="18">
        <v>0</v>
      </c>
      <c r="T255" s="21">
        <v>46247.356817129628</v>
      </c>
      <c r="U255" s="55">
        <f t="shared" si="6"/>
        <v>1.3333333333333333</v>
      </c>
      <c r="V255" s="55">
        <f t="shared" si="6"/>
        <v>0.16666666666666666</v>
      </c>
      <c r="W255" s="56">
        <f t="shared" si="7"/>
        <v>17702</v>
      </c>
    </row>
    <row r="256" spans="1:23" x14ac:dyDescent="0.3">
      <c r="A256" s="13" t="str" cm="1">
        <f t="array" ref="A256:B256">INDEX(BenchmarkResults!$B$1:$D$35,SUMPRODUCT((T256&gt;=BenchmarkResults!$F$2:$F$35)*(mysql_hardware_log!T256&lt;BenchmarkResults!$G$2:$G$35)*ROW(BenchmarkResults!$F$2:$F$35)),{1,3})</f>
        <v>q2_avg_order_city</v>
      </c>
      <c r="B256" s="13">
        <v>2</v>
      </c>
      <c r="C256" s="16">
        <v>1</v>
      </c>
      <c r="D256" s="18">
        <v>0</v>
      </c>
      <c r="E256" s="16">
        <v>460032</v>
      </c>
      <c r="F256" s="13">
        <v>211472</v>
      </c>
      <c r="G256" s="13">
        <v>3244</v>
      </c>
      <c r="H256" s="18">
        <v>3517552</v>
      </c>
      <c r="I256" s="16">
        <v>0</v>
      </c>
      <c r="J256" s="18">
        <v>0</v>
      </c>
      <c r="K256" s="16">
        <v>8998</v>
      </c>
      <c r="L256" s="18">
        <v>4</v>
      </c>
      <c r="M256" s="16">
        <v>1062</v>
      </c>
      <c r="N256" s="18">
        <v>639</v>
      </c>
      <c r="O256" s="16">
        <v>30</v>
      </c>
      <c r="P256" s="13">
        <v>4</v>
      </c>
      <c r="Q256" s="13">
        <v>63</v>
      </c>
      <c r="R256" s="13">
        <v>2</v>
      </c>
      <c r="S256" s="18">
        <v>0</v>
      </c>
      <c r="T256" s="21">
        <v>46247.356932870367</v>
      </c>
      <c r="U256" s="55">
        <f t="shared" si="6"/>
        <v>1</v>
      </c>
      <c r="V256" s="55">
        <f t="shared" si="6"/>
        <v>0.16666666666666666</v>
      </c>
      <c r="W256" s="56">
        <f t="shared" si="7"/>
        <v>15427.5</v>
      </c>
    </row>
    <row r="257" spans="1:23" x14ac:dyDescent="0.3">
      <c r="A257" s="13" t="str" cm="1">
        <f t="array" ref="A257:B257">INDEX(BenchmarkResults!$B$1:$D$35,SUMPRODUCT((T257&gt;=BenchmarkResults!$F$2:$F$35)*(mysql_hardware_log!T257&lt;BenchmarkResults!$G$2:$G$35)*ROW(BenchmarkResults!$F$2:$F$35)),{1,3})</f>
        <v>q2_avg_order_city</v>
      </c>
      <c r="B257" s="13">
        <v>2</v>
      </c>
      <c r="C257" s="16">
        <v>2</v>
      </c>
      <c r="D257" s="18">
        <v>0</v>
      </c>
      <c r="E257" s="16">
        <v>460032</v>
      </c>
      <c r="F257" s="13">
        <v>117224</v>
      </c>
      <c r="G257" s="13">
        <v>3252</v>
      </c>
      <c r="H257" s="18">
        <v>3612384</v>
      </c>
      <c r="I257" s="16">
        <v>0</v>
      </c>
      <c r="J257" s="18">
        <v>0</v>
      </c>
      <c r="K257" s="16">
        <v>9484</v>
      </c>
      <c r="L257" s="18">
        <v>6</v>
      </c>
      <c r="M257" s="16">
        <v>1164</v>
      </c>
      <c r="N257" s="18">
        <v>685</v>
      </c>
      <c r="O257" s="16">
        <v>30</v>
      </c>
      <c r="P257" s="13">
        <v>3</v>
      </c>
      <c r="Q257" s="13">
        <v>62</v>
      </c>
      <c r="R257" s="13">
        <v>4</v>
      </c>
      <c r="S257" s="18">
        <v>0</v>
      </c>
      <c r="T257" s="21">
        <v>46247.357048611113</v>
      </c>
      <c r="U257" s="55">
        <f t="shared" si="6"/>
        <v>1.1666666666666667</v>
      </c>
      <c r="V257" s="55">
        <f t="shared" si="6"/>
        <v>0.16666666666666666</v>
      </c>
      <c r="W257" s="56">
        <f t="shared" si="7"/>
        <v>13761</v>
      </c>
    </row>
    <row r="258" spans="1:23" x14ac:dyDescent="0.3">
      <c r="A258" s="13" t="str" cm="1">
        <f t="array" ref="A258:B258">INDEX(BenchmarkResults!$B$1:$D$35,SUMPRODUCT((T258&gt;=BenchmarkResults!$F$2:$F$35)*(mysql_hardware_log!T258&lt;BenchmarkResults!$G$2:$G$35)*ROW(BenchmarkResults!$F$2:$F$35)),{1,3})</f>
        <v>q2_avg_order_city</v>
      </c>
      <c r="B258" s="13">
        <v>2</v>
      </c>
      <c r="C258" s="16">
        <v>1</v>
      </c>
      <c r="D258" s="18">
        <v>0</v>
      </c>
      <c r="E258" s="16">
        <v>460032</v>
      </c>
      <c r="F258" s="13">
        <v>122688</v>
      </c>
      <c r="G258" s="13">
        <v>3260</v>
      </c>
      <c r="H258" s="18">
        <v>3609096</v>
      </c>
      <c r="I258" s="16">
        <v>0</v>
      </c>
      <c r="J258" s="18">
        <v>0</v>
      </c>
      <c r="K258" s="16">
        <v>10733</v>
      </c>
      <c r="L258" s="18">
        <v>3</v>
      </c>
      <c r="M258" s="16">
        <v>1126</v>
      </c>
      <c r="N258" s="18">
        <v>671</v>
      </c>
      <c r="O258" s="16">
        <v>30</v>
      </c>
      <c r="P258" s="13">
        <v>3</v>
      </c>
      <c r="Q258" s="13">
        <v>64</v>
      </c>
      <c r="R258" s="13">
        <v>2</v>
      </c>
      <c r="S258" s="18">
        <v>0</v>
      </c>
      <c r="T258" s="21">
        <v>46247.357164351852</v>
      </c>
      <c r="U258" s="55">
        <f t="shared" si="6"/>
        <v>1</v>
      </c>
      <c r="V258" s="55">
        <f t="shared" si="6"/>
        <v>0.16666666666666666</v>
      </c>
      <c r="W258" s="56">
        <f t="shared" si="7"/>
        <v>11258</v>
      </c>
    </row>
    <row r="259" spans="1:23" x14ac:dyDescent="0.3">
      <c r="A259" s="13" t="str" cm="1">
        <f t="array" ref="A259:B259">INDEX(BenchmarkResults!$B$1:$D$35,SUMPRODUCT((T259&gt;=BenchmarkResults!$F$2:$F$35)*(mysql_hardware_log!T259&lt;BenchmarkResults!$G$2:$G$35)*ROW(BenchmarkResults!$F$2:$F$35)),{1,3})</f>
        <v>q2_avg_order_city</v>
      </c>
      <c r="B259" s="13">
        <v>2</v>
      </c>
      <c r="C259" s="16">
        <v>1</v>
      </c>
      <c r="D259" s="18">
        <v>0</v>
      </c>
      <c r="E259" s="16">
        <v>460032</v>
      </c>
      <c r="F259" s="13">
        <v>129924</v>
      </c>
      <c r="G259" s="13">
        <v>3268</v>
      </c>
      <c r="H259" s="18">
        <v>3602896</v>
      </c>
      <c r="I259" s="16">
        <v>0</v>
      </c>
      <c r="J259" s="18">
        <v>0</v>
      </c>
      <c r="K259" s="16">
        <v>10443</v>
      </c>
      <c r="L259" s="18">
        <v>18</v>
      </c>
      <c r="M259" s="16">
        <v>1120</v>
      </c>
      <c r="N259" s="18">
        <v>664</v>
      </c>
      <c r="O259" s="16">
        <v>31</v>
      </c>
      <c r="P259" s="13">
        <v>3</v>
      </c>
      <c r="Q259" s="13">
        <v>64</v>
      </c>
      <c r="R259" s="13">
        <v>2</v>
      </c>
      <c r="S259" s="18">
        <v>0</v>
      </c>
      <c r="T259" s="21">
        <v>46247.35728009259</v>
      </c>
      <c r="U259" s="55">
        <f t="shared" si="6"/>
        <v>1</v>
      </c>
      <c r="V259" s="55">
        <f t="shared" si="6"/>
        <v>0.16666666666666666</v>
      </c>
      <c r="W259" s="56">
        <f t="shared" si="7"/>
        <v>10542.833333333334</v>
      </c>
    </row>
    <row r="260" spans="1:23" x14ac:dyDescent="0.3">
      <c r="A260" s="13" t="str" cm="1">
        <f t="array" ref="A260:B260">INDEX(BenchmarkResults!$B$1:$D$35,SUMPRODUCT((T260&gt;=BenchmarkResults!$F$2:$F$35)*(mysql_hardware_log!T260&lt;BenchmarkResults!$G$2:$G$35)*ROW(BenchmarkResults!$F$2:$F$35)),{1,3})</f>
        <v>q2_avg_order_city</v>
      </c>
      <c r="B260" s="13">
        <v>2</v>
      </c>
      <c r="C260" s="16">
        <v>1</v>
      </c>
      <c r="D260" s="18">
        <v>0</v>
      </c>
      <c r="E260" s="16">
        <v>460032</v>
      </c>
      <c r="F260" s="13">
        <v>147628</v>
      </c>
      <c r="G260" s="13">
        <v>3276</v>
      </c>
      <c r="H260" s="18">
        <v>3585328</v>
      </c>
      <c r="I260" s="16">
        <v>0</v>
      </c>
      <c r="J260" s="18">
        <v>0</v>
      </c>
      <c r="K260" s="16">
        <v>9289</v>
      </c>
      <c r="L260" s="18">
        <v>2</v>
      </c>
      <c r="M260" s="16">
        <v>1099</v>
      </c>
      <c r="N260" s="18">
        <v>704</v>
      </c>
      <c r="O260" s="16">
        <v>32</v>
      </c>
      <c r="P260" s="13">
        <v>3</v>
      </c>
      <c r="Q260" s="13">
        <v>63</v>
      </c>
      <c r="R260" s="13">
        <v>2</v>
      </c>
      <c r="S260" s="18">
        <v>0</v>
      </c>
      <c r="T260" s="21">
        <v>46247.357395833336</v>
      </c>
      <c r="U260" s="55">
        <f t="shared" si="6"/>
        <v>1.1666666666666667</v>
      </c>
      <c r="V260" s="55">
        <f t="shared" si="6"/>
        <v>0</v>
      </c>
      <c r="W260" s="56">
        <f t="shared" si="7"/>
        <v>10270.166666666666</v>
      </c>
    </row>
    <row r="261" spans="1:23" x14ac:dyDescent="0.3">
      <c r="A261" s="13" t="str" cm="1">
        <f t="array" ref="A261:B261">INDEX(BenchmarkResults!$B$1:$D$35,SUMPRODUCT((T261&gt;=BenchmarkResults!$F$2:$F$35)*(mysql_hardware_log!T261&lt;BenchmarkResults!$G$2:$G$35)*ROW(BenchmarkResults!$F$2:$F$35)),{1,3})</f>
        <v>q2_avg_order_city</v>
      </c>
      <c r="B261" s="13">
        <v>2</v>
      </c>
      <c r="C261" s="16">
        <v>1</v>
      </c>
      <c r="D261" s="18">
        <v>0</v>
      </c>
      <c r="E261" s="16">
        <v>460032</v>
      </c>
      <c r="F261" s="13">
        <v>132712</v>
      </c>
      <c r="G261" s="13">
        <v>3284</v>
      </c>
      <c r="H261" s="18">
        <v>3600304</v>
      </c>
      <c r="I261" s="16">
        <v>0</v>
      </c>
      <c r="J261" s="18">
        <v>0</v>
      </c>
      <c r="K261" s="16">
        <v>7027</v>
      </c>
      <c r="L261" s="18">
        <v>2</v>
      </c>
      <c r="M261" s="16">
        <v>1034</v>
      </c>
      <c r="N261" s="18">
        <v>681</v>
      </c>
      <c r="O261" s="16">
        <v>31</v>
      </c>
      <c r="P261" s="13">
        <v>2</v>
      </c>
      <c r="Q261" s="13">
        <v>65</v>
      </c>
      <c r="R261" s="13">
        <v>2</v>
      </c>
      <c r="S261" s="18">
        <v>0</v>
      </c>
      <c r="T261" s="21">
        <v>46247.357511574075</v>
      </c>
      <c r="U261" s="55">
        <f t="shared" si="6"/>
        <v>1.1666666666666667</v>
      </c>
      <c r="V261" s="55">
        <f t="shared" si="6"/>
        <v>0</v>
      </c>
      <c r="W261" s="56">
        <f t="shared" si="7"/>
        <v>9329</v>
      </c>
    </row>
    <row r="262" spans="1:23" x14ac:dyDescent="0.3">
      <c r="A262" s="13" t="str" cm="1">
        <f t="array" ref="A262:B262">INDEX(BenchmarkResults!$B$1:$D$35,SUMPRODUCT((T262&gt;=BenchmarkResults!$F$2:$F$35)*(mysql_hardware_log!T262&lt;BenchmarkResults!$G$2:$G$35)*ROW(BenchmarkResults!$F$2:$F$35)),{1,3})</f>
        <v>q2_avg_order_city</v>
      </c>
      <c r="B262" s="13">
        <v>2</v>
      </c>
      <c r="C262" s="16">
        <v>1</v>
      </c>
      <c r="D262" s="18">
        <v>0</v>
      </c>
      <c r="E262" s="16">
        <v>460032</v>
      </c>
      <c r="F262" s="13">
        <v>113460</v>
      </c>
      <c r="G262" s="13">
        <v>3292</v>
      </c>
      <c r="H262" s="18">
        <v>3616648</v>
      </c>
      <c r="I262" s="16">
        <v>0</v>
      </c>
      <c r="J262" s="18">
        <v>0</v>
      </c>
      <c r="K262" s="16">
        <v>7164</v>
      </c>
      <c r="L262" s="18">
        <v>2</v>
      </c>
      <c r="M262" s="16">
        <v>1031</v>
      </c>
      <c r="N262" s="18">
        <v>661</v>
      </c>
      <c r="O262" s="16">
        <v>32</v>
      </c>
      <c r="P262" s="13">
        <v>3</v>
      </c>
      <c r="Q262" s="13">
        <v>64</v>
      </c>
      <c r="R262" s="13">
        <v>2</v>
      </c>
      <c r="S262" s="18">
        <v>0</v>
      </c>
      <c r="T262" s="21">
        <v>46247.357627314814</v>
      </c>
      <c r="U262" s="55">
        <f t="shared" si="6"/>
        <v>1.1666666666666667</v>
      </c>
      <c r="V262" s="55">
        <f t="shared" si="6"/>
        <v>0</v>
      </c>
      <c r="W262" s="56">
        <f t="shared" si="7"/>
        <v>9023.3333333333339</v>
      </c>
    </row>
    <row r="263" spans="1:23" x14ac:dyDescent="0.3">
      <c r="A263" s="13" t="str" cm="1">
        <f t="array" ref="A263:B263">INDEX(BenchmarkResults!$B$1:$D$35,SUMPRODUCT((T263&gt;=BenchmarkResults!$F$2:$F$35)*(mysql_hardware_log!T263&lt;BenchmarkResults!$G$2:$G$35)*ROW(BenchmarkResults!$F$2:$F$35)),{1,3})</f>
        <v>q2_avg_order_city</v>
      </c>
      <c r="B263" s="13">
        <v>2</v>
      </c>
      <c r="C263" s="16">
        <v>1</v>
      </c>
      <c r="D263" s="18">
        <v>0</v>
      </c>
      <c r="E263" s="16">
        <v>460032</v>
      </c>
      <c r="F263" s="13">
        <v>153864</v>
      </c>
      <c r="G263" s="13">
        <v>3300</v>
      </c>
      <c r="H263" s="18">
        <v>3579020</v>
      </c>
      <c r="I263" s="16">
        <v>0</v>
      </c>
      <c r="J263" s="18">
        <v>0</v>
      </c>
      <c r="K263" s="16">
        <v>7305</v>
      </c>
      <c r="L263" s="18">
        <v>3</v>
      </c>
      <c r="M263" s="16">
        <v>1033</v>
      </c>
      <c r="N263" s="18">
        <v>688</v>
      </c>
      <c r="O263" s="16">
        <v>32</v>
      </c>
      <c r="P263" s="13">
        <v>3</v>
      </c>
      <c r="Q263" s="13">
        <v>64</v>
      </c>
      <c r="R263" s="13">
        <v>1</v>
      </c>
      <c r="S263" s="18">
        <v>0</v>
      </c>
      <c r="T263" s="21">
        <v>46247.357743055552</v>
      </c>
      <c r="U263" s="55">
        <f t="shared" si="6"/>
        <v>1</v>
      </c>
      <c r="V263" s="55">
        <f t="shared" si="6"/>
        <v>0</v>
      </c>
      <c r="W263" s="56">
        <f t="shared" si="7"/>
        <v>8660.1666666666661</v>
      </c>
    </row>
    <row r="264" spans="1:23" x14ac:dyDescent="0.3">
      <c r="A264" s="13" t="str" cm="1">
        <f t="array" ref="A264:B264">INDEX(BenchmarkResults!$B$1:$D$35,SUMPRODUCT((T264&gt;=BenchmarkResults!$F$2:$F$35)*(mysql_hardware_log!T264&lt;BenchmarkResults!$G$2:$G$35)*ROW(BenchmarkResults!$F$2:$F$35)),{1,3})</f>
        <v>q2_avg_order_city</v>
      </c>
      <c r="B264" s="13">
        <v>2</v>
      </c>
      <c r="C264" s="16">
        <v>1</v>
      </c>
      <c r="D264" s="18">
        <v>0</v>
      </c>
      <c r="E264" s="16">
        <v>460032</v>
      </c>
      <c r="F264" s="13">
        <v>139628</v>
      </c>
      <c r="G264" s="13">
        <v>3308</v>
      </c>
      <c r="H264" s="18">
        <v>3593324</v>
      </c>
      <c r="I264" s="16">
        <v>0</v>
      </c>
      <c r="J264" s="18">
        <v>0</v>
      </c>
      <c r="K264" s="16">
        <v>6956</v>
      </c>
      <c r="L264" s="18">
        <v>2</v>
      </c>
      <c r="M264" s="16">
        <v>1055</v>
      </c>
      <c r="N264" s="18">
        <v>709</v>
      </c>
      <c r="O264" s="16">
        <v>32</v>
      </c>
      <c r="P264" s="13">
        <v>3</v>
      </c>
      <c r="Q264" s="13">
        <v>63</v>
      </c>
      <c r="R264" s="13">
        <v>2</v>
      </c>
      <c r="S264" s="18">
        <v>0</v>
      </c>
      <c r="T264" s="21">
        <v>46247.357858796298</v>
      </c>
      <c r="U264" s="55">
        <f t="shared" si="6"/>
        <v>1</v>
      </c>
      <c r="V264" s="55">
        <f t="shared" si="6"/>
        <v>0</v>
      </c>
      <c r="W264" s="56">
        <f t="shared" si="7"/>
        <v>8030.666666666667</v>
      </c>
    </row>
    <row r="265" spans="1:23" x14ac:dyDescent="0.3">
      <c r="A265" s="13" t="str" cm="1">
        <f t="array" ref="A265:B265">INDEX(BenchmarkResults!$B$1:$D$35,SUMPRODUCT((T265&gt;=BenchmarkResults!$F$2:$F$35)*(mysql_hardware_log!T265&lt;BenchmarkResults!$G$2:$G$35)*ROW(BenchmarkResults!$F$2:$F$35)),{1,3})</f>
        <v>q2_avg_order_city</v>
      </c>
      <c r="B265" s="13">
        <v>2</v>
      </c>
      <c r="C265" s="16">
        <v>1</v>
      </c>
      <c r="D265" s="18">
        <v>0</v>
      </c>
      <c r="E265" s="16">
        <v>460032</v>
      </c>
      <c r="F265" s="13">
        <v>142928</v>
      </c>
      <c r="G265" s="13">
        <v>3316</v>
      </c>
      <c r="H265" s="18">
        <v>3589848</v>
      </c>
      <c r="I265" s="16">
        <v>0</v>
      </c>
      <c r="J265" s="18">
        <v>0</v>
      </c>
      <c r="K265" s="16">
        <v>5178</v>
      </c>
      <c r="L265" s="18">
        <v>2</v>
      </c>
      <c r="M265" s="16">
        <v>1031</v>
      </c>
      <c r="N265" s="18">
        <v>700</v>
      </c>
      <c r="O265" s="16">
        <v>32</v>
      </c>
      <c r="P265" s="13">
        <v>2</v>
      </c>
      <c r="Q265" s="13">
        <v>64</v>
      </c>
      <c r="R265" s="13">
        <v>1</v>
      </c>
      <c r="S265" s="18">
        <v>0</v>
      </c>
      <c r="T265" s="21">
        <v>46247.357974537037</v>
      </c>
      <c r="U265" s="55">
        <f t="shared" ref="U265:V328" si="8">AVERAGE(C260:C265)</f>
        <v>1</v>
      </c>
      <c r="V265" s="55">
        <f t="shared" si="8"/>
        <v>0</v>
      </c>
      <c r="W265" s="56">
        <f t="shared" ref="W265:W328" si="9">AVERAGE(K260:K265)</f>
        <v>7153.166666666667</v>
      </c>
    </row>
    <row r="266" spans="1:23" x14ac:dyDescent="0.3">
      <c r="A266" s="13" t="str" cm="1">
        <f t="array" ref="A266:B266">INDEX(BenchmarkResults!$B$1:$D$35,SUMPRODUCT((T266&gt;=BenchmarkResults!$F$2:$F$35)*(mysql_hardware_log!T266&lt;BenchmarkResults!$G$2:$G$35)*ROW(BenchmarkResults!$F$2:$F$35)),{1,3})</f>
        <v>q2_avg_order_city</v>
      </c>
      <c r="B266" s="13">
        <v>2</v>
      </c>
      <c r="C266" s="16">
        <v>1</v>
      </c>
      <c r="D266" s="18">
        <v>0</v>
      </c>
      <c r="E266" s="16">
        <v>460032</v>
      </c>
      <c r="F266" s="13">
        <v>155836</v>
      </c>
      <c r="G266" s="13">
        <v>3324</v>
      </c>
      <c r="H266" s="18">
        <v>3576880</v>
      </c>
      <c r="I266" s="16">
        <v>0</v>
      </c>
      <c r="J266" s="18">
        <v>0</v>
      </c>
      <c r="K266" s="16">
        <v>4233</v>
      </c>
      <c r="L266" s="18">
        <v>2</v>
      </c>
      <c r="M266" s="16">
        <v>946</v>
      </c>
      <c r="N266" s="18">
        <v>640</v>
      </c>
      <c r="O266" s="16">
        <v>32</v>
      </c>
      <c r="P266" s="13">
        <v>2</v>
      </c>
      <c r="Q266" s="13">
        <v>65</v>
      </c>
      <c r="R266" s="13">
        <v>1</v>
      </c>
      <c r="S266" s="18">
        <v>0</v>
      </c>
      <c r="T266" s="21">
        <v>46247.358090277776</v>
      </c>
      <c r="U266" s="55">
        <f t="shared" si="8"/>
        <v>1</v>
      </c>
      <c r="V266" s="55">
        <f t="shared" si="8"/>
        <v>0</v>
      </c>
      <c r="W266" s="56">
        <f t="shared" si="9"/>
        <v>6310.5</v>
      </c>
    </row>
    <row r="267" spans="1:23" x14ac:dyDescent="0.3">
      <c r="A267" s="13" t="str" cm="1">
        <f t="array" ref="A267:B267">INDEX(BenchmarkResults!$B$1:$D$35,SUMPRODUCT((T267&gt;=BenchmarkResults!$F$2:$F$35)*(mysql_hardware_log!T267&lt;BenchmarkResults!$G$2:$G$35)*ROW(BenchmarkResults!$F$2:$F$35)),{1,3})</f>
        <v>q2_avg_order_city</v>
      </c>
      <c r="B267" s="13">
        <v>2</v>
      </c>
      <c r="C267" s="16">
        <v>1</v>
      </c>
      <c r="D267" s="18">
        <v>0</v>
      </c>
      <c r="E267" s="16">
        <v>460032</v>
      </c>
      <c r="F267" s="13">
        <v>105988</v>
      </c>
      <c r="G267" s="13">
        <v>3340</v>
      </c>
      <c r="H267" s="18">
        <v>3624120</v>
      </c>
      <c r="I267" s="16">
        <v>0</v>
      </c>
      <c r="J267" s="18">
        <v>0</v>
      </c>
      <c r="K267" s="16">
        <v>10255</v>
      </c>
      <c r="L267" s="18">
        <v>4</v>
      </c>
      <c r="M267" s="16">
        <v>1064</v>
      </c>
      <c r="N267" s="18">
        <v>706</v>
      </c>
      <c r="O267" s="16">
        <v>32</v>
      </c>
      <c r="P267" s="13">
        <v>3</v>
      </c>
      <c r="Q267" s="13">
        <v>64</v>
      </c>
      <c r="R267" s="13">
        <v>1</v>
      </c>
      <c r="S267" s="18">
        <v>0</v>
      </c>
      <c r="T267" s="21">
        <v>46247.358206018522</v>
      </c>
      <c r="U267" s="55">
        <f t="shared" si="8"/>
        <v>1</v>
      </c>
      <c r="V267" s="55">
        <f t="shared" si="8"/>
        <v>0</v>
      </c>
      <c r="W267" s="56">
        <f t="shared" si="9"/>
        <v>6848.5</v>
      </c>
    </row>
    <row r="268" spans="1:23" x14ac:dyDescent="0.3">
      <c r="A268" s="13" t="str" cm="1">
        <f t="array" ref="A268:B268">INDEX(BenchmarkResults!$B$1:$D$35,SUMPRODUCT((T268&gt;=BenchmarkResults!$F$2:$F$35)*(mysql_hardware_log!T268&lt;BenchmarkResults!$G$2:$G$35)*ROW(BenchmarkResults!$F$2:$F$35)),{1,3})</f>
        <v>q2_avg_order_city</v>
      </c>
      <c r="B268" s="13">
        <v>2</v>
      </c>
      <c r="C268" s="16">
        <v>0</v>
      </c>
      <c r="D268" s="18">
        <v>1</v>
      </c>
      <c r="E268" s="16">
        <v>460032</v>
      </c>
      <c r="F268" s="13">
        <v>156592</v>
      </c>
      <c r="G268" s="13">
        <v>3356</v>
      </c>
      <c r="H268" s="18">
        <v>3575568</v>
      </c>
      <c r="I268" s="16">
        <v>0</v>
      </c>
      <c r="J268" s="18">
        <v>0</v>
      </c>
      <c r="K268" s="16">
        <v>11742</v>
      </c>
      <c r="L268" s="18">
        <v>21</v>
      </c>
      <c r="M268" s="16">
        <v>1099</v>
      </c>
      <c r="N268" s="18">
        <v>745</v>
      </c>
      <c r="O268" s="16">
        <v>31</v>
      </c>
      <c r="P268" s="13">
        <v>3</v>
      </c>
      <c r="Q268" s="13">
        <v>64</v>
      </c>
      <c r="R268" s="13">
        <v>2</v>
      </c>
      <c r="S268" s="18">
        <v>0</v>
      </c>
      <c r="T268" s="21">
        <v>46247.35832175926</v>
      </c>
      <c r="U268" s="55">
        <f t="shared" si="8"/>
        <v>0.83333333333333337</v>
      </c>
      <c r="V268" s="55">
        <f t="shared" si="8"/>
        <v>0.16666666666666666</v>
      </c>
      <c r="W268" s="56">
        <f t="shared" si="9"/>
        <v>7611.5</v>
      </c>
    </row>
    <row r="269" spans="1:23" x14ac:dyDescent="0.3">
      <c r="A269" s="13" t="str" cm="1">
        <f t="array" ref="A269:B269">INDEX(BenchmarkResults!$B$1:$D$35,SUMPRODUCT((T269&gt;=BenchmarkResults!$F$2:$F$35)*(mysql_hardware_log!T269&lt;BenchmarkResults!$G$2:$G$35)*ROW(BenchmarkResults!$F$2:$F$35)),{1,3})</f>
        <v>q2_avg_order_city</v>
      </c>
      <c r="B269" s="13">
        <v>2</v>
      </c>
      <c r="C269" s="16">
        <v>1</v>
      </c>
      <c r="D269" s="18">
        <v>0</v>
      </c>
      <c r="E269" s="16">
        <v>460032</v>
      </c>
      <c r="F269" s="13">
        <v>145888</v>
      </c>
      <c r="G269" s="13">
        <v>3364</v>
      </c>
      <c r="H269" s="18">
        <v>3586796</v>
      </c>
      <c r="I269" s="16">
        <v>0</v>
      </c>
      <c r="J269" s="18">
        <v>0</v>
      </c>
      <c r="K269" s="16">
        <v>12174</v>
      </c>
      <c r="L269" s="18">
        <v>2</v>
      </c>
      <c r="M269" s="16">
        <v>1105</v>
      </c>
      <c r="N269" s="18">
        <v>686</v>
      </c>
      <c r="O269" s="16">
        <v>31</v>
      </c>
      <c r="P269" s="13">
        <v>3</v>
      </c>
      <c r="Q269" s="13">
        <v>64</v>
      </c>
      <c r="R269" s="13">
        <v>2</v>
      </c>
      <c r="S269" s="18">
        <v>0</v>
      </c>
      <c r="T269" s="21">
        <v>46247.358437499999</v>
      </c>
      <c r="U269" s="55">
        <f t="shared" si="8"/>
        <v>0.83333333333333337</v>
      </c>
      <c r="V269" s="55">
        <f t="shared" si="8"/>
        <v>0.16666666666666666</v>
      </c>
      <c r="W269" s="56">
        <f t="shared" si="9"/>
        <v>8423</v>
      </c>
    </row>
    <row r="270" spans="1:23" x14ac:dyDescent="0.3">
      <c r="A270" s="13" t="str" cm="1">
        <f t="array" ref="A270:B270">INDEX(BenchmarkResults!$B$1:$D$35,SUMPRODUCT((T270&gt;=BenchmarkResults!$F$2:$F$35)*(mysql_hardware_log!T270&lt;BenchmarkResults!$G$2:$G$35)*ROW(BenchmarkResults!$F$2:$F$35)),{1,3})</f>
        <v>q2_avg_order_city</v>
      </c>
      <c r="B270" s="13">
        <v>2</v>
      </c>
      <c r="C270" s="16">
        <v>1</v>
      </c>
      <c r="D270" s="18">
        <v>0</v>
      </c>
      <c r="E270" s="16">
        <v>460032</v>
      </c>
      <c r="F270" s="13">
        <v>120896</v>
      </c>
      <c r="G270" s="13">
        <v>3372</v>
      </c>
      <c r="H270" s="18">
        <v>3609056</v>
      </c>
      <c r="I270" s="16">
        <v>0</v>
      </c>
      <c r="J270" s="18">
        <v>0</v>
      </c>
      <c r="K270" s="16">
        <v>7761</v>
      </c>
      <c r="L270" s="18">
        <v>2</v>
      </c>
      <c r="M270" s="16">
        <v>1030</v>
      </c>
      <c r="N270" s="18">
        <v>676</v>
      </c>
      <c r="O270" s="16">
        <v>32</v>
      </c>
      <c r="P270" s="13">
        <v>3</v>
      </c>
      <c r="Q270" s="13">
        <v>64</v>
      </c>
      <c r="R270" s="13">
        <v>1</v>
      </c>
      <c r="S270" s="18">
        <v>0</v>
      </c>
      <c r="T270" s="21">
        <v>46247.358553240738</v>
      </c>
      <c r="U270" s="55">
        <f t="shared" si="8"/>
        <v>0.83333333333333337</v>
      </c>
      <c r="V270" s="55">
        <f t="shared" si="8"/>
        <v>0.16666666666666666</v>
      </c>
      <c r="W270" s="56">
        <f t="shared" si="9"/>
        <v>8557.1666666666661</v>
      </c>
    </row>
    <row r="271" spans="1:23" x14ac:dyDescent="0.3">
      <c r="A271" s="13" t="str" cm="1">
        <f t="array" ref="A271:B271">INDEX(BenchmarkResults!$B$1:$D$35,SUMPRODUCT((T271&gt;=BenchmarkResults!$F$2:$F$35)*(mysql_hardware_log!T271&lt;BenchmarkResults!$G$2:$G$35)*ROW(BenchmarkResults!$F$2:$F$35)),{1,3})</f>
        <v>q2_avg_order_city</v>
      </c>
      <c r="B271" s="13">
        <v>2</v>
      </c>
      <c r="C271" s="16">
        <v>1</v>
      </c>
      <c r="D271" s="18">
        <v>0</v>
      </c>
      <c r="E271" s="16">
        <v>460032</v>
      </c>
      <c r="F271" s="13">
        <v>115656</v>
      </c>
      <c r="G271" s="13">
        <v>3380</v>
      </c>
      <c r="H271" s="18">
        <v>3615280</v>
      </c>
      <c r="I271" s="16">
        <v>0</v>
      </c>
      <c r="J271" s="18">
        <v>0</v>
      </c>
      <c r="K271" s="16">
        <v>11678</v>
      </c>
      <c r="L271" s="18">
        <v>2</v>
      </c>
      <c r="M271" s="16">
        <v>1094</v>
      </c>
      <c r="N271" s="18">
        <v>697</v>
      </c>
      <c r="O271" s="16">
        <v>31</v>
      </c>
      <c r="P271" s="13">
        <v>3</v>
      </c>
      <c r="Q271" s="13">
        <v>64</v>
      </c>
      <c r="R271" s="13">
        <v>2</v>
      </c>
      <c r="S271" s="18">
        <v>0</v>
      </c>
      <c r="T271" s="21">
        <v>46247.358668981484</v>
      </c>
      <c r="U271" s="55">
        <f t="shared" si="8"/>
        <v>0.83333333333333337</v>
      </c>
      <c r="V271" s="55">
        <f t="shared" si="8"/>
        <v>0.16666666666666666</v>
      </c>
      <c r="W271" s="56">
        <f t="shared" si="9"/>
        <v>9640.5</v>
      </c>
    </row>
    <row r="272" spans="1:23" x14ac:dyDescent="0.3">
      <c r="A272" s="13" t="str" cm="1">
        <f t="array" ref="A272:B272">INDEX(BenchmarkResults!$B$1:$D$35,SUMPRODUCT((T272&gt;=BenchmarkResults!$F$2:$F$35)*(mysql_hardware_log!T272&lt;BenchmarkResults!$G$2:$G$35)*ROW(BenchmarkResults!$F$2:$F$35)),{1,3})</f>
        <v>q2_avg_order_city</v>
      </c>
      <c r="B272" s="13">
        <v>2</v>
      </c>
      <c r="C272" s="16">
        <v>2</v>
      </c>
      <c r="D272" s="18">
        <v>0</v>
      </c>
      <c r="E272" s="16">
        <v>460032</v>
      </c>
      <c r="F272" s="13">
        <v>110712</v>
      </c>
      <c r="G272" s="13">
        <v>3388</v>
      </c>
      <c r="H272" s="18">
        <v>3622020</v>
      </c>
      <c r="I272" s="16">
        <v>0</v>
      </c>
      <c r="J272" s="18">
        <v>0</v>
      </c>
      <c r="K272" s="16">
        <v>11738</v>
      </c>
      <c r="L272" s="18">
        <v>2</v>
      </c>
      <c r="M272" s="16">
        <v>1072</v>
      </c>
      <c r="N272" s="18">
        <v>694</v>
      </c>
      <c r="O272" s="16">
        <v>31</v>
      </c>
      <c r="P272" s="13">
        <v>3</v>
      </c>
      <c r="Q272" s="13">
        <v>64</v>
      </c>
      <c r="R272" s="13">
        <v>2</v>
      </c>
      <c r="S272" s="18">
        <v>0</v>
      </c>
      <c r="T272" s="21">
        <v>46247.358784722222</v>
      </c>
      <c r="U272" s="55">
        <f t="shared" si="8"/>
        <v>1</v>
      </c>
      <c r="V272" s="55">
        <f t="shared" si="8"/>
        <v>0.16666666666666666</v>
      </c>
      <c r="W272" s="56">
        <f t="shared" si="9"/>
        <v>10891.333333333334</v>
      </c>
    </row>
    <row r="273" spans="1:23" x14ac:dyDescent="0.3">
      <c r="A273" s="13" t="str" cm="1">
        <f t="array" ref="A273:B273">INDEX(BenchmarkResults!$B$1:$D$35,SUMPRODUCT((T273&gt;=BenchmarkResults!$F$2:$F$35)*(mysql_hardware_log!T273&lt;BenchmarkResults!$G$2:$G$35)*ROW(BenchmarkResults!$F$2:$F$35)),{1,3})</f>
        <v>q2_avg_order_city</v>
      </c>
      <c r="B273" s="13">
        <v>2</v>
      </c>
      <c r="C273" s="16">
        <v>1</v>
      </c>
      <c r="D273" s="18">
        <v>0</v>
      </c>
      <c r="E273" s="16">
        <v>460032</v>
      </c>
      <c r="F273" s="13">
        <v>157608</v>
      </c>
      <c r="G273" s="13">
        <v>3396</v>
      </c>
      <c r="H273" s="18">
        <v>3575536</v>
      </c>
      <c r="I273" s="16">
        <v>0</v>
      </c>
      <c r="J273" s="18">
        <v>0</v>
      </c>
      <c r="K273" s="16">
        <v>11937</v>
      </c>
      <c r="L273" s="18">
        <v>2</v>
      </c>
      <c r="M273" s="16">
        <v>1067</v>
      </c>
      <c r="N273" s="18">
        <v>676</v>
      </c>
      <c r="O273" s="16">
        <v>31</v>
      </c>
      <c r="P273" s="13">
        <v>3</v>
      </c>
      <c r="Q273" s="13">
        <v>64</v>
      </c>
      <c r="R273" s="13">
        <v>2</v>
      </c>
      <c r="S273" s="18">
        <v>0</v>
      </c>
      <c r="T273" s="21">
        <v>46247.358900462961</v>
      </c>
      <c r="U273" s="55">
        <f t="shared" si="8"/>
        <v>1</v>
      </c>
      <c r="V273" s="55">
        <f t="shared" si="8"/>
        <v>0.16666666666666666</v>
      </c>
      <c r="W273" s="56">
        <f t="shared" si="9"/>
        <v>11171.666666666666</v>
      </c>
    </row>
    <row r="274" spans="1:23" x14ac:dyDescent="0.3">
      <c r="A274" s="13" t="str" cm="1">
        <f t="array" ref="A274:B274">INDEX(BenchmarkResults!$B$1:$D$35,SUMPRODUCT((T274&gt;=BenchmarkResults!$F$2:$F$35)*(mysql_hardware_log!T274&lt;BenchmarkResults!$G$2:$G$35)*ROW(BenchmarkResults!$F$2:$F$35)),{1,3})</f>
        <v>q2_avg_order_city</v>
      </c>
      <c r="B274" s="13">
        <v>2</v>
      </c>
      <c r="C274" s="16">
        <v>1</v>
      </c>
      <c r="D274" s="18">
        <v>0</v>
      </c>
      <c r="E274" s="16">
        <v>460032</v>
      </c>
      <c r="F274" s="13">
        <v>107368</v>
      </c>
      <c r="G274" s="13">
        <v>3404</v>
      </c>
      <c r="H274" s="18">
        <v>3623576</v>
      </c>
      <c r="I274" s="16">
        <v>0</v>
      </c>
      <c r="J274" s="18">
        <v>0</v>
      </c>
      <c r="K274" s="16">
        <v>10331</v>
      </c>
      <c r="L274" s="18">
        <v>2</v>
      </c>
      <c r="M274" s="16">
        <v>1073</v>
      </c>
      <c r="N274" s="18">
        <v>719</v>
      </c>
      <c r="O274" s="16">
        <v>32</v>
      </c>
      <c r="P274" s="13">
        <v>2</v>
      </c>
      <c r="Q274" s="13">
        <v>65</v>
      </c>
      <c r="R274" s="13">
        <v>1</v>
      </c>
      <c r="S274" s="18">
        <v>0</v>
      </c>
      <c r="T274" s="21">
        <v>46247.359016203707</v>
      </c>
      <c r="U274" s="55">
        <f t="shared" si="8"/>
        <v>1.1666666666666667</v>
      </c>
      <c r="V274" s="55">
        <f t="shared" si="8"/>
        <v>0</v>
      </c>
      <c r="W274" s="56">
        <f t="shared" si="9"/>
        <v>10936.5</v>
      </c>
    </row>
    <row r="275" spans="1:23" x14ac:dyDescent="0.3">
      <c r="A275" s="13" t="str" cm="1">
        <f t="array" ref="A275:B275">INDEX(BenchmarkResults!$B$1:$D$35,SUMPRODUCT((T275&gt;=BenchmarkResults!$F$2:$F$35)*(mysql_hardware_log!T275&lt;BenchmarkResults!$G$2:$G$35)*ROW(BenchmarkResults!$F$2:$F$35)),{1,3})</f>
        <v>q2_avg_order_city</v>
      </c>
      <c r="B275" s="13">
        <v>2</v>
      </c>
      <c r="C275" s="16">
        <v>1</v>
      </c>
      <c r="D275" s="18">
        <v>0</v>
      </c>
      <c r="E275" s="16">
        <v>460032</v>
      </c>
      <c r="F275" s="13">
        <v>122584</v>
      </c>
      <c r="G275" s="13">
        <v>3412</v>
      </c>
      <c r="H275" s="18">
        <v>3609080</v>
      </c>
      <c r="I275" s="16">
        <v>0</v>
      </c>
      <c r="J275" s="18">
        <v>0</v>
      </c>
      <c r="K275" s="16">
        <v>9611</v>
      </c>
      <c r="L275" s="18">
        <v>2</v>
      </c>
      <c r="M275" s="16">
        <v>1029</v>
      </c>
      <c r="N275" s="18">
        <v>658</v>
      </c>
      <c r="O275" s="16">
        <v>32</v>
      </c>
      <c r="P275" s="13">
        <v>3</v>
      </c>
      <c r="Q275" s="13">
        <v>65</v>
      </c>
      <c r="R275" s="13">
        <v>1</v>
      </c>
      <c r="S275" s="18">
        <v>0</v>
      </c>
      <c r="T275" s="21">
        <v>46247.359131944446</v>
      </c>
      <c r="U275" s="55">
        <f t="shared" si="8"/>
        <v>1.1666666666666667</v>
      </c>
      <c r="V275" s="55">
        <f t="shared" si="8"/>
        <v>0</v>
      </c>
      <c r="W275" s="56">
        <f t="shared" si="9"/>
        <v>10509.333333333334</v>
      </c>
    </row>
    <row r="276" spans="1:23" x14ac:dyDescent="0.3">
      <c r="A276" s="13" t="str" cm="1">
        <f t="array" ref="A276:B276">INDEX(BenchmarkResults!$B$1:$D$35,SUMPRODUCT((T276&gt;=BenchmarkResults!$F$2:$F$35)*(mysql_hardware_log!T276&lt;BenchmarkResults!$G$2:$G$35)*ROW(BenchmarkResults!$F$2:$F$35)),{1,3})</f>
        <v>q2_avg_order_city</v>
      </c>
      <c r="B276" s="13">
        <v>2</v>
      </c>
      <c r="C276" s="16">
        <v>1</v>
      </c>
      <c r="D276" s="18">
        <v>0</v>
      </c>
      <c r="E276" s="16">
        <v>460032</v>
      </c>
      <c r="F276" s="13">
        <v>111320</v>
      </c>
      <c r="G276" s="13">
        <v>3420</v>
      </c>
      <c r="H276" s="18">
        <v>3620648</v>
      </c>
      <c r="I276" s="16">
        <v>0</v>
      </c>
      <c r="J276" s="18">
        <v>0</v>
      </c>
      <c r="K276" s="16">
        <v>6685</v>
      </c>
      <c r="L276" s="18">
        <v>2</v>
      </c>
      <c r="M276" s="16">
        <v>976</v>
      </c>
      <c r="N276" s="18">
        <v>626</v>
      </c>
      <c r="O276" s="16">
        <v>32</v>
      </c>
      <c r="P276" s="13">
        <v>2</v>
      </c>
      <c r="Q276" s="13">
        <v>65</v>
      </c>
      <c r="R276" s="13">
        <v>1</v>
      </c>
      <c r="S276" s="18">
        <v>0</v>
      </c>
      <c r="T276" s="21">
        <v>46247.359247685185</v>
      </c>
      <c r="U276" s="55">
        <f t="shared" si="8"/>
        <v>1.1666666666666667</v>
      </c>
      <c r="V276" s="55">
        <f t="shared" si="8"/>
        <v>0</v>
      </c>
      <c r="W276" s="56">
        <f t="shared" si="9"/>
        <v>10330</v>
      </c>
    </row>
    <row r="277" spans="1:23" x14ac:dyDescent="0.3">
      <c r="A277" s="13" t="str" cm="1">
        <f t="array" ref="A277:B277">INDEX(BenchmarkResults!$B$1:$D$35,SUMPRODUCT((T277&gt;=BenchmarkResults!$F$2:$F$35)*(mysql_hardware_log!T277&lt;BenchmarkResults!$G$2:$G$35)*ROW(BenchmarkResults!$F$2:$F$35)),{1,3})</f>
        <v>q2_avg_order_city</v>
      </c>
      <c r="B277" s="13">
        <v>2</v>
      </c>
      <c r="C277" s="16">
        <v>1</v>
      </c>
      <c r="D277" s="18">
        <v>0</v>
      </c>
      <c r="E277" s="16">
        <v>460032</v>
      </c>
      <c r="F277" s="13">
        <v>131812</v>
      </c>
      <c r="G277" s="13">
        <v>3428</v>
      </c>
      <c r="H277" s="18">
        <v>3600272</v>
      </c>
      <c r="I277" s="16">
        <v>0</v>
      </c>
      <c r="J277" s="18">
        <v>0</v>
      </c>
      <c r="K277" s="16">
        <v>3496</v>
      </c>
      <c r="L277" s="18">
        <v>2</v>
      </c>
      <c r="M277" s="16">
        <v>927</v>
      </c>
      <c r="N277" s="18">
        <v>615</v>
      </c>
      <c r="O277" s="16">
        <v>32</v>
      </c>
      <c r="P277" s="13">
        <v>2</v>
      </c>
      <c r="Q277" s="13">
        <v>65</v>
      </c>
      <c r="R277" s="13">
        <v>1</v>
      </c>
      <c r="S277" s="18">
        <v>0</v>
      </c>
      <c r="T277" s="21">
        <v>46247.359363425923</v>
      </c>
      <c r="U277" s="55">
        <f t="shared" si="8"/>
        <v>1.1666666666666667</v>
      </c>
      <c r="V277" s="55">
        <f t="shared" si="8"/>
        <v>0</v>
      </c>
      <c r="W277" s="56">
        <f t="shared" si="9"/>
        <v>8966.3333333333339</v>
      </c>
    </row>
    <row r="278" spans="1:23" x14ac:dyDescent="0.3">
      <c r="A278" s="13" t="str" cm="1">
        <f t="array" ref="A278:B278">INDEX(BenchmarkResults!$B$1:$D$35,SUMPRODUCT((T278&gt;=BenchmarkResults!$F$2:$F$35)*(mysql_hardware_log!T278&lt;BenchmarkResults!$G$2:$G$35)*ROW(BenchmarkResults!$F$2:$F$35)),{1,3})</f>
        <v>q2_avg_order_city</v>
      </c>
      <c r="B278" s="13">
        <v>2</v>
      </c>
      <c r="C278" s="16">
        <v>0</v>
      </c>
      <c r="D278" s="18">
        <v>1</v>
      </c>
      <c r="E278" s="16">
        <v>460032</v>
      </c>
      <c r="F278" s="13">
        <v>151972</v>
      </c>
      <c r="G278" s="13">
        <v>3436</v>
      </c>
      <c r="H278" s="18">
        <v>3580884</v>
      </c>
      <c r="I278" s="16">
        <v>0</v>
      </c>
      <c r="J278" s="18">
        <v>0</v>
      </c>
      <c r="K278" s="16">
        <v>3584</v>
      </c>
      <c r="L278" s="18">
        <v>2</v>
      </c>
      <c r="M278" s="16">
        <v>952</v>
      </c>
      <c r="N278" s="18">
        <v>649</v>
      </c>
      <c r="O278" s="16">
        <v>32</v>
      </c>
      <c r="P278" s="13">
        <v>2</v>
      </c>
      <c r="Q278" s="13">
        <v>65</v>
      </c>
      <c r="R278" s="13">
        <v>1</v>
      </c>
      <c r="S278" s="18">
        <v>0</v>
      </c>
      <c r="T278" s="21">
        <v>46247.359479166669</v>
      </c>
      <c r="U278" s="55">
        <f t="shared" si="8"/>
        <v>0.83333333333333337</v>
      </c>
      <c r="V278" s="55">
        <f t="shared" si="8"/>
        <v>0.16666666666666666</v>
      </c>
      <c r="W278" s="56">
        <f t="shared" si="9"/>
        <v>7607.333333333333</v>
      </c>
    </row>
    <row r="279" spans="1:23" x14ac:dyDescent="0.3">
      <c r="A279" s="13" t="str" cm="1">
        <f t="array" ref="A279:B279">INDEX(BenchmarkResults!$B$1:$D$35,SUMPRODUCT((T279&gt;=BenchmarkResults!$F$2:$F$35)*(mysql_hardware_log!T279&lt;BenchmarkResults!$G$2:$G$35)*ROW(BenchmarkResults!$F$2:$F$35)),{1,3})</f>
        <v>q2_avg_order_city</v>
      </c>
      <c r="B279" s="13">
        <v>2</v>
      </c>
      <c r="C279" s="16">
        <v>1</v>
      </c>
      <c r="D279" s="18">
        <v>0</v>
      </c>
      <c r="E279" s="16">
        <v>460032</v>
      </c>
      <c r="F279" s="13">
        <v>114456</v>
      </c>
      <c r="G279" s="13">
        <v>3444</v>
      </c>
      <c r="H279" s="18">
        <v>3617236</v>
      </c>
      <c r="I279" s="16">
        <v>0</v>
      </c>
      <c r="J279" s="18">
        <v>0</v>
      </c>
      <c r="K279" s="16">
        <v>3645</v>
      </c>
      <c r="L279" s="18">
        <v>19</v>
      </c>
      <c r="M279" s="16">
        <v>970</v>
      </c>
      <c r="N279" s="18">
        <v>659</v>
      </c>
      <c r="O279" s="16">
        <v>32</v>
      </c>
      <c r="P279" s="13">
        <v>2</v>
      </c>
      <c r="Q279" s="13">
        <v>64</v>
      </c>
      <c r="R279" s="13">
        <v>1</v>
      </c>
      <c r="S279" s="18">
        <v>0</v>
      </c>
      <c r="T279" s="21">
        <v>46247.359594907408</v>
      </c>
      <c r="U279" s="55">
        <f t="shared" si="8"/>
        <v>0.83333333333333337</v>
      </c>
      <c r="V279" s="55">
        <f t="shared" si="8"/>
        <v>0.16666666666666666</v>
      </c>
      <c r="W279" s="56">
        <f t="shared" si="9"/>
        <v>6225.333333333333</v>
      </c>
    </row>
    <row r="280" spans="1:23" x14ac:dyDescent="0.3">
      <c r="A280" s="13" t="str" cm="1">
        <f t="array" ref="A280:B280">INDEX(BenchmarkResults!$B$1:$D$35,SUMPRODUCT((T280&gt;=BenchmarkResults!$F$2:$F$35)*(mysql_hardware_log!T280&lt;BenchmarkResults!$G$2:$G$35)*ROW(BenchmarkResults!$F$2:$F$35)),{1,3})</f>
        <v>q2_avg_order_city</v>
      </c>
      <c r="B280" s="13">
        <v>2</v>
      </c>
      <c r="C280" s="16">
        <v>1</v>
      </c>
      <c r="D280" s="18">
        <v>0</v>
      </c>
      <c r="E280" s="16">
        <v>460032</v>
      </c>
      <c r="F280" s="13">
        <v>133908</v>
      </c>
      <c r="G280" s="13">
        <v>3452</v>
      </c>
      <c r="H280" s="18">
        <v>3596468</v>
      </c>
      <c r="I280" s="16">
        <v>0</v>
      </c>
      <c r="J280" s="18">
        <v>0</v>
      </c>
      <c r="K280" s="16">
        <v>3446</v>
      </c>
      <c r="L280" s="18">
        <v>3</v>
      </c>
      <c r="M280" s="16">
        <v>965</v>
      </c>
      <c r="N280" s="18">
        <v>671</v>
      </c>
      <c r="O280" s="16">
        <v>32</v>
      </c>
      <c r="P280" s="13">
        <v>2</v>
      </c>
      <c r="Q280" s="13">
        <v>65</v>
      </c>
      <c r="R280" s="13">
        <v>1</v>
      </c>
      <c r="S280" s="18">
        <v>0</v>
      </c>
      <c r="T280" s="21">
        <v>46247.359710648147</v>
      </c>
      <c r="U280" s="55">
        <f t="shared" si="8"/>
        <v>0.83333333333333337</v>
      </c>
      <c r="V280" s="55">
        <f t="shared" si="8"/>
        <v>0.16666666666666666</v>
      </c>
      <c r="W280" s="56">
        <f t="shared" si="9"/>
        <v>5077.833333333333</v>
      </c>
    </row>
    <row r="281" spans="1:23" x14ac:dyDescent="0.3">
      <c r="A281" s="13" t="str" cm="1">
        <f t="array" ref="A281:B281">INDEX(BenchmarkResults!$B$1:$D$35,SUMPRODUCT((T281&gt;=BenchmarkResults!$F$2:$F$35)*(mysql_hardware_log!T281&lt;BenchmarkResults!$G$2:$G$35)*ROW(BenchmarkResults!$F$2:$F$35)),{1,3})</f>
        <v>q2_avg_order_city</v>
      </c>
      <c r="B281" s="13">
        <v>2</v>
      </c>
      <c r="C281" s="16">
        <v>1</v>
      </c>
      <c r="D281" s="18">
        <v>0</v>
      </c>
      <c r="E281" s="16">
        <v>460032</v>
      </c>
      <c r="F281" s="13">
        <v>153252</v>
      </c>
      <c r="G281" s="13">
        <v>3460</v>
      </c>
      <c r="H281" s="18">
        <v>3578944</v>
      </c>
      <c r="I281" s="16">
        <v>0</v>
      </c>
      <c r="J281" s="18">
        <v>0</v>
      </c>
      <c r="K281" s="16">
        <v>3781</v>
      </c>
      <c r="L281" s="18">
        <v>2</v>
      </c>
      <c r="M281" s="16">
        <v>940</v>
      </c>
      <c r="N281" s="18">
        <v>631</v>
      </c>
      <c r="O281" s="16">
        <v>32</v>
      </c>
      <c r="P281" s="13">
        <v>2</v>
      </c>
      <c r="Q281" s="13">
        <v>65</v>
      </c>
      <c r="R281" s="13">
        <v>1</v>
      </c>
      <c r="S281" s="18">
        <v>0</v>
      </c>
      <c r="T281" s="21">
        <v>46247.359826388885</v>
      </c>
      <c r="U281" s="55">
        <f t="shared" si="8"/>
        <v>0.83333333333333337</v>
      </c>
      <c r="V281" s="55">
        <f t="shared" si="8"/>
        <v>0.16666666666666666</v>
      </c>
      <c r="W281" s="56">
        <f t="shared" si="9"/>
        <v>4106.166666666667</v>
      </c>
    </row>
    <row r="282" spans="1:23" x14ac:dyDescent="0.3">
      <c r="A282" s="13" t="str" cm="1">
        <f t="array" ref="A282:B282">INDEX(BenchmarkResults!$B$1:$D$35,SUMPRODUCT((T282&gt;=BenchmarkResults!$F$2:$F$35)*(mysql_hardware_log!T282&lt;BenchmarkResults!$G$2:$G$35)*ROW(BenchmarkResults!$F$2:$F$35)),{1,3})</f>
        <v>q2_avg_order_city</v>
      </c>
      <c r="B282" s="13">
        <v>2</v>
      </c>
      <c r="C282" s="16">
        <v>2</v>
      </c>
      <c r="D282" s="18">
        <v>0</v>
      </c>
      <c r="E282" s="16">
        <v>460032</v>
      </c>
      <c r="F282" s="13">
        <v>114444</v>
      </c>
      <c r="G282" s="13">
        <v>3468</v>
      </c>
      <c r="H282" s="18">
        <v>3616312</v>
      </c>
      <c r="I282" s="16">
        <v>0</v>
      </c>
      <c r="J282" s="18">
        <v>0</v>
      </c>
      <c r="K282" s="16">
        <v>3733</v>
      </c>
      <c r="L282" s="18">
        <v>2</v>
      </c>
      <c r="M282" s="16">
        <v>959</v>
      </c>
      <c r="N282" s="18">
        <v>654</v>
      </c>
      <c r="O282" s="16">
        <v>32</v>
      </c>
      <c r="P282" s="13">
        <v>2</v>
      </c>
      <c r="Q282" s="13">
        <v>64</v>
      </c>
      <c r="R282" s="13">
        <v>2</v>
      </c>
      <c r="S282" s="18">
        <v>0</v>
      </c>
      <c r="T282" s="21">
        <v>46247.359942129631</v>
      </c>
      <c r="U282" s="55">
        <f t="shared" si="8"/>
        <v>1</v>
      </c>
      <c r="V282" s="55">
        <f t="shared" si="8"/>
        <v>0.16666666666666666</v>
      </c>
      <c r="W282" s="56">
        <f t="shared" si="9"/>
        <v>3614.1666666666665</v>
      </c>
    </row>
    <row r="283" spans="1:23" x14ac:dyDescent="0.3">
      <c r="A283" s="13" t="str" cm="1">
        <f t="array" ref="A283:B283">INDEX(BenchmarkResults!$B$1:$D$35,SUMPRODUCT((T283&gt;=BenchmarkResults!$F$2:$F$35)*(mysql_hardware_log!T283&lt;BenchmarkResults!$G$2:$G$35)*ROW(BenchmarkResults!$F$2:$F$35)),{1,3})</f>
        <v>q2_avg_order_city</v>
      </c>
      <c r="B283" s="13">
        <v>3</v>
      </c>
      <c r="C283" s="16">
        <v>1</v>
      </c>
      <c r="D283" s="18">
        <v>0</v>
      </c>
      <c r="E283" s="16">
        <v>460032</v>
      </c>
      <c r="F283" s="13">
        <v>111308</v>
      </c>
      <c r="G283" s="13">
        <v>3476</v>
      </c>
      <c r="H283" s="18">
        <v>3610968</v>
      </c>
      <c r="I283" s="16">
        <v>0</v>
      </c>
      <c r="J283" s="18">
        <v>0</v>
      </c>
      <c r="K283" s="16">
        <v>43626</v>
      </c>
      <c r="L283" s="18">
        <v>2</v>
      </c>
      <c r="M283" s="16">
        <v>3142</v>
      </c>
      <c r="N283" s="18">
        <v>2207</v>
      </c>
      <c r="O283" s="16">
        <v>12</v>
      </c>
      <c r="P283" s="13">
        <v>9</v>
      </c>
      <c r="Q283" s="13">
        <v>50</v>
      </c>
      <c r="R283" s="13">
        <v>28</v>
      </c>
      <c r="S283" s="18">
        <v>0</v>
      </c>
      <c r="T283" s="21">
        <v>46247.36005787037</v>
      </c>
      <c r="U283" s="55">
        <f t="shared" si="8"/>
        <v>1</v>
      </c>
      <c r="V283" s="55">
        <f t="shared" si="8"/>
        <v>0.16666666666666666</v>
      </c>
      <c r="W283" s="56">
        <f t="shared" si="9"/>
        <v>10302.5</v>
      </c>
    </row>
    <row r="284" spans="1:23" x14ac:dyDescent="0.3">
      <c r="A284" s="13" t="str" cm="1">
        <f t="array" ref="A284:B284">INDEX(BenchmarkResults!$B$1:$D$35,SUMPRODUCT((T284&gt;=BenchmarkResults!$F$2:$F$35)*(mysql_hardware_log!T284&lt;BenchmarkResults!$G$2:$G$35)*ROW(BenchmarkResults!$F$2:$F$35)),{1,3})</f>
        <v>q2_avg_order_city</v>
      </c>
      <c r="B284" s="13">
        <v>3</v>
      </c>
      <c r="C284" s="16">
        <v>2</v>
      </c>
      <c r="D284" s="18">
        <v>0</v>
      </c>
      <c r="E284" s="16">
        <v>458496</v>
      </c>
      <c r="F284" s="13">
        <v>147740</v>
      </c>
      <c r="G284" s="13">
        <v>3492</v>
      </c>
      <c r="H284" s="18">
        <v>3583532</v>
      </c>
      <c r="I284" s="16">
        <v>223</v>
      </c>
      <c r="J284" s="18">
        <v>0</v>
      </c>
      <c r="K284" s="16">
        <v>69338</v>
      </c>
      <c r="L284" s="18">
        <v>20</v>
      </c>
      <c r="M284" s="16">
        <v>2621</v>
      </c>
      <c r="N284" s="18">
        <v>1446</v>
      </c>
      <c r="O284" s="16">
        <v>24</v>
      </c>
      <c r="P284" s="13">
        <v>9</v>
      </c>
      <c r="Q284" s="13">
        <v>52</v>
      </c>
      <c r="R284" s="13">
        <v>15</v>
      </c>
      <c r="S284" s="18">
        <v>0</v>
      </c>
      <c r="T284" s="21">
        <v>46247.360173611109</v>
      </c>
      <c r="U284" s="55">
        <f t="shared" si="8"/>
        <v>1.3333333333333333</v>
      </c>
      <c r="V284" s="55">
        <f t="shared" si="8"/>
        <v>0</v>
      </c>
      <c r="W284" s="56">
        <f t="shared" si="9"/>
        <v>21261.5</v>
      </c>
    </row>
    <row r="285" spans="1:23" x14ac:dyDescent="0.3">
      <c r="A285" s="13" t="str" cm="1">
        <f t="array" ref="A285:B285">INDEX(BenchmarkResults!$B$1:$D$35,SUMPRODUCT((T285&gt;=BenchmarkResults!$F$2:$F$35)*(mysql_hardware_log!T285&lt;BenchmarkResults!$G$2:$G$35)*ROW(BenchmarkResults!$F$2:$F$35)),{1,3})</f>
        <v>q2_avg_order_city</v>
      </c>
      <c r="B285" s="13">
        <v>3</v>
      </c>
      <c r="C285" s="16">
        <v>1</v>
      </c>
      <c r="D285" s="18">
        <v>0</v>
      </c>
      <c r="E285" s="16">
        <v>458496</v>
      </c>
      <c r="F285" s="13">
        <v>137572</v>
      </c>
      <c r="G285" s="13">
        <v>3500</v>
      </c>
      <c r="H285" s="18">
        <v>3585820</v>
      </c>
      <c r="I285" s="16">
        <v>22</v>
      </c>
      <c r="J285" s="18">
        <v>0</v>
      </c>
      <c r="K285" s="16">
        <v>22371</v>
      </c>
      <c r="L285" s="18">
        <v>2</v>
      </c>
      <c r="M285" s="16">
        <v>1353</v>
      </c>
      <c r="N285" s="18">
        <v>684</v>
      </c>
      <c r="O285" s="16">
        <v>28</v>
      </c>
      <c r="P285" s="13">
        <v>4</v>
      </c>
      <c r="Q285" s="13">
        <v>63</v>
      </c>
      <c r="R285" s="13">
        <v>4</v>
      </c>
      <c r="S285" s="18">
        <v>0</v>
      </c>
      <c r="T285" s="21">
        <v>46247.360289351855</v>
      </c>
      <c r="U285" s="55">
        <f t="shared" si="8"/>
        <v>1.3333333333333333</v>
      </c>
      <c r="V285" s="55">
        <f t="shared" si="8"/>
        <v>0</v>
      </c>
      <c r="W285" s="56">
        <f t="shared" si="9"/>
        <v>24382.5</v>
      </c>
    </row>
    <row r="286" spans="1:23" x14ac:dyDescent="0.3">
      <c r="A286" s="13" t="str" cm="1">
        <f t="array" ref="A286:B286">INDEX(BenchmarkResults!$B$1:$D$35,SUMPRODUCT((T286&gt;=BenchmarkResults!$F$2:$F$35)*(mysql_hardware_log!T286&lt;BenchmarkResults!$G$2:$G$35)*ROW(BenchmarkResults!$F$2:$F$35)),{1,3})</f>
        <v>q2_avg_order_city</v>
      </c>
      <c r="B286" s="13">
        <v>3</v>
      </c>
      <c r="C286" s="16">
        <v>1</v>
      </c>
      <c r="D286" s="18">
        <v>0</v>
      </c>
      <c r="E286" s="16">
        <v>458496</v>
      </c>
      <c r="F286" s="13">
        <v>116116</v>
      </c>
      <c r="G286" s="13">
        <v>3508</v>
      </c>
      <c r="H286" s="18">
        <v>3612840</v>
      </c>
      <c r="I286" s="16">
        <v>0</v>
      </c>
      <c r="J286" s="18">
        <v>0</v>
      </c>
      <c r="K286" s="16">
        <v>13731</v>
      </c>
      <c r="L286" s="18">
        <v>16</v>
      </c>
      <c r="M286" s="16">
        <v>1186</v>
      </c>
      <c r="N286" s="18">
        <v>706</v>
      </c>
      <c r="O286" s="16">
        <v>30</v>
      </c>
      <c r="P286" s="13">
        <v>3</v>
      </c>
      <c r="Q286" s="13">
        <v>63</v>
      </c>
      <c r="R286" s="13">
        <v>3</v>
      </c>
      <c r="S286" s="18">
        <v>0</v>
      </c>
      <c r="T286" s="21">
        <v>46247.360405092593</v>
      </c>
      <c r="U286" s="55">
        <f t="shared" si="8"/>
        <v>1.3333333333333333</v>
      </c>
      <c r="V286" s="55">
        <f t="shared" si="8"/>
        <v>0</v>
      </c>
      <c r="W286" s="56">
        <f t="shared" si="9"/>
        <v>26096.666666666668</v>
      </c>
    </row>
    <row r="287" spans="1:23" x14ac:dyDescent="0.3">
      <c r="A287" s="13" t="str" cm="1">
        <f t="array" ref="A287:B287">INDEX(BenchmarkResults!$B$1:$D$35,SUMPRODUCT((T287&gt;=BenchmarkResults!$F$2:$F$35)*(mysql_hardware_log!T287&lt;BenchmarkResults!$G$2:$G$35)*ROW(BenchmarkResults!$F$2:$F$35)),{1,3})</f>
        <v>q2_avg_order_city</v>
      </c>
      <c r="B287" s="13">
        <v>3</v>
      </c>
      <c r="C287" s="16">
        <v>0</v>
      </c>
      <c r="D287" s="18">
        <v>1</v>
      </c>
      <c r="E287" s="16">
        <v>458496</v>
      </c>
      <c r="F287" s="13">
        <v>105624</v>
      </c>
      <c r="G287" s="13">
        <v>3516</v>
      </c>
      <c r="H287" s="18">
        <v>3621768</v>
      </c>
      <c r="I287" s="16">
        <v>0</v>
      </c>
      <c r="J287" s="18">
        <v>0</v>
      </c>
      <c r="K287" s="16">
        <v>16483</v>
      </c>
      <c r="L287" s="18">
        <v>3</v>
      </c>
      <c r="M287" s="16">
        <v>1142</v>
      </c>
      <c r="N287" s="18">
        <v>681</v>
      </c>
      <c r="O287" s="16">
        <v>30</v>
      </c>
      <c r="P287" s="13">
        <v>4</v>
      </c>
      <c r="Q287" s="13">
        <v>64</v>
      </c>
      <c r="R287" s="13">
        <v>3</v>
      </c>
      <c r="S287" s="18">
        <v>0</v>
      </c>
      <c r="T287" s="21">
        <v>46247.360520833332</v>
      </c>
      <c r="U287" s="55">
        <f t="shared" si="8"/>
        <v>1.1666666666666667</v>
      </c>
      <c r="V287" s="55">
        <f t="shared" si="8"/>
        <v>0.16666666666666666</v>
      </c>
      <c r="W287" s="56">
        <f t="shared" si="9"/>
        <v>28213.666666666668</v>
      </c>
    </row>
    <row r="288" spans="1:23" x14ac:dyDescent="0.3">
      <c r="A288" s="13" t="str" cm="1">
        <f t="array" ref="A288:B288">INDEX(BenchmarkResults!$B$1:$D$35,SUMPRODUCT((T288&gt;=BenchmarkResults!$F$2:$F$35)*(mysql_hardware_log!T288&lt;BenchmarkResults!$G$2:$G$35)*ROW(BenchmarkResults!$F$2:$F$35)),{1,3})</f>
        <v>q2_avg_order_city</v>
      </c>
      <c r="B288" s="13">
        <v>3</v>
      </c>
      <c r="C288" s="16">
        <v>1</v>
      </c>
      <c r="D288" s="18">
        <v>0</v>
      </c>
      <c r="E288" s="16">
        <v>458496</v>
      </c>
      <c r="F288" s="13">
        <v>118980</v>
      </c>
      <c r="G288" s="13">
        <v>3524</v>
      </c>
      <c r="H288" s="18">
        <v>3608892</v>
      </c>
      <c r="I288" s="16">
        <v>0</v>
      </c>
      <c r="J288" s="18">
        <v>0</v>
      </c>
      <c r="K288" s="16">
        <v>25338</v>
      </c>
      <c r="L288" s="18">
        <v>2</v>
      </c>
      <c r="M288" s="16">
        <v>1222</v>
      </c>
      <c r="N288" s="18">
        <v>696</v>
      </c>
      <c r="O288" s="16">
        <v>29</v>
      </c>
      <c r="P288" s="13">
        <v>4</v>
      </c>
      <c r="Q288" s="13">
        <v>63</v>
      </c>
      <c r="R288" s="13">
        <v>4</v>
      </c>
      <c r="S288" s="18">
        <v>0</v>
      </c>
      <c r="T288" s="21">
        <v>46247.360636574071</v>
      </c>
      <c r="U288" s="55">
        <f t="shared" si="8"/>
        <v>1</v>
      </c>
      <c r="V288" s="55">
        <f t="shared" si="8"/>
        <v>0.16666666666666666</v>
      </c>
      <c r="W288" s="56">
        <f t="shared" si="9"/>
        <v>31814.5</v>
      </c>
    </row>
    <row r="289" spans="1:23" x14ac:dyDescent="0.3">
      <c r="A289" s="13" t="str" cm="1">
        <f t="array" ref="A289:B289">INDEX(BenchmarkResults!$B$1:$D$35,SUMPRODUCT((T289&gt;=BenchmarkResults!$F$2:$F$35)*(mysql_hardware_log!T289&lt;BenchmarkResults!$G$2:$G$35)*ROW(BenchmarkResults!$F$2:$F$35)),{1,3})</f>
        <v>q2_avg_order_city</v>
      </c>
      <c r="B289" s="13">
        <v>3</v>
      </c>
      <c r="C289" s="16">
        <v>1</v>
      </c>
      <c r="D289" s="18">
        <v>0</v>
      </c>
      <c r="E289" s="16">
        <v>458496</v>
      </c>
      <c r="F289" s="13">
        <v>121256</v>
      </c>
      <c r="G289" s="13">
        <v>3532</v>
      </c>
      <c r="H289" s="18">
        <v>3605916</v>
      </c>
      <c r="I289" s="16">
        <v>0</v>
      </c>
      <c r="J289" s="18">
        <v>0</v>
      </c>
      <c r="K289" s="16">
        <v>26920</v>
      </c>
      <c r="L289" s="18">
        <v>2</v>
      </c>
      <c r="M289" s="16">
        <v>1252</v>
      </c>
      <c r="N289" s="18">
        <v>616</v>
      </c>
      <c r="O289" s="16">
        <v>29</v>
      </c>
      <c r="P289" s="13">
        <v>4</v>
      </c>
      <c r="Q289" s="13">
        <v>64</v>
      </c>
      <c r="R289" s="13">
        <v>3</v>
      </c>
      <c r="S289" s="18">
        <v>0</v>
      </c>
      <c r="T289" s="21">
        <v>46247.360752314817</v>
      </c>
      <c r="U289" s="55">
        <f t="shared" si="8"/>
        <v>1</v>
      </c>
      <c r="V289" s="55">
        <f t="shared" si="8"/>
        <v>0.16666666666666666</v>
      </c>
      <c r="W289" s="56">
        <f t="shared" si="9"/>
        <v>29030.166666666668</v>
      </c>
    </row>
    <row r="290" spans="1:23" x14ac:dyDescent="0.3">
      <c r="A290" s="13" t="str" cm="1">
        <f t="array" ref="A290:B290">INDEX(BenchmarkResults!$B$1:$D$35,SUMPRODUCT((T290&gt;=BenchmarkResults!$F$2:$F$35)*(mysql_hardware_log!T290&lt;BenchmarkResults!$G$2:$G$35)*ROW(BenchmarkResults!$F$2:$F$35)),{1,3})</f>
        <v>q2_avg_order_city</v>
      </c>
      <c r="B290" s="13">
        <v>3</v>
      </c>
      <c r="C290" s="16">
        <v>1</v>
      </c>
      <c r="D290" s="18">
        <v>0</v>
      </c>
      <c r="E290" s="16">
        <v>458496</v>
      </c>
      <c r="F290" s="13">
        <v>135160</v>
      </c>
      <c r="G290" s="13">
        <v>3540</v>
      </c>
      <c r="H290" s="18">
        <v>3591180</v>
      </c>
      <c r="I290" s="16">
        <v>6</v>
      </c>
      <c r="J290" s="18">
        <v>0</v>
      </c>
      <c r="K290" s="16">
        <v>4056</v>
      </c>
      <c r="L290" s="18">
        <v>3</v>
      </c>
      <c r="M290" s="16">
        <v>940</v>
      </c>
      <c r="N290" s="18">
        <v>522</v>
      </c>
      <c r="O290" s="16">
        <v>32</v>
      </c>
      <c r="P290" s="13">
        <v>2</v>
      </c>
      <c r="Q290" s="13">
        <v>65</v>
      </c>
      <c r="R290" s="13">
        <v>1</v>
      </c>
      <c r="S290" s="18">
        <v>0</v>
      </c>
      <c r="T290" s="21">
        <v>46247.360868055555</v>
      </c>
      <c r="U290" s="55">
        <f t="shared" si="8"/>
        <v>0.83333333333333337</v>
      </c>
      <c r="V290" s="55">
        <f t="shared" si="8"/>
        <v>0.16666666666666666</v>
      </c>
      <c r="W290" s="56">
        <f t="shared" si="9"/>
        <v>18149.833333333332</v>
      </c>
    </row>
    <row r="291" spans="1:23" x14ac:dyDescent="0.3">
      <c r="A291" s="13" t="str" cm="1">
        <f t="array" ref="A291:B291">INDEX(BenchmarkResults!$B$1:$D$35,SUMPRODUCT((T291&gt;=BenchmarkResults!$F$2:$F$35)*(mysql_hardware_log!T291&lt;BenchmarkResults!$G$2:$G$35)*ROW(BenchmarkResults!$F$2:$F$35)),{1,3})</f>
        <v>q2_avg_order_city</v>
      </c>
      <c r="B291" s="13">
        <v>3</v>
      </c>
      <c r="C291" s="16">
        <v>1</v>
      </c>
      <c r="D291" s="18">
        <v>0</v>
      </c>
      <c r="E291" s="16">
        <v>458496</v>
      </c>
      <c r="F291" s="13">
        <v>134908</v>
      </c>
      <c r="G291" s="13">
        <v>3548</v>
      </c>
      <c r="H291" s="18">
        <v>3591372</v>
      </c>
      <c r="I291" s="16">
        <v>0</v>
      </c>
      <c r="J291" s="18">
        <v>0</v>
      </c>
      <c r="K291" s="16">
        <v>19</v>
      </c>
      <c r="L291" s="18">
        <v>3</v>
      </c>
      <c r="M291" s="16">
        <v>865</v>
      </c>
      <c r="N291" s="18">
        <v>545</v>
      </c>
      <c r="O291" s="16">
        <v>33</v>
      </c>
      <c r="P291" s="13">
        <v>2</v>
      </c>
      <c r="Q291" s="13">
        <v>65</v>
      </c>
      <c r="R291" s="13">
        <v>0</v>
      </c>
      <c r="S291" s="18">
        <v>0</v>
      </c>
      <c r="T291" s="21">
        <v>46247.360983796294</v>
      </c>
      <c r="U291" s="55">
        <f t="shared" si="8"/>
        <v>0.83333333333333337</v>
      </c>
      <c r="V291" s="55">
        <f t="shared" si="8"/>
        <v>0.16666666666666666</v>
      </c>
      <c r="W291" s="56">
        <f t="shared" si="9"/>
        <v>14424.5</v>
      </c>
    </row>
    <row r="292" spans="1:23" x14ac:dyDescent="0.3">
      <c r="A292" s="13" t="str" cm="1">
        <f t="array" ref="A292:B292">INDEX(BenchmarkResults!$B$1:$D$35,SUMPRODUCT((T292&gt;=BenchmarkResults!$F$2:$F$35)*(mysql_hardware_log!T292&lt;BenchmarkResults!$G$2:$G$35)*ROW(BenchmarkResults!$F$2:$F$35)),{1,3})</f>
        <v>q2_avg_order_city</v>
      </c>
      <c r="B292" s="13">
        <v>3</v>
      </c>
      <c r="C292" s="16">
        <v>5</v>
      </c>
      <c r="D292" s="18">
        <v>0</v>
      </c>
      <c r="E292" s="16">
        <v>458496</v>
      </c>
      <c r="F292" s="13">
        <v>134908</v>
      </c>
      <c r="G292" s="13">
        <v>3556</v>
      </c>
      <c r="H292" s="18">
        <v>3591372</v>
      </c>
      <c r="I292" s="16">
        <v>0</v>
      </c>
      <c r="J292" s="18">
        <v>0</v>
      </c>
      <c r="K292" s="16">
        <v>0</v>
      </c>
      <c r="L292" s="18">
        <v>3</v>
      </c>
      <c r="M292" s="16">
        <v>885</v>
      </c>
      <c r="N292" s="18">
        <v>575</v>
      </c>
      <c r="O292" s="16">
        <v>33</v>
      </c>
      <c r="P292" s="13">
        <v>1</v>
      </c>
      <c r="Q292" s="13">
        <v>66</v>
      </c>
      <c r="R292" s="13">
        <v>0</v>
      </c>
      <c r="S292" s="18">
        <v>0</v>
      </c>
      <c r="T292" s="21">
        <v>46247.361111111109</v>
      </c>
      <c r="U292" s="55">
        <f t="shared" si="8"/>
        <v>1.5</v>
      </c>
      <c r="V292" s="55">
        <f t="shared" si="8"/>
        <v>0.16666666666666666</v>
      </c>
      <c r="W292" s="56">
        <f t="shared" si="9"/>
        <v>12136</v>
      </c>
    </row>
    <row r="293" spans="1:23" x14ac:dyDescent="0.3">
      <c r="A293" s="13" t="str" cm="1">
        <f t="array" ref="A293:B293">INDEX(BenchmarkResults!$B$1:$D$35,SUMPRODUCT((T293&gt;=BenchmarkResults!$F$2:$F$35)*(mysql_hardware_log!T293&lt;BenchmarkResults!$G$2:$G$35)*ROW(BenchmarkResults!$F$2:$F$35)),{1,3})</f>
        <v>q2_avg_order_city</v>
      </c>
      <c r="B293" s="13">
        <v>3</v>
      </c>
      <c r="C293" s="16">
        <v>1</v>
      </c>
      <c r="D293" s="18">
        <v>0</v>
      </c>
      <c r="E293" s="16">
        <v>458496</v>
      </c>
      <c r="F293" s="13">
        <v>134152</v>
      </c>
      <c r="G293" s="13">
        <v>3564</v>
      </c>
      <c r="H293" s="18">
        <v>3591372</v>
      </c>
      <c r="I293" s="16">
        <v>0</v>
      </c>
      <c r="J293" s="18">
        <v>0</v>
      </c>
      <c r="K293" s="16">
        <v>0</v>
      </c>
      <c r="L293" s="18">
        <v>21</v>
      </c>
      <c r="M293" s="16">
        <v>913</v>
      </c>
      <c r="N293" s="18">
        <v>639</v>
      </c>
      <c r="O293" s="16">
        <v>32</v>
      </c>
      <c r="P293" s="13">
        <v>2</v>
      </c>
      <c r="Q293" s="13">
        <v>66</v>
      </c>
      <c r="R293" s="13">
        <v>0</v>
      </c>
      <c r="S293" s="18">
        <v>0</v>
      </c>
      <c r="T293" s="21">
        <v>46247.361226851855</v>
      </c>
      <c r="U293" s="55">
        <f t="shared" si="8"/>
        <v>1.6666666666666667</v>
      </c>
      <c r="V293" s="55">
        <f t="shared" si="8"/>
        <v>0</v>
      </c>
      <c r="W293" s="56">
        <f t="shared" si="9"/>
        <v>9388.8333333333339</v>
      </c>
    </row>
    <row r="294" spans="1:23" x14ac:dyDescent="0.3">
      <c r="A294" s="13" t="str" cm="1">
        <f t="array" ref="A294:B294">INDEX(BenchmarkResults!$B$1:$D$35,SUMPRODUCT((T294&gt;=BenchmarkResults!$F$2:$F$35)*(mysql_hardware_log!T294&lt;BenchmarkResults!$G$2:$G$35)*ROW(BenchmarkResults!$F$2:$F$35)),{1,3})</f>
        <v>q2_avg_order_city</v>
      </c>
      <c r="B294" s="13">
        <v>3</v>
      </c>
      <c r="C294" s="16">
        <v>1</v>
      </c>
      <c r="D294" s="18">
        <v>0</v>
      </c>
      <c r="E294" s="16">
        <v>458496</v>
      </c>
      <c r="F294" s="13">
        <v>118576</v>
      </c>
      <c r="G294" s="13">
        <v>3572</v>
      </c>
      <c r="H294" s="18">
        <v>3609828</v>
      </c>
      <c r="I294" s="16">
        <v>0</v>
      </c>
      <c r="J294" s="18">
        <v>0</v>
      </c>
      <c r="K294" s="16">
        <v>7388</v>
      </c>
      <c r="L294" s="18">
        <v>2</v>
      </c>
      <c r="M294" s="16">
        <v>1040</v>
      </c>
      <c r="N294" s="18">
        <v>652</v>
      </c>
      <c r="O294" s="16">
        <v>31</v>
      </c>
      <c r="P294" s="13">
        <v>3</v>
      </c>
      <c r="Q294" s="13">
        <v>64</v>
      </c>
      <c r="R294" s="13">
        <v>2</v>
      </c>
      <c r="S294" s="18">
        <v>0</v>
      </c>
      <c r="T294" s="21">
        <v>46247.361342592594</v>
      </c>
      <c r="U294" s="55">
        <f t="shared" si="8"/>
        <v>1.6666666666666667</v>
      </c>
      <c r="V294" s="55">
        <f t="shared" si="8"/>
        <v>0</v>
      </c>
      <c r="W294" s="56">
        <f t="shared" si="9"/>
        <v>6397.166666666667</v>
      </c>
    </row>
    <row r="295" spans="1:23" x14ac:dyDescent="0.3">
      <c r="A295" s="13" t="str" cm="1">
        <f t="array" ref="A295:B295">INDEX(BenchmarkResults!$B$1:$D$35,SUMPRODUCT((T295&gt;=BenchmarkResults!$F$2:$F$35)*(mysql_hardware_log!T295&lt;BenchmarkResults!$G$2:$G$35)*ROW(BenchmarkResults!$F$2:$F$35)),{1,3})</f>
        <v>q2_avg_order_city</v>
      </c>
      <c r="B295" s="13">
        <v>3</v>
      </c>
      <c r="C295" s="16">
        <v>1</v>
      </c>
      <c r="D295" s="18">
        <v>0</v>
      </c>
      <c r="E295" s="16">
        <v>458496</v>
      </c>
      <c r="F295" s="13">
        <v>128120</v>
      </c>
      <c r="G295" s="13">
        <v>3580</v>
      </c>
      <c r="H295" s="18">
        <v>3601936</v>
      </c>
      <c r="I295" s="16">
        <v>0</v>
      </c>
      <c r="J295" s="18">
        <v>0</v>
      </c>
      <c r="K295" s="16">
        <v>10258</v>
      </c>
      <c r="L295" s="18">
        <v>2</v>
      </c>
      <c r="M295" s="16">
        <v>1075</v>
      </c>
      <c r="N295" s="18">
        <v>665</v>
      </c>
      <c r="O295" s="16">
        <v>31</v>
      </c>
      <c r="P295" s="13">
        <v>3</v>
      </c>
      <c r="Q295" s="13">
        <v>64</v>
      </c>
      <c r="R295" s="13">
        <v>2</v>
      </c>
      <c r="S295" s="18">
        <v>0</v>
      </c>
      <c r="T295" s="21">
        <v>46247.361458333333</v>
      </c>
      <c r="U295" s="55">
        <f t="shared" si="8"/>
        <v>1.6666666666666667</v>
      </c>
      <c r="V295" s="55">
        <f t="shared" si="8"/>
        <v>0</v>
      </c>
      <c r="W295" s="56">
        <f t="shared" si="9"/>
        <v>3620.1666666666665</v>
      </c>
    </row>
    <row r="296" spans="1:23" x14ac:dyDescent="0.3">
      <c r="A296" s="13" t="str" cm="1">
        <f t="array" ref="A296:B296">INDEX(BenchmarkResults!$B$1:$D$35,SUMPRODUCT((T296&gt;=BenchmarkResults!$F$2:$F$35)*(mysql_hardware_log!T296&lt;BenchmarkResults!$G$2:$G$35)*ROW(BenchmarkResults!$F$2:$F$35)),{1,3})</f>
        <v>q2_avg_order_city</v>
      </c>
      <c r="B296" s="13">
        <v>3</v>
      </c>
      <c r="C296" s="16">
        <v>1</v>
      </c>
      <c r="D296" s="18">
        <v>0</v>
      </c>
      <c r="E296" s="16">
        <v>458496</v>
      </c>
      <c r="F296" s="13">
        <v>139872</v>
      </c>
      <c r="G296" s="13">
        <v>3592</v>
      </c>
      <c r="H296" s="18">
        <v>3590300</v>
      </c>
      <c r="I296" s="16">
        <v>0</v>
      </c>
      <c r="J296" s="18">
        <v>0</v>
      </c>
      <c r="K296" s="16">
        <v>9897</v>
      </c>
      <c r="L296" s="18">
        <v>3</v>
      </c>
      <c r="M296" s="16">
        <v>1092</v>
      </c>
      <c r="N296" s="18">
        <v>645</v>
      </c>
      <c r="O296" s="16">
        <v>31</v>
      </c>
      <c r="P296" s="13">
        <v>3</v>
      </c>
      <c r="Q296" s="13">
        <v>64</v>
      </c>
      <c r="R296" s="13">
        <v>2</v>
      </c>
      <c r="S296" s="18">
        <v>0</v>
      </c>
      <c r="T296" s="21">
        <v>46247.361574074072</v>
      </c>
      <c r="U296" s="55">
        <f t="shared" si="8"/>
        <v>1.6666666666666667</v>
      </c>
      <c r="V296" s="55">
        <f t="shared" si="8"/>
        <v>0</v>
      </c>
      <c r="W296" s="56">
        <f t="shared" si="9"/>
        <v>4593.666666666667</v>
      </c>
    </row>
    <row r="297" spans="1:23" x14ac:dyDescent="0.3">
      <c r="A297" s="13" t="str" cm="1">
        <f t="array" ref="A297:B297">INDEX(BenchmarkResults!$B$1:$D$35,SUMPRODUCT((T297&gt;=BenchmarkResults!$F$2:$F$35)*(mysql_hardware_log!T297&lt;BenchmarkResults!$G$2:$G$35)*ROW(BenchmarkResults!$F$2:$F$35)),{1,3})</f>
        <v>q2_avg_order_city</v>
      </c>
      <c r="B297" s="13">
        <v>3</v>
      </c>
      <c r="C297" s="16">
        <v>1</v>
      </c>
      <c r="D297" s="18">
        <v>0</v>
      </c>
      <c r="E297" s="16">
        <v>458496</v>
      </c>
      <c r="F297" s="13">
        <v>136492</v>
      </c>
      <c r="G297" s="13">
        <v>3608</v>
      </c>
      <c r="H297" s="18">
        <v>3594460</v>
      </c>
      <c r="I297" s="16">
        <v>0</v>
      </c>
      <c r="J297" s="18">
        <v>0</v>
      </c>
      <c r="K297" s="16">
        <v>5950</v>
      </c>
      <c r="L297" s="18">
        <v>20</v>
      </c>
      <c r="M297" s="16">
        <v>1053</v>
      </c>
      <c r="N297" s="18">
        <v>694</v>
      </c>
      <c r="O297" s="16">
        <v>32</v>
      </c>
      <c r="P297" s="13">
        <v>2</v>
      </c>
      <c r="Q297" s="13">
        <v>64</v>
      </c>
      <c r="R297" s="13">
        <v>2</v>
      </c>
      <c r="S297" s="18">
        <v>0</v>
      </c>
      <c r="T297" s="21">
        <v>46247.361689814818</v>
      </c>
      <c r="U297" s="55">
        <f t="shared" si="8"/>
        <v>1.6666666666666667</v>
      </c>
      <c r="V297" s="55">
        <f t="shared" si="8"/>
        <v>0</v>
      </c>
      <c r="W297" s="56">
        <f t="shared" si="9"/>
        <v>5582.166666666667</v>
      </c>
    </row>
    <row r="298" spans="1:23" x14ac:dyDescent="0.3">
      <c r="A298" s="13" t="str" cm="1">
        <f t="array" ref="A298:B298">INDEX(BenchmarkResults!$B$1:$D$35,SUMPRODUCT((T298&gt;=BenchmarkResults!$F$2:$F$35)*(mysql_hardware_log!T298&lt;BenchmarkResults!$G$2:$G$35)*ROW(BenchmarkResults!$F$2:$F$35)),{1,3})</f>
        <v>q2_avg_order_city</v>
      </c>
      <c r="B298" s="13">
        <v>3</v>
      </c>
      <c r="C298" s="16">
        <v>1</v>
      </c>
      <c r="D298" s="18">
        <v>0</v>
      </c>
      <c r="E298" s="16">
        <v>458496</v>
      </c>
      <c r="F298" s="13">
        <v>111284</v>
      </c>
      <c r="G298" s="13">
        <v>3616</v>
      </c>
      <c r="H298" s="18">
        <v>3617908</v>
      </c>
      <c r="I298" s="16">
        <v>0</v>
      </c>
      <c r="J298" s="18">
        <v>0</v>
      </c>
      <c r="K298" s="16">
        <v>7877</v>
      </c>
      <c r="L298" s="18">
        <v>2</v>
      </c>
      <c r="M298" s="16">
        <v>1084</v>
      </c>
      <c r="N298" s="18">
        <v>684</v>
      </c>
      <c r="O298" s="16">
        <v>31</v>
      </c>
      <c r="P298" s="13">
        <v>3</v>
      </c>
      <c r="Q298" s="13">
        <v>64</v>
      </c>
      <c r="R298" s="13">
        <v>2</v>
      </c>
      <c r="S298" s="18">
        <v>0</v>
      </c>
      <c r="T298" s="21">
        <v>46247.361805555556</v>
      </c>
      <c r="U298" s="55">
        <f t="shared" si="8"/>
        <v>1</v>
      </c>
      <c r="V298" s="55">
        <f t="shared" si="8"/>
        <v>0</v>
      </c>
      <c r="W298" s="56">
        <f t="shared" si="9"/>
        <v>6895</v>
      </c>
    </row>
    <row r="299" spans="1:23" x14ac:dyDescent="0.3">
      <c r="A299" s="13" t="str" cm="1">
        <f t="array" ref="A299:B299">INDEX(BenchmarkResults!$B$1:$D$35,SUMPRODUCT((T299&gt;=BenchmarkResults!$F$2:$F$35)*(mysql_hardware_log!T299&lt;BenchmarkResults!$G$2:$G$35)*ROW(BenchmarkResults!$F$2:$F$35)),{1,3})</f>
        <v>q2_avg_order_city</v>
      </c>
      <c r="B299" s="13">
        <v>3</v>
      </c>
      <c r="C299" s="16">
        <v>1</v>
      </c>
      <c r="D299" s="18">
        <v>0</v>
      </c>
      <c r="E299" s="16">
        <v>458496</v>
      </c>
      <c r="F299" s="13">
        <v>104340</v>
      </c>
      <c r="G299" s="13">
        <v>3624</v>
      </c>
      <c r="H299" s="18">
        <v>3626332</v>
      </c>
      <c r="I299" s="16">
        <v>0</v>
      </c>
      <c r="J299" s="18">
        <v>0</v>
      </c>
      <c r="K299" s="16">
        <v>6364</v>
      </c>
      <c r="L299" s="18">
        <v>2</v>
      </c>
      <c r="M299" s="16">
        <v>1012</v>
      </c>
      <c r="N299" s="18">
        <v>638</v>
      </c>
      <c r="O299" s="16">
        <v>31</v>
      </c>
      <c r="P299" s="13">
        <v>2</v>
      </c>
      <c r="Q299" s="13">
        <v>64</v>
      </c>
      <c r="R299" s="13">
        <v>2</v>
      </c>
      <c r="S299" s="18">
        <v>0</v>
      </c>
      <c r="T299" s="21">
        <v>46247.361921296295</v>
      </c>
      <c r="U299" s="55">
        <f t="shared" si="8"/>
        <v>1</v>
      </c>
      <c r="V299" s="55">
        <f t="shared" si="8"/>
        <v>0</v>
      </c>
      <c r="W299" s="56">
        <f t="shared" si="9"/>
        <v>7955.666666666667</v>
      </c>
    </row>
    <row r="300" spans="1:23" x14ac:dyDescent="0.3">
      <c r="A300" s="13" t="str" cm="1">
        <f t="array" ref="A300:B300">INDEX(BenchmarkResults!$B$1:$D$35,SUMPRODUCT((T300&gt;=BenchmarkResults!$F$2:$F$35)*(mysql_hardware_log!T300&lt;BenchmarkResults!$G$2:$G$35)*ROW(BenchmarkResults!$F$2:$F$35)),{1,3})</f>
        <v>q2_avg_order_city</v>
      </c>
      <c r="B300" s="13">
        <v>3</v>
      </c>
      <c r="C300" s="16">
        <v>1</v>
      </c>
      <c r="D300" s="18">
        <v>0</v>
      </c>
      <c r="E300" s="16">
        <v>458496</v>
      </c>
      <c r="F300" s="13">
        <v>153824</v>
      </c>
      <c r="G300" s="13">
        <v>3632</v>
      </c>
      <c r="H300" s="18">
        <v>3575972</v>
      </c>
      <c r="I300" s="16">
        <v>0</v>
      </c>
      <c r="J300" s="18">
        <v>0</v>
      </c>
      <c r="K300" s="16">
        <v>6030</v>
      </c>
      <c r="L300" s="18">
        <v>2</v>
      </c>
      <c r="M300" s="16">
        <v>1042</v>
      </c>
      <c r="N300" s="18">
        <v>704</v>
      </c>
      <c r="O300" s="16">
        <v>32</v>
      </c>
      <c r="P300" s="13">
        <v>2</v>
      </c>
      <c r="Q300" s="13">
        <v>65</v>
      </c>
      <c r="R300" s="13">
        <v>2</v>
      </c>
      <c r="S300" s="18">
        <v>0</v>
      </c>
      <c r="T300" s="21">
        <v>46247.362037037034</v>
      </c>
      <c r="U300" s="55">
        <f t="shared" si="8"/>
        <v>1</v>
      </c>
      <c r="V300" s="55">
        <f t="shared" si="8"/>
        <v>0</v>
      </c>
      <c r="W300" s="56">
        <f t="shared" si="9"/>
        <v>7729.333333333333</v>
      </c>
    </row>
    <row r="301" spans="1:23" x14ac:dyDescent="0.3">
      <c r="A301" s="13" t="str" cm="1">
        <f t="array" ref="A301:B301">INDEX(BenchmarkResults!$B$1:$D$35,SUMPRODUCT((T301&gt;=BenchmarkResults!$F$2:$F$35)*(mysql_hardware_log!T301&lt;BenchmarkResults!$G$2:$G$35)*ROW(BenchmarkResults!$F$2:$F$35)),{1,3})</f>
        <v>q2_avg_order_city</v>
      </c>
      <c r="B301" s="13">
        <v>3</v>
      </c>
      <c r="C301" s="16">
        <v>1</v>
      </c>
      <c r="D301" s="18">
        <v>0</v>
      </c>
      <c r="E301" s="16">
        <v>458496</v>
      </c>
      <c r="F301" s="13">
        <v>152936</v>
      </c>
      <c r="G301" s="13">
        <v>3640</v>
      </c>
      <c r="H301" s="18">
        <v>3577360</v>
      </c>
      <c r="I301" s="16">
        <v>0</v>
      </c>
      <c r="J301" s="18">
        <v>0</v>
      </c>
      <c r="K301" s="16">
        <v>5661</v>
      </c>
      <c r="L301" s="18">
        <v>2</v>
      </c>
      <c r="M301" s="16">
        <v>1048</v>
      </c>
      <c r="N301" s="18">
        <v>727</v>
      </c>
      <c r="O301" s="16">
        <v>32</v>
      </c>
      <c r="P301" s="13">
        <v>2</v>
      </c>
      <c r="Q301" s="13">
        <v>64</v>
      </c>
      <c r="R301" s="13">
        <v>1</v>
      </c>
      <c r="S301" s="18">
        <v>0</v>
      </c>
      <c r="T301" s="21">
        <v>46247.36215277778</v>
      </c>
      <c r="U301" s="55">
        <f t="shared" si="8"/>
        <v>1</v>
      </c>
      <c r="V301" s="55">
        <f t="shared" si="8"/>
        <v>0</v>
      </c>
      <c r="W301" s="56">
        <f t="shared" si="9"/>
        <v>6963.166666666667</v>
      </c>
    </row>
    <row r="302" spans="1:23" x14ac:dyDescent="0.3">
      <c r="A302" s="13" t="str" cm="1">
        <f t="array" ref="A302:B302">INDEX(BenchmarkResults!$B$1:$D$35,SUMPRODUCT((T302&gt;=BenchmarkResults!$F$2:$F$35)*(mysql_hardware_log!T302&lt;BenchmarkResults!$G$2:$G$35)*ROW(BenchmarkResults!$F$2:$F$35)),{1,3})</f>
        <v>q2_avg_order_city</v>
      </c>
      <c r="B302" s="13">
        <v>3</v>
      </c>
      <c r="C302" s="16">
        <v>1</v>
      </c>
      <c r="D302" s="18">
        <v>0</v>
      </c>
      <c r="E302" s="16">
        <v>458496</v>
      </c>
      <c r="F302" s="13">
        <v>161196</v>
      </c>
      <c r="G302" s="13">
        <v>3656</v>
      </c>
      <c r="H302" s="18">
        <v>3568952</v>
      </c>
      <c r="I302" s="16">
        <v>0</v>
      </c>
      <c r="J302" s="18">
        <v>0</v>
      </c>
      <c r="K302" s="16">
        <v>4694</v>
      </c>
      <c r="L302" s="18">
        <v>6</v>
      </c>
      <c r="M302" s="16">
        <v>1010</v>
      </c>
      <c r="N302" s="18">
        <v>678</v>
      </c>
      <c r="O302" s="16">
        <v>32</v>
      </c>
      <c r="P302" s="13">
        <v>2</v>
      </c>
      <c r="Q302" s="13">
        <v>64</v>
      </c>
      <c r="R302" s="13">
        <v>1</v>
      </c>
      <c r="S302" s="18">
        <v>0</v>
      </c>
      <c r="T302" s="21">
        <v>46247.362268518518</v>
      </c>
      <c r="U302" s="55">
        <f t="shared" si="8"/>
        <v>1</v>
      </c>
      <c r="V302" s="55">
        <f t="shared" si="8"/>
        <v>0</v>
      </c>
      <c r="W302" s="56">
        <f t="shared" si="9"/>
        <v>6096</v>
      </c>
    </row>
    <row r="303" spans="1:23" x14ac:dyDescent="0.3">
      <c r="A303" s="13" t="str" cm="1">
        <f t="array" ref="A303:B303">INDEX(BenchmarkResults!$B$1:$D$35,SUMPRODUCT((T303&gt;=BenchmarkResults!$F$2:$F$35)*(mysql_hardware_log!T303&lt;BenchmarkResults!$G$2:$G$35)*ROW(BenchmarkResults!$F$2:$F$35)),{1,3})</f>
        <v>q2_avg_order_city</v>
      </c>
      <c r="B303" s="13">
        <v>3</v>
      </c>
      <c r="C303" s="16">
        <v>1</v>
      </c>
      <c r="D303" s="18">
        <v>0</v>
      </c>
      <c r="E303" s="16">
        <v>458496</v>
      </c>
      <c r="F303" s="13">
        <v>143348</v>
      </c>
      <c r="G303" s="13">
        <v>3664</v>
      </c>
      <c r="H303" s="18">
        <v>3584636</v>
      </c>
      <c r="I303" s="16">
        <v>0</v>
      </c>
      <c r="J303" s="18">
        <v>0</v>
      </c>
      <c r="K303" s="16">
        <v>7095</v>
      </c>
      <c r="L303" s="18">
        <v>3</v>
      </c>
      <c r="M303" s="16">
        <v>1005</v>
      </c>
      <c r="N303" s="18">
        <v>665</v>
      </c>
      <c r="O303" s="16">
        <v>31</v>
      </c>
      <c r="P303" s="13">
        <v>2</v>
      </c>
      <c r="Q303" s="13">
        <v>65</v>
      </c>
      <c r="R303" s="13">
        <v>1</v>
      </c>
      <c r="S303" s="18">
        <v>0</v>
      </c>
      <c r="T303" s="21">
        <v>46247.362384259257</v>
      </c>
      <c r="U303" s="55">
        <f t="shared" si="8"/>
        <v>1</v>
      </c>
      <c r="V303" s="55">
        <f t="shared" si="8"/>
        <v>0</v>
      </c>
      <c r="W303" s="56">
        <f t="shared" si="9"/>
        <v>6286.833333333333</v>
      </c>
    </row>
    <row r="304" spans="1:23" x14ac:dyDescent="0.3">
      <c r="A304" s="13" t="str" cm="1">
        <f t="array" ref="A304:B304">INDEX(BenchmarkResults!$B$1:$D$35,SUMPRODUCT((T304&gt;=BenchmarkResults!$F$2:$F$35)*(mysql_hardware_log!T304&lt;BenchmarkResults!$G$2:$G$35)*ROW(BenchmarkResults!$F$2:$F$35)),{1,3})</f>
        <v>q2_avg_order_city</v>
      </c>
      <c r="B304" s="13">
        <v>3</v>
      </c>
      <c r="C304" s="16">
        <v>1</v>
      </c>
      <c r="D304" s="18">
        <v>0</v>
      </c>
      <c r="E304" s="16">
        <v>458496</v>
      </c>
      <c r="F304" s="13">
        <v>145752</v>
      </c>
      <c r="G304" s="13">
        <v>3672</v>
      </c>
      <c r="H304" s="18">
        <v>3584876</v>
      </c>
      <c r="I304" s="16">
        <v>0</v>
      </c>
      <c r="J304" s="18">
        <v>0</v>
      </c>
      <c r="K304" s="16">
        <v>11081</v>
      </c>
      <c r="L304" s="18">
        <v>2</v>
      </c>
      <c r="M304" s="16">
        <v>1076</v>
      </c>
      <c r="N304" s="18">
        <v>702</v>
      </c>
      <c r="O304" s="16">
        <v>31</v>
      </c>
      <c r="P304" s="13">
        <v>3</v>
      </c>
      <c r="Q304" s="13">
        <v>64</v>
      </c>
      <c r="R304" s="13">
        <v>1</v>
      </c>
      <c r="S304" s="18">
        <v>0</v>
      </c>
      <c r="T304" s="21">
        <v>46247.362500000003</v>
      </c>
      <c r="U304" s="55">
        <f t="shared" si="8"/>
        <v>1</v>
      </c>
      <c r="V304" s="55">
        <f t="shared" si="8"/>
        <v>0</v>
      </c>
      <c r="W304" s="56">
        <f t="shared" si="9"/>
        <v>6820.833333333333</v>
      </c>
    </row>
    <row r="305" spans="1:23" x14ac:dyDescent="0.3">
      <c r="A305" s="13" t="str" cm="1">
        <f t="array" ref="A305:B305">INDEX(BenchmarkResults!$B$1:$D$35,SUMPRODUCT((T305&gt;=BenchmarkResults!$F$2:$F$35)*(mysql_hardware_log!T305&lt;BenchmarkResults!$G$2:$G$35)*ROW(BenchmarkResults!$F$2:$F$35)),{1,3})</f>
        <v>q2_avg_order_city</v>
      </c>
      <c r="B305" s="13">
        <v>3</v>
      </c>
      <c r="C305" s="16">
        <v>1</v>
      </c>
      <c r="D305" s="18">
        <v>0</v>
      </c>
      <c r="E305" s="16">
        <v>458496</v>
      </c>
      <c r="F305" s="13">
        <v>133152</v>
      </c>
      <c r="G305" s="13">
        <v>3680</v>
      </c>
      <c r="H305" s="18">
        <v>3595416</v>
      </c>
      <c r="I305" s="16">
        <v>0</v>
      </c>
      <c r="J305" s="18">
        <v>0</v>
      </c>
      <c r="K305" s="16">
        <v>12121</v>
      </c>
      <c r="L305" s="18">
        <v>16</v>
      </c>
      <c r="M305" s="16">
        <v>1094</v>
      </c>
      <c r="N305" s="18">
        <v>736</v>
      </c>
      <c r="O305" s="16">
        <v>31</v>
      </c>
      <c r="P305" s="13">
        <v>3</v>
      </c>
      <c r="Q305" s="13">
        <v>64</v>
      </c>
      <c r="R305" s="13">
        <v>3</v>
      </c>
      <c r="S305" s="18">
        <v>0</v>
      </c>
      <c r="T305" s="21">
        <v>46247.362615740742</v>
      </c>
      <c r="U305" s="55">
        <f t="shared" si="8"/>
        <v>1</v>
      </c>
      <c r="V305" s="55">
        <f t="shared" si="8"/>
        <v>0</v>
      </c>
      <c r="W305" s="56">
        <f t="shared" si="9"/>
        <v>7780.333333333333</v>
      </c>
    </row>
    <row r="306" spans="1:23" x14ac:dyDescent="0.3">
      <c r="A306" s="13" t="str" cm="1">
        <f t="array" ref="A306:B306">INDEX(BenchmarkResults!$B$1:$D$35,SUMPRODUCT((T306&gt;=BenchmarkResults!$F$2:$F$35)*(mysql_hardware_log!T306&lt;BenchmarkResults!$G$2:$G$35)*ROW(BenchmarkResults!$F$2:$F$35)),{1,3})</f>
        <v>q2_avg_order_city</v>
      </c>
      <c r="B306" s="13">
        <v>3</v>
      </c>
      <c r="C306" s="16">
        <v>1</v>
      </c>
      <c r="D306" s="18">
        <v>0</v>
      </c>
      <c r="E306" s="16">
        <v>458496</v>
      </c>
      <c r="F306" s="13">
        <v>130676</v>
      </c>
      <c r="G306" s="13">
        <v>3688</v>
      </c>
      <c r="H306" s="18">
        <v>3597808</v>
      </c>
      <c r="I306" s="16">
        <v>0</v>
      </c>
      <c r="J306" s="18">
        <v>0</v>
      </c>
      <c r="K306" s="16">
        <v>11293</v>
      </c>
      <c r="L306" s="18">
        <v>2</v>
      </c>
      <c r="M306" s="16">
        <v>1079</v>
      </c>
      <c r="N306" s="18">
        <v>699</v>
      </c>
      <c r="O306" s="16">
        <v>31</v>
      </c>
      <c r="P306" s="13">
        <v>3</v>
      </c>
      <c r="Q306" s="13">
        <v>64</v>
      </c>
      <c r="R306" s="13">
        <v>2</v>
      </c>
      <c r="S306" s="18">
        <v>0</v>
      </c>
      <c r="T306" s="21">
        <v>46247.36273148148</v>
      </c>
      <c r="U306" s="55">
        <f t="shared" si="8"/>
        <v>1</v>
      </c>
      <c r="V306" s="55">
        <f t="shared" si="8"/>
        <v>0</v>
      </c>
      <c r="W306" s="56">
        <f t="shared" si="9"/>
        <v>8657.5</v>
      </c>
    </row>
    <row r="307" spans="1:23" x14ac:dyDescent="0.3">
      <c r="A307" s="13" t="str" cm="1">
        <f t="array" ref="A307:B307">INDEX(BenchmarkResults!$B$1:$D$35,SUMPRODUCT((T307&gt;=BenchmarkResults!$F$2:$F$35)*(mysql_hardware_log!T307&lt;BenchmarkResults!$G$2:$G$35)*ROW(BenchmarkResults!$F$2:$F$35)),{1,3})</f>
        <v>q2_avg_order_city</v>
      </c>
      <c r="B307" s="13">
        <v>3</v>
      </c>
      <c r="C307" s="16">
        <v>2</v>
      </c>
      <c r="D307" s="18">
        <v>0</v>
      </c>
      <c r="E307" s="16">
        <v>458496</v>
      </c>
      <c r="F307" s="13">
        <v>149576</v>
      </c>
      <c r="G307" s="13">
        <v>3696</v>
      </c>
      <c r="H307" s="18">
        <v>3579116</v>
      </c>
      <c r="I307" s="16">
        <v>0</v>
      </c>
      <c r="J307" s="18">
        <v>0</v>
      </c>
      <c r="K307" s="16">
        <v>8233</v>
      </c>
      <c r="L307" s="18">
        <v>2</v>
      </c>
      <c r="M307" s="16">
        <v>1021</v>
      </c>
      <c r="N307" s="18">
        <v>655</v>
      </c>
      <c r="O307" s="16">
        <v>31</v>
      </c>
      <c r="P307" s="13">
        <v>2</v>
      </c>
      <c r="Q307" s="13">
        <v>65</v>
      </c>
      <c r="R307" s="13">
        <v>1</v>
      </c>
      <c r="S307" s="18">
        <v>0</v>
      </c>
      <c r="T307" s="21">
        <v>46247.362847222219</v>
      </c>
      <c r="U307" s="55">
        <f t="shared" si="8"/>
        <v>1.1666666666666667</v>
      </c>
      <c r="V307" s="55">
        <f t="shared" si="8"/>
        <v>0</v>
      </c>
      <c r="W307" s="56">
        <f t="shared" si="9"/>
        <v>9086.1666666666661</v>
      </c>
    </row>
    <row r="308" spans="1:23" x14ac:dyDescent="0.3">
      <c r="A308" s="13" t="str" cm="1">
        <f t="array" ref="A308:B308">INDEX(BenchmarkResults!$B$1:$D$35,SUMPRODUCT((T308&gt;=BenchmarkResults!$F$2:$F$35)*(mysql_hardware_log!T308&lt;BenchmarkResults!$G$2:$G$35)*ROW(BenchmarkResults!$F$2:$F$35)),{1,3})</f>
        <v>q2_avg_order_city</v>
      </c>
      <c r="B308" s="13">
        <v>3</v>
      </c>
      <c r="C308" s="16">
        <v>1</v>
      </c>
      <c r="D308" s="18">
        <v>0</v>
      </c>
      <c r="E308" s="16">
        <v>458496</v>
      </c>
      <c r="F308" s="13">
        <v>151576</v>
      </c>
      <c r="G308" s="13">
        <v>3704</v>
      </c>
      <c r="H308" s="18">
        <v>3577084</v>
      </c>
      <c r="I308" s="16">
        <v>0</v>
      </c>
      <c r="J308" s="18">
        <v>0</v>
      </c>
      <c r="K308" s="16">
        <v>11818</v>
      </c>
      <c r="L308" s="18">
        <v>2</v>
      </c>
      <c r="M308" s="16">
        <v>1106</v>
      </c>
      <c r="N308" s="18">
        <v>709</v>
      </c>
      <c r="O308" s="16">
        <v>31</v>
      </c>
      <c r="P308" s="13">
        <v>3</v>
      </c>
      <c r="Q308" s="13">
        <v>64</v>
      </c>
      <c r="R308" s="13">
        <v>2</v>
      </c>
      <c r="S308" s="18">
        <v>0</v>
      </c>
      <c r="T308" s="21">
        <v>46247.362962962965</v>
      </c>
      <c r="U308" s="55">
        <f t="shared" si="8"/>
        <v>1.1666666666666667</v>
      </c>
      <c r="V308" s="55">
        <f t="shared" si="8"/>
        <v>0</v>
      </c>
      <c r="W308" s="56">
        <f t="shared" si="9"/>
        <v>10273.5</v>
      </c>
    </row>
    <row r="309" spans="1:23" x14ac:dyDescent="0.3">
      <c r="A309" s="13" t="str" cm="1">
        <f t="array" ref="A309:B309">INDEX(BenchmarkResults!$B$1:$D$35,SUMPRODUCT((T309&gt;=BenchmarkResults!$F$2:$F$35)*(mysql_hardware_log!T309&lt;BenchmarkResults!$G$2:$G$35)*ROW(BenchmarkResults!$F$2:$F$35)),{1,3})</f>
        <v>q2_avg_order_city</v>
      </c>
      <c r="B309" s="13">
        <v>3</v>
      </c>
      <c r="C309" s="16">
        <v>1</v>
      </c>
      <c r="D309" s="18">
        <v>0</v>
      </c>
      <c r="E309" s="16">
        <v>458496</v>
      </c>
      <c r="F309" s="13">
        <v>150612</v>
      </c>
      <c r="G309" s="13">
        <v>3712</v>
      </c>
      <c r="H309" s="18">
        <v>3580216</v>
      </c>
      <c r="I309" s="16">
        <v>0</v>
      </c>
      <c r="J309" s="18">
        <v>0</v>
      </c>
      <c r="K309" s="16">
        <v>11374</v>
      </c>
      <c r="L309" s="18">
        <v>2</v>
      </c>
      <c r="M309" s="16">
        <v>1077</v>
      </c>
      <c r="N309" s="18">
        <v>654</v>
      </c>
      <c r="O309" s="16">
        <v>31</v>
      </c>
      <c r="P309" s="13">
        <v>3</v>
      </c>
      <c r="Q309" s="13">
        <v>64</v>
      </c>
      <c r="R309" s="13">
        <v>2</v>
      </c>
      <c r="S309" s="18">
        <v>0</v>
      </c>
      <c r="T309" s="21">
        <v>46247.363078703704</v>
      </c>
      <c r="U309" s="55">
        <f t="shared" si="8"/>
        <v>1.1666666666666667</v>
      </c>
      <c r="V309" s="55">
        <f t="shared" si="8"/>
        <v>0</v>
      </c>
      <c r="W309" s="56">
        <f t="shared" si="9"/>
        <v>10986.666666666666</v>
      </c>
    </row>
    <row r="310" spans="1:23" x14ac:dyDescent="0.3">
      <c r="A310" s="13" t="str" cm="1">
        <f t="array" ref="A310:B310">INDEX(BenchmarkResults!$B$1:$D$35,SUMPRODUCT((T310&gt;=BenchmarkResults!$F$2:$F$35)*(mysql_hardware_log!T310&lt;BenchmarkResults!$G$2:$G$35)*ROW(BenchmarkResults!$F$2:$F$35)),{1,3})</f>
        <v>q2_avg_order_city</v>
      </c>
      <c r="B310" s="13">
        <v>3</v>
      </c>
      <c r="C310" s="16">
        <v>0</v>
      </c>
      <c r="D310" s="18">
        <v>1</v>
      </c>
      <c r="E310" s="16">
        <v>458496</v>
      </c>
      <c r="F310" s="13">
        <v>152160</v>
      </c>
      <c r="G310" s="13">
        <v>3720</v>
      </c>
      <c r="H310" s="18">
        <v>3577384</v>
      </c>
      <c r="I310" s="16">
        <v>0</v>
      </c>
      <c r="J310" s="18">
        <v>0</v>
      </c>
      <c r="K310" s="16">
        <v>10771</v>
      </c>
      <c r="L310" s="18">
        <v>2</v>
      </c>
      <c r="M310" s="16">
        <v>1094</v>
      </c>
      <c r="N310" s="18">
        <v>707</v>
      </c>
      <c r="O310" s="16">
        <v>31</v>
      </c>
      <c r="P310" s="13">
        <v>2</v>
      </c>
      <c r="Q310" s="13">
        <v>65</v>
      </c>
      <c r="R310" s="13">
        <v>2</v>
      </c>
      <c r="S310" s="18">
        <v>0</v>
      </c>
      <c r="T310" s="21">
        <v>46247.363194444442</v>
      </c>
      <c r="U310" s="55">
        <f t="shared" si="8"/>
        <v>1</v>
      </c>
      <c r="V310" s="55">
        <f t="shared" si="8"/>
        <v>0.16666666666666666</v>
      </c>
      <c r="W310" s="56">
        <f t="shared" si="9"/>
        <v>10935</v>
      </c>
    </row>
    <row r="311" spans="1:23" x14ac:dyDescent="0.3">
      <c r="A311" s="13" t="str" cm="1">
        <f t="array" ref="A311:B311">INDEX(BenchmarkResults!$B$1:$D$35,SUMPRODUCT((T311&gt;=BenchmarkResults!$F$2:$F$35)*(mysql_hardware_log!T311&lt;BenchmarkResults!$G$2:$G$35)*ROW(BenchmarkResults!$F$2:$F$35)),{1,3})</f>
        <v>q2_avg_order_city</v>
      </c>
      <c r="B311" s="13">
        <v>3</v>
      </c>
      <c r="C311" s="16">
        <v>2</v>
      </c>
      <c r="D311" s="18">
        <v>0</v>
      </c>
      <c r="E311" s="16">
        <v>458496</v>
      </c>
      <c r="F311" s="13">
        <v>111480</v>
      </c>
      <c r="G311" s="13">
        <v>3728</v>
      </c>
      <c r="H311" s="18">
        <v>3110360</v>
      </c>
      <c r="I311" s="16">
        <v>0</v>
      </c>
      <c r="J311" s="18">
        <v>0</v>
      </c>
      <c r="K311" s="16">
        <v>7207</v>
      </c>
      <c r="L311" s="18">
        <v>2</v>
      </c>
      <c r="M311" s="16">
        <v>1099</v>
      </c>
      <c r="N311" s="18">
        <v>635</v>
      </c>
      <c r="O311" s="16">
        <v>33</v>
      </c>
      <c r="P311" s="13">
        <v>8</v>
      </c>
      <c r="Q311" s="13">
        <v>57</v>
      </c>
      <c r="R311" s="13">
        <v>1</v>
      </c>
      <c r="S311" s="18">
        <v>0</v>
      </c>
      <c r="T311" s="21">
        <v>46247.363310185188</v>
      </c>
      <c r="U311" s="55">
        <f t="shared" si="8"/>
        <v>1.1666666666666667</v>
      </c>
      <c r="V311" s="55">
        <f t="shared" si="8"/>
        <v>0.16666666666666666</v>
      </c>
      <c r="W311" s="56">
        <f t="shared" si="9"/>
        <v>10116</v>
      </c>
    </row>
    <row r="312" spans="1:23" x14ac:dyDescent="0.3">
      <c r="A312" s="13" t="str" cm="1">
        <f t="array" ref="A312:B312">INDEX(BenchmarkResults!$B$1:$D$35,SUMPRODUCT((T312&gt;=BenchmarkResults!$F$2:$F$35)*(mysql_hardware_log!T312&lt;BenchmarkResults!$G$2:$G$35)*ROW(BenchmarkResults!$F$2:$F$35)),{1,3})</f>
        <v>q2_avg_order_city</v>
      </c>
      <c r="B312" s="13">
        <v>3</v>
      </c>
      <c r="C312" s="16">
        <v>1</v>
      </c>
      <c r="D312" s="18">
        <v>0</v>
      </c>
      <c r="E312" s="16">
        <v>458496</v>
      </c>
      <c r="F312" s="13">
        <v>1057180</v>
      </c>
      <c r="G312" s="13">
        <v>3736</v>
      </c>
      <c r="H312" s="18">
        <v>2644584</v>
      </c>
      <c r="I312" s="16">
        <v>0</v>
      </c>
      <c r="J312" s="18">
        <v>0</v>
      </c>
      <c r="K312" s="16">
        <v>5040</v>
      </c>
      <c r="L312" s="18">
        <v>2</v>
      </c>
      <c r="M312" s="16">
        <v>1258</v>
      </c>
      <c r="N312" s="18">
        <v>751</v>
      </c>
      <c r="O312" s="16">
        <v>37</v>
      </c>
      <c r="P312" s="13">
        <v>24</v>
      </c>
      <c r="Q312" s="13">
        <v>38</v>
      </c>
      <c r="R312" s="13">
        <v>1</v>
      </c>
      <c r="S312" s="18">
        <v>0</v>
      </c>
      <c r="T312" s="21">
        <v>46247.363425925927</v>
      </c>
      <c r="U312" s="55">
        <f t="shared" si="8"/>
        <v>1.1666666666666667</v>
      </c>
      <c r="V312" s="55">
        <f t="shared" si="8"/>
        <v>0.16666666666666666</v>
      </c>
      <c r="W312" s="56">
        <f t="shared" si="9"/>
        <v>9073.8333333333339</v>
      </c>
    </row>
    <row r="313" spans="1:23" x14ac:dyDescent="0.3">
      <c r="A313" s="13" t="str" cm="1">
        <f t="array" ref="A313:B313">INDEX(BenchmarkResults!$B$1:$D$35,SUMPRODUCT((T313&gt;=BenchmarkResults!$F$2:$F$35)*(mysql_hardware_log!T313&lt;BenchmarkResults!$G$2:$G$35)*ROW(BenchmarkResults!$F$2:$F$35)),{1,3})</f>
        <v>q2_avg_order_city</v>
      </c>
      <c r="B313" s="13">
        <v>3</v>
      </c>
      <c r="C313" s="16">
        <v>1</v>
      </c>
      <c r="D313" s="18">
        <v>0</v>
      </c>
      <c r="E313" s="16">
        <v>458496</v>
      </c>
      <c r="F313" s="13">
        <v>977196</v>
      </c>
      <c r="G313" s="13">
        <v>3744</v>
      </c>
      <c r="H313" s="18">
        <v>2727680</v>
      </c>
      <c r="I313" s="16">
        <v>0</v>
      </c>
      <c r="J313" s="18">
        <v>0</v>
      </c>
      <c r="K313" s="16">
        <v>8302</v>
      </c>
      <c r="L313" s="18">
        <v>3</v>
      </c>
      <c r="M313" s="16">
        <v>1043</v>
      </c>
      <c r="N313" s="18">
        <v>625</v>
      </c>
      <c r="O313" s="16">
        <v>30</v>
      </c>
      <c r="P313" s="13">
        <v>4</v>
      </c>
      <c r="Q313" s="13">
        <v>64</v>
      </c>
      <c r="R313" s="13">
        <v>2</v>
      </c>
      <c r="S313" s="18">
        <v>0</v>
      </c>
      <c r="T313" s="21">
        <v>46247.363541666666</v>
      </c>
      <c r="U313" s="55">
        <f t="shared" si="8"/>
        <v>1</v>
      </c>
      <c r="V313" s="55">
        <f t="shared" si="8"/>
        <v>0.16666666666666666</v>
      </c>
      <c r="W313" s="56">
        <f t="shared" si="9"/>
        <v>9085.3333333333339</v>
      </c>
    </row>
    <row r="314" spans="1:23" x14ac:dyDescent="0.3">
      <c r="A314" s="13" t="str" cm="1">
        <f t="array" ref="A314:B314">INDEX(BenchmarkResults!$B$1:$D$35,SUMPRODUCT((T314&gt;=BenchmarkResults!$F$2:$F$35)*(mysql_hardware_log!T314&lt;BenchmarkResults!$G$2:$G$35)*ROW(BenchmarkResults!$F$2:$F$35)),{1,3})</f>
        <v>q2_avg_order_city</v>
      </c>
      <c r="B314" s="13">
        <v>3</v>
      </c>
      <c r="C314" s="16">
        <v>1</v>
      </c>
      <c r="D314" s="18">
        <v>0</v>
      </c>
      <c r="E314" s="16">
        <v>458496</v>
      </c>
      <c r="F314" s="13">
        <v>939648</v>
      </c>
      <c r="G314" s="13">
        <v>3756</v>
      </c>
      <c r="H314" s="18">
        <v>2764860</v>
      </c>
      <c r="I314" s="16">
        <v>0</v>
      </c>
      <c r="J314" s="18">
        <v>0</v>
      </c>
      <c r="K314" s="16">
        <v>3724</v>
      </c>
      <c r="L314" s="18">
        <v>5</v>
      </c>
      <c r="M314" s="16">
        <v>946</v>
      </c>
      <c r="N314" s="18">
        <v>607</v>
      </c>
      <c r="O314" s="16">
        <v>31</v>
      </c>
      <c r="P314" s="13">
        <v>3</v>
      </c>
      <c r="Q314" s="13">
        <v>65</v>
      </c>
      <c r="R314" s="13">
        <v>1</v>
      </c>
      <c r="S314" s="18">
        <v>0</v>
      </c>
      <c r="T314" s="21">
        <v>46247.363657407404</v>
      </c>
      <c r="U314" s="55">
        <f t="shared" si="8"/>
        <v>1</v>
      </c>
      <c r="V314" s="55">
        <f t="shared" si="8"/>
        <v>0.16666666666666666</v>
      </c>
      <c r="W314" s="56">
        <f t="shared" si="9"/>
        <v>7736.333333333333</v>
      </c>
    </row>
    <row r="315" spans="1:23" x14ac:dyDescent="0.3">
      <c r="A315" s="13" t="str" cm="1">
        <f t="array" ref="A315:B315">INDEX(BenchmarkResults!$B$1:$D$35,SUMPRODUCT((T315&gt;=BenchmarkResults!$F$2:$F$35)*(mysql_hardware_log!T315&lt;BenchmarkResults!$G$2:$G$35)*ROW(BenchmarkResults!$F$2:$F$35)),{1,3})</f>
        <v>q2_avg_order_city</v>
      </c>
      <c r="B315" s="13">
        <v>3</v>
      </c>
      <c r="C315" s="16">
        <v>1</v>
      </c>
      <c r="D315" s="18">
        <v>0</v>
      </c>
      <c r="E315" s="16">
        <v>458496</v>
      </c>
      <c r="F315" s="13">
        <v>881020</v>
      </c>
      <c r="G315" s="13">
        <v>3764</v>
      </c>
      <c r="H315" s="18">
        <v>2799492</v>
      </c>
      <c r="I315" s="16">
        <v>0</v>
      </c>
      <c r="J315" s="18">
        <v>0</v>
      </c>
      <c r="K315" s="16">
        <v>3460</v>
      </c>
      <c r="L315" s="18">
        <v>3</v>
      </c>
      <c r="M315" s="16">
        <v>969</v>
      </c>
      <c r="N315" s="18">
        <v>605</v>
      </c>
      <c r="O315" s="16">
        <v>34</v>
      </c>
      <c r="P315" s="13">
        <v>8</v>
      </c>
      <c r="Q315" s="13">
        <v>57</v>
      </c>
      <c r="R315" s="13">
        <v>1</v>
      </c>
      <c r="S315" s="18">
        <v>0</v>
      </c>
      <c r="T315" s="21">
        <v>46247.36377314815</v>
      </c>
      <c r="U315" s="55">
        <f t="shared" si="8"/>
        <v>1</v>
      </c>
      <c r="V315" s="55">
        <f t="shared" si="8"/>
        <v>0.16666666666666666</v>
      </c>
      <c r="W315" s="56">
        <f t="shared" si="9"/>
        <v>6417.333333333333</v>
      </c>
    </row>
    <row r="316" spans="1:23" x14ac:dyDescent="0.3">
      <c r="A316" s="13" t="str" cm="1">
        <f t="array" ref="A316:B316">INDEX(BenchmarkResults!$B$1:$D$35,SUMPRODUCT((T316&gt;=BenchmarkResults!$F$2:$F$35)*(mysql_hardware_log!T316&lt;BenchmarkResults!$G$2:$G$35)*ROW(BenchmarkResults!$F$2:$F$35)),{1,3})</f>
        <v>q2_avg_order_city</v>
      </c>
      <c r="B316" s="13">
        <v>3</v>
      </c>
      <c r="C316" s="16">
        <v>1</v>
      </c>
      <c r="D316" s="18">
        <v>0</v>
      </c>
      <c r="E316" s="16">
        <v>458496</v>
      </c>
      <c r="F316" s="13">
        <v>844008</v>
      </c>
      <c r="G316" s="13">
        <v>3776</v>
      </c>
      <c r="H316" s="18">
        <v>2833340</v>
      </c>
      <c r="I316" s="16">
        <v>0</v>
      </c>
      <c r="J316" s="18">
        <v>0</v>
      </c>
      <c r="K316" s="16">
        <v>3371</v>
      </c>
      <c r="L316" s="18">
        <v>42</v>
      </c>
      <c r="M316" s="16">
        <v>966</v>
      </c>
      <c r="N316" s="18">
        <v>668</v>
      </c>
      <c r="O316" s="16">
        <v>32</v>
      </c>
      <c r="P316" s="13">
        <v>3</v>
      </c>
      <c r="Q316" s="13">
        <v>64</v>
      </c>
      <c r="R316" s="13">
        <v>1</v>
      </c>
      <c r="S316" s="18">
        <v>0</v>
      </c>
      <c r="T316" s="21">
        <v>46247.363888888889</v>
      </c>
      <c r="U316" s="55">
        <f t="shared" si="8"/>
        <v>1.1666666666666667</v>
      </c>
      <c r="V316" s="55">
        <f t="shared" si="8"/>
        <v>0</v>
      </c>
      <c r="W316" s="56">
        <f t="shared" si="9"/>
        <v>5184</v>
      </c>
    </row>
    <row r="317" spans="1:23" x14ac:dyDescent="0.3">
      <c r="A317" s="13" t="str" cm="1">
        <f t="array" ref="A317:B317">INDEX(BenchmarkResults!$B$1:$D$35,SUMPRODUCT((T317&gt;=BenchmarkResults!$F$2:$F$35)*(mysql_hardware_log!T317&lt;BenchmarkResults!$G$2:$G$35)*ROW(BenchmarkResults!$F$2:$F$35)),{1,3})</f>
        <v>q2_avg_order_city</v>
      </c>
      <c r="B317" s="13">
        <v>3</v>
      </c>
      <c r="C317" s="16">
        <v>1</v>
      </c>
      <c r="D317" s="18">
        <v>0</v>
      </c>
      <c r="E317" s="16">
        <v>458496</v>
      </c>
      <c r="F317" s="13">
        <v>813768</v>
      </c>
      <c r="G317" s="13">
        <v>3784</v>
      </c>
      <c r="H317" s="18">
        <v>2867472</v>
      </c>
      <c r="I317" s="16">
        <v>0</v>
      </c>
      <c r="J317" s="18">
        <v>0</v>
      </c>
      <c r="K317" s="16">
        <v>3414</v>
      </c>
      <c r="L317" s="18">
        <v>8</v>
      </c>
      <c r="M317" s="16">
        <v>929</v>
      </c>
      <c r="N317" s="18">
        <v>620</v>
      </c>
      <c r="O317" s="16">
        <v>31</v>
      </c>
      <c r="P317" s="13">
        <v>3</v>
      </c>
      <c r="Q317" s="13">
        <v>65</v>
      </c>
      <c r="R317" s="13">
        <v>1</v>
      </c>
      <c r="S317" s="18">
        <v>0</v>
      </c>
      <c r="T317" s="21">
        <v>46247.364004629628</v>
      </c>
      <c r="U317" s="55">
        <f t="shared" si="8"/>
        <v>1</v>
      </c>
      <c r="V317" s="55">
        <f t="shared" si="8"/>
        <v>0</v>
      </c>
      <c r="W317" s="56">
        <f t="shared" si="9"/>
        <v>4551.833333333333</v>
      </c>
    </row>
    <row r="318" spans="1:23" x14ac:dyDescent="0.3">
      <c r="A318" s="13" t="str" cm="1">
        <f t="array" ref="A318:B318">INDEX(BenchmarkResults!$B$1:$D$35,SUMPRODUCT((T318&gt;=BenchmarkResults!$F$2:$F$35)*(mysql_hardware_log!T318&lt;BenchmarkResults!$G$2:$G$35)*ROW(BenchmarkResults!$F$2:$F$35)),{1,3})</f>
        <v>q2_avg_order_city</v>
      </c>
      <c r="B318" s="13">
        <v>3</v>
      </c>
      <c r="C318" s="16">
        <v>1</v>
      </c>
      <c r="D318" s="18">
        <v>0</v>
      </c>
      <c r="E318" s="16">
        <v>458496</v>
      </c>
      <c r="F318" s="13">
        <v>779248</v>
      </c>
      <c r="G318" s="13">
        <v>3792</v>
      </c>
      <c r="H318" s="18">
        <v>2900304</v>
      </c>
      <c r="I318" s="16">
        <v>0</v>
      </c>
      <c r="J318" s="18">
        <v>0</v>
      </c>
      <c r="K318" s="16">
        <v>3282</v>
      </c>
      <c r="L318" s="18">
        <v>2</v>
      </c>
      <c r="M318" s="16">
        <v>962</v>
      </c>
      <c r="N318" s="18">
        <v>650</v>
      </c>
      <c r="O318" s="16">
        <v>31</v>
      </c>
      <c r="P318" s="13">
        <v>3</v>
      </c>
      <c r="Q318" s="13">
        <v>65</v>
      </c>
      <c r="R318" s="13">
        <v>1</v>
      </c>
      <c r="S318" s="18">
        <v>0</v>
      </c>
      <c r="T318" s="21">
        <v>46247.364120370374</v>
      </c>
      <c r="U318" s="55">
        <f t="shared" si="8"/>
        <v>1</v>
      </c>
      <c r="V318" s="55">
        <f t="shared" si="8"/>
        <v>0</v>
      </c>
      <c r="W318" s="56">
        <f t="shared" si="9"/>
        <v>4258.833333333333</v>
      </c>
    </row>
    <row r="319" spans="1:23" x14ac:dyDescent="0.3">
      <c r="A319" s="13" t="str" cm="1">
        <f t="array" ref="A319:B319">INDEX(BenchmarkResults!$B$1:$D$35,SUMPRODUCT((T319&gt;=BenchmarkResults!$F$2:$F$35)*(mysql_hardware_log!T319&lt;BenchmarkResults!$G$2:$G$35)*ROW(BenchmarkResults!$F$2:$F$35)),{1,3})</f>
        <v>q2_avg_order_city</v>
      </c>
      <c r="B319" s="13">
        <v>3</v>
      </c>
      <c r="C319" s="16">
        <v>1</v>
      </c>
      <c r="D319" s="18">
        <v>0</v>
      </c>
      <c r="E319" s="16">
        <v>458496</v>
      </c>
      <c r="F319" s="13">
        <v>742960</v>
      </c>
      <c r="G319" s="13">
        <v>3800</v>
      </c>
      <c r="H319" s="18">
        <v>2936116</v>
      </c>
      <c r="I319" s="16">
        <v>0</v>
      </c>
      <c r="J319" s="18">
        <v>0</v>
      </c>
      <c r="K319" s="16">
        <v>3582</v>
      </c>
      <c r="L319" s="18">
        <v>18</v>
      </c>
      <c r="M319" s="16">
        <v>933</v>
      </c>
      <c r="N319" s="18">
        <v>608</v>
      </c>
      <c r="O319" s="16">
        <v>31</v>
      </c>
      <c r="P319" s="13">
        <v>3</v>
      </c>
      <c r="Q319" s="13">
        <v>65</v>
      </c>
      <c r="R319" s="13">
        <v>1</v>
      </c>
      <c r="S319" s="18">
        <v>0</v>
      </c>
      <c r="T319" s="21">
        <v>46247.364236111112</v>
      </c>
      <c r="U319" s="55">
        <f t="shared" si="8"/>
        <v>1</v>
      </c>
      <c r="V319" s="55">
        <f t="shared" si="8"/>
        <v>0</v>
      </c>
      <c r="W319" s="56">
        <f t="shared" si="9"/>
        <v>3472.1666666666665</v>
      </c>
    </row>
    <row r="320" spans="1:23" x14ac:dyDescent="0.3">
      <c r="A320" s="13" t="str" cm="1">
        <f t="array" ref="A320:B320">INDEX(BenchmarkResults!$B$1:$D$35,SUMPRODUCT((T320&gt;=BenchmarkResults!$F$2:$F$35)*(mysql_hardware_log!T320&lt;BenchmarkResults!$G$2:$G$35)*ROW(BenchmarkResults!$F$2:$F$35)),{1,3})</f>
        <v>q3_customer_spend_stats</v>
      </c>
      <c r="B320" s="13">
        <v>1</v>
      </c>
      <c r="C320" s="16">
        <v>1</v>
      </c>
      <c r="D320" s="18">
        <v>0</v>
      </c>
      <c r="E320" s="16">
        <v>458496</v>
      </c>
      <c r="F320" s="13">
        <v>707428</v>
      </c>
      <c r="G320" s="13">
        <v>3808</v>
      </c>
      <c r="H320" s="18">
        <v>2973836</v>
      </c>
      <c r="I320" s="16">
        <v>4</v>
      </c>
      <c r="J320" s="18">
        <v>0</v>
      </c>
      <c r="K320" s="16">
        <v>3294</v>
      </c>
      <c r="L320" s="18">
        <v>2</v>
      </c>
      <c r="M320" s="16">
        <v>925</v>
      </c>
      <c r="N320" s="18">
        <v>591</v>
      </c>
      <c r="O320" s="16">
        <v>31</v>
      </c>
      <c r="P320" s="13">
        <v>3</v>
      </c>
      <c r="Q320" s="13">
        <v>65</v>
      </c>
      <c r="R320" s="13">
        <v>1</v>
      </c>
      <c r="S320" s="18">
        <v>0</v>
      </c>
      <c r="T320" s="21">
        <v>46247.364351851851</v>
      </c>
      <c r="U320" s="55">
        <f t="shared" si="8"/>
        <v>1</v>
      </c>
      <c r="V320" s="55">
        <f t="shared" si="8"/>
        <v>0</v>
      </c>
      <c r="W320" s="56">
        <f t="shared" si="9"/>
        <v>3400.5</v>
      </c>
    </row>
    <row r="321" spans="1:23" x14ac:dyDescent="0.3">
      <c r="A321" s="13" t="str" cm="1">
        <f t="array" ref="A321:B321">INDEX(BenchmarkResults!$B$1:$D$35,SUMPRODUCT((T321&gt;=BenchmarkResults!$F$2:$F$35)*(mysql_hardware_log!T321&lt;BenchmarkResults!$G$2:$G$35)*ROW(BenchmarkResults!$F$2:$F$35)),{1,3})</f>
        <v>q3_customer_spend_stats</v>
      </c>
      <c r="B321" s="13">
        <v>1</v>
      </c>
      <c r="C321" s="16">
        <v>1</v>
      </c>
      <c r="D321" s="18">
        <v>0</v>
      </c>
      <c r="E321" s="16">
        <v>458496</v>
      </c>
      <c r="F321" s="13">
        <v>550208</v>
      </c>
      <c r="G321" s="13">
        <v>3836</v>
      </c>
      <c r="H321" s="18">
        <v>3131472</v>
      </c>
      <c r="I321" s="16">
        <v>0</v>
      </c>
      <c r="J321" s="18">
        <v>0</v>
      </c>
      <c r="K321" s="16">
        <v>7539</v>
      </c>
      <c r="L321" s="18">
        <v>4830</v>
      </c>
      <c r="M321" s="16">
        <v>935</v>
      </c>
      <c r="N321" s="18">
        <v>308</v>
      </c>
      <c r="O321" s="16">
        <v>29</v>
      </c>
      <c r="P321" s="13">
        <v>5</v>
      </c>
      <c r="Q321" s="13">
        <v>61</v>
      </c>
      <c r="R321" s="13">
        <v>5</v>
      </c>
      <c r="S321" s="18">
        <v>0</v>
      </c>
      <c r="T321" s="21">
        <v>46247.36446759259</v>
      </c>
      <c r="U321" s="55">
        <f t="shared" si="8"/>
        <v>1</v>
      </c>
      <c r="V321" s="55">
        <f t="shared" si="8"/>
        <v>0</v>
      </c>
      <c r="W321" s="56">
        <f t="shared" si="9"/>
        <v>4080.3333333333335</v>
      </c>
    </row>
    <row r="322" spans="1:23" x14ac:dyDescent="0.3">
      <c r="A322" s="13" t="str" cm="1">
        <f t="array" ref="A322:B322">INDEX(BenchmarkResults!$B$1:$D$35,SUMPRODUCT((T322&gt;=BenchmarkResults!$F$2:$F$35)*(mysql_hardware_log!T322&lt;BenchmarkResults!$G$2:$G$35)*ROW(BenchmarkResults!$F$2:$F$35)),{1,3})</f>
        <v>q3_customer_spend_stats</v>
      </c>
      <c r="B322" s="13">
        <v>1</v>
      </c>
      <c r="C322" s="16">
        <v>1</v>
      </c>
      <c r="D322" s="18">
        <v>0</v>
      </c>
      <c r="E322" s="16">
        <v>458496</v>
      </c>
      <c r="F322" s="13">
        <v>397020</v>
      </c>
      <c r="G322" s="13">
        <v>3852</v>
      </c>
      <c r="H322" s="18">
        <v>3295280</v>
      </c>
      <c r="I322" s="16">
        <v>0</v>
      </c>
      <c r="J322" s="18">
        <v>0</v>
      </c>
      <c r="K322" s="16">
        <v>7835</v>
      </c>
      <c r="L322" s="18">
        <v>3</v>
      </c>
      <c r="M322" s="16">
        <v>961</v>
      </c>
      <c r="N322" s="18">
        <v>332</v>
      </c>
      <c r="O322" s="16">
        <v>28</v>
      </c>
      <c r="P322" s="13">
        <v>5</v>
      </c>
      <c r="Q322" s="13">
        <v>64</v>
      </c>
      <c r="R322" s="13">
        <v>3</v>
      </c>
      <c r="S322" s="18">
        <v>0</v>
      </c>
      <c r="T322" s="21">
        <v>46247.364583333336</v>
      </c>
      <c r="U322" s="55">
        <f t="shared" si="8"/>
        <v>1</v>
      </c>
      <c r="V322" s="55">
        <f t="shared" si="8"/>
        <v>0</v>
      </c>
      <c r="W322" s="56">
        <f t="shared" si="9"/>
        <v>4824.333333333333</v>
      </c>
    </row>
    <row r="323" spans="1:23" x14ac:dyDescent="0.3">
      <c r="A323" s="13" t="str" cm="1">
        <f t="array" ref="A323:B323">INDEX(BenchmarkResults!$B$1:$D$35,SUMPRODUCT((T323&gt;=BenchmarkResults!$F$2:$F$35)*(mysql_hardware_log!T323&lt;BenchmarkResults!$G$2:$G$35)*ROW(BenchmarkResults!$F$2:$F$35)),{1,3})</f>
        <v>q3_customer_spend_stats</v>
      </c>
      <c r="B323" s="13">
        <v>1</v>
      </c>
      <c r="C323" s="16">
        <v>1</v>
      </c>
      <c r="D323" s="18">
        <v>0</v>
      </c>
      <c r="E323" s="16">
        <v>458496</v>
      </c>
      <c r="F323" s="13">
        <v>179296</v>
      </c>
      <c r="G323" s="13">
        <v>3868</v>
      </c>
      <c r="H323" s="18">
        <v>3519848</v>
      </c>
      <c r="I323" s="16">
        <v>0</v>
      </c>
      <c r="J323" s="18">
        <v>0</v>
      </c>
      <c r="K323" s="16">
        <v>14085</v>
      </c>
      <c r="L323" s="18">
        <v>4</v>
      </c>
      <c r="M323" s="16">
        <v>880</v>
      </c>
      <c r="N323" s="18">
        <v>296</v>
      </c>
      <c r="O323" s="16">
        <v>28</v>
      </c>
      <c r="P323" s="13">
        <v>6</v>
      </c>
      <c r="Q323" s="13">
        <v>66</v>
      </c>
      <c r="R323" s="13">
        <v>1</v>
      </c>
      <c r="S323" s="18">
        <v>0</v>
      </c>
      <c r="T323" s="21">
        <v>46247.364699074074</v>
      </c>
      <c r="U323" s="55">
        <f t="shared" si="8"/>
        <v>1</v>
      </c>
      <c r="V323" s="55">
        <f t="shared" si="8"/>
        <v>0</v>
      </c>
      <c r="W323" s="56">
        <f t="shared" si="9"/>
        <v>6602.833333333333</v>
      </c>
    </row>
    <row r="324" spans="1:23" x14ac:dyDescent="0.3">
      <c r="A324" s="13" t="str" cm="1">
        <f t="array" ref="A324:B324">INDEX(BenchmarkResults!$B$1:$D$35,SUMPRODUCT((T324&gt;=BenchmarkResults!$F$2:$F$35)*(mysql_hardware_log!T324&lt;BenchmarkResults!$G$2:$G$35)*ROW(BenchmarkResults!$F$2:$F$35)),{1,3})</f>
        <v>q3_customer_spend_stats</v>
      </c>
      <c r="B324" s="13">
        <v>1</v>
      </c>
      <c r="C324" s="16">
        <v>1</v>
      </c>
      <c r="D324" s="18">
        <v>0</v>
      </c>
      <c r="E324" s="16">
        <v>458496</v>
      </c>
      <c r="F324" s="13">
        <v>119316</v>
      </c>
      <c r="G324" s="13">
        <v>3916</v>
      </c>
      <c r="H324" s="18">
        <v>3574892</v>
      </c>
      <c r="I324" s="16">
        <v>0</v>
      </c>
      <c r="J324" s="18">
        <v>0</v>
      </c>
      <c r="K324" s="16">
        <v>6943</v>
      </c>
      <c r="L324" s="18">
        <v>27407</v>
      </c>
      <c r="M324" s="16">
        <v>954</v>
      </c>
      <c r="N324" s="18">
        <v>319</v>
      </c>
      <c r="O324" s="16">
        <v>32</v>
      </c>
      <c r="P324" s="13">
        <v>3</v>
      </c>
      <c r="Q324" s="13">
        <v>53</v>
      </c>
      <c r="R324" s="13">
        <v>12</v>
      </c>
      <c r="S324" s="18">
        <v>0</v>
      </c>
      <c r="T324" s="21">
        <v>46247.364814814813</v>
      </c>
      <c r="U324" s="55">
        <f t="shared" si="8"/>
        <v>1</v>
      </c>
      <c r="V324" s="55">
        <f t="shared" si="8"/>
        <v>0</v>
      </c>
      <c r="W324" s="56">
        <f t="shared" si="9"/>
        <v>7213</v>
      </c>
    </row>
    <row r="325" spans="1:23" x14ac:dyDescent="0.3">
      <c r="A325" s="13" t="str" cm="1">
        <f t="array" ref="A325:B325">INDEX(BenchmarkResults!$B$1:$D$35,SUMPRODUCT((T325&gt;=BenchmarkResults!$F$2:$F$35)*(mysql_hardware_log!T325&lt;BenchmarkResults!$G$2:$G$35)*ROW(BenchmarkResults!$F$2:$F$35)),{1,3})</f>
        <v>q3_customer_spend_stats</v>
      </c>
      <c r="B325" s="13">
        <v>1</v>
      </c>
      <c r="C325" s="16">
        <v>1</v>
      </c>
      <c r="D325" s="18">
        <v>1</v>
      </c>
      <c r="E325" s="16">
        <v>458496</v>
      </c>
      <c r="F325" s="13">
        <v>125948</v>
      </c>
      <c r="G325" s="13">
        <v>3972</v>
      </c>
      <c r="H325" s="18">
        <v>3597368</v>
      </c>
      <c r="I325" s="16">
        <v>0</v>
      </c>
      <c r="J325" s="18">
        <v>0</v>
      </c>
      <c r="K325" s="16">
        <v>21348</v>
      </c>
      <c r="L325" s="18">
        <v>59014</v>
      </c>
      <c r="M325" s="16">
        <v>1365</v>
      </c>
      <c r="N325" s="18">
        <v>648</v>
      </c>
      <c r="O325" s="16">
        <v>21</v>
      </c>
      <c r="P325" s="13">
        <v>13</v>
      </c>
      <c r="Q325" s="13">
        <v>44</v>
      </c>
      <c r="R325" s="13">
        <v>22</v>
      </c>
      <c r="S325" s="18">
        <v>0</v>
      </c>
      <c r="T325" s="21">
        <v>46247.364930555559</v>
      </c>
      <c r="U325" s="55">
        <f t="shared" si="8"/>
        <v>1</v>
      </c>
      <c r="V325" s="55">
        <f t="shared" si="8"/>
        <v>0.16666666666666666</v>
      </c>
      <c r="W325" s="56">
        <f t="shared" si="9"/>
        <v>10174</v>
      </c>
    </row>
    <row r="326" spans="1:23" x14ac:dyDescent="0.3">
      <c r="A326" s="13" t="str" cm="1">
        <f t="array" ref="A326:B326">INDEX(BenchmarkResults!$B$1:$D$35,SUMPRODUCT((T326&gt;=BenchmarkResults!$F$2:$F$35)*(mysql_hardware_log!T326&lt;BenchmarkResults!$G$2:$G$35)*ROW(BenchmarkResults!$F$2:$F$35)),{1,3})</f>
        <v>q3_customer_spend_stats</v>
      </c>
      <c r="B326" s="13">
        <v>1</v>
      </c>
      <c r="C326" s="16">
        <v>0</v>
      </c>
      <c r="D326" s="18">
        <v>0</v>
      </c>
      <c r="E326" s="16">
        <v>458496</v>
      </c>
      <c r="F326" s="13">
        <v>593236</v>
      </c>
      <c r="G326" s="13">
        <v>4036</v>
      </c>
      <c r="H326" s="18">
        <v>3133392</v>
      </c>
      <c r="I326" s="16">
        <v>1</v>
      </c>
      <c r="J326" s="18">
        <v>0</v>
      </c>
      <c r="K326" s="16">
        <v>6</v>
      </c>
      <c r="L326" s="18">
        <v>61752</v>
      </c>
      <c r="M326" s="16">
        <v>930</v>
      </c>
      <c r="N326" s="18">
        <v>466</v>
      </c>
      <c r="O326" s="16">
        <v>6</v>
      </c>
      <c r="P326" s="13">
        <v>6</v>
      </c>
      <c r="Q326" s="13">
        <v>70</v>
      </c>
      <c r="R326" s="13">
        <v>18</v>
      </c>
      <c r="S326" s="18">
        <v>0</v>
      </c>
      <c r="T326" s="21">
        <v>46247.365046296298</v>
      </c>
      <c r="U326" s="55">
        <f t="shared" si="8"/>
        <v>0.83333333333333337</v>
      </c>
      <c r="V326" s="55">
        <f t="shared" si="8"/>
        <v>0.16666666666666666</v>
      </c>
      <c r="W326" s="56">
        <f t="shared" si="9"/>
        <v>9626</v>
      </c>
    </row>
    <row r="327" spans="1:23" x14ac:dyDescent="0.3">
      <c r="A327" s="13" t="str" cm="1">
        <f t="array" ref="A327:B327">INDEX(BenchmarkResults!$B$1:$D$35,SUMPRODUCT((T327&gt;=BenchmarkResults!$F$2:$F$35)*(mysql_hardware_log!T327&lt;BenchmarkResults!$G$2:$G$35)*ROW(BenchmarkResults!$F$2:$F$35)),{1,3})</f>
        <v>q3_customer_spend_stats</v>
      </c>
      <c r="B327" s="13">
        <v>1</v>
      </c>
      <c r="C327" s="16">
        <v>0</v>
      </c>
      <c r="D327" s="18">
        <v>0</v>
      </c>
      <c r="E327" s="16">
        <v>458496</v>
      </c>
      <c r="F327" s="13">
        <v>593004</v>
      </c>
      <c r="G327" s="13">
        <v>4044</v>
      </c>
      <c r="H327" s="18">
        <v>3133392</v>
      </c>
      <c r="I327" s="16">
        <v>0</v>
      </c>
      <c r="J327" s="18">
        <v>0</v>
      </c>
      <c r="K327" s="16">
        <v>0</v>
      </c>
      <c r="L327" s="18">
        <v>21</v>
      </c>
      <c r="M327" s="16">
        <v>503</v>
      </c>
      <c r="N327" s="18">
        <v>371</v>
      </c>
      <c r="O327" s="16">
        <v>2</v>
      </c>
      <c r="P327" s="13">
        <v>1</v>
      </c>
      <c r="Q327" s="13">
        <v>97</v>
      </c>
      <c r="R327" s="13">
        <v>0</v>
      </c>
      <c r="S327" s="18">
        <v>0</v>
      </c>
      <c r="T327" s="21">
        <v>46247.365162037036</v>
      </c>
      <c r="U327" s="55">
        <f t="shared" si="8"/>
        <v>0.66666666666666663</v>
      </c>
      <c r="V327" s="55">
        <f t="shared" si="8"/>
        <v>0.16666666666666666</v>
      </c>
      <c r="W327" s="56">
        <f t="shared" si="9"/>
        <v>8369.5</v>
      </c>
    </row>
    <row r="328" spans="1:23" x14ac:dyDescent="0.3">
      <c r="A328" s="13" t="str" cm="1">
        <f t="array" ref="A328:B328">INDEX(BenchmarkResults!$B$1:$D$35,SUMPRODUCT((T328&gt;=BenchmarkResults!$F$2:$F$35)*(mysql_hardware_log!T328&lt;BenchmarkResults!$G$2:$G$35)*ROW(BenchmarkResults!$F$2:$F$35)),{1,3})</f>
        <v>q3_customer_spend_stats</v>
      </c>
      <c r="B328" s="13">
        <v>1</v>
      </c>
      <c r="C328" s="16">
        <v>0</v>
      </c>
      <c r="D328" s="18">
        <v>0</v>
      </c>
      <c r="E328" s="16">
        <v>458496</v>
      </c>
      <c r="F328" s="13">
        <v>592992</v>
      </c>
      <c r="G328" s="13">
        <v>4052</v>
      </c>
      <c r="H328" s="18">
        <v>3133392</v>
      </c>
      <c r="I328" s="16">
        <v>0</v>
      </c>
      <c r="J328" s="18">
        <v>0</v>
      </c>
      <c r="K328" s="16">
        <v>0</v>
      </c>
      <c r="L328" s="18">
        <v>2</v>
      </c>
      <c r="M328" s="16">
        <v>498</v>
      </c>
      <c r="N328" s="18">
        <v>371</v>
      </c>
      <c r="O328" s="16">
        <v>2</v>
      </c>
      <c r="P328" s="13">
        <v>1</v>
      </c>
      <c r="Q328" s="13">
        <v>97</v>
      </c>
      <c r="R328" s="13">
        <v>0</v>
      </c>
      <c r="S328" s="18">
        <v>0</v>
      </c>
      <c r="T328" s="21">
        <v>46247.365277777775</v>
      </c>
      <c r="U328" s="55">
        <f t="shared" si="8"/>
        <v>0.5</v>
      </c>
      <c r="V328" s="55">
        <f t="shared" si="8"/>
        <v>0.16666666666666666</v>
      </c>
      <c r="W328" s="56">
        <f t="shared" si="9"/>
        <v>7063.666666666667</v>
      </c>
    </row>
    <row r="329" spans="1:23" x14ac:dyDescent="0.3">
      <c r="A329" s="13" t="str" cm="1">
        <f t="array" ref="A329:B329">INDEX(BenchmarkResults!$B$1:$D$35,SUMPRODUCT((T329&gt;=BenchmarkResults!$F$2:$F$35)*(mysql_hardware_log!T329&lt;BenchmarkResults!$G$2:$G$35)*ROW(BenchmarkResults!$F$2:$F$35)),{1,3})</f>
        <v>q3_customer_spend_stats</v>
      </c>
      <c r="B329" s="13">
        <v>1</v>
      </c>
      <c r="C329" s="16">
        <v>0</v>
      </c>
      <c r="D329" s="18">
        <v>0</v>
      </c>
      <c r="E329" s="16">
        <v>458496</v>
      </c>
      <c r="F329" s="13">
        <v>593348</v>
      </c>
      <c r="G329" s="13">
        <v>4060</v>
      </c>
      <c r="H329" s="18">
        <v>3133392</v>
      </c>
      <c r="I329" s="16">
        <v>0</v>
      </c>
      <c r="J329" s="18">
        <v>0</v>
      </c>
      <c r="K329" s="16">
        <v>0</v>
      </c>
      <c r="L329" s="18">
        <v>2</v>
      </c>
      <c r="M329" s="16">
        <v>500</v>
      </c>
      <c r="N329" s="18">
        <v>390</v>
      </c>
      <c r="O329" s="16">
        <v>2</v>
      </c>
      <c r="P329" s="13">
        <v>1</v>
      </c>
      <c r="Q329" s="13">
        <v>97</v>
      </c>
      <c r="R329" s="13">
        <v>0</v>
      </c>
      <c r="S329" s="18">
        <v>0</v>
      </c>
      <c r="T329" s="21">
        <v>46247.365393518521</v>
      </c>
      <c r="U329" s="55">
        <f t="shared" ref="U329:V392" si="10">AVERAGE(C324:C329)</f>
        <v>0.33333333333333331</v>
      </c>
      <c r="V329" s="55">
        <f t="shared" si="10"/>
        <v>0.16666666666666666</v>
      </c>
      <c r="W329" s="56">
        <f t="shared" ref="W329:W392" si="11">AVERAGE(K324:K329)</f>
        <v>4716.166666666667</v>
      </c>
    </row>
    <row r="330" spans="1:23" x14ac:dyDescent="0.3">
      <c r="A330" s="13" t="str" cm="1">
        <f t="array" ref="A330:B330">INDEX(BenchmarkResults!$B$1:$D$35,SUMPRODUCT((T330&gt;=BenchmarkResults!$F$2:$F$35)*(mysql_hardware_log!T330&lt;BenchmarkResults!$G$2:$G$35)*ROW(BenchmarkResults!$F$2:$F$35)),{1,3})</f>
        <v>q3_customer_spend_stats</v>
      </c>
      <c r="B330" s="13">
        <v>1</v>
      </c>
      <c r="C330" s="16">
        <v>0</v>
      </c>
      <c r="D330" s="18">
        <v>0</v>
      </c>
      <c r="E330" s="16">
        <v>458496</v>
      </c>
      <c r="F330" s="13">
        <v>594972</v>
      </c>
      <c r="G330" s="13">
        <v>4068</v>
      </c>
      <c r="H330" s="18">
        <v>3133392</v>
      </c>
      <c r="I330" s="16">
        <v>0</v>
      </c>
      <c r="J330" s="18">
        <v>0</v>
      </c>
      <c r="K330" s="16">
        <v>0</v>
      </c>
      <c r="L330" s="18">
        <v>2</v>
      </c>
      <c r="M330" s="16">
        <v>489</v>
      </c>
      <c r="N330" s="18">
        <v>363</v>
      </c>
      <c r="O330" s="16">
        <v>2</v>
      </c>
      <c r="P330" s="13">
        <v>1</v>
      </c>
      <c r="Q330" s="13">
        <v>97</v>
      </c>
      <c r="R330" s="13">
        <v>0</v>
      </c>
      <c r="S330" s="18">
        <v>0</v>
      </c>
      <c r="T330" s="21">
        <v>46247.36550925926</v>
      </c>
      <c r="U330" s="55">
        <f t="shared" si="10"/>
        <v>0.16666666666666666</v>
      </c>
      <c r="V330" s="55">
        <f t="shared" si="10"/>
        <v>0.16666666666666666</v>
      </c>
      <c r="W330" s="56">
        <f t="shared" si="11"/>
        <v>3559</v>
      </c>
    </row>
    <row r="331" spans="1:23" x14ac:dyDescent="0.3">
      <c r="A331" s="13" t="str" cm="1">
        <f t="array" ref="A331:B331">INDEX(BenchmarkResults!$B$1:$D$35,SUMPRODUCT((T331&gt;=BenchmarkResults!$F$2:$F$35)*(mysql_hardware_log!T331&lt;BenchmarkResults!$G$2:$G$35)*ROW(BenchmarkResults!$F$2:$F$35)),{1,3})</f>
        <v>q3_customer_spend_stats</v>
      </c>
      <c r="B331" s="13">
        <v>1</v>
      </c>
      <c r="C331" s="16">
        <v>0</v>
      </c>
      <c r="D331" s="18">
        <v>0</v>
      </c>
      <c r="E331" s="16">
        <v>458496</v>
      </c>
      <c r="F331" s="13">
        <v>593156</v>
      </c>
      <c r="G331" s="13">
        <v>4076</v>
      </c>
      <c r="H331" s="18">
        <v>3133392</v>
      </c>
      <c r="I331" s="16">
        <v>0</v>
      </c>
      <c r="J331" s="18">
        <v>0</v>
      </c>
      <c r="K331" s="16">
        <v>0</v>
      </c>
      <c r="L331" s="18">
        <v>2</v>
      </c>
      <c r="M331" s="16">
        <v>478</v>
      </c>
      <c r="N331" s="18">
        <v>354</v>
      </c>
      <c r="O331" s="16">
        <v>3</v>
      </c>
      <c r="P331" s="13">
        <v>1</v>
      </c>
      <c r="Q331" s="13">
        <v>97</v>
      </c>
      <c r="R331" s="13">
        <v>0</v>
      </c>
      <c r="S331" s="18">
        <v>0</v>
      </c>
      <c r="T331" s="21">
        <v>46247.365624999999</v>
      </c>
      <c r="U331" s="55">
        <f t="shared" si="10"/>
        <v>0</v>
      </c>
      <c r="V331" s="55">
        <f t="shared" si="10"/>
        <v>0</v>
      </c>
      <c r="W331" s="56">
        <f t="shared" si="11"/>
        <v>1</v>
      </c>
    </row>
    <row r="332" spans="1:23" x14ac:dyDescent="0.3">
      <c r="A332" s="13" t="str" cm="1">
        <f t="array" ref="A332:B332">INDEX(BenchmarkResults!$B$1:$D$35,SUMPRODUCT((T332&gt;=BenchmarkResults!$F$2:$F$35)*(mysql_hardware_log!T332&lt;BenchmarkResults!$G$2:$G$35)*ROW(BenchmarkResults!$F$2:$F$35)),{1,3})</f>
        <v>q3_customer_spend_stats</v>
      </c>
      <c r="B332" s="13">
        <v>1</v>
      </c>
      <c r="C332" s="16">
        <v>0</v>
      </c>
      <c r="D332" s="18">
        <v>0</v>
      </c>
      <c r="E332" s="16">
        <v>458496</v>
      </c>
      <c r="F332" s="13">
        <v>591040</v>
      </c>
      <c r="G332" s="13">
        <v>4084</v>
      </c>
      <c r="H332" s="18">
        <v>3133396</v>
      </c>
      <c r="I332" s="16">
        <v>0</v>
      </c>
      <c r="J332" s="18">
        <v>0</v>
      </c>
      <c r="K332" s="16">
        <v>0</v>
      </c>
      <c r="L332" s="18">
        <v>3</v>
      </c>
      <c r="M332" s="16">
        <v>493</v>
      </c>
      <c r="N332" s="18">
        <v>363</v>
      </c>
      <c r="O332" s="16">
        <v>3</v>
      </c>
      <c r="P332" s="13">
        <v>1</v>
      </c>
      <c r="Q332" s="13">
        <v>97</v>
      </c>
      <c r="R332" s="13">
        <v>0</v>
      </c>
      <c r="S332" s="18">
        <v>0</v>
      </c>
      <c r="T332" s="21">
        <v>46247.365740740737</v>
      </c>
      <c r="U332" s="55">
        <f t="shared" si="10"/>
        <v>0</v>
      </c>
      <c r="V332" s="55">
        <f t="shared" si="10"/>
        <v>0</v>
      </c>
      <c r="W332" s="56">
        <f t="shared" si="11"/>
        <v>0</v>
      </c>
    </row>
    <row r="333" spans="1:23" x14ac:dyDescent="0.3">
      <c r="A333" s="13" t="str" cm="1">
        <f t="array" ref="A333:B333">INDEX(BenchmarkResults!$B$1:$D$35,SUMPRODUCT((T333&gt;=BenchmarkResults!$F$2:$F$35)*(mysql_hardware_log!T333&lt;BenchmarkResults!$G$2:$G$35)*ROW(BenchmarkResults!$F$2:$F$35)),{1,3})</f>
        <v>q3_customer_spend_stats</v>
      </c>
      <c r="B333" s="13">
        <v>1</v>
      </c>
      <c r="C333" s="16">
        <v>0</v>
      </c>
      <c r="D333" s="18">
        <v>0</v>
      </c>
      <c r="E333" s="16">
        <v>458496</v>
      </c>
      <c r="F333" s="13">
        <v>593104</v>
      </c>
      <c r="G333" s="13">
        <v>4092</v>
      </c>
      <c r="H333" s="18">
        <v>3133396</v>
      </c>
      <c r="I333" s="16">
        <v>0</v>
      </c>
      <c r="J333" s="18">
        <v>0</v>
      </c>
      <c r="K333" s="16">
        <v>0</v>
      </c>
      <c r="L333" s="18">
        <v>4</v>
      </c>
      <c r="M333" s="16">
        <v>504</v>
      </c>
      <c r="N333" s="18">
        <v>367</v>
      </c>
      <c r="O333" s="16">
        <v>2</v>
      </c>
      <c r="P333" s="13">
        <v>1</v>
      </c>
      <c r="Q333" s="13">
        <v>97</v>
      </c>
      <c r="R333" s="13">
        <v>0</v>
      </c>
      <c r="S333" s="18">
        <v>0</v>
      </c>
      <c r="T333" s="21">
        <v>46247.365856481483</v>
      </c>
      <c r="U333" s="55">
        <f t="shared" si="10"/>
        <v>0</v>
      </c>
      <c r="V333" s="55">
        <f t="shared" si="10"/>
        <v>0</v>
      </c>
      <c r="W333" s="56">
        <f t="shared" si="11"/>
        <v>0</v>
      </c>
    </row>
    <row r="334" spans="1:23" x14ac:dyDescent="0.3">
      <c r="A334" s="13" t="str" cm="1">
        <f t="array" ref="A334:B334">INDEX(BenchmarkResults!$B$1:$D$35,SUMPRODUCT((T334&gt;=BenchmarkResults!$F$2:$F$35)*(mysql_hardware_log!T334&lt;BenchmarkResults!$G$2:$G$35)*ROW(BenchmarkResults!$F$2:$F$35)),{1,3})</f>
        <v>q3_customer_spend_stats</v>
      </c>
      <c r="B334" s="13">
        <v>1</v>
      </c>
      <c r="C334" s="16">
        <v>0</v>
      </c>
      <c r="D334" s="18">
        <v>0</v>
      </c>
      <c r="E334" s="16">
        <v>458496</v>
      </c>
      <c r="F334" s="13">
        <v>948308</v>
      </c>
      <c r="G334" s="13">
        <v>4100</v>
      </c>
      <c r="H334" s="18">
        <v>2785060</v>
      </c>
      <c r="I334" s="16">
        <v>0</v>
      </c>
      <c r="J334" s="18">
        <v>0</v>
      </c>
      <c r="K334" s="16">
        <v>0</v>
      </c>
      <c r="L334" s="18">
        <v>2</v>
      </c>
      <c r="M334" s="16">
        <v>473</v>
      </c>
      <c r="N334" s="18">
        <v>377</v>
      </c>
      <c r="O334" s="16">
        <v>2</v>
      </c>
      <c r="P334" s="13">
        <v>1</v>
      </c>
      <c r="Q334" s="13">
        <v>97</v>
      </c>
      <c r="R334" s="13">
        <v>0</v>
      </c>
      <c r="S334" s="18">
        <v>0</v>
      </c>
      <c r="T334" s="21">
        <v>46247.365972222222</v>
      </c>
      <c r="U334" s="55">
        <f t="shared" si="10"/>
        <v>0</v>
      </c>
      <c r="V334" s="55">
        <f t="shared" si="10"/>
        <v>0</v>
      </c>
      <c r="W334" s="56">
        <f t="shared" si="11"/>
        <v>0</v>
      </c>
    </row>
    <row r="335" spans="1:23" x14ac:dyDescent="0.3">
      <c r="A335" s="13" t="str" cm="1">
        <f t="array" ref="A335:B335">INDEX(BenchmarkResults!$B$1:$D$35,SUMPRODUCT((T335&gt;=BenchmarkResults!$F$2:$F$35)*(mysql_hardware_log!T335&lt;BenchmarkResults!$G$2:$G$35)*ROW(BenchmarkResults!$F$2:$F$35)),{1,3})</f>
        <v>q3_customer_spend_stats</v>
      </c>
      <c r="B335" s="13">
        <v>2</v>
      </c>
      <c r="C335" s="16">
        <v>1</v>
      </c>
      <c r="D335" s="18">
        <v>0</v>
      </c>
      <c r="E335" s="16">
        <v>458496</v>
      </c>
      <c r="F335" s="13">
        <v>740664</v>
      </c>
      <c r="G335" s="13">
        <v>4128</v>
      </c>
      <c r="H335" s="18">
        <v>2980708</v>
      </c>
      <c r="I335" s="16">
        <v>0</v>
      </c>
      <c r="J335" s="18">
        <v>0</v>
      </c>
      <c r="K335" s="16">
        <v>2792</v>
      </c>
      <c r="L335" s="18">
        <v>6981</v>
      </c>
      <c r="M335" s="16">
        <v>1346</v>
      </c>
      <c r="N335" s="18">
        <v>452</v>
      </c>
      <c r="O335" s="16">
        <v>41</v>
      </c>
      <c r="P335" s="13">
        <v>2</v>
      </c>
      <c r="Q335" s="13">
        <v>52</v>
      </c>
      <c r="R335" s="13">
        <v>4</v>
      </c>
      <c r="S335" s="18">
        <v>0</v>
      </c>
      <c r="T335" s="21">
        <v>46247.366087962961</v>
      </c>
      <c r="U335" s="55">
        <f t="shared" si="10"/>
        <v>0.16666666666666666</v>
      </c>
      <c r="V335" s="55">
        <f t="shared" si="10"/>
        <v>0</v>
      </c>
      <c r="W335" s="56">
        <f t="shared" si="11"/>
        <v>465.33333333333331</v>
      </c>
    </row>
    <row r="336" spans="1:23" x14ac:dyDescent="0.3">
      <c r="A336" s="13" t="str" cm="1">
        <f t="array" ref="A336:B336">INDEX(BenchmarkResults!$B$1:$D$35,SUMPRODUCT((T336&gt;=BenchmarkResults!$F$2:$F$35)*(mysql_hardware_log!T336&lt;BenchmarkResults!$G$2:$G$35)*ROW(BenchmarkResults!$F$2:$F$35)),{1,3})</f>
        <v>q3_customer_spend_stats</v>
      </c>
      <c r="B336" s="13">
        <v>2</v>
      </c>
      <c r="C336" s="16">
        <v>1</v>
      </c>
      <c r="D336" s="18">
        <v>0</v>
      </c>
      <c r="E336" s="16">
        <v>458496</v>
      </c>
      <c r="F336" s="13">
        <v>511604</v>
      </c>
      <c r="G336" s="13">
        <v>4160</v>
      </c>
      <c r="H336" s="18">
        <v>3204908</v>
      </c>
      <c r="I336" s="16">
        <v>2</v>
      </c>
      <c r="J336" s="18">
        <v>0</v>
      </c>
      <c r="K336" s="16">
        <v>2705</v>
      </c>
      <c r="L336" s="18">
        <v>14780</v>
      </c>
      <c r="M336" s="16">
        <v>1469</v>
      </c>
      <c r="N336" s="18">
        <v>417</v>
      </c>
      <c r="O336" s="16">
        <v>48</v>
      </c>
      <c r="P336" s="13">
        <v>3</v>
      </c>
      <c r="Q336" s="13">
        <v>45</v>
      </c>
      <c r="R336" s="13">
        <v>4</v>
      </c>
      <c r="S336" s="18">
        <v>0</v>
      </c>
      <c r="T336" s="21">
        <v>46247.366203703707</v>
      </c>
      <c r="U336" s="55">
        <f t="shared" si="10"/>
        <v>0.33333333333333331</v>
      </c>
      <c r="V336" s="55">
        <f t="shared" si="10"/>
        <v>0</v>
      </c>
      <c r="W336" s="56">
        <f t="shared" si="11"/>
        <v>916.16666666666663</v>
      </c>
    </row>
    <row r="337" spans="1:23" x14ac:dyDescent="0.3">
      <c r="A337" s="13" t="str" cm="1">
        <f t="array" ref="A337:B337">INDEX(BenchmarkResults!$B$1:$D$35,SUMPRODUCT((T337&gt;=BenchmarkResults!$F$2:$F$35)*(mysql_hardware_log!T337&lt;BenchmarkResults!$G$2:$G$35)*ROW(BenchmarkResults!$F$2:$F$35)),{1,3})</f>
        <v>q3_customer_spend_stats</v>
      </c>
      <c r="B337" s="13">
        <v>2</v>
      </c>
      <c r="C337" s="16">
        <v>0</v>
      </c>
      <c r="D337" s="18">
        <v>0</v>
      </c>
      <c r="E337" s="16">
        <v>458496</v>
      </c>
      <c r="F337" s="13">
        <v>629444</v>
      </c>
      <c r="G337" s="13">
        <v>4276</v>
      </c>
      <c r="H337" s="18">
        <v>3097464</v>
      </c>
      <c r="I337" s="16">
        <v>0</v>
      </c>
      <c r="J337" s="18">
        <v>0</v>
      </c>
      <c r="K337" s="16">
        <v>2882</v>
      </c>
      <c r="L337" s="18">
        <v>130978</v>
      </c>
      <c r="M337" s="16">
        <v>1735</v>
      </c>
      <c r="N337" s="18">
        <v>636</v>
      </c>
      <c r="O337" s="16">
        <v>17</v>
      </c>
      <c r="P337" s="13">
        <v>12</v>
      </c>
      <c r="Q337" s="13">
        <v>31</v>
      </c>
      <c r="R337" s="13">
        <v>40</v>
      </c>
      <c r="S337" s="18">
        <v>0</v>
      </c>
      <c r="T337" s="21">
        <v>46247.366319444445</v>
      </c>
      <c r="U337" s="55">
        <f t="shared" si="10"/>
        <v>0.33333333333333331</v>
      </c>
      <c r="V337" s="55">
        <f t="shared" si="10"/>
        <v>0</v>
      </c>
      <c r="W337" s="56">
        <f t="shared" si="11"/>
        <v>1396.5</v>
      </c>
    </row>
    <row r="338" spans="1:23" x14ac:dyDescent="0.3">
      <c r="A338" s="13" t="str" cm="1">
        <f t="array" ref="A338:B338">INDEX(BenchmarkResults!$B$1:$D$35,SUMPRODUCT((T338&gt;=BenchmarkResults!$F$2:$F$35)*(mysql_hardware_log!T338&lt;BenchmarkResults!$G$2:$G$35)*ROW(BenchmarkResults!$F$2:$F$35)),{1,3})</f>
        <v>q3_customer_spend_stats</v>
      </c>
      <c r="B338" s="13">
        <v>2</v>
      </c>
      <c r="C338" s="16">
        <v>0</v>
      </c>
      <c r="D338" s="18">
        <v>0</v>
      </c>
      <c r="E338" s="16">
        <v>458496</v>
      </c>
      <c r="F338" s="13">
        <v>629332</v>
      </c>
      <c r="G338" s="13">
        <v>4288</v>
      </c>
      <c r="H338" s="18">
        <v>3097464</v>
      </c>
      <c r="I338" s="16">
        <v>0</v>
      </c>
      <c r="J338" s="18">
        <v>0</v>
      </c>
      <c r="K338" s="16">
        <v>0</v>
      </c>
      <c r="L338" s="18">
        <v>18</v>
      </c>
      <c r="M338" s="16">
        <v>513</v>
      </c>
      <c r="N338" s="18">
        <v>394</v>
      </c>
      <c r="O338" s="16">
        <v>2</v>
      </c>
      <c r="P338" s="13">
        <v>1</v>
      </c>
      <c r="Q338" s="13">
        <v>97</v>
      </c>
      <c r="R338" s="13">
        <v>0</v>
      </c>
      <c r="S338" s="18">
        <v>0</v>
      </c>
      <c r="T338" s="21">
        <v>46247.366435185184</v>
      </c>
      <c r="U338" s="55">
        <f t="shared" si="10"/>
        <v>0.33333333333333331</v>
      </c>
      <c r="V338" s="55">
        <f t="shared" si="10"/>
        <v>0</v>
      </c>
      <c r="W338" s="56">
        <f t="shared" si="11"/>
        <v>1396.5</v>
      </c>
    </row>
    <row r="339" spans="1:23" x14ac:dyDescent="0.3">
      <c r="A339" s="13" t="str" cm="1">
        <f t="array" ref="A339:B339">INDEX(BenchmarkResults!$B$1:$D$35,SUMPRODUCT((T339&gt;=BenchmarkResults!$F$2:$F$35)*(mysql_hardware_log!T339&lt;BenchmarkResults!$G$2:$G$35)*ROW(BenchmarkResults!$F$2:$F$35)),{1,3})</f>
        <v>q3_customer_spend_stats</v>
      </c>
      <c r="B339" s="13">
        <v>2</v>
      </c>
      <c r="C339" s="16">
        <v>0</v>
      </c>
      <c r="D339" s="18">
        <v>0</v>
      </c>
      <c r="E339" s="16">
        <v>458496</v>
      </c>
      <c r="F339" s="13">
        <v>628768</v>
      </c>
      <c r="G339" s="13">
        <v>4296</v>
      </c>
      <c r="H339" s="18">
        <v>3097464</v>
      </c>
      <c r="I339" s="16">
        <v>0</v>
      </c>
      <c r="J339" s="18">
        <v>0</v>
      </c>
      <c r="K339" s="16">
        <v>0</v>
      </c>
      <c r="L339" s="18">
        <v>2</v>
      </c>
      <c r="M339" s="16">
        <v>495</v>
      </c>
      <c r="N339" s="18">
        <v>366</v>
      </c>
      <c r="O339" s="16">
        <v>2</v>
      </c>
      <c r="P339" s="13">
        <v>1</v>
      </c>
      <c r="Q339" s="13">
        <v>97</v>
      </c>
      <c r="R339" s="13">
        <v>0</v>
      </c>
      <c r="S339" s="18">
        <v>0</v>
      </c>
      <c r="T339" s="21">
        <v>46247.366550925923</v>
      </c>
      <c r="U339" s="55">
        <f t="shared" si="10"/>
        <v>0.33333333333333331</v>
      </c>
      <c r="V339" s="55">
        <f t="shared" si="10"/>
        <v>0</v>
      </c>
      <c r="W339" s="56">
        <f t="shared" si="11"/>
        <v>1396.5</v>
      </c>
    </row>
    <row r="340" spans="1:23" x14ac:dyDescent="0.3">
      <c r="A340" s="13" t="str" cm="1">
        <f t="array" ref="A340:B340">INDEX(BenchmarkResults!$B$1:$D$35,SUMPRODUCT((T340&gt;=BenchmarkResults!$F$2:$F$35)*(mysql_hardware_log!T340&lt;BenchmarkResults!$G$2:$G$35)*ROW(BenchmarkResults!$F$2:$F$35)),{1,3})</f>
        <v>q3_customer_spend_stats</v>
      </c>
      <c r="B340" s="13">
        <v>2</v>
      </c>
      <c r="C340" s="16">
        <v>0</v>
      </c>
      <c r="D340" s="18">
        <v>0</v>
      </c>
      <c r="E340" s="16">
        <v>458496</v>
      </c>
      <c r="F340" s="13">
        <v>628960</v>
      </c>
      <c r="G340" s="13">
        <v>4304</v>
      </c>
      <c r="H340" s="18">
        <v>3097464</v>
      </c>
      <c r="I340" s="16">
        <v>0</v>
      </c>
      <c r="J340" s="18">
        <v>0</v>
      </c>
      <c r="K340" s="16">
        <v>0</v>
      </c>
      <c r="L340" s="18">
        <v>2</v>
      </c>
      <c r="M340" s="16">
        <v>491</v>
      </c>
      <c r="N340" s="18">
        <v>373</v>
      </c>
      <c r="O340" s="16">
        <v>2</v>
      </c>
      <c r="P340" s="13">
        <v>1</v>
      </c>
      <c r="Q340" s="13">
        <v>97</v>
      </c>
      <c r="R340" s="13">
        <v>0</v>
      </c>
      <c r="S340" s="18">
        <v>0</v>
      </c>
      <c r="T340" s="21">
        <v>46247.366666666669</v>
      </c>
      <c r="U340" s="55">
        <f t="shared" si="10"/>
        <v>0.33333333333333331</v>
      </c>
      <c r="V340" s="55">
        <f t="shared" si="10"/>
        <v>0</v>
      </c>
      <c r="W340" s="56">
        <f t="shared" si="11"/>
        <v>1396.5</v>
      </c>
    </row>
    <row r="341" spans="1:23" x14ac:dyDescent="0.3">
      <c r="A341" s="13" t="str" cm="1">
        <f t="array" ref="A341:B341">INDEX(BenchmarkResults!$B$1:$D$35,SUMPRODUCT((T341&gt;=BenchmarkResults!$F$2:$F$35)*(mysql_hardware_log!T341&lt;BenchmarkResults!$G$2:$G$35)*ROW(BenchmarkResults!$F$2:$F$35)),{1,3})</f>
        <v>q3_customer_spend_stats</v>
      </c>
      <c r="B341" s="13">
        <v>2</v>
      </c>
      <c r="C341" s="16">
        <v>0</v>
      </c>
      <c r="D341" s="18">
        <v>0</v>
      </c>
      <c r="E341" s="16">
        <v>458496</v>
      </c>
      <c r="F341" s="13">
        <v>627176</v>
      </c>
      <c r="G341" s="13">
        <v>4312</v>
      </c>
      <c r="H341" s="18">
        <v>3097464</v>
      </c>
      <c r="I341" s="16">
        <v>0</v>
      </c>
      <c r="J341" s="18">
        <v>0</v>
      </c>
      <c r="K341" s="16">
        <v>0</v>
      </c>
      <c r="L341" s="18">
        <v>18</v>
      </c>
      <c r="M341" s="16">
        <v>485</v>
      </c>
      <c r="N341" s="18">
        <v>370</v>
      </c>
      <c r="O341" s="16">
        <v>2</v>
      </c>
      <c r="P341" s="13">
        <v>1</v>
      </c>
      <c r="Q341" s="13">
        <v>97</v>
      </c>
      <c r="R341" s="13">
        <v>0</v>
      </c>
      <c r="S341" s="18">
        <v>0</v>
      </c>
      <c r="T341" s="21">
        <v>46247.366782407407</v>
      </c>
      <c r="U341" s="55">
        <f t="shared" si="10"/>
        <v>0.16666666666666666</v>
      </c>
      <c r="V341" s="55">
        <f t="shared" si="10"/>
        <v>0</v>
      </c>
      <c r="W341" s="56">
        <f t="shared" si="11"/>
        <v>931.16666666666663</v>
      </c>
    </row>
    <row r="342" spans="1:23" x14ac:dyDescent="0.3">
      <c r="A342" s="13" t="str" cm="1">
        <f t="array" ref="A342:B342">INDEX(BenchmarkResults!$B$1:$D$35,SUMPRODUCT((T342&gt;=BenchmarkResults!$F$2:$F$35)*(mysql_hardware_log!T342&lt;BenchmarkResults!$G$2:$G$35)*ROW(BenchmarkResults!$F$2:$F$35)),{1,3})</f>
        <v>q3_customer_spend_stats</v>
      </c>
      <c r="B342" s="13">
        <v>2</v>
      </c>
      <c r="C342" s="16">
        <v>0</v>
      </c>
      <c r="D342" s="18">
        <v>0</v>
      </c>
      <c r="E342" s="16">
        <v>458496</v>
      </c>
      <c r="F342" s="13">
        <v>628944</v>
      </c>
      <c r="G342" s="13">
        <v>4320</v>
      </c>
      <c r="H342" s="18">
        <v>3097464</v>
      </c>
      <c r="I342" s="16">
        <v>0</v>
      </c>
      <c r="J342" s="18">
        <v>0</v>
      </c>
      <c r="K342" s="16">
        <v>0</v>
      </c>
      <c r="L342" s="18">
        <v>2</v>
      </c>
      <c r="M342" s="16">
        <v>506</v>
      </c>
      <c r="N342" s="18">
        <v>376</v>
      </c>
      <c r="O342" s="16">
        <v>2</v>
      </c>
      <c r="P342" s="13">
        <v>1</v>
      </c>
      <c r="Q342" s="13">
        <v>97</v>
      </c>
      <c r="R342" s="13">
        <v>0</v>
      </c>
      <c r="S342" s="18">
        <v>0</v>
      </c>
      <c r="T342" s="21">
        <v>46247.366898148146</v>
      </c>
      <c r="U342" s="55">
        <f t="shared" si="10"/>
        <v>0</v>
      </c>
      <c r="V342" s="55">
        <f t="shared" si="10"/>
        <v>0</v>
      </c>
      <c r="W342" s="56">
        <f t="shared" si="11"/>
        <v>480.33333333333331</v>
      </c>
    </row>
    <row r="343" spans="1:23" x14ac:dyDescent="0.3">
      <c r="A343" s="13" t="str" cm="1">
        <f t="array" ref="A343:B343">INDEX(BenchmarkResults!$B$1:$D$35,SUMPRODUCT((T343&gt;=BenchmarkResults!$F$2:$F$35)*(mysql_hardware_log!T343&lt;BenchmarkResults!$G$2:$G$35)*ROW(BenchmarkResults!$F$2:$F$35)),{1,3})</f>
        <v>q3_customer_spend_stats</v>
      </c>
      <c r="B343" s="13">
        <v>2</v>
      </c>
      <c r="C343" s="16">
        <v>0</v>
      </c>
      <c r="D343" s="18">
        <v>0</v>
      </c>
      <c r="E343" s="16">
        <v>458496</v>
      </c>
      <c r="F343" s="13">
        <v>628688</v>
      </c>
      <c r="G343" s="13">
        <v>4328</v>
      </c>
      <c r="H343" s="18">
        <v>3097464</v>
      </c>
      <c r="I343" s="16">
        <v>0</v>
      </c>
      <c r="J343" s="18">
        <v>0</v>
      </c>
      <c r="K343" s="16">
        <v>0</v>
      </c>
      <c r="L343" s="18">
        <v>2</v>
      </c>
      <c r="M343" s="16">
        <v>489</v>
      </c>
      <c r="N343" s="18">
        <v>360</v>
      </c>
      <c r="O343" s="16">
        <v>2</v>
      </c>
      <c r="P343" s="13">
        <v>0</v>
      </c>
      <c r="Q343" s="13">
        <v>97</v>
      </c>
      <c r="R343" s="13">
        <v>0</v>
      </c>
      <c r="S343" s="18">
        <v>0</v>
      </c>
      <c r="T343" s="21">
        <v>46247.367013888892</v>
      </c>
      <c r="U343" s="55">
        <f t="shared" si="10"/>
        <v>0</v>
      </c>
      <c r="V343" s="55">
        <f t="shared" si="10"/>
        <v>0</v>
      </c>
      <c r="W343" s="56">
        <f t="shared" si="11"/>
        <v>0</v>
      </c>
    </row>
    <row r="344" spans="1:23" x14ac:dyDescent="0.3">
      <c r="A344" s="13" t="str" cm="1">
        <f t="array" ref="A344:B344">INDEX(BenchmarkResults!$B$1:$D$35,SUMPRODUCT((T344&gt;=BenchmarkResults!$F$2:$F$35)*(mysql_hardware_log!T344&lt;BenchmarkResults!$G$2:$G$35)*ROW(BenchmarkResults!$F$2:$F$35)),{1,3})</f>
        <v>q3_customer_spend_stats</v>
      </c>
      <c r="B344" s="13">
        <v>2</v>
      </c>
      <c r="C344" s="16">
        <v>0</v>
      </c>
      <c r="D344" s="18">
        <v>0</v>
      </c>
      <c r="E344" s="16">
        <v>458496</v>
      </c>
      <c r="F344" s="13">
        <v>630524</v>
      </c>
      <c r="G344" s="13">
        <v>4336</v>
      </c>
      <c r="H344" s="18">
        <v>3097464</v>
      </c>
      <c r="I344" s="16">
        <v>0</v>
      </c>
      <c r="J344" s="18">
        <v>0</v>
      </c>
      <c r="K344" s="16">
        <v>0</v>
      </c>
      <c r="L344" s="18">
        <v>2</v>
      </c>
      <c r="M344" s="16">
        <v>490</v>
      </c>
      <c r="N344" s="18">
        <v>362</v>
      </c>
      <c r="O344" s="16">
        <v>2</v>
      </c>
      <c r="P344" s="13">
        <v>1</v>
      </c>
      <c r="Q344" s="13">
        <v>97</v>
      </c>
      <c r="R344" s="13">
        <v>0</v>
      </c>
      <c r="S344" s="18">
        <v>0</v>
      </c>
      <c r="T344" s="21">
        <v>46247.367129629631</v>
      </c>
      <c r="U344" s="55">
        <f t="shared" si="10"/>
        <v>0</v>
      </c>
      <c r="V344" s="55">
        <f t="shared" si="10"/>
        <v>0</v>
      </c>
      <c r="W344" s="56">
        <f t="shared" si="11"/>
        <v>0</v>
      </c>
    </row>
    <row r="345" spans="1:23" x14ac:dyDescent="0.3">
      <c r="A345" s="13" t="str" cm="1">
        <f t="array" ref="A345:B345">INDEX(BenchmarkResults!$B$1:$D$35,SUMPRODUCT((T345&gt;=BenchmarkResults!$F$2:$F$35)*(mysql_hardware_log!T345&lt;BenchmarkResults!$G$2:$G$35)*ROW(BenchmarkResults!$F$2:$F$35)),{1,3})</f>
        <v>q3_customer_spend_stats</v>
      </c>
      <c r="B345" s="13">
        <v>2</v>
      </c>
      <c r="C345" s="16">
        <v>0</v>
      </c>
      <c r="D345" s="18">
        <v>0</v>
      </c>
      <c r="E345" s="16">
        <v>458496</v>
      </c>
      <c r="F345" s="13">
        <v>630236</v>
      </c>
      <c r="G345" s="13">
        <v>4344</v>
      </c>
      <c r="H345" s="18">
        <v>3097464</v>
      </c>
      <c r="I345" s="16">
        <v>0</v>
      </c>
      <c r="J345" s="18">
        <v>0</v>
      </c>
      <c r="K345" s="16">
        <v>0</v>
      </c>
      <c r="L345" s="18">
        <v>2</v>
      </c>
      <c r="M345" s="16">
        <v>499</v>
      </c>
      <c r="N345" s="18">
        <v>363</v>
      </c>
      <c r="O345" s="16">
        <v>3</v>
      </c>
      <c r="P345" s="13">
        <v>1</v>
      </c>
      <c r="Q345" s="13">
        <v>97</v>
      </c>
      <c r="R345" s="13">
        <v>0</v>
      </c>
      <c r="S345" s="18">
        <v>0</v>
      </c>
      <c r="T345" s="21">
        <v>46247.367245370369</v>
      </c>
      <c r="U345" s="55">
        <f t="shared" si="10"/>
        <v>0</v>
      </c>
      <c r="V345" s="55">
        <f t="shared" si="10"/>
        <v>0</v>
      </c>
      <c r="W345" s="56">
        <f t="shared" si="11"/>
        <v>0</v>
      </c>
    </row>
    <row r="346" spans="1:23" x14ac:dyDescent="0.3">
      <c r="A346" s="13" t="str" cm="1">
        <f t="array" ref="A346:B346">INDEX(BenchmarkResults!$B$1:$D$35,SUMPRODUCT((T346&gt;=BenchmarkResults!$F$2:$F$35)*(mysql_hardware_log!T346&lt;BenchmarkResults!$G$2:$G$35)*ROW(BenchmarkResults!$F$2:$F$35)),{1,3})</f>
        <v>q3_customer_spend_stats</v>
      </c>
      <c r="B346" s="13">
        <v>3</v>
      </c>
      <c r="C346" s="16">
        <v>1</v>
      </c>
      <c r="D346" s="18">
        <v>0</v>
      </c>
      <c r="E346" s="16">
        <v>458496</v>
      </c>
      <c r="F346" s="13">
        <v>871776</v>
      </c>
      <c r="G346" s="13">
        <v>4356</v>
      </c>
      <c r="H346" s="18">
        <v>2846604</v>
      </c>
      <c r="I346" s="16">
        <v>0</v>
      </c>
      <c r="J346" s="18">
        <v>0</v>
      </c>
      <c r="K346" s="16">
        <v>2326</v>
      </c>
      <c r="L346" s="18">
        <v>9</v>
      </c>
      <c r="M346" s="16">
        <v>858</v>
      </c>
      <c r="N346" s="18">
        <v>414</v>
      </c>
      <c r="O346" s="16">
        <v>19</v>
      </c>
      <c r="P346" s="13">
        <v>2</v>
      </c>
      <c r="Q346" s="13">
        <v>79</v>
      </c>
      <c r="R346" s="13">
        <v>1</v>
      </c>
      <c r="S346" s="18">
        <v>0</v>
      </c>
      <c r="T346" s="21">
        <v>46247.367361111108</v>
      </c>
      <c r="U346" s="55">
        <f t="shared" si="10"/>
        <v>0.16666666666666666</v>
      </c>
      <c r="V346" s="55">
        <f t="shared" si="10"/>
        <v>0</v>
      </c>
      <c r="W346" s="56">
        <f t="shared" si="11"/>
        <v>387.66666666666669</v>
      </c>
    </row>
    <row r="347" spans="1:23" x14ac:dyDescent="0.3">
      <c r="A347" s="13" t="str" cm="1">
        <f t="array" ref="A347:B347">INDEX(BenchmarkResults!$B$1:$D$35,SUMPRODUCT((T347&gt;=BenchmarkResults!$F$2:$F$35)*(mysql_hardware_log!T347&lt;BenchmarkResults!$G$2:$G$35)*ROW(BenchmarkResults!$F$2:$F$35)),{1,3})</f>
        <v>q3_customer_spend_stats</v>
      </c>
      <c r="B347" s="13">
        <v>3</v>
      </c>
      <c r="C347" s="16">
        <v>1</v>
      </c>
      <c r="D347" s="18">
        <v>0</v>
      </c>
      <c r="E347" s="16">
        <v>458496</v>
      </c>
      <c r="F347" s="13">
        <v>656068</v>
      </c>
      <c r="G347" s="13">
        <v>4392</v>
      </c>
      <c r="H347" s="18">
        <v>3052632</v>
      </c>
      <c r="I347" s="16">
        <v>0</v>
      </c>
      <c r="J347" s="18">
        <v>0</v>
      </c>
      <c r="K347" s="16">
        <v>511</v>
      </c>
      <c r="L347" s="18">
        <v>22741</v>
      </c>
      <c r="M347" s="16">
        <v>1491</v>
      </c>
      <c r="N347" s="18">
        <v>436</v>
      </c>
      <c r="O347" s="16">
        <v>48</v>
      </c>
      <c r="P347" s="13">
        <v>3</v>
      </c>
      <c r="Q347" s="13">
        <v>43</v>
      </c>
      <c r="R347" s="13">
        <v>6</v>
      </c>
      <c r="S347" s="18">
        <v>0</v>
      </c>
      <c r="T347" s="21">
        <v>46247.367476851854</v>
      </c>
      <c r="U347" s="55">
        <f t="shared" si="10"/>
        <v>0.33333333333333331</v>
      </c>
      <c r="V347" s="55">
        <f t="shared" si="10"/>
        <v>0</v>
      </c>
      <c r="W347" s="56">
        <f t="shared" si="11"/>
        <v>472.83333333333331</v>
      </c>
    </row>
    <row r="348" spans="1:23" x14ac:dyDescent="0.3">
      <c r="A348" s="13" t="str" cm="1">
        <f t="array" ref="A348:B348">INDEX(BenchmarkResults!$B$1:$D$35,SUMPRODUCT((T348&gt;=BenchmarkResults!$F$2:$F$35)*(mysql_hardware_log!T348&lt;BenchmarkResults!$G$2:$G$35)*ROW(BenchmarkResults!$F$2:$F$35)),{1,3})</f>
        <v>q3_customer_spend_stats</v>
      </c>
      <c r="B348" s="13">
        <v>3</v>
      </c>
      <c r="C348" s="16">
        <v>0</v>
      </c>
      <c r="D348" s="18">
        <v>2</v>
      </c>
      <c r="E348" s="16">
        <v>458496</v>
      </c>
      <c r="F348" s="13">
        <v>106568</v>
      </c>
      <c r="G348" s="13">
        <v>4448</v>
      </c>
      <c r="H348" s="18">
        <v>3597304</v>
      </c>
      <c r="I348" s="16">
        <v>0</v>
      </c>
      <c r="J348" s="18">
        <v>0</v>
      </c>
      <c r="K348" s="16">
        <v>1661</v>
      </c>
      <c r="L348" s="18">
        <v>63096</v>
      </c>
      <c r="M348" s="16">
        <v>1541</v>
      </c>
      <c r="N348" s="18">
        <v>490</v>
      </c>
      <c r="O348" s="16">
        <v>34</v>
      </c>
      <c r="P348" s="13">
        <v>7</v>
      </c>
      <c r="Q348" s="13">
        <v>35</v>
      </c>
      <c r="R348" s="13">
        <v>24</v>
      </c>
      <c r="S348" s="18">
        <v>0</v>
      </c>
      <c r="T348" s="21">
        <v>46247.367592592593</v>
      </c>
      <c r="U348" s="55">
        <f t="shared" si="10"/>
        <v>0.33333333333333331</v>
      </c>
      <c r="V348" s="55">
        <f t="shared" si="10"/>
        <v>0.33333333333333331</v>
      </c>
      <c r="W348" s="56">
        <f t="shared" si="11"/>
        <v>749.66666666666663</v>
      </c>
    </row>
    <row r="349" spans="1:23" x14ac:dyDescent="0.3">
      <c r="A349" s="13" t="str" cm="1">
        <f t="array" ref="A349:B349">INDEX(BenchmarkResults!$B$1:$D$35,SUMPRODUCT((T349&gt;=BenchmarkResults!$F$2:$F$35)*(mysql_hardware_log!T349&lt;BenchmarkResults!$G$2:$G$35)*ROW(BenchmarkResults!$F$2:$F$35)),{1,3})</f>
        <v>q3_customer_spend_stats</v>
      </c>
      <c r="B349" s="13">
        <v>3</v>
      </c>
      <c r="C349" s="16">
        <v>0</v>
      </c>
      <c r="D349" s="18">
        <v>0</v>
      </c>
      <c r="E349" s="16">
        <v>458496</v>
      </c>
      <c r="F349" s="13">
        <v>595668</v>
      </c>
      <c r="G349" s="13">
        <v>4512</v>
      </c>
      <c r="H349" s="18">
        <v>3130500</v>
      </c>
      <c r="I349" s="16">
        <v>0</v>
      </c>
      <c r="J349" s="18">
        <v>0</v>
      </c>
      <c r="K349" s="16">
        <v>4</v>
      </c>
      <c r="L349" s="18">
        <v>66264</v>
      </c>
      <c r="M349" s="16">
        <v>1025</v>
      </c>
      <c r="N349" s="18">
        <v>523</v>
      </c>
      <c r="O349" s="16">
        <v>5</v>
      </c>
      <c r="P349" s="13">
        <v>4</v>
      </c>
      <c r="Q349" s="13">
        <v>72</v>
      </c>
      <c r="R349" s="13">
        <v>19</v>
      </c>
      <c r="S349" s="18">
        <v>0</v>
      </c>
      <c r="T349" s="21">
        <v>46247.367708333331</v>
      </c>
      <c r="U349" s="55">
        <f t="shared" si="10"/>
        <v>0.33333333333333331</v>
      </c>
      <c r="V349" s="55">
        <f t="shared" si="10"/>
        <v>0.33333333333333331</v>
      </c>
      <c r="W349" s="56">
        <f t="shared" si="11"/>
        <v>750.33333333333337</v>
      </c>
    </row>
    <row r="350" spans="1:23" x14ac:dyDescent="0.3">
      <c r="A350" s="13" t="str" cm="1">
        <f t="array" ref="A350:B350">INDEX(BenchmarkResults!$B$1:$D$35,SUMPRODUCT((T350&gt;=BenchmarkResults!$F$2:$F$35)*(mysql_hardware_log!T350&lt;BenchmarkResults!$G$2:$G$35)*ROW(BenchmarkResults!$F$2:$F$35)),{1,3})</f>
        <v>q3_customer_spend_stats</v>
      </c>
      <c r="B350" s="13">
        <v>3</v>
      </c>
      <c r="C350" s="16">
        <v>0</v>
      </c>
      <c r="D350" s="18">
        <v>0</v>
      </c>
      <c r="E350" s="16">
        <v>458496</v>
      </c>
      <c r="F350" s="13">
        <v>596252</v>
      </c>
      <c r="G350" s="13">
        <v>4520</v>
      </c>
      <c r="H350" s="18">
        <v>3130500</v>
      </c>
      <c r="I350" s="16">
        <v>0</v>
      </c>
      <c r="J350" s="18">
        <v>0</v>
      </c>
      <c r="K350" s="16">
        <v>0</v>
      </c>
      <c r="L350" s="18">
        <v>6</v>
      </c>
      <c r="M350" s="16">
        <v>483</v>
      </c>
      <c r="N350" s="18">
        <v>355</v>
      </c>
      <c r="O350" s="16">
        <v>2</v>
      </c>
      <c r="P350" s="13">
        <v>1</v>
      </c>
      <c r="Q350" s="13">
        <v>97</v>
      </c>
      <c r="R350" s="13">
        <v>0</v>
      </c>
      <c r="S350" s="18">
        <v>0</v>
      </c>
      <c r="T350" s="21">
        <v>46247.367824074077</v>
      </c>
      <c r="U350" s="55">
        <f t="shared" si="10"/>
        <v>0.33333333333333331</v>
      </c>
      <c r="V350" s="55">
        <f t="shared" si="10"/>
        <v>0.33333333333333331</v>
      </c>
      <c r="W350" s="56">
        <f t="shared" si="11"/>
        <v>750.33333333333337</v>
      </c>
    </row>
    <row r="351" spans="1:23" x14ac:dyDescent="0.3">
      <c r="A351" s="13" t="str" cm="1">
        <f t="array" ref="A351:B351">INDEX(BenchmarkResults!$B$1:$D$35,SUMPRODUCT((T351&gt;=BenchmarkResults!$F$2:$F$35)*(mysql_hardware_log!T351&lt;BenchmarkResults!$G$2:$G$35)*ROW(BenchmarkResults!$F$2:$F$35)),{1,3})</f>
        <v>q3_customer_spend_stats</v>
      </c>
      <c r="B351" s="13">
        <v>3</v>
      </c>
      <c r="C351" s="16">
        <v>0</v>
      </c>
      <c r="D351" s="18">
        <v>0</v>
      </c>
      <c r="E351" s="16">
        <v>458496</v>
      </c>
      <c r="F351" s="13">
        <v>592868</v>
      </c>
      <c r="G351" s="13">
        <v>4528</v>
      </c>
      <c r="H351" s="18">
        <v>3130500</v>
      </c>
      <c r="I351" s="16">
        <v>0</v>
      </c>
      <c r="J351" s="18">
        <v>0</v>
      </c>
      <c r="K351" s="16">
        <v>0</v>
      </c>
      <c r="L351" s="18">
        <v>2</v>
      </c>
      <c r="M351" s="16">
        <v>486</v>
      </c>
      <c r="N351" s="18">
        <v>358</v>
      </c>
      <c r="O351" s="16">
        <v>2</v>
      </c>
      <c r="P351" s="13">
        <v>1</v>
      </c>
      <c r="Q351" s="13">
        <v>97</v>
      </c>
      <c r="R351" s="13">
        <v>0</v>
      </c>
      <c r="S351" s="18">
        <v>0</v>
      </c>
      <c r="T351" s="21">
        <v>46247.367939814816</v>
      </c>
      <c r="U351" s="55">
        <f t="shared" si="10"/>
        <v>0.33333333333333331</v>
      </c>
      <c r="V351" s="55">
        <f t="shared" si="10"/>
        <v>0.33333333333333331</v>
      </c>
      <c r="W351" s="56">
        <f t="shared" si="11"/>
        <v>750.33333333333337</v>
      </c>
    </row>
    <row r="352" spans="1:23" x14ac:dyDescent="0.3">
      <c r="A352" s="13" t="str" cm="1">
        <f t="array" ref="A352:B352">INDEX(BenchmarkResults!$B$1:$D$35,SUMPRODUCT((T352&gt;=BenchmarkResults!$F$2:$F$35)*(mysql_hardware_log!T352&lt;BenchmarkResults!$G$2:$G$35)*ROW(BenchmarkResults!$F$2:$F$35)),{1,3})</f>
        <v>q3_customer_spend_stats</v>
      </c>
      <c r="B352" s="13">
        <v>3</v>
      </c>
      <c r="C352" s="16">
        <v>1</v>
      </c>
      <c r="D352" s="18">
        <v>0</v>
      </c>
      <c r="E352" s="16">
        <v>458496</v>
      </c>
      <c r="F352" s="13">
        <v>594252</v>
      </c>
      <c r="G352" s="13">
        <v>4536</v>
      </c>
      <c r="H352" s="18">
        <v>3130500</v>
      </c>
      <c r="I352" s="16">
        <v>0</v>
      </c>
      <c r="J352" s="18">
        <v>0</v>
      </c>
      <c r="K352" s="16">
        <v>0</v>
      </c>
      <c r="L352" s="18">
        <v>32</v>
      </c>
      <c r="M352" s="16">
        <v>509</v>
      </c>
      <c r="N352" s="18">
        <v>380</v>
      </c>
      <c r="O352" s="16">
        <v>2</v>
      </c>
      <c r="P352" s="13">
        <v>1</v>
      </c>
      <c r="Q352" s="13">
        <v>97</v>
      </c>
      <c r="R352" s="13">
        <v>0</v>
      </c>
      <c r="S352" s="18">
        <v>0</v>
      </c>
      <c r="T352" s="21">
        <v>46247.368055555555</v>
      </c>
      <c r="U352" s="55">
        <f t="shared" si="10"/>
        <v>0.33333333333333331</v>
      </c>
      <c r="V352" s="55">
        <f t="shared" si="10"/>
        <v>0.33333333333333331</v>
      </c>
      <c r="W352" s="56">
        <f t="shared" si="11"/>
        <v>362.66666666666669</v>
      </c>
    </row>
    <row r="353" spans="1:23" x14ac:dyDescent="0.3">
      <c r="A353" s="13" t="str" cm="1">
        <f t="array" ref="A353:B353">INDEX(BenchmarkResults!$B$1:$D$35,SUMPRODUCT((T353&gt;=BenchmarkResults!$F$2:$F$35)*(mysql_hardware_log!T353&lt;BenchmarkResults!$G$2:$G$35)*ROW(BenchmarkResults!$F$2:$F$35)),{1,3})</f>
        <v>q3_customer_spend_stats</v>
      </c>
      <c r="B353" s="13">
        <v>3</v>
      </c>
      <c r="C353" s="16">
        <v>0</v>
      </c>
      <c r="D353" s="18">
        <v>0</v>
      </c>
      <c r="E353" s="16">
        <v>458496</v>
      </c>
      <c r="F353" s="13">
        <v>593748</v>
      </c>
      <c r="G353" s="13">
        <v>4544</v>
      </c>
      <c r="H353" s="18">
        <v>3130500</v>
      </c>
      <c r="I353" s="16">
        <v>0</v>
      </c>
      <c r="J353" s="18">
        <v>0</v>
      </c>
      <c r="K353" s="16">
        <v>0</v>
      </c>
      <c r="L353" s="18">
        <v>3</v>
      </c>
      <c r="M353" s="16">
        <v>486</v>
      </c>
      <c r="N353" s="18">
        <v>368</v>
      </c>
      <c r="O353" s="16">
        <v>3</v>
      </c>
      <c r="P353" s="13">
        <v>1</v>
      </c>
      <c r="Q353" s="13">
        <v>97</v>
      </c>
      <c r="R353" s="13">
        <v>0</v>
      </c>
      <c r="S353" s="18">
        <v>0</v>
      </c>
      <c r="T353" s="21">
        <v>46247.368171296293</v>
      </c>
      <c r="U353" s="55">
        <f t="shared" si="10"/>
        <v>0.16666666666666666</v>
      </c>
      <c r="V353" s="55">
        <f t="shared" si="10"/>
        <v>0.33333333333333331</v>
      </c>
      <c r="W353" s="56">
        <f t="shared" si="11"/>
        <v>277.5</v>
      </c>
    </row>
    <row r="354" spans="1:23" x14ac:dyDescent="0.3">
      <c r="A354" s="13" t="str" cm="1">
        <f t="array" ref="A354:B354">INDEX(BenchmarkResults!$B$1:$D$35,SUMPRODUCT((T354&gt;=BenchmarkResults!$F$2:$F$35)*(mysql_hardware_log!T354&lt;BenchmarkResults!$G$2:$G$35)*ROW(BenchmarkResults!$F$2:$F$35)),{1,3})</f>
        <v>q3_customer_spend_stats</v>
      </c>
      <c r="B354" s="13">
        <v>3</v>
      </c>
      <c r="C354" s="16">
        <v>0</v>
      </c>
      <c r="D354" s="18">
        <v>0</v>
      </c>
      <c r="E354" s="16">
        <v>458496</v>
      </c>
      <c r="F354" s="13">
        <v>595688</v>
      </c>
      <c r="G354" s="13">
        <v>4552</v>
      </c>
      <c r="H354" s="18">
        <v>3130500</v>
      </c>
      <c r="I354" s="16">
        <v>0</v>
      </c>
      <c r="J354" s="18">
        <v>0</v>
      </c>
      <c r="K354" s="16">
        <v>0</v>
      </c>
      <c r="L354" s="18">
        <v>2</v>
      </c>
      <c r="M354" s="16">
        <v>492</v>
      </c>
      <c r="N354" s="18">
        <v>363</v>
      </c>
      <c r="O354" s="16">
        <v>3</v>
      </c>
      <c r="P354" s="13">
        <v>1</v>
      </c>
      <c r="Q354" s="13">
        <v>97</v>
      </c>
      <c r="R354" s="13">
        <v>0</v>
      </c>
      <c r="S354" s="18">
        <v>0</v>
      </c>
      <c r="T354" s="21">
        <v>46247.368287037039</v>
      </c>
      <c r="U354" s="55">
        <f t="shared" si="10"/>
        <v>0.16666666666666666</v>
      </c>
      <c r="V354" s="55">
        <f t="shared" si="10"/>
        <v>0</v>
      </c>
      <c r="W354" s="56">
        <f t="shared" si="11"/>
        <v>0.66666666666666663</v>
      </c>
    </row>
    <row r="355" spans="1:23" x14ac:dyDescent="0.3">
      <c r="A355" s="13" t="str" cm="1">
        <f t="array" ref="A355:B355">INDEX(BenchmarkResults!$B$1:$D$35,SUMPRODUCT((T355&gt;=BenchmarkResults!$F$2:$F$35)*(mysql_hardware_log!T355&lt;BenchmarkResults!$G$2:$G$35)*ROW(BenchmarkResults!$F$2:$F$35)),{1,3})</f>
        <v>q3_customer_spend_stats</v>
      </c>
      <c r="B355" s="13">
        <v>3</v>
      </c>
      <c r="C355" s="16">
        <v>0</v>
      </c>
      <c r="D355" s="18">
        <v>0</v>
      </c>
      <c r="E355" s="16">
        <v>458496</v>
      </c>
      <c r="F355" s="13">
        <v>595880</v>
      </c>
      <c r="G355" s="13">
        <v>4560</v>
      </c>
      <c r="H355" s="18">
        <v>3130500</v>
      </c>
      <c r="I355" s="16">
        <v>0</v>
      </c>
      <c r="J355" s="18">
        <v>0</v>
      </c>
      <c r="K355" s="16">
        <v>0</v>
      </c>
      <c r="L355" s="18">
        <v>2</v>
      </c>
      <c r="M355" s="16">
        <v>498</v>
      </c>
      <c r="N355" s="18">
        <v>364</v>
      </c>
      <c r="O355" s="16">
        <v>3</v>
      </c>
      <c r="P355" s="13">
        <v>1</v>
      </c>
      <c r="Q355" s="13">
        <v>97</v>
      </c>
      <c r="R355" s="13">
        <v>0</v>
      </c>
      <c r="S355" s="18">
        <v>0</v>
      </c>
      <c r="T355" s="21">
        <v>46247.368402777778</v>
      </c>
      <c r="U355" s="55">
        <f t="shared" si="10"/>
        <v>0.16666666666666666</v>
      </c>
      <c r="V355" s="55">
        <f t="shared" si="10"/>
        <v>0</v>
      </c>
      <c r="W355" s="56">
        <f t="shared" si="11"/>
        <v>0</v>
      </c>
    </row>
    <row r="356" spans="1:23" x14ac:dyDescent="0.3">
      <c r="A356" s="13" t="str" cm="1">
        <f t="array" ref="A356:B356">INDEX(BenchmarkResults!$B$1:$D$35,SUMPRODUCT((T356&gt;=BenchmarkResults!$F$2:$F$35)*(mysql_hardware_log!T356&lt;BenchmarkResults!$G$2:$G$35)*ROW(BenchmarkResults!$F$2:$F$35)),{1,3})</f>
        <v>q3_customer_spend_stats</v>
      </c>
      <c r="B356" s="13">
        <v>3</v>
      </c>
      <c r="C356" s="16">
        <v>0</v>
      </c>
      <c r="D356" s="18">
        <v>0</v>
      </c>
      <c r="E356" s="16">
        <v>458496</v>
      </c>
      <c r="F356" s="13">
        <v>593760</v>
      </c>
      <c r="G356" s="13">
        <v>4568</v>
      </c>
      <c r="H356" s="18">
        <v>3130500</v>
      </c>
      <c r="I356" s="16">
        <v>0</v>
      </c>
      <c r="J356" s="18">
        <v>0</v>
      </c>
      <c r="K356" s="16">
        <v>0</v>
      </c>
      <c r="L356" s="18">
        <v>2</v>
      </c>
      <c r="M356" s="16">
        <v>503</v>
      </c>
      <c r="N356" s="18">
        <v>370</v>
      </c>
      <c r="O356" s="16">
        <v>3</v>
      </c>
      <c r="P356" s="13">
        <v>1</v>
      </c>
      <c r="Q356" s="13">
        <v>97</v>
      </c>
      <c r="R356" s="13">
        <v>0</v>
      </c>
      <c r="S356" s="18">
        <v>0</v>
      </c>
      <c r="T356" s="21">
        <v>46247.368518518517</v>
      </c>
      <c r="U356" s="55">
        <f t="shared" si="10"/>
        <v>0.16666666666666666</v>
      </c>
      <c r="V356" s="55">
        <f t="shared" si="10"/>
        <v>0</v>
      </c>
      <c r="W356" s="56">
        <f t="shared" si="11"/>
        <v>0</v>
      </c>
    </row>
    <row r="357" spans="1:23" x14ac:dyDescent="0.3">
      <c r="A357" s="13" t="str" cm="1">
        <f t="array" ref="A357:B357">INDEX(BenchmarkResults!$B$1:$D$35,SUMPRODUCT((T357&gt;=BenchmarkResults!$F$2:$F$35)*(mysql_hardware_log!T357&lt;BenchmarkResults!$G$2:$G$35)*ROW(BenchmarkResults!$F$2:$F$35)),{1,3})</f>
        <v>q4_category_revenue</v>
      </c>
      <c r="B357" s="13">
        <v>1</v>
      </c>
      <c r="C357" s="16">
        <v>1</v>
      </c>
      <c r="D357" s="18">
        <v>0</v>
      </c>
      <c r="E357" s="16">
        <v>458496</v>
      </c>
      <c r="F357" s="13">
        <v>946924</v>
      </c>
      <c r="G357" s="13">
        <v>4588</v>
      </c>
      <c r="H357" s="18">
        <v>2785056</v>
      </c>
      <c r="I357" s="16">
        <v>14</v>
      </c>
      <c r="J357" s="18">
        <v>0</v>
      </c>
      <c r="K357" s="16">
        <v>176</v>
      </c>
      <c r="L357" s="18">
        <v>9</v>
      </c>
      <c r="M357" s="16">
        <v>525</v>
      </c>
      <c r="N357" s="18">
        <v>384</v>
      </c>
      <c r="O357" s="16">
        <v>4</v>
      </c>
      <c r="P357" s="13">
        <v>1</v>
      </c>
      <c r="Q357" s="13">
        <v>95</v>
      </c>
      <c r="R357" s="13">
        <v>0</v>
      </c>
      <c r="S357" s="18">
        <v>0</v>
      </c>
      <c r="T357" s="21">
        <v>46247.368634259263</v>
      </c>
      <c r="U357" s="55">
        <f t="shared" si="10"/>
        <v>0.33333333333333331</v>
      </c>
      <c r="V357" s="55">
        <f t="shared" si="10"/>
        <v>0</v>
      </c>
      <c r="W357" s="56">
        <f t="shared" si="11"/>
        <v>29.333333333333332</v>
      </c>
    </row>
    <row r="358" spans="1:23" x14ac:dyDescent="0.3">
      <c r="A358" s="13" t="str" cm="1">
        <f t="array" ref="A358:B358">INDEX(BenchmarkResults!$B$1:$D$35,SUMPRODUCT((T358&gt;=BenchmarkResults!$F$2:$F$35)*(mysql_hardware_log!T358&lt;BenchmarkResults!$G$2:$G$35)*ROW(BenchmarkResults!$F$2:$F$35)),{1,3})</f>
        <v>q4_category_revenue</v>
      </c>
      <c r="B358" s="13">
        <v>1</v>
      </c>
      <c r="C358" s="16">
        <v>1</v>
      </c>
      <c r="D358" s="18">
        <v>0</v>
      </c>
      <c r="E358" s="16">
        <v>458240</v>
      </c>
      <c r="F358" s="13">
        <v>908480</v>
      </c>
      <c r="G358" s="13">
        <v>4732</v>
      </c>
      <c r="H358" s="18">
        <v>2809240</v>
      </c>
      <c r="I358" s="16">
        <v>12</v>
      </c>
      <c r="J358" s="18">
        <v>0</v>
      </c>
      <c r="K358" s="16">
        <v>2440</v>
      </c>
      <c r="L358" s="18">
        <v>13</v>
      </c>
      <c r="M358" s="16">
        <v>1363</v>
      </c>
      <c r="N358" s="18">
        <v>371</v>
      </c>
      <c r="O358" s="16">
        <v>49</v>
      </c>
      <c r="P358" s="13">
        <v>1</v>
      </c>
      <c r="Q358" s="13">
        <v>49</v>
      </c>
      <c r="R358" s="13">
        <v>0</v>
      </c>
      <c r="S358" s="18">
        <v>0</v>
      </c>
      <c r="T358" s="21">
        <v>46247.368750000001</v>
      </c>
      <c r="U358" s="55">
        <f t="shared" si="10"/>
        <v>0.33333333333333331</v>
      </c>
      <c r="V358" s="55">
        <f t="shared" si="10"/>
        <v>0</v>
      </c>
      <c r="W358" s="56">
        <f t="shared" si="11"/>
        <v>436</v>
      </c>
    </row>
    <row r="359" spans="1:23" x14ac:dyDescent="0.3">
      <c r="A359" s="13" t="str" cm="1">
        <f t="array" ref="A359:B359">INDEX(BenchmarkResults!$B$1:$D$35,SUMPRODUCT((T359&gt;=BenchmarkResults!$F$2:$F$35)*(mysql_hardware_log!T359&lt;BenchmarkResults!$G$2:$G$35)*ROW(BenchmarkResults!$F$2:$F$35)),{1,3})</f>
        <v>q4_category_revenue</v>
      </c>
      <c r="B359" s="13">
        <v>1</v>
      </c>
      <c r="C359" s="16">
        <v>1</v>
      </c>
      <c r="D359" s="18">
        <v>0</v>
      </c>
      <c r="E359" s="16">
        <v>458240</v>
      </c>
      <c r="F359" s="13">
        <v>891092</v>
      </c>
      <c r="G359" s="13">
        <v>4740</v>
      </c>
      <c r="H359" s="18">
        <v>2830240</v>
      </c>
      <c r="I359" s="16">
        <v>0</v>
      </c>
      <c r="J359" s="18">
        <v>0</v>
      </c>
      <c r="K359" s="16">
        <v>2108</v>
      </c>
      <c r="L359" s="18">
        <v>3</v>
      </c>
      <c r="M359" s="16">
        <v>1368</v>
      </c>
      <c r="N359" s="18">
        <v>370</v>
      </c>
      <c r="O359" s="16">
        <v>50</v>
      </c>
      <c r="P359" s="13">
        <v>0</v>
      </c>
      <c r="Q359" s="13">
        <v>50</v>
      </c>
      <c r="R359" s="13">
        <v>0</v>
      </c>
      <c r="S359" s="18">
        <v>0</v>
      </c>
      <c r="T359" s="21">
        <v>46247.36886574074</v>
      </c>
      <c r="U359" s="55">
        <f t="shared" si="10"/>
        <v>0.5</v>
      </c>
      <c r="V359" s="55">
        <f t="shared" si="10"/>
        <v>0</v>
      </c>
      <c r="W359" s="56">
        <f t="shared" si="11"/>
        <v>787.33333333333337</v>
      </c>
    </row>
    <row r="360" spans="1:23" x14ac:dyDescent="0.3">
      <c r="A360" s="13" t="str" cm="1">
        <f t="array" ref="A360:B360">INDEX(BenchmarkResults!$B$1:$D$35,SUMPRODUCT((T360&gt;=BenchmarkResults!$F$2:$F$35)*(mysql_hardware_log!T360&lt;BenchmarkResults!$G$2:$G$35)*ROW(BenchmarkResults!$F$2:$F$35)),{1,3})</f>
        <v>q4_category_revenue</v>
      </c>
      <c r="B360" s="13">
        <v>1</v>
      </c>
      <c r="C360" s="16">
        <v>1</v>
      </c>
      <c r="D360" s="18">
        <v>0</v>
      </c>
      <c r="E360" s="16">
        <v>451328</v>
      </c>
      <c r="F360" s="13">
        <v>861860</v>
      </c>
      <c r="G360" s="13">
        <v>4748</v>
      </c>
      <c r="H360" s="18">
        <v>2849036</v>
      </c>
      <c r="I360" s="16">
        <v>998</v>
      </c>
      <c r="J360" s="18">
        <v>0</v>
      </c>
      <c r="K360" s="16">
        <v>2876</v>
      </c>
      <c r="L360" s="18">
        <v>2</v>
      </c>
      <c r="M360" s="16">
        <v>1623</v>
      </c>
      <c r="N360" s="18">
        <v>632</v>
      </c>
      <c r="O360" s="16">
        <v>46</v>
      </c>
      <c r="P360" s="13">
        <v>1</v>
      </c>
      <c r="Q360" s="13">
        <v>49</v>
      </c>
      <c r="R360" s="13">
        <v>3</v>
      </c>
      <c r="S360" s="18">
        <v>0</v>
      </c>
      <c r="T360" s="21">
        <v>46247.368981481479</v>
      </c>
      <c r="U360" s="55">
        <f t="shared" si="10"/>
        <v>0.66666666666666663</v>
      </c>
      <c r="V360" s="55">
        <f t="shared" si="10"/>
        <v>0</v>
      </c>
      <c r="W360" s="56">
        <f t="shared" si="11"/>
        <v>1266.6666666666667</v>
      </c>
    </row>
    <row r="361" spans="1:23" x14ac:dyDescent="0.3">
      <c r="A361" s="13" t="str" cm="1">
        <f t="array" ref="A361:B361">INDEX(BenchmarkResults!$B$1:$D$35,SUMPRODUCT((T361&gt;=BenchmarkResults!$F$2:$F$35)*(mysql_hardware_log!T361&lt;BenchmarkResults!$G$2:$G$35)*ROW(BenchmarkResults!$F$2:$F$35)),{1,3})</f>
        <v>q4_category_revenue</v>
      </c>
      <c r="B361" s="13">
        <v>1</v>
      </c>
      <c r="C361" s="16">
        <v>1</v>
      </c>
      <c r="D361" s="18">
        <v>0</v>
      </c>
      <c r="E361" s="16">
        <v>451072</v>
      </c>
      <c r="F361" s="13">
        <v>837668</v>
      </c>
      <c r="G361" s="13">
        <v>4756</v>
      </c>
      <c r="H361" s="18">
        <v>2870984</v>
      </c>
      <c r="I361" s="16">
        <v>9</v>
      </c>
      <c r="J361" s="18">
        <v>0</v>
      </c>
      <c r="K361" s="16">
        <v>2204</v>
      </c>
      <c r="L361" s="18">
        <v>2</v>
      </c>
      <c r="M361" s="16">
        <v>1353</v>
      </c>
      <c r="N361" s="18">
        <v>359</v>
      </c>
      <c r="O361" s="16">
        <v>50</v>
      </c>
      <c r="P361" s="13">
        <v>0</v>
      </c>
      <c r="Q361" s="13">
        <v>50</v>
      </c>
      <c r="R361" s="13">
        <v>0</v>
      </c>
      <c r="S361" s="18">
        <v>0</v>
      </c>
      <c r="T361" s="21">
        <v>46247.369097222225</v>
      </c>
      <c r="U361" s="55">
        <f t="shared" si="10"/>
        <v>0.83333333333333337</v>
      </c>
      <c r="V361" s="55">
        <f t="shared" si="10"/>
        <v>0</v>
      </c>
      <c r="W361" s="56">
        <f t="shared" si="11"/>
        <v>1634</v>
      </c>
    </row>
    <row r="362" spans="1:23" x14ac:dyDescent="0.3">
      <c r="A362" s="13" t="str" cm="1">
        <f t="array" ref="A362:B362">INDEX(BenchmarkResults!$B$1:$D$35,SUMPRODUCT((T362&gt;=BenchmarkResults!$F$2:$F$35)*(mysql_hardware_log!T362&lt;BenchmarkResults!$G$2:$G$35)*ROW(BenchmarkResults!$F$2:$F$35)),{1,3})</f>
        <v>q4_category_revenue</v>
      </c>
      <c r="B362" s="13">
        <v>1</v>
      </c>
      <c r="C362" s="16">
        <v>1</v>
      </c>
      <c r="D362" s="18">
        <v>0</v>
      </c>
      <c r="E362" s="16">
        <v>451072</v>
      </c>
      <c r="F362" s="13">
        <v>822548</v>
      </c>
      <c r="G362" s="13">
        <v>4764</v>
      </c>
      <c r="H362" s="18">
        <v>2890968</v>
      </c>
      <c r="I362" s="16">
        <v>6</v>
      </c>
      <c r="J362" s="18">
        <v>0</v>
      </c>
      <c r="K362" s="16">
        <v>1997</v>
      </c>
      <c r="L362" s="18">
        <v>2</v>
      </c>
      <c r="M362" s="16">
        <v>1334</v>
      </c>
      <c r="N362" s="18">
        <v>343</v>
      </c>
      <c r="O362" s="16">
        <v>50</v>
      </c>
      <c r="P362" s="13">
        <v>0</v>
      </c>
      <c r="Q362" s="13">
        <v>50</v>
      </c>
      <c r="R362" s="13">
        <v>0</v>
      </c>
      <c r="S362" s="18">
        <v>0</v>
      </c>
      <c r="T362" s="21">
        <v>46247.369212962964</v>
      </c>
      <c r="U362" s="55">
        <f t="shared" si="10"/>
        <v>1</v>
      </c>
      <c r="V362" s="55">
        <f t="shared" si="10"/>
        <v>0</v>
      </c>
      <c r="W362" s="56">
        <f t="shared" si="11"/>
        <v>1966.8333333333333</v>
      </c>
    </row>
    <row r="363" spans="1:23" x14ac:dyDescent="0.3">
      <c r="A363" s="13" t="str" cm="1">
        <f t="array" ref="A363:B363">INDEX(BenchmarkResults!$B$1:$D$35,SUMPRODUCT((T363&gt;=BenchmarkResults!$F$2:$F$35)*(mysql_hardware_log!T363&lt;BenchmarkResults!$G$2:$G$35)*ROW(BenchmarkResults!$F$2:$F$35)),{1,3})</f>
        <v>q4_category_revenue</v>
      </c>
      <c r="B363" s="13">
        <v>1</v>
      </c>
      <c r="C363" s="16">
        <v>1</v>
      </c>
      <c r="D363" s="18">
        <v>0</v>
      </c>
      <c r="E363" s="16">
        <v>451072</v>
      </c>
      <c r="F363" s="13">
        <v>798356</v>
      </c>
      <c r="G363" s="13">
        <v>4772</v>
      </c>
      <c r="H363" s="18">
        <v>2912192</v>
      </c>
      <c r="I363" s="16">
        <v>3</v>
      </c>
      <c r="J363" s="18">
        <v>0</v>
      </c>
      <c r="K363" s="16">
        <v>2126</v>
      </c>
      <c r="L363" s="18">
        <v>2</v>
      </c>
      <c r="M363" s="16">
        <v>1344</v>
      </c>
      <c r="N363" s="18">
        <v>350</v>
      </c>
      <c r="O363" s="16">
        <v>50</v>
      </c>
      <c r="P363" s="13">
        <v>0</v>
      </c>
      <c r="Q363" s="13">
        <v>50</v>
      </c>
      <c r="R363" s="13">
        <v>0</v>
      </c>
      <c r="S363" s="18">
        <v>0</v>
      </c>
      <c r="T363" s="21">
        <v>46247.369328703702</v>
      </c>
      <c r="U363" s="55">
        <f t="shared" si="10"/>
        <v>1</v>
      </c>
      <c r="V363" s="55">
        <f t="shared" si="10"/>
        <v>0</v>
      </c>
      <c r="W363" s="56">
        <f t="shared" si="11"/>
        <v>2291.8333333333335</v>
      </c>
    </row>
    <row r="364" spans="1:23" x14ac:dyDescent="0.3">
      <c r="A364" s="13" t="str" cm="1">
        <f t="array" ref="A364:B364">INDEX(BenchmarkResults!$B$1:$D$35,SUMPRODUCT((T364&gt;=BenchmarkResults!$F$2:$F$35)*(mysql_hardware_log!T364&lt;BenchmarkResults!$G$2:$G$35)*ROW(BenchmarkResults!$F$2:$F$35)),{1,3})</f>
        <v>q4_category_revenue</v>
      </c>
      <c r="B364" s="13">
        <v>1</v>
      </c>
      <c r="C364" s="16">
        <v>1</v>
      </c>
      <c r="D364" s="18">
        <v>0</v>
      </c>
      <c r="E364" s="16">
        <v>451072</v>
      </c>
      <c r="F364" s="13">
        <v>782228</v>
      </c>
      <c r="G364" s="13">
        <v>4780</v>
      </c>
      <c r="H364" s="18">
        <v>2932920</v>
      </c>
      <c r="I364" s="16">
        <v>9</v>
      </c>
      <c r="J364" s="18">
        <v>0</v>
      </c>
      <c r="K364" s="16">
        <v>2086</v>
      </c>
      <c r="L364" s="18">
        <v>2</v>
      </c>
      <c r="M364" s="16">
        <v>1353</v>
      </c>
      <c r="N364" s="18">
        <v>365</v>
      </c>
      <c r="O364" s="16">
        <v>50</v>
      </c>
      <c r="P364" s="13">
        <v>0</v>
      </c>
      <c r="Q364" s="13">
        <v>50</v>
      </c>
      <c r="R364" s="13">
        <v>0</v>
      </c>
      <c r="S364" s="18">
        <v>0</v>
      </c>
      <c r="T364" s="21">
        <v>46247.369444444441</v>
      </c>
      <c r="U364" s="55">
        <f t="shared" si="10"/>
        <v>1</v>
      </c>
      <c r="V364" s="55">
        <f t="shared" si="10"/>
        <v>0</v>
      </c>
      <c r="W364" s="56">
        <f t="shared" si="11"/>
        <v>2232.8333333333335</v>
      </c>
    </row>
    <row r="365" spans="1:23" x14ac:dyDescent="0.3">
      <c r="A365" s="13" t="str" cm="1">
        <f t="array" ref="A365:B365">INDEX(BenchmarkResults!$B$1:$D$35,SUMPRODUCT((T365&gt;=BenchmarkResults!$F$2:$F$35)*(mysql_hardware_log!T365&lt;BenchmarkResults!$G$2:$G$35)*ROW(BenchmarkResults!$F$2:$F$35)),{1,3})</f>
        <v>q4_category_revenue</v>
      </c>
      <c r="B365" s="13">
        <v>1</v>
      </c>
      <c r="C365" s="16">
        <v>1</v>
      </c>
      <c r="D365" s="18">
        <v>0</v>
      </c>
      <c r="E365" s="16">
        <v>451072</v>
      </c>
      <c r="F365" s="13">
        <v>760052</v>
      </c>
      <c r="G365" s="13">
        <v>4796</v>
      </c>
      <c r="H365" s="18">
        <v>2952620</v>
      </c>
      <c r="I365" s="16">
        <v>4</v>
      </c>
      <c r="J365" s="18">
        <v>0</v>
      </c>
      <c r="K365" s="16">
        <v>1975</v>
      </c>
      <c r="L365" s="18">
        <v>3</v>
      </c>
      <c r="M365" s="16">
        <v>1341</v>
      </c>
      <c r="N365" s="18">
        <v>355</v>
      </c>
      <c r="O365" s="16">
        <v>50</v>
      </c>
      <c r="P365" s="13">
        <v>0</v>
      </c>
      <c r="Q365" s="13">
        <v>50</v>
      </c>
      <c r="R365" s="13">
        <v>0</v>
      </c>
      <c r="S365" s="18">
        <v>0</v>
      </c>
      <c r="T365" s="21">
        <v>46247.369560185187</v>
      </c>
      <c r="U365" s="55">
        <f t="shared" si="10"/>
        <v>1</v>
      </c>
      <c r="V365" s="55">
        <f t="shared" si="10"/>
        <v>0</v>
      </c>
      <c r="W365" s="56">
        <f t="shared" si="11"/>
        <v>2210.6666666666665</v>
      </c>
    </row>
    <row r="366" spans="1:23" x14ac:dyDescent="0.3">
      <c r="A366" s="13" t="str" cm="1">
        <f t="array" ref="A366:B366">INDEX(BenchmarkResults!$B$1:$D$35,SUMPRODUCT((T366&gt;=BenchmarkResults!$F$2:$F$35)*(mysql_hardware_log!T366&lt;BenchmarkResults!$G$2:$G$35)*ROW(BenchmarkResults!$F$2:$F$35)),{1,3})</f>
        <v>q4_category_revenue</v>
      </c>
      <c r="B366" s="13">
        <v>1</v>
      </c>
      <c r="C366" s="16">
        <v>1</v>
      </c>
      <c r="D366" s="18">
        <v>0</v>
      </c>
      <c r="E366" s="16">
        <v>451072</v>
      </c>
      <c r="F366" s="13">
        <v>739136</v>
      </c>
      <c r="G366" s="13">
        <v>4804</v>
      </c>
      <c r="H366" s="18">
        <v>2973444</v>
      </c>
      <c r="I366" s="16">
        <v>8</v>
      </c>
      <c r="J366" s="18">
        <v>0</v>
      </c>
      <c r="K366" s="16">
        <v>2089</v>
      </c>
      <c r="L366" s="18">
        <v>2</v>
      </c>
      <c r="M366" s="16">
        <v>1347</v>
      </c>
      <c r="N366" s="18">
        <v>345</v>
      </c>
      <c r="O366" s="16">
        <v>50</v>
      </c>
      <c r="P366" s="13">
        <v>0</v>
      </c>
      <c r="Q366" s="13">
        <v>50</v>
      </c>
      <c r="R366" s="13">
        <v>0</v>
      </c>
      <c r="S366" s="18">
        <v>0</v>
      </c>
      <c r="T366" s="21">
        <v>46247.369675925926</v>
      </c>
      <c r="U366" s="55">
        <f t="shared" si="10"/>
        <v>1</v>
      </c>
      <c r="V366" s="55">
        <f t="shared" si="10"/>
        <v>0</v>
      </c>
      <c r="W366" s="56">
        <f t="shared" si="11"/>
        <v>2079.5</v>
      </c>
    </row>
    <row r="367" spans="1:23" x14ac:dyDescent="0.3">
      <c r="A367" s="13" t="str" cm="1">
        <f t="array" ref="A367:B367">INDEX(BenchmarkResults!$B$1:$D$35,SUMPRODUCT((T367&gt;=BenchmarkResults!$F$2:$F$35)*(mysql_hardware_log!T367&lt;BenchmarkResults!$G$2:$G$35)*ROW(BenchmarkResults!$F$2:$F$35)),{1,3})</f>
        <v>q4_category_revenue</v>
      </c>
      <c r="B367" s="13">
        <v>1</v>
      </c>
      <c r="C367" s="16">
        <v>1</v>
      </c>
      <c r="D367" s="18">
        <v>0</v>
      </c>
      <c r="E367" s="16">
        <v>450816</v>
      </c>
      <c r="F367" s="13">
        <v>716712</v>
      </c>
      <c r="G367" s="13">
        <v>4812</v>
      </c>
      <c r="H367" s="18">
        <v>2994084</v>
      </c>
      <c r="I367" s="16">
        <v>6</v>
      </c>
      <c r="J367" s="18">
        <v>0</v>
      </c>
      <c r="K367" s="16">
        <v>2074</v>
      </c>
      <c r="L367" s="18">
        <v>2</v>
      </c>
      <c r="M367" s="16">
        <v>1353</v>
      </c>
      <c r="N367" s="18">
        <v>355</v>
      </c>
      <c r="O367" s="16">
        <v>50</v>
      </c>
      <c r="P367" s="13">
        <v>0</v>
      </c>
      <c r="Q367" s="13">
        <v>49</v>
      </c>
      <c r="R367" s="13">
        <v>0</v>
      </c>
      <c r="S367" s="18">
        <v>0</v>
      </c>
      <c r="T367" s="21">
        <v>46247.369791666664</v>
      </c>
      <c r="U367" s="55">
        <f t="shared" si="10"/>
        <v>1</v>
      </c>
      <c r="V367" s="55">
        <f t="shared" si="10"/>
        <v>0</v>
      </c>
      <c r="W367" s="56">
        <f t="shared" si="11"/>
        <v>2057.8333333333335</v>
      </c>
    </row>
    <row r="368" spans="1:23" x14ac:dyDescent="0.3">
      <c r="A368" s="13" t="str" cm="1">
        <f t="array" ref="A368:B368">INDEX(BenchmarkResults!$B$1:$D$35,SUMPRODUCT((T368&gt;=BenchmarkResults!$F$2:$F$35)*(mysql_hardware_log!T368&lt;BenchmarkResults!$G$2:$G$35)*ROW(BenchmarkResults!$F$2:$F$35)),{1,3})</f>
        <v>q4_category_revenue</v>
      </c>
      <c r="B368" s="13">
        <v>1</v>
      </c>
      <c r="C368" s="16">
        <v>1</v>
      </c>
      <c r="D368" s="18">
        <v>0</v>
      </c>
      <c r="E368" s="16">
        <v>450816</v>
      </c>
      <c r="F368" s="13">
        <v>686976</v>
      </c>
      <c r="G368" s="13">
        <v>4820</v>
      </c>
      <c r="H368" s="18">
        <v>3013640</v>
      </c>
      <c r="I368" s="16">
        <v>4</v>
      </c>
      <c r="J368" s="18">
        <v>0</v>
      </c>
      <c r="K368" s="16">
        <v>1949</v>
      </c>
      <c r="L368" s="18">
        <v>18</v>
      </c>
      <c r="M368" s="16">
        <v>1373</v>
      </c>
      <c r="N368" s="18">
        <v>368</v>
      </c>
      <c r="O368" s="16">
        <v>50</v>
      </c>
      <c r="P368" s="13">
        <v>0</v>
      </c>
      <c r="Q368" s="13">
        <v>49</v>
      </c>
      <c r="R368" s="13">
        <v>0</v>
      </c>
      <c r="S368" s="18">
        <v>0</v>
      </c>
      <c r="T368" s="21">
        <v>46247.36990740741</v>
      </c>
      <c r="U368" s="55">
        <f t="shared" si="10"/>
        <v>1</v>
      </c>
      <c r="V368" s="55">
        <f t="shared" si="10"/>
        <v>0</v>
      </c>
      <c r="W368" s="56">
        <f t="shared" si="11"/>
        <v>2049.8333333333335</v>
      </c>
    </row>
    <row r="369" spans="1:23" x14ac:dyDescent="0.3">
      <c r="A369" s="13" t="str" cm="1">
        <f t="array" ref="A369:B369">INDEX(BenchmarkResults!$B$1:$D$35,SUMPRODUCT((T369&gt;=BenchmarkResults!$F$2:$F$35)*(mysql_hardware_log!T369&lt;BenchmarkResults!$G$2:$G$35)*ROW(BenchmarkResults!$F$2:$F$35)),{1,3})</f>
        <v>q4_category_revenue</v>
      </c>
      <c r="B369" s="13">
        <v>2</v>
      </c>
      <c r="C369" s="16">
        <v>2</v>
      </c>
      <c r="D369" s="18">
        <v>0</v>
      </c>
      <c r="E369" s="16">
        <v>450560</v>
      </c>
      <c r="F369" s="13">
        <v>649644</v>
      </c>
      <c r="G369" s="13">
        <v>4836</v>
      </c>
      <c r="H369" s="18">
        <v>3027668</v>
      </c>
      <c r="I369" s="16">
        <v>30</v>
      </c>
      <c r="J369" s="18">
        <v>0</v>
      </c>
      <c r="K369" s="16">
        <v>1431</v>
      </c>
      <c r="L369" s="18">
        <v>12</v>
      </c>
      <c r="M369" s="16">
        <v>1366</v>
      </c>
      <c r="N369" s="18">
        <v>371</v>
      </c>
      <c r="O369" s="16">
        <v>50</v>
      </c>
      <c r="P369" s="13">
        <v>1</v>
      </c>
      <c r="Q369" s="13">
        <v>49</v>
      </c>
      <c r="R369" s="13">
        <v>0</v>
      </c>
      <c r="S369" s="18">
        <v>0</v>
      </c>
      <c r="T369" s="21">
        <v>46247.370023148149</v>
      </c>
      <c r="U369" s="55">
        <f t="shared" si="10"/>
        <v>1.1666666666666667</v>
      </c>
      <c r="V369" s="55">
        <f t="shared" si="10"/>
        <v>0</v>
      </c>
      <c r="W369" s="56">
        <f t="shared" si="11"/>
        <v>1934</v>
      </c>
    </row>
    <row r="370" spans="1:23" x14ac:dyDescent="0.3">
      <c r="A370" s="13" t="str" cm="1">
        <f t="array" ref="A370:B370">INDEX(BenchmarkResults!$B$1:$D$35,SUMPRODUCT((T370&gt;=BenchmarkResults!$F$2:$F$35)*(mysql_hardware_log!T370&lt;BenchmarkResults!$G$2:$G$35)*ROW(BenchmarkResults!$F$2:$F$35)),{1,3})</f>
        <v>q4_category_revenue</v>
      </c>
      <c r="B370" s="13">
        <v>2</v>
      </c>
      <c r="C370" s="16">
        <v>1</v>
      </c>
      <c r="D370" s="18">
        <v>0</v>
      </c>
      <c r="E370" s="16">
        <v>450560</v>
      </c>
      <c r="F370" s="13">
        <v>675008</v>
      </c>
      <c r="G370" s="13">
        <v>4844</v>
      </c>
      <c r="H370" s="18">
        <v>3027732</v>
      </c>
      <c r="I370" s="16">
        <v>6</v>
      </c>
      <c r="J370" s="18">
        <v>0</v>
      </c>
      <c r="K370" s="16">
        <v>6</v>
      </c>
      <c r="L370" s="18">
        <v>16</v>
      </c>
      <c r="M370" s="16">
        <v>833</v>
      </c>
      <c r="N370" s="18">
        <v>258</v>
      </c>
      <c r="O370" s="16">
        <v>39</v>
      </c>
      <c r="P370" s="13">
        <v>0</v>
      </c>
      <c r="Q370" s="13">
        <v>61</v>
      </c>
      <c r="R370" s="13">
        <v>0</v>
      </c>
      <c r="S370" s="18">
        <v>0</v>
      </c>
      <c r="T370" s="21">
        <v>46247.370138888888</v>
      </c>
      <c r="U370" s="55">
        <f t="shared" si="10"/>
        <v>1.1666666666666667</v>
      </c>
      <c r="V370" s="55">
        <f t="shared" si="10"/>
        <v>0</v>
      </c>
      <c r="W370" s="56">
        <f t="shared" si="11"/>
        <v>1587.3333333333333</v>
      </c>
    </row>
    <row r="371" spans="1:23" x14ac:dyDescent="0.3">
      <c r="A371" s="13" t="str" cm="1">
        <f t="array" ref="A371:B371">INDEX(BenchmarkResults!$B$1:$D$35,SUMPRODUCT((T371&gt;=BenchmarkResults!$F$2:$F$35)*(mysql_hardware_log!T371&lt;BenchmarkResults!$G$2:$G$35)*ROW(BenchmarkResults!$F$2:$F$35)),{1,3})</f>
        <v>q4_category_revenue</v>
      </c>
      <c r="B371" s="13">
        <v>2</v>
      </c>
      <c r="C371" s="16">
        <v>1</v>
      </c>
      <c r="D371" s="18">
        <v>0</v>
      </c>
      <c r="E371" s="16">
        <v>450560</v>
      </c>
      <c r="F371" s="13">
        <v>676020</v>
      </c>
      <c r="G371" s="13">
        <v>4852</v>
      </c>
      <c r="H371" s="18">
        <v>3027732</v>
      </c>
      <c r="I371" s="16">
        <v>2</v>
      </c>
      <c r="J371" s="18">
        <v>0</v>
      </c>
      <c r="K371" s="16">
        <v>2</v>
      </c>
      <c r="L371" s="18">
        <v>22</v>
      </c>
      <c r="M371" s="16">
        <v>680</v>
      </c>
      <c r="N371" s="18">
        <v>221</v>
      </c>
      <c r="O371" s="16">
        <v>33</v>
      </c>
      <c r="P371" s="13">
        <v>0</v>
      </c>
      <c r="Q371" s="13">
        <v>66</v>
      </c>
      <c r="R371" s="13">
        <v>0</v>
      </c>
      <c r="S371" s="18">
        <v>0</v>
      </c>
      <c r="T371" s="21">
        <v>46247.370254629626</v>
      </c>
      <c r="U371" s="55">
        <f t="shared" si="10"/>
        <v>1.1666666666666667</v>
      </c>
      <c r="V371" s="55">
        <f t="shared" si="10"/>
        <v>0</v>
      </c>
      <c r="W371" s="56">
        <f t="shared" si="11"/>
        <v>1258.5</v>
      </c>
    </row>
    <row r="372" spans="1:23" x14ac:dyDescent="0.3">
      <c r="A372" s="13" t="str" cm="1">
        <f t="array" ref="A372:B372">INDEX(BenchmarkResults!$B$1:$D$35,SUMPRODUCT((T372&gt;=BenchmarkResults!$F$2:$F$35)*(mysql_hardware_log!T372&lt;BenchmarkResults!$G$2:$G$35)*ROW(BenchmarkResults!$F$2:$F$35)),{1,3})</f>
        <v>q4_category_revenue</v>
      </c>
      <c r="B372" s="13">
        <v>2</v>
      </c>
      <c r="C372" s="16">
        <v>2</v>
      </c>
      <c r="D372" s="18">
        <v>0</v>
      </c>
      <c r="E372" s="16">
        <v>450560</v>
      </c>
      <c r="F372" s="13">
        <v>180680</v>
      </c>
      <c r="G372" s="13">
        <v>4860</v>
      </c>
      <c r="H372" s="18">
        <v>3027732</v>
      </c>
      <c r="I372" s="16">
        <v>0</v>
      </c>
      <c r="J372" s="18">
        <v>0</v>
      </c>
      <c r="K372" s="16">
        <v>0</v>
      </c>
      <c r="L372" s="18">
        <v>2</v>
      </c>
      <c r="M372" s="16">
        <v>815</v>
      </c>
      <c r="N372" s="18">
        <v>310</v>
      </c>
      <c r="O372" s="16">
        <v>34</v>
      </c>
      <c r="P372" s="13">
        <v>2</v>
      </c>
      <c r="Q372" s="13">
        <v>64</v>
      </c>
      <c r="R372" s="13">
        <v>0</v>
      </c>
      <c r="S372" s="18">
        <v>0</v>
      </c>
      <c r="T372" s="21">
        <v>46247.370370370372</v>
      </c>
      <c r="U372" s="55">
        <f t="shared" si="10"/>
        <v>1.3333333333333333</v>
      </c>
      <c r="V372" s="55">
        <f t="shared" si="10"/>
        <v>0</v>
      </c>
      <c r="W372" s="56">
        <f t="shared" si="11"/>
        <v>910.33333333333337</v>
      </c>
    </row>
    <row r="373" spans="1:23" x14ac:dyDescent="0.3">
      <c r="A373" s="13" t="str" cm="1">
        <f t="array" ref="A373:B373">INDEX(BenchmarkResults!$B$1:$D$35,SUMPRODUCT((T373&gt;=BenchmarkResults!$F$2:$F$35)*(mysql_hardware_log!T373&lt;BenchmarkResults!$G$2:$G$35)*ROW(BenchmarkResults!$F$2:$F$35)),{1,3})</f>
        <v>q4_category_revenue</v>
      </c>
      <c r="B373" s="13">
        <v>2</v>
      </c>
      <c r="C373" s="16">
        <v>1</v>
      </c>
      <c r="D373" s="18">
        <v>0</v>
      </c>
      <c r="E373" s="16">
        <v>450560</v>
      </c>
      <c r="F373" s="13">
        <v>1413072</v>
      </c>
      <c r="G373" s="13">
        <v>4728</v>
      </c>
      <c r="H373" s="18">
        <v>2240432</v>
      </c>
      <c r="I373" s="16">
        <v>0</v>
      </c>
      <c r="J373" s="18">
        <v>0</v>
      </c>
      <c r="K373" s="16">
        <v>392</v>
      </c>
      <c r="L373" s="18">
        <v>2</v>
      </c>
      <c r="M373" s="16">
        <v>1271</v>
      </c>
      <c r="N373" s="18">
        <v>655</v>
      </c>
      <c r="O373" s="16">
        <v>44</v>
      </c>
      <c r="P373" s="13">
        <v>26</v>
      </c>
      <c r="Q373" s="13">
        <v>30</v>
      </c>
      <c r="R373" s="13">
        <v>0</v>
      </c>
      <c r="S373" s="18">
        <v>0</v>
      </c>
      <c r="T373" s="21">
        <v>46247.370486111111</v>
      </c>
      <c r="U373" s="55">
        <f t="shared" si="10"/>
        <v>1.3333333333333333</v>
      </c>
      <c r="V373" s="55">
        <f t="shared" si="10"/>
        <v>0</v>
      </c>
      <c r="W373" s="56">
        <f t="shared" si="11"/>
        <v>630</v>
      </c>
    </row>
    <row r="374" spans="1:23" x14ac:dyDescent="0.3">
      <c r="A374" s="13" t="str" cm="1">
        <f t="array" ref="A374:B374">INDEX(BenchmarkResults!$B$1:$D$35,SUMPRODUCT((T374&gt;=BenchmarkResults!$F$2:$F$35)*(mysql_hardware_log!T374&lt;BenchmarkResults!$G$2:$G$35)*ROW(BenchmarkResults!$F$2:$F$35)),{1,3})</f>
        <v>q4_category_revenue</v>
      </c>
      <c r="B374" s="13">
        <v>2</v>
      </c>
      <c r="C374" s="16">
        <v>1</v>
      </c>
      <c r="D374" s="18">
        <v>0</v>
      </c>
      <c r="E374" s="16">
        <v>450560</v>
      </c>
      <c r="F374" s="13">
        <v>1405260</v>
      </c>
      <c r="G374" s="13">
        <v>4736</v>
      </c>
      <c r="H374" s="18">
        <v>2250120</v>
      </c>
      <c r="I374" s="16">
        <v>1</v>
      </c>
      <c r="J374" s="18">
        <v>0</v>
      </c>
      <c r="K374" s="16">
        <v>969</v>
      </c>
      <c r="L374" s="18">
        <v>3</v>
      </c>
      <c r="M374" s="16">
        <v>707</v>
      </c>
      <c r="N374" s="18">
        <v>229</v>
      </c>
      <c r="O374" s="16">
        <v>33</v>
      </c>
      <c r="P374" s="13">
        <v>1</v>
      </c>
      <c r="Q374" s="13">
        <v>66</v>
      </c>
      <c r="R374" s="13">
        <v>0</v>
      </c>
      <c r="S374" s="18">
        <v>0</v>
      </c>
      <c r="T374" s="21">
        <v>46247.37060185185</v>
      </c>
      <c r="U374" s="55">
        <f t="shared" si="10"/>
        <v>1.3333333333333333</v>
      </c>
      <c r="V374" s="55">
        <f t="shared" si="10"/>
        <v>0</v>
      </c>
      <c r="W374" s="56">
        <f t="shared" si="11"/>
        <v>466.66666666666669</v>
      </c>
    </row>
    <row r="375" spans="1:23" x14ac:dyDescent="0.3">
      <c r="A375" s="13" t="str" cm="1">
        <f t="array" ref="A375:B375">INDEX(BenchmarkResults!$B$1:$D$35,SUMPRODUCT((T375&gt;=BenchmarkResults!$F$2:$F$35)*(mysql_hardware_log!T375&lt;BenchmarkResults!$G$2:$G$35)*ROW(BenchmarkResults!$F$2:$F$35)),{1,3})</f>
        <v>q4_category_revenue</v>
      </c>
      <c r="B375" s="13">
        <v>2</v>
      </c>
      <c r="C375" s="16">
        <v>1</v>
      </c>
      <c r="D375" s="18">
        <v>0</v>
      </c>
      <c r="E375" s="16">
        <v>450560</v>
      </c>
      <c r="F375" s="13">
        <v>1389132</v>
      </c>
      <c r="G375" s="13">
        <v>4744</v>
      </c>
      <c r="H375" s="18">
        <v>2260748</v>
      </c>
      <c r="I375" s="16">
        <v>2</v>
      </c>
      <c r="J375" s="18">
        <v>0</v>
      </c>
      <c r="K375" s="16">
        <v>1056</v>
      </c>
      <c r="L375" s="18">
        <v>2</v>
      </c>
      <c r="M375" s="16">
        <v>698</v>
      </c>
      <c r="N375" s="18">
        <v>225</v>
      </c>
      <c r="O375" s="16">
        <v>33</v>
      </c>
      <c r="P375" s="13">
        <v>0</v>
      </c>
      <c r="Q375" s="13">
        <v>66</v>
      </c>
      <c r="R375" s="13">
        <v>0</v>
      </c>
      <c r="S375" s="18">
        <v>0</v>
      </c>
      <c r="T375" s="21">
        <v>46247.370717592596</v>
      </c>
      <c r="U375" s="55">
        <f t="shared" si="10"/>
        <v>1.1666666666666667</v>
      </c>
      <c r="V375" s="55">
        <f t="shared" si="10"/>
        <v>0</v>
      </c>
      <c r="W375" s="56">
        <f t="shared" si="11"/>
        <v>404.16666666666669</v>
      </c>
    </row>
    <row r="376" spans="1:23" x14ac:dyDescent="0.3">
      <c r="A376" s="13" t="str" cm="1">
        <f t="array" ref="A376:B376">INDEX(BenchmarkResults!$B$1:$D$35,SUMPRODUCT((T376&gt;=BenchmarkResults!$F$2:$F$35)*(mysql_hardware_log!T376&lt;BenchmarkResults!$G$2:$G$35)*ROW(BenchmarkResults!$F$2:$F$35)),{1,3})</f>
        <v>q4_category_revenue</v>
      </c>
      <c r="B376" s="13">
        <v>2</v>
      </c>
      <c r="C376" s="16">
        <v>1</v>
      </c>
      <c r="D376" s="18">
        <v>0</v>
      </c>
      <c r="E376" s="16">
        <v>450560</v>
      </c>
      <c r="F376" s="13">
        <v>1382864</v>
      </c>
      <c r="G376" s="13">
        <v>4752</v>
      </c>
      <c r="H376" s="18">
        <v>2271228</v>
      </c>
      <c r="I376" s="16">
        <v>0</v>
      </c>
      <c r="J376" s="18">
        <v>0</v>
      </c>
      <c r="K376" s="16">
        <v>1054</v>
      </c>
      <c r="L376" s="18">
        <v>2</v>
      </c>
      <c r="M376" s="16">
        <v>726</v>
      </c>
      <c r="N376" s="18">
        <v>269</v>
      </c>
      <c r="O376" s="16">
        <v>33</v>
      </c>
      <c r="P376" s="13">
        <v>1</v>
      </c>
      <c r="Q376" s="13">
        <v>65</v>
      </c>
      <c r="R376" s="13">
        <v>0</v>
      </c>
      <c r="S376" s="18">
        <v>0</v>
      </c>
      <c r="T376" s="21">
        <v>46247.370833333334</v>
      </c>
      <c r="U376" s="55">
        <f t="shared" si="10"/>
        <v>1.1666666666666667</v>
      </c>
      <c r="V376" s="55">
        <f t="shared" si="10"/>
        <v>0</v>
      </c>
      <c r="W376" s="56">
        <f t="shared" si="11"/>
        <v>578.83333333333337</v>
      </c>
    </row>
    <row r="377" spans="1:23" x14ac:dyDescent="0.3">
      <c r="A377" s="13" t="str" cm="1">
        <f t="array" ref="A377:B377">INDEX(BenchmarkResults!$B$1:$D$35,SUMPRODUCT((T377&gt;=BenchmarkResults!$F$2:$F$35)*(mysql_hardware_log!T377&lt;BenchmarkResults!$G$2:$G$35)*ROW(BenchmarkResults!$F$2:$F$35)),{1,3})</f>
        <v>q4_category_revenue</v>
      </c>
      <c r="B377" s="13">
        <v>2</v>
      </c>
      <c r="C377" s="16">
        <v>1</v>
      </c>
      <c r="D377" s="18">
        <v>0</v>
      </c>
      <c r="E377" s="16">
        <v>450560</v>
      </c>
      <c r="F377" s="13">
        <v>1376312</v>
      </c>
      <c r="G377" s="13">
        <v>4760</v>
      </c>
      <c r="H377" s="18">
        <v>2281860</v>
      </c>
      <c r="I377" s="16">
        <v>0</v>
      </c>
      <c r="J377" s="18">
        <v>0</v>
      </c>
      <c r="K377" s="16">
        <v>1062</v>
      </c>
      <c r="L377" s="18">
        <v>32</v>
      </c>
      <c r="M377" s="16">
        <v>711</v>
      </c>
      <c r="N377" s="18">
        <v>245</v>
      </c>
      <c r="O377" s="16">
        <v>33</v>
      </c>
      <c r="P377" s="13">
        <v>0</v>
      </c>
      <c r="Q377" s="13">
        <v>66</v>
      </c>
      <c r="R377" s="13">
        <v>0</v>
      </c>
      <c r="S377" s="18">
        <v>0</v>
      </c>
      <c r="T377" s="21">
        <v>46247.370949074073</v>
      </c>
      <c r="U377" s="55">
        <f t="shared" si="10"/>
        <v>1.1666666666666667</v>
      </c>
      <c r="V377" s="55">
        <f t="shared" si="10"/>
        <v>0</v>
      </c>
      <c r="W377" s="56">
        <f t="shared" si="11"/>
        <v>755.5</v>
      </c>
    </row>
    <row r="378" spans="1:23" x14ac:dyDescent="0.3">
      <c r="A378" s="13" t="str" cm="1">
        <f t="array" ref="A378:B378">INDEX(BenchmarkResults!$B$1:$D$35,SUMPRODUCT((T378&gt;=BenchmarkResults!$F$2:$F$35)*(mysql_hardware_log!T378&lt;BenchmarkResults!$G$2:$G$35)*ROW(BenchmarkResults!$F$2:$F$35)),{1,3})</f>
        <v>q4_category_revenue</v>
      </c>
      <c r="B378" s="13">
        <v>2</v>
      </c>
      <c r="C378" s="16">
        <v>1</v>
      </c>
      <c r="D378" s="18">
        <v>0</v>
      </c>
      <c r="E378" s="16">
        <v>450560</v>
      </c>
      <c r="F378" s="13">
        <v>1362200</v>
      </c>
      <c r="G378" s="13">
        <v>4768</v>
      </c>
      <c r="H378" s="18">
        <v>2290120</v>
      </c>
      <c r="I378" s="16">
        <v>2</v>
      </c>
      <c r="J378" s="18">
        <v>0</v>
      </c>
      <c r="K378" s="16">
        <v>832</v>
      </c>
      <c r="L378" s="18">
        <v>4</v>
      </c>
      <c r="M378" s="16">
        <v>717</v>
      </c>
      <c r="N378" s="18">
        <v>233</v>
      </c>
      <c r="O378" s="16">
        <v>33</v>
      </c>
      <c r="P378" s="13">
        <v>0</v>
      </c>
      <c r="Q378" s="13">
        <v>65</v>
      </c>
      <c r="R378" s="13">
        <v>0</v>
      </c>
      <c r="S378" s="18">
        <v>1</v>
      </c>
      <c r="T378" s="21">
        <v>46247.371064814812</v>
      </c>
      <c r="U378" s="55">
        <f t="shared" si="10"/>
        <v>1</v>
      </c>
      <c r="V378" s="55">
        <f t="shared" si="10"/>
        <v>0</v>
      </c>
      <c r="W378" s="56">
        <f t="shared" si="11"/>
        <v>894.16666666666663</v>
      </c>
    </row>
    <row r="379" spans="1:23" x14ac:dyDescent="0.3">
      <c r="A379" s="13" t="str" cm="1">
        <f t="array" ref="A379:B379">INDEX(BenchmarkResults!$B$1:$D$35,SUMPRODUCT((T379&gt;=BenchmarkResults!$F$2:$F$35)*(mysql_hardware_log!T379&lt;BenchmarkResults!$G$2:$G$35)*ROW(BenchmarkResults!$F$2:$F$35)),{1,3})</f>
        <v>q4_category_revenue</v>
      </c>
      <c r="B379" s="13">
        <v>2</v>
      </c>
      <c r="C379" s="16">
        <v>1</v>
      </c>
      <c r="D379" s="18">
        <v>0</v>
      </c>
      <c r="E379" s="16">
        <v>450560</v>
      </c>
      <c r="F379" s="13">
        <v>1354640</v>
      </c>
      <c r="G379" s="13">
        <v>4776</v>
      </c>
      <c r="H379" s="18">
        <v>2299792</v>
      </c>
      <c r="I379" s="16">
        <v>0</v>
      </c>
      <c r="J379" s="18">
        <v>0</v>
      </c>
      <c r="K379" s="16">
        <v>960</v>
      </c>
      <c r="L379" s="18">
        <v>2</v>
      </c>
      <c r="M379" s="16">
        <v>706</v>
      </c>
      <c r="N379" s="18">
        <v>228</v>
      </c>
      <c r="O379" s="16">
        <v>33</v>
      </c>
      <c r="P379" s="13">
        <v>0</v>
      </c>
      <c r="Q379" s="13">
        <v>66</v>
      </c>
      <c r="R379" s="13">
        <v>0</v>
      </c>
      <c r="S379" s="18">
        <v>0</v>
      </c>
      <c r="T379" s="21">
        <v>46247.371180555558</v>
      </c>
      <c r="U379" s="55">
        <f t="shared" si="10"/>
        <v>1</v>
      </c>
      <c r="V379" s="55">
        <f t="shared" si="10"/>
        <v>0</v>
      </c>
      <c r="W379" s="56">
        <f t="shared" si="11"/>
        <v>988.83333333333337</v>
      </c>
    </row>
    <row r="380" spans="1:23" x14ac:dyDescent="0.3">
      <c r="A380" s="13" t="str" cm="1">
        <f t="array" ref="A380:B380">INDEX(BenchmarkResults!$B$1:$D$35,SUMPRODUCT((T380&gt;=BenchmarkResults!$F$2:$F$35)*(mysql_hardware_log!T380&lt;BenchmarkResults!$G$2:$G$35)*ROW(BenchmarkResults!$F$2:$F$35)),{1,3})</f>
        <v>q4_category_revenue</v>
      </c>
      <c r="B380" s="13">
        <v>2</v>
      </c>
      <c r="C380" s="16">
        <v>1</v>
      </c>
      <c r="D380" s="18">
        <v>0</v>
      </c>
      <c r="E380" s="16">
        <v>450560</v>
      </c>
      <c r="F380" s="13">
        <v>1338512</v>
      </c>
      <c r="G380" s="13">
        <v>4784</v>
      </c>
      <c r="H380" s="18">
        <v>2309956</v>
      </c>
      <c r="I380" s="16">
        <v>4</v>
      </c>
      <c r="J380" s="18">
        <v>0</v>
      </c>
      <c r="K380" s="16">
        <v>1018</v>
      </c>
      <c r="L380" s="18">
        <v>2</v>
      </c>
      <c r="M380" s="16">
        <v>695</v>
      </c>
      <c r="N380" s="18">
        <v>225</v>
      </c>
      <c r="O380" s="16">
        <v>33</v>
      </c>
      <c r="P380" s="13">
        <v>1</v>
      </c>
      <c r="Q380" s="13">
        <v>66</v>
      </c>
      <c r="R380" s="13">
        <v>0</v>
      </c>
      <c r="S380" s="18">
        <v>0</v>
      </c>
      <c r="T380" s="21">
        <v>46247.371296296296</v>
      </c>
      <c r="U380" s="55">
        <f t="shared" si="10"/>
        <v>1</v>
      </c>
      <c r="V380" s="55">
        <f t="shared" si="10"/>
        <v>0</v>
      </c>
      <c r="W380" s="56">
        <f t="shared" si="11"/>
        <v>997</v>
      </c>
    </row>
    <row r="381" spans="1:23" x14ac:dyDescent="0.3">
      <c r="A381" s="13" t="str" cm="1">
        <f t="array" ref="A381:B381">INDEX(BenchmarkResults!$B$1:$D$35,SUMPRODUCT((T381&gt;=BenchmarkResults!$F$2:$F$35)*(mysql_hardware_log!T381&lt;BenchmarkResults!$G$2:$G$35)*ROW(BenchmarkResults!$F$2:$F$35)),{1,3})</f>
        <v>q4_category_revenue</v>
      </c>
      <c r="B381" s="13">
        <v>2</v>
      </c>
      <c r="C381" s="16">
        <v>1</v>
      </c>
      <c r="D381" s="18">
        <v>0</v>
      </c>
      <c r="E381" s="16">
        <v>450560</v>
      </c>
      <c r="F381" s="13">
        <v>1331456</v>
      </c>
      <c r="G381" s="13">
        <v>4792</v>
      </c>
      <c r="H381" s="18">
        <v>2320876</v>
      </c>
      <c r="I381" s="16">
        <v>2</v>
      </c>
      <c r="J381" s="18">
        <v>0</v>
      </c>
      <c r="K381" s="16">
        <v>1100</v>
      </c>
      <c r="L381" s="18">
        <v>2</v>
      </c>
      <c r="M381" s="16">
        <v>698</v>
      </c>
      <c r="N381" s="18">
        <v>225</v>
      </c>
      <c r="O381" s="16">
        <v>33</v>
      </c>
      <c r="P381" s="13">
        <v>0</v>
      </c>
      <c r="Q381" s="13">
        <v>66</v>
      </c>
      <c r="R381" s="13">
        <v>0</v>
      </c>
      <c r="S381" s="18">
        <v>0</v>
      </c>
      <c r="T381" s="21">
        <v>46247.371412037035</v>
      </c>
      <c r="U381" s="55">
        <f t="shared" si="10"/>
        <v>1</v>
      </c>
      <c r="V381" s="55">
        <f t="shared" si="10"/>
        <v>0</v>
      </c>
      <c r="W381" s="56">
        <f t="shared" si="11"/>
        <v>1004.3333333333334</v>
      </c>
    </row>
    <row r="382" spans="1:23" x14ac:dyDescent="0.3">
      <c r="A382" s="13" t="str" cm="1">
        <f t="array" ref="A382:B382">INDEX(BenchmarkResults!$B$1:$D$35,SUMPRODUCT((T382&gt;=BenchmarkResults!$F$2:$F$35)*(mysql_hardware_log!T382&lt;BenchmarkResults!$G$2:$G$35)*ROW(BenchmarkResults!$F$2:$F$35)),{1,3})</f>
        <v>q4_category_revenue</v>
      </c>
      <c r="B382" s="13">
        <v>2</v>
      </c>
      <c r="C382" s="16">
        <v>1</v>
      </c>
      <c r="D382" s="18">
        <v>0</v>
      </c>
      <c r="E382" s="16">
        <v>450560</v>
      </c>
      <c r="F382" s="13">
        <v>1323896</v>
      </c>
      <c r="G382" s="13">
        <v>4800</v>
      </c>
      <c r="H382" s="18">
        <v>2330564</v>
      </c>
      <c r="I382" s="16">
        <v>0</v>
      </c>
      <c r="J382" s="18">
        <v>0</v>
      </c>
      <c r="K382" s="16">
        <v>965</v>
      </c>
      <c r="L382" s="18">
        <v>2</v>
      </c>
      <c r="M382" s="16">
        <v>710</v>
      </c>
      <c r="N382" s="18">
        <v>235</v>
      </c>
      <c r="O382" s="16">
        <v>33</v>
      </c>
      <c r="P382" s="13">
        <v>1</v>
      </c>
      <c r="Q382" s="13">
        <v>66</v>
      </c>
      <c r="R382" s="13">
        <v>0</v>
      </c>
      <c r="S382" s="18">
        <v>0</v>
      </c>
      <c r="T382" s="21">
        <v>46247.371527777781</v>
      </c>
      <c r="U382" s="55">
        <f t="shared" si="10"/>
        <v>1</v>
      </c>
      <c r="V382" s="55">
        <f t="shared" si="10"/>
        <v>0</v>
      </c>
      <c r="W382" s="56">
        <f t="shared" si="11"/>
        <v>989.5</v>
      </c>
    </row>
    <row r="383" spans="1:23" x14ac:dyDescent="0.3">
      <c r="A383" s="13" t="str" cm="1">
        <f t="array" ref="A383:B383">INDEX(BenchmarkResults!$B$1:$D$35,SUMPRODUCT((T383&gt;=BenchmarkResults!$F$2:$F$35)*(mysql_hardware_log!T383&lt;BenchmarkResults!$G$2:$G$35)*ROW(BenchmarkResults!$F$2:$F$35)),{1,3})</f>
        <v>q4_category_revenue</v>
      </c>
      <c r="B383" s="13">
        <v>2</v>
      </c>
      <c r="C383" s="16">
        <v>1</v>
      </c>
      <c r="D383" s="18">
        <v>0</v>
      </c>
      <c r="E383" s="16">
        <v>450560</v>
      </c>
      <c r="F383" s="13">
        <v>1317344</v>
      </c>
      <c r="G383" s="13">
        <v>4808</v>
      </c>
      <c r="H383" s="18">
        <v>2340488</v>
      </c>
      <c r="I383" s="16">
        <v>0</v>
      </c>
      <c r="J383" s="18">
        <v>0</v>
      </c>
      <c r="K383" s="16">
        <v>994</v>
      </c>
      <c r="L383" s="18">
        <v>2</v>
      </c>
      <c r="M383" s="16">
        <v>707</v>
      </c>
      <c r="N383" s="18">
        <v>239</v>
      </c>
      <c r="O383" s="16">
        <v>33</v>
      </c>
      <c r="P383" s="13">
        <v>1</v>
      </c>
      <c r="Q383" s="13">
        <v>66</v>
      </c>
      <c r="R383" s="13">
        <v>0</v>
      </c>
      <c r="S383" s="18">
        <v>0</v>
      </c>
      <c r="T383" s="21">
        <v>46247.37164351852</v>
      </c>
      <c r="U383" s="55">
        <f t="shared" si="10"/>
        <v>1</v>
      </c>
      <c r="V383" s="55">
        <f t="shared" si="10"/>
        <v>0</v>
      </c>
      <c r="W383" s="56">
        <f t="shared" si="11"/>
        <v>978.16666666666663</v>
      </c>
    </row>
    <row r="384" spans="1:23" x14ac:dyDescent="0.3">
      <c r="A384" s="13" t="str" cm="1">
        <f t="array" ref="A384:B384">INDEX(BenchmarkResults!$B$1:$D$35,SUMPRODUCT((T384&gt;=BenchmarkResults!$F$2:$F$35)*(mysql_hardware_log!T384&lt;BenchmarkResults!$G$2:$G$35)*ROW(BenchmarkResults!$F$2:$F$35)),{1,3})</f>
        <v>q4_category_revenue</v>
      </c>
      <c r="B384" s="13">
        <v>2</v>
      </c>
      <c r="C384" s="16">
        <v>1</v>
      </c>
      <c r="D384" s="18">
        <v>0</v>
      </c>
      <c r="E384" s="16">
        <v>450560</v>
      </c>
      <c r="F384" s="13">
        <v>1305248</v>
      </c>
      <c r="G384" s="13">
        <v>4816</v>
      </c>
      <c r="H384" s="18">
        <v>2350096</v>
      </c>
      <c r="I384" s="16">
        <v>0</v>
      </c>
      <c r="J384" s="18">
        <v>0</v>
      </c>
      <c r="K384" s="16">
        <v>960</v>
      </c>
      <c r="L384" s="18">
        <v>2</v>
      </c>
      <c r="M384" s="16">
        <v>698</v>
      </c>
      <c r="N384" s="18">
        <v>230</v>
      </c>
      <c r="O384" s="16">
        <v>33</v>
      </c>
      <c r="P384" s="13">
        <v>0</v>
      </c>
      <c r="Q384" s="13">
        <v>66</v>
      </c>
      <c r="R384" s="13">
        <v>0</v>
      </c>
      <c r="S384" s="18">
        <v>0</v>
      </c>
      <c r="T384" s="21">
        <v>46247.371759259258</v>
      </c>
      <c r="U384" s="55">
        <f t="shared" si="10"/>
        <v>1</v>
      </c>
      <c r="V384" s="55">
        <f t="shared" si="10"/>
        <v>0</v>
      </c>
      <c r="W384" s="56">
        <f t="shared" si="11"/>
        <v>999.5</v>
      </c>
    </row>
    <row r="385" spans="1:23" x14ac:dyDescent="0.3">
      <c r="A385" s="13" t="str" cm="1">
        <f t="array" ref="A385:B385">INDEX(BenchmarkResults!$B$1:$D$35,SUMPRODUCT((T385&gt;=BenchmarkResults!$F$2:$F$35)*(mysql_hardware_log!T385&lt;BenchmarkResults!$G$2:$G$35)*ROW(BenchmarkResults!$F$2:$F$35)),{1,3})</f>
        <v>q4_category_revenue</v>
      </c>
      <c r="B385" s="13">
        <v>2</v>
      </c>
      <c r="C385" s="16">
        <v>1</v>
      </c>
      <c r="D385" s="18">
        <v>0</v>
      </c>
      <c r="E385" s="16">
        <v>450560</v>
      </c>
      <c r="F385" s="13">
        <v>1297184</v>
      </c>
      <c r="G385" s="13">
        <v>4824</v>
      </c>
      <c r="H385" s="18">
        <v>2360360</v>
      </c>
      <c r="I385" s="16">
        <v>4</v>
      </c>
      <c r="J385" s="18">
        <v>0</v>
      </c>
      <c r="K385" s="16">
        <v>1031</v>
      </c>
      <c r="L385" s="18">
        <v>2</v>
      </c>
      <c r="M385" s="16">
        <v>693</v>
      </c>
      <c r="N385" s="18">
        <v>221</v>
      </c>
      <c r="O385" s="16">
        <v>33</v>
      </c>
      <c r="P385" s="13">
        <v>0</v>
      </c>
      <c r="Q385" s="13">
        <v>66</v>
      </c>
      <c r="R385" s="13">
        <v>0</v>
      </c>
      <c r="S385" s="18">
        <v>0</v>
      </c>
      <c r="T385" s="21">
        <v>46247.371874999997</v>
      </c>
      <c r="U385" s="55">
        <f t="shared" si="10"/>
        <v>1</v>
      </c>
      <c r="V385" s="55">
        <f t="shared" si="10"/>
        <v>0</v>
      </c>
      <c r="W385" s="56">
        <f t="shared" si="11"/>
        <v>1011.3333333333334</v>
      </c>
    </row>
    <row r="386" spans="1:23" x14ac:dyDescent="0.3">
      <c r="A386" s="13" t="str" cm="1">
        <f t="array" ref="A386:B386">INDEX(BenchmarkResults!$B$1:$D$35,SUMPRODUCT((T386&gt;=BenchmarkResults!$F$2:$F$35)*(mysql_hardware_log!T386&lt;BenchmarkResults!$G$2:$G$35)*ROW(BenchmarkResults!$F$2:$F$35)),{1,3})</f>
        <v>q4_category_revenue</v>
      </c>
      <c r="B386" s="13">
        <v>2</v>
      </c>
      <c r="C386" s="16">
        <v>1</v>
      </c>
      <c r="D386" s="18">
        <v>0</v>
      </c>
      <c r="E386" s="16">
        <v>450560</v>
      </c>
      <c r="F386" s="13">
        <v>1282064</v>
      </c>
      <c r="G386" s="13">
        <v>4832</v>
      </c>
      <c r="H386" s="18">
        <v>2370776</v>
      </c>
      <c r="I386" s="16">
        <v>4</v>
      </c>
      <c r="J386" s="18">
        <v>0</v>
      </c>
      <c r="K386" s="16">
        <v>1052</v>
      </c>
      <c r="L386" s="18">
        <v>2</v>
      </c>
      <c r="M386" s="16">
        <v>693</v>
      </c>
      <c r="N386" s="18">
        <v>222</v>
      </c>
      <c r="O386" s="16">
        <v>33</v>
      </c>
      <c r="P386" s="13">
        <v>0</v>
      </c>
      <c r="Q386" s="13">
        <v>66</v>
      </c>
      <c r="R386" s="13">
        <v>0</v>
      </c>
      <c r="S386" s="18">
        <v>0</v>
      </c>
      <c r="T386" s="21">
        <v>46247.371990740743</v>
      </c>
      <c r="U386" s="55">
        <f t="shared" si="10"/>
        <v>1</v>
      </c>
      <c r="V386" s="55">
        <f t="shared" si="10"/>
        <v>0</v>
      </c>
      <c r="W386" s="56">
        <f t="shared" si="11"/>
        <v>1017</v>
      </c>
    </row>
    <row r="387" spans="1:23" x14ac:dyDescent="0.3">
      <c r="A387" s="13" t="str" cm="1">
        <f t="array" ref="A387:B387">INDEX(BenchmarkResults!$B$1:$D$35,SUMPRODUCT((T387&gt;=BenchmarkResults!$F$2:$F$35)*(mysql_hardware_log!T387&lt;BenchmarkResults!$G$2:$G$35)*ROW(BenchmarkResults!$F$2:$F$35)),{1,3})</f>
        <v>q4_category_revenue</v>
      </c>
      <c r="B387" s="13">
        <v>2</v>
      </c>
      <c r="C387" s="16">
        <v>1</v>
      </c>
      <c r="D387" s="18">
        <v>0</v>
      </c>
      <c r="E387" s="16">
        <v>450560</v>
      </c>
      <c r="F387" s="13">
        <v>1274000</v>
      </c>
      <c r="G387" s="13">
        <v>4840</v>
      </c>
      <c r="H387" s="18">
        <v>2380928</v>
      </c>
      <c r="I387" s="16">
        <v>2</v>
      </c>
      <c r="J387" s="18">
        <v>0</v>
      </c>
      <c r="K387" s="16">
        <v>1015</v>
      </c>
      <c r="L387" s="18">
        <v>2</v>
      </c>
      <c r="M387" s="16">
        <v>690</v>
      </c>
      <c r="N387" s="18">
        <v>219</v>
      </c>
      <c r="O387" s="16">
        <v>33</v>
      </c>
      <c r="P387" s="13">
        <v>0</v>
      </c>
      <c r="Q387" s="13">
        <v>66</v>
      </c>
      <c r="R387" s="13">
        <v>0</v>
      </c>
      <c r="S387" s="18">
        <v>0</v>
      </c>
      <c r="T387" s="21">
        <v>46247.372106481482</v>
      </c>
      <c r="U387" s="55">
        <f t="shared" si="10"/>
        <v>1</v>
      </c>
      <c r="V387" s="55">
        <f t="shared" si="10"/>
        <v>0</v>
      </c>
      <c r="W387" s="56">
        <f t="shared" si="11"/>
        <v>1002.8333333333334</v>
      </c>
    </row>
    <row r="388" spans="1:23" x14ac:dyDescent="0.3">
      <c r="A388" s="13" t="str" cm="1">
        <f t="array" ref="A388:B388">INDEX(BenchmarkResults!$B$1:$D$35,SUMPRODUCT((T388&gt;=BenchmarkResults!$F$2:$F$35)*(mysql_hardware_log!T388&lt;BenchmarkResults!$G$2:$G$35)*ROW(BenchmarkResults!$F$2:$F$35)),{1,3})</f>
        <v>q4_category_revenue</v>
      </c>
      <c r="B388" s="13">
        <v>2</v>
      </c>
      <c r="C388" s="16">
        <v>1</v>
      </c>
      <c r="D388" s="18">
        <v>0</v>
      </c>
      <c r="E388" s="16">
        <v>450560</v>
      </c>
      <c r="F388" s="13">
        <v>1265936</v>
      </c>
      <c r="G388" s="13">
        <v>4848</v>
      </c>
      <c r="H388" s="18">
        <v>2391516</v>
      </c>
      <c r="I388" s="16">
        <v>0</v>
      </c>
      <c r="J388" s="18">
        <v>0</v>
      </c>
      <c r="K388" s="16">
        <v>1054</v>
      </c>
      <c r="L388" s="18">
        <v>2</v>
      </c>
      <c r="M388" s="16">
        <v>693</v>
      </c>
      <c r="N388" s="18">
        <v>229</v>
      </c>
      <c r="O388" s="16">
        <v>33</v>
      </c>
      <c r="P388" s="13">
        <v>1</v>
      </c>
      <c r="Q388" s="13">
        <v>66</v>
      </c>
      <c r="R388" s="13">
        <v>0</v>
      </c>
      <c r="S388" s="18">
        <v>0</v>
      </c>
      <c r="T388" s="21">
        <v>46247.37222222222</v>
      </c>
      <c r="U388" s="55">
        <f t="shared" si="10"/>
        <v>1</v>
      </c>
      <c r="V388" s="55">
        <f t="shared" si="10"/>
        <v>0</v>
      </c>
      <c r="W388" s="56">
        <f t="shared" si="11"/>
        <v>1017.6666666666666</v>
      </c>
    </row>
    <row r="389" spans="1:23" x14ac:dyDescent="0.3">
      <c r="A389" s="13" t="str" cm="1">
        <f t="array" ref="A389:B389">INDEX(BenchmarkResults!$B$1:$D$35,SUMPRODUCT((T389&gt;=BenchmarkResults!$F$2:$F$35)*(mysql_hardware_log!T389&lt;BenchmarkResults!$G$2:$G$35)*ROW(BenchmarkResults!$F$2:$F$35)),{1,3})</f>
        <v>q4_category_revenue</v>
      </c>
      <c r="B389" s="13">
        <v>2</v>
      </c>
      <c r="C389" s="16">
        <v>1</v>
      </c>
      <c r="D389" s="18">
        <v>0</v>
      </c>
      <c r="E389" s="16">
        <v>450560</v>
      </c>
      <c r="F389" s="13">
        <v>1250312</v>
      </c>
      <c r="G389" s="13">
        <v>4856</v>
      </c>
      <c r="H389" s="18">
        <v>2401480</v>
      </c>
      <c r="I389" s="16">
        <v>0</v>
      </c>
      <c r="J389" s="18">
        <v>0</v>
      </c>
      <c r="K389" s="16">
        <v>1002</v>
      </c>
      <c r="L389" s="18">
        <v>2</v>
      </c>
      <c r="M389" s="16">
        <v>695</v>
      </c>
      <c r="N389" s="18">
        <v>228</v>
      </c>
      <c r="O389" s="16">
        <v>33</v>
      </c>
      <c r="P389" s="13">
        <v>0</v>
      </c>
      <c r="Q389" s="13">
        <v>66</v>
      </c>
      <c r="R389" s="13">
        <v>0</v>
      </c>
      <c r="S389" s="18">
        <v>0</v>
      </c>
      <c r="T389" s="21">
        <v>46247.372337962966</v>
      </c>
      <c r="U389" s="55">
        <f t="shared" si="10"/>
        <v>1</v>
      </c>
      <c r="V389" s="55">
        <f t="shared" si="10"/>
        <v>0</v>
      </c>
      <c r="W389" s="56">
        <f t="shared" si="11"/>
        <v>1019</v>
      </c>
    </row>
    <row r="390" spans="1:23" x14ac:dyDescent="0.3">
      <c r="A390" s="13" t="str" cm="1">
        <f t="array" ref="A390:B390">INDEX(BenchmarkResults!$B$1:$D$35,SUMPRODUCT((T390&gt;=BenchmarkResults!$F$2:$F$35)*(mysql_hardware_log!T390&lt;BenchmarkResults!$G$2:$G$35)*ROW(BenchmarkResults!$F$2:$F$35)),{1,3})</f>
        <v>q4_category_revenue</v>
      </c>
      <c r="B390" s="13">
        <v>2</v>
      </c>
      <c r="C390" s="16">
        <v>1</v>
      </c>
      <c r="D390" s="18">
        <v>0</v>
      </c>
      <c r="E390" s="16">
        <v>450304</v>
      </c>
      <c r="F390" s="13">
        <v>1242248</v>
      </c>
      <c r="G390" s="13">
        <v>4864</v>
      </c>
      <c r="H390" s="18">
        <v>2411208</v>
      </c>
      <c r="I390" s="16">
        <v>4</v>
      </c>
      <c r="J390" s="18">
        <v>0</v>
      </c>
      <c r="K390" s="16">
        <v>970</v>
      </c>
      <c r="L390" s="18">
        <v>2</v>
      </c>
      <c r="M390" s="16">
        <v>690</v>
      </c>
      <c r="N390" s="18">
        <v>223</v>
      </c>
      <c r="O390" s="16">
        <v>33</v>
      </c>
      <c r="P390" s="13">
        <v>0</v>
      </c>
      <c r="Q390" s="13">
        <v>66</v>
      </c>
      <c r="R390" s="13">
        <v>0</v>
      </c>
      <c r="S390" s="18">
        <v>0</v>
      </c>
      <c r="T390" s="21">
        <v>46247.372453703705</v>
      </c>
      <c r="U390" s="55">
        <f t="shared" si="10"/>
        <v>1</v>
      </c>
      <c r="V390" s="55">
        <f t="shared" si="10"/>
        <v>0</v>
      </c>
      <c r="W390" s="56">
        <f t="shared" si="11"/>
        <v>1020.6666666666666</v>
      </c>
    </row>
    <row r="391" spans="1:23" x14ac:dyDescent="0.3">
      <c r="A391" s="13" t="str" cm="1">
        <f t="array" ref="A391:B391">INDEX(BenchmarkResults!$B$1:$D$35,SUMPRODUCT((T391&gt;=BenchmarkResults!$F$2:$F$35)*(mysql_hardware_log!T391&lt;BenchmarkResults!$G$2:$G$35)*ROW(BenchmarkResults!$F$2:$F$35)),{1,3})</f>
        <v>q4_category_revenue</v>
      </c>
      <c r="B391" s="13">
        <v>2</v>
      </c>
      <c r="C391" s="16">
        <v>1</v>
      </c>
      <c r="D391" s="18">
        <v>0</v>
      </c>
      <c r="E391" s="16">
        <v>450304</v>
      </c>
      <c r="F391" s="13">
        <v>1235192</v>
      </c>
      <c r="G391" s="13">
        <v>4872</v>
      </c>
      <c r="H391" s="18">
        <v>2421364</v>
      </c>
      <c r="I391" s="16">
        <v>5</v>
      </c>
      <c r="J391" s="18">
        <v>0</v>
      </c>
      <c r="K391" s="16">
        <v>1022</v>
      </c>
      <c r="L391" s="18">
        <v>2</v>
      </c>
      <c r="M391" s="16">
        <v>690</v>
      </c>
      <c r="N391" s="18">
        <v>220</v>
      </c>
      <c r="O391" s="16">
        <v>33</v>
      </c>
      <c r="P391" s="13">
        <v>1</v>
      </c>
      <c r="Q391" s="13">
        <v>66</v>
      </c>
      <c r="R391" s="13">
        <v>0</v>
      </c>
      <c r="S391" s="18">
        <v>0</v>
      </c>
      <c r="T391" s="21">
        <v>46247.372569444444</v>
      </c>
      <c r="U391" s="55">
        <f t="shared" si="10"/>
        <v>1</v>
      </c>
      <c r="V391" s="55">
        <f t="shared" si="10"/>
        <v>0</v>
      </c>
      <c r="W391" s="56">
        <f t="shared" si="11"/>
        <v>1019.1666666666666</v>
      </c>
    </row>
    <row r="392" spans="1:23" x14ac:dyDescent="0.3">
      <c r="A392" s="13" t="str" cm="1">
        <f t="array" ref="A392:B392">INDEX(BenchmarkResults!$B$1:$D$35,SUMPRODUCT((T392&gt;=BenchmarkResults!$F$2:$F$35)*(mysql_hardware_log!T392&lt;BenchmarkResults!$G$2:$G$35)*ROW(BenchmarkResults!$F$2:$F$35)),{1,3})</f>
        <v>q4_category_revenue</v>
      </c>
      <c r="B392" s="13">
        <v>2</v>
      </c>
      <c r="C392" s="16">
        <v>1</v>
      </c>
      <c r="D392" s="18">
        <v>0</v>
      </c>
      <c r="E392" s="16">
        <v>450304</v>
      </c>
      <c r="F392" s="13">
        <v>1227128</v>
      </c>
      <c r="G392" s="13">
        <v>4880</v>
      </c>
      <c r="H392" s="18">
        <v>2430720</v>
      </c>
      <c r="I392" s="16">
        <v>2</v>
      </c>
      <c r="J392" s="18">
        <v>0</v>
      </c>
      <c r="K392" s="16">
        <v>941</v>
      </c>
      <c r="L392" s="18">
        <v>2</v>
      </c>
      <c r="M392" s="16">
        <v>683</v>
      </c>
      <c r="N392" s="18">
        <v>217</v>
      </c>
      <c r="O392" s="16">
        <v>33</v>
      </c>
      <c r="P392" s="13">
        <v>0</v>
      </c>
      <c r="Q392" s="13">
        <v>66</v>
      </c>
      <c r="R392" s="13">
        <v>0</v>
      </c>
      <c r="S392" s="18">
        <v>0</v>
      </c>
      <c r="T392" s="21">
        <v>46247.372685185182</v>
      </c>
      <c r="U392" s="55">
        <f t="shared" si="10"/>
        <v>1</v>
      </c>
      <c r="V392" s="55">
        <f t="shared" si="10"/>
        <v>0</v>
      </c>
      <c r="W392" s="56">
        <f t="shared" si="11"/>
        <v>1000.6666666666666</v>
      </c>
    </row>
    <row r="393" spans="1:23" x14ac:dyDescent="0.3">
      <c r="A393" s="13" t="str" cm="1">
        <f t="array" ref="A393:B393">INDEX(BenchmarkResults!$B$1:$D$35,SUMPRODUCT((T393&gt;=BenchmarkResults!$F$2:$F$35)*(mysql_hardware_log!T393&lt;BenchmarkResults!$G$2:$G$35)*ROW(BenchmarkResults!$F$2:$F$35)),{1,3})</f>
        <v>q4_category_revenue</v>
      </c>
      <c r="B393" s="13">
        <v>3</v>
      </c>
      <c r="C393" s="16">
        <v>1</v>
      </c>
      <c r="D393" s="18">
        <v>0</v>
      </c>
      <c r="E393" s="16">
        <v>450304</v>
      </c>
      <c r="F393" s="13">
        <v>1215788</v>
      </c>
      <c r="G393" s="13">
        <v>4888</v>
      </c>
      <c r="H393" s="18">
        <v>2440916</v>
      </c>
      <c r="I393" s="16">
        <v>0</v>
      </c>
      <c r="J393" s="18">
        <v>0</v>
      </c>
      <c r="K393" s="16">
        <v>1018</v>
      </c>
      <c r="L393" s="18">
        <v>2</v>
      </c>
      <c r="M393" s="16">
        <v>692</v>
      </c>
      <c r="N393" s="18">
        <v>223</v>
      </c>
      <c r="O393" s="16">
        <v>33</v>
      </c>
      <c r="P393" s="13">
        <v>1</v>
      </c>
      <c r="Q393" s="13">
        <v>66</v>
      </c>
      <c r="R393" s="13">
        <v>0</v>
      </c>
      <c r="S393" s="18">
        <v>0</v>
      </c>
      <c r="T393" s="21">
        <v>46247.372800925928</v>
      </c>
      <c r="U393" s="55">
        <f t="shared" ref="U393:V456" si="12">AVERAGE(C388:C393)</f>
        <v>1</v>
      </c>
      <c r="V393" s="55">
        <f t="shared" si="12"/>
        <v>0</v>
      </c>
      <c r="W393" s="56">
        <f t="shared" ref="W393:W456" si="13">AVERAGE(K388:K393)</f>
        <v>1001.1666666666666</v>
      </c>
    </row>
    <row r="394" spans="1:23" x14ac:dyDescent="0.3">
      <c r="A394" s="13" t="str" cm="1">
        <f t="array" ref="A394:B394">INDEX(BenchmarkResults!$B$1:$D$35,SUMPRODUCT((T394&gt;=BenchmarkResults!$F$2:$F$35)*(mysql_hardware_log!T394&lt;BenchmarkResults!$G$2:$G$35)*ROW(BenchmarkResults!$F$2:$F$35)),{1,3})</f>
        <v>q4_category_revenue</v>
      </c>
      <c r="B394" s="13">
        <v>3</v>
      </c>
      <c r="C394" s="16">
        <v>1</v>
      </c>
      <c r="D394" s="18">
        <v>0</v>
      </c>
      <c r="E394" s="16">
        <v>450304</v>
      </c>
      <c r="F394" s="13">
        <v>1192288</v>
      </c>
      <c r="G394" s="13">
        <v>4896</v>
      </c>
      <c r="H394" s="18">
        <v>2453244</v>
      </c>
      <c r="I394" s="16">
        <v>2</v>
      </c>
      <c r="J394" s="18">
        <v>0</v>
      </c>
      <c r="K394" s="16">
        <v>1225</v>
      </c>
      <c r="L394" s="18">
        <v>12</v>
      </c>
      <c r="M394" s="16">
        <v>702</v>
      </c>
      <c r="N394" s="18">
        <v>233</v>
      </c>
      <c r="O394" s="16">
        <v>33</v>
      </c>
      <c r="P394" s="13">
        <v>1</v>
      </c>
      <c r="Q394" s="13">
        <v>66</v>
      </c>
      <c r="R394" s="13">
        <v>0</v>
      </c>
      <c r="S394" s="18">
        <v>0</v>
      </c>
      <c r="T394" s="21">
        <v>46247.372916666667</v>
      </c>
      <c r="U394" s="55">
        <f t="shared" si="12"/>
        <v>1</v>
      </c>
      <c r="V394" s="55">
        <f t="shared" si="12"/>
        <v>0</v>
      </c>
      <c r="W394" s="56">
        <f t="shared" si="13"/>
        <v>1029.6666666666667</v>
      </c>
    </row>
    <row r="395" spans="1:23" x14ac:dyDescent="0.3">
      <c r="A395" s="13" t="str" cm="1">
        <f t="array" ref="A395:B395">INDEX(BenchmarkResults!$B$1:$D$35,SUMPRODUCT((T395&gt;=BenchmarkResults!$F$2:$F$35)*(mysql_hardware_log!T395&lt;BenchmarkResults!$G$2:$G$35)*ROW(BenchmarkResults!$F$2:$F$35)),{1,3})</f>
        <v>q4_category_revenue</v>
      </c>
      <c r="B395" s="13">
        <v>3</v>
      </c>
      <c r="C395" s="16">
        <v>1</v>
      </c>
      <c r="D395" s="18">
        <v>0</v>
      </c>
      <c r="E395" s="16">
        <v>450304</v>
      </c>
      <c r="F395" s="13">
        <v>1194452</v>
      </c>
      <c r="G395" s="13">
        <v>4904</v>
      </c>
      <c r="H395" s="18">
        <v>2463136</v>
      </c>
      <c r="I395" s="16">
        <v>4</v>
      </c>
      <c r="J395" s="18">
        <v>0</v>
      </c>
      <c r="K395" s="16">
        <v>997</v>
      </c>
      <c r="L395" s="18">
        <v>2</v>
      </c>
      <c r="M395" s="16">
        <v>691</v>
      </c>
      <c r="N395" s="18">
        <v>229</v>
      </c>
      <c r="O395" s="16">
        <v>33</v>
      </c>
      <c r="P395" s="13">
        <v>0</v>
      </c>
      <c r="Q395" s="13">
        <v>66</v>
      </c>
      <c r="R395" s="13">
        <v>0</v>
      </c>
      <c r="S395" s="18">
        <v>0</v>
      </c>
      <c r="T395" s="21">
        <v>46247.373032407406</v>
      </c>
      <c r="U395" s="55">
        <f t="shared" si="12"/>
        <v>1</v>
      </c>
      <c r="V395" s="55">
        <f t="shared" si="12"/>
        <v>0</v>
      </c>
      <c r="W395" s="56">
        <f t="shared" si="13"/>
        <v>1028.8333333333333</v>
      </c>
    </row>
    <row r="396" spans="1:23" x14ac:dyDescent="0.3">
      <c r="A396" s="13" t="str" cm="1">
        <f t="array" ref="A396:B396">INDEX(BenchmarkResults!$B$1:$D$35,SUMPRODUCT((T396&gt;=BenchmarkResults!$F$2:$F$35)*(mysql_hardware_log!T396&lt;BenchmarkResults!$G$2:$G$35)*ROW(BenchmarkResults!$F$2:$F$35)),{1,3})</f>
        <v>q4_category_revenue</v>
      </c>
      <c r="B396" s="13">
        <v>3</v>
      </c>
      <c r="C396" s="16">
        <v>1</v>
      </c>
      <c r="D396" s="18">
        <v>0</v>
      </c>
      <c r="E396" s="16">
        <v>450304</v>
      </c>
      <c r="F396" s="13">
        <v>1186640</v>
      </c>
      <c r="G396" s="13">
        <v>4912</v>
      </c>
      <c r="H396" s="18">
        <v>2472692</v>
      </c>
      <c r="I396" s="16">
        <v>3</v>
      </c>
      <c r="J396" s="18">
        <v>0</v>
      </c>
      <c r="K396" s="16">
        <v>960</v>
      </c>
      <c r="L396" s="18">
        <v>2</v>
      </c>
      <c r="M396" s="16">
        <v>686</v>
      </c>
      <c r="N396" s="18">
        <v>220</v>
      </c>
      <c r="O396" s="16">
        <v>33</v>
      </c>
      <c r="P396" s="13">
        <v>0</v>
      </c>
      <c r="Q396" s="13">
        <v>66</v>
      </c>
      <c r="R396" s="13">
        <v>0</v>
      </c>
      <c r="S396" s="18">
        <v>0</v>
      </c>
      <c r="T396" s="21">
        <v>46247.373148148145</v>
      </c>
      <c r="U396" s="55">
        <f t="shared" si="12"/>
        <v>1</v>
      </c>
      <c r="V396" s="55">
        <f t="shared" si="12"/>
        <v>0</v>
      </c>
      <c r="W396" s="56">
        <f t="shared" si="13"/>
        <v>1027.1666666666667</v>
      </c>
    </row>
    <row r="397" spans="1:23" x14ac:dyDescent="0.3">
      <c r="A397" s="13" t="str" cm="1">
        <f t="array" ref="A397:B397">INDEX(BenchmarkResults!$B$1:$D$35,SUMPRODUCT((T397&gt;=BenchmarkResults!$F$2:$F$35)*(mysql_hardware_log!T397&lt;BenchmarkResults!$G$2:$G$35)*ROW(BenchmarkResults!$F$2:$F$35)),{1,3})</f>
        <v>q4_category_revenue</v>
      </c>
      <c r="B397" s="13">
        <v>3</v>
      </c>
      <c r="C397" s="16">
        <v>1</v>
      </c>
      <c r="D397" s="18">
        <v>0</v>
      </c>
      <c r="E397" s="16">
        <v>450304</v>
      </c>
      <c r="F397" s="13">
        <v>1178576</v>
      </c>
      <c r="G397" s="13">
        <v>4920</v>
      </c>
      <c r="H397" s="18">
        <v>2477652</v>
      </c>
      <c r="I397" s="16">
        <v>2</v>
      </c>
      <c r="J397" s="18">
        <v>0</v>
      </c>
      <c r="K397" s="16">
        <v>489</v>
      </c>
      <c r="L397" s="18">
        <v>2</v>
      </c>
      <c r="M397" s="16">
        <v>678</v>
      </c>
      <c r="N397" s="18">
        <v>214</v>
      </c>
      <c r="O397" s="16">
        <v>33</v>
      </c>
      <c r="P397" s="13">
        <v>0</v>
      </c>
      <c r="Q397" s="13">
        <v>66</v>
      </c>
      <c r="R397" s="13">
        <v>0</v>
      </c>
      <c r="S397" s="18">
        <v>0</v>
      </c>
      <c r="T397" s="21">
        <v>46247.373263888891</v>
      </c>
      <c r="U397" s="55">
        <f t="shared" si="12"/>
        <v>1</v>
      </c>
      <c r="V397" s="55">
        <f t="shared" si="12"/>
        <v>0</v>
      </c>
      <c r="W397" s="56">
        <f t="shared" si="13"/>
        <v>938.33333333333337</v>
      </c>
    </row>
    <row r="398" spans="1:23" x14ac:dyDescent="0.3">
      <c r="A398" s="13" t="str" cm="1">
        <f t="array" ref="A398:B398">INDEX(BenchmarkResults!$B$1:$D$35,SUMPRODUCT((T398&gt;=BenchmarkResults!$F$2:$F$35)*(mysql_hardware_log!T398&lt;BenchmarkResults!$G$2:$G$35)*ROW(BenchmarkResults!$F$2:$F$35)),{1,3})</f>
        <v>q4_category_revenue</v>
      </c>
      <c r="B398" s="13">
        <v>3</v>
      </c>
      <c r="C398" s="16">
        <v>1</v>
      </c>
      <c r="D398" s="18">
        <v>0</v>
      </c>
      <c r="E398" s="16">
        <v>450304</v>
      </c>
      <c r="F398" s="13">
        <v>1178576</v>
      </c>
      <c r="G398" s="13">
        <v>4928</v>
      </c>
      <c r="H398" s="18">
        <v>2477652</v>
      </c>
      <c r="I398" s="16">
        <v>0</v>
      </c>
      <c r="J398" s="18">
        <v>0</v>
      </c>
      <c r="K398" s="16">
        <v>0</v>
      </c>
      <c r="L398" s="18">
        <v>2</v>
      </c>
      <c r="M398" s="16">
        <v>679</v>
      </c>
      <c r="N398" s="18">
        <v>220</v>
      </c>
      <c r="O398" s="16">
        <v>33</v>
      </c>
      <c r="P398" s="13">
        <v>0</v>
      </c>
      <c r="Q398" s="13">
        <v>66</v>
      </c>
      <c r="R398" s="13">
        <v>0</v>
      </c>
      <c r="S398" s="18">
        <v>0</v>
      </c>
      <c r="T398" s="21">
        <v>46247.373379629629</v>
      </c>
      <c r="U398" s="55">
        <f t="shared" si="12"/>
        <v>1</v>
      </c>
      <c r="V398" s="55">
        <f t="shared" si="12"/>
        <v>0</v>
      </c>
      <c r="W398" s="56">
        <f t="shared" si="13"/>
        <v>781.5</v>
      </c>
    </row>
    <row r="399" spans="1:23" x14ac:dyDescent="0.3">
      <c r="A399" s="13" t="str" cm="1">
        <f t="array" ref="A399:B399">INDEX(BenchmarkResults!$B$1:$D$35,SUMPRODUCT((T399&gt;=BenchmarkResults!$F$2:$F$35)*(mysql_hardware_log!T399&lt;BenchmarkResults!$G$2:$G$35)*ROW(BenchmarkResults!$F$2:$F$35)),{1,3})</f>
        <v>q4_category_revenue</v>
      </c>
      <c r="B399" s="13">
        <v>3</v>
      </c>
      <c r="C399" s="16">
        <v>1</v>
      </c>
      <c r="D399" s="18">
        <v>0</v>
      </c>
      <c r="E399" s="16">
        <v>450304</v>
      </c>
      <c r="F399" s="13">
        <v>1178576</v>
      </c>
      <c r="G399" s="13">
        <v>4936</v>
      </c>
      <c r="H399" s="18">
        <v>2477652</v>
      </c>
      <c r="I399" s="16">
        <v>0</v>
      </c>
      <c r="J399" s="18">
        <v>0</v>
      </c>
      <c r="K399" s="16">
        <v>0</v>
      </c>
      <c r="L399" s="18">
        <v>2</v>
      </c>
      <c r="M399" s="16">
        <v>677</v>
      </c>
      <c r="N399" s="18">
        <v>215</v>
      </c>
      <c r="O399" s="16">
        <v>33</v>
      </c>
      <c r="P399" s="13">
        <v>0</v>
      </c>
      <c r="Q399" s="13">
        <v>66</v>
      </c>
      <c r="R399" s="13">
        <v>0</v>
      </c>
      <c r="S399" s="18">
        <v>0</v>
      </c>
      <c r="T399" s="21">
        <v>46247.373495370368</v>
      </c>
      <c r="U399" s="55">
        <f t="shared" si="12"/>
        <v>1</v>
      </c>
      <c r="V399" s="55">
        <f t="shared" si="12"/>
        <v>0</v>
      </c>
      <c r="W399" s="56">
        <f t="shared" si="13"/>
        <v>611.83333333333337</v>
      </c>
    </row>
    <row r="400" spans="1:23" x14ac:dyDescent="0.3">
      <c r="A400" s="13" t="str" cm="1">
        <f t="array" ref="A400:B400">INDEX(BenchmarkResults!$B$1:$D$35,SUMPRODUCT((T400&gt;=BenchmarkResults!$F$2:$F$35)*(mysql_hardware_log!T400&lt;BenchmarkResults!$G$2:$G$35)*ROW(BenchmarkResults!$F$2:$F$35)),{1,3})</f>
        <v>q4_category_revenue</v>
      </c>
      <c r="B400" s="13">
        <v>3</v>
      </c>
      <c r="C400" s="16">
        <v>1</v>
      </c>
      <c r="D400" s="18">
        <v>0</v>
      </c>
      <c r="E400" s="16">
        <v>450304</v>
      </c>
      <c r="F400" s="13">
        <v>1178576</v>
      </c>
      <c r="G400" s="13">
        <v>4944</v>
      </c>
      <c r="H400" s="18">
        <v>2477652</v>
      </c>
      <c r="I400" s="16">
        <v>0</v>
      </c>
      <c r="J400" s="18">
        <v>0</v>
      </c>
      <c r="K400" s="16">
        <v>0</v>
      </c>
      <c r="L400" s="18">
        <v>2</v>
      </c>
      <c r="M400" s="16">
        <v>679</v>
      </c>
      <c r="N400" s="18">
        <v>223</v>
      </c>
      <c r="O400" s="16">
        <v>34</v>
      </c>
      <c r="P400" s="13">
        <v>0</v>
      </c>
      <c r="Q400" s="13">
        <v>66</v>
      </c>
      <c r="R400" s="13">
        <v>0</v>
      </c>
      <c r="S400" s="18">
        <v>0</v>
      </c>
      <c r="T400" s="21">
        <v>46247.373611111114</v>
      </c>
      <c r="U400" s="55">
        <f t="shared" si="12"/>
        <v>1</v>
      </c>
      <c r="V400" s="55">
        <f t="shared" si="12"/>
        <v>0</v>
      </c>
      <c r="W400" s="56">
        <f t="shared" si="13"/>
        <v>407.66666666666669</v>
      </c>
    </row>
    <row r="401" spans="1:23" x14ac:dyDescent="0.3">
      <c r="A401" s="13" t="str" cm="1">
        <f t="array" ref="A401:B401">INDEX(BenchmarkResults!$B$1:$D$35,SUMPRODUCT((T401&gt;=BenchmarkResults!$F$2:$F$35)*(mysql_hardware_log!T401&lt;BenchmarkResults!$G$2:$G$35)*ROW(BenchmarkResults!$F$2:$F$35)),{1,3})</f>
        <v>q4_category_revenue</v>
      </c>
      <c r="B401" s="13">
        <v>3</v>
      </c>
      <c r="C401" s="16">
        <v>2</v>
      </c>
      <c r="D401" s="18">
        <v>0</v>
      </c>
      <c r="E401" s="16">
        <v>450304</v>
      </c>
      <c r="F401" s="13">
        <v>1178576</v>
      </c>
      <c r="G401" s="13">
        <v>4952</v>
      </c>
      <c r="H401" s="18">
        <v>2477652</v>
      </c>
      <c r="I401" s="16">
        <v>0</v>
      </c>
      <c r="J401" s="18">
        <v>0</v>
      </c>
      <c r="K401" s="16">
        <v>0</v>
      </c>
      <c r="L401" s="18">
        <v>2</v>
      </c>
      <c r="M401" s="16">
        <v>681</v>
      </c>
      <c r="N401" s="18">
        <v>226</v>
      </c>
      <c r="O401" s="16">
        <v>34</v>
      </c>
      <c r="P401" s="13">
        <v>0</v>
      </c>
      <c r="Q401" s="13">
        <v>66</v>
      </c>
      <c r="R401" s="13">
        <v>0</v>
      </c>
      <c r="S401" s="18">
        <v>0</v>
      </c>
      <c r="T401" s="21">
        <v>46247.373726851853</v>
      </c>
      <c r="U401" s="55">
        <f t="shared" si="12"/>
        <v>1.1666666666666667</v>
      </c>
      <c r="V401" s="55">
        <f t="shared" si="12"/>
        <v>0</v>
      </c>
      <c r="W401" s="56">
        <f t="shared" si="13"/>
        <v>241.5</v>
      </c>
    </row>
    <row r="402" spans="1:23" x14ac:dyDescent="0.3">
      <c r="A402" s="13" t="str" cm="1">
        <f t="array" ref="A402:B402">INDEX(BenchmarkResults!$B$1:$D$35,SUMPRODUCT((T402&gt;=BenchmarkResults!$F$2:$F$35)*(mysql_hardware_log!T402&lt;BenchmarkResults!$G$2:$G$35)*ROW(BenchmarkResults!$F$2:$F$35)),{1,3})</f>
        <v>q4_category_revenue</v>
      </c>
      <c r="B402" s="13">
        <v>3</v>
      </c>
      <c r="C402" s="16">
        <v>1</v>
      </c>
      <c r="D402" s="18">
        <v>0</v>
      </c>
      <c r="E402" s="16">
        <v>450304</v>
      </c>
      <c r="F402" s="13">
        <v>1178576</v>
      </c>
      <c r="G402" s="13">
        <v>4960</v>
      </c>
      <c r="H402" s="18">
        <v>2477652</v>
      </c>
      <c r="I402" s="16">
        <v>0</v>
      </c>
      <c r="J402" s="18">
        <v>0</v>
      </c>
      <c r="K402" s="16">
        <v>0</v>
      </c>
      <c r="L402" s="18">
        <v>2</v>
      </c>
      <c r="M402" s="16">
        <v>683</v>
      </c>
      <c r="N402" s="18">
        <v>225</v>
      </c>
      <c r="O402" s="16">
        <v>33</v>
      </c>
      <c r="P402" s="13">
        <v>0</v>
      </c>
      <c r="Q402" s="13">
        <v>66</v>
      </c>
      <c r="R402" s="13">
        <v>0</v>
      </c>
      <c r="S402" s="18">
        <v>0</v>
      </c>
      <c r="T402" s="21">
        <v>46247.373842592591</v>
      </c>
      <c r="U402" s="55">
        <f t="shared" si="12"/>
        <v>1.1666666666666667</v>
      </c>
      <c r="V402" s="55">
        <f t="shared" si="12"/>
        <v>0</v>
      </c>
      <c r="W402" s="56">
        <f t="shared" si="13"/>
        <v>81.5</v>
      </c>
    </row>
    <row r="403" spans="1:23" x14ac:dyDescent="0.3">
      <c r="A403" s="13" t="str" cm="1">
        <f t="array" ref="A403:B403">INDEX(BenchmarkResults!$B$1:$D$35,SUMPRODUCT((T403&gt;=BenchmarkResults!$F$2:$F$35)*(mysql_hardware_log!T403&lt;BenchmarkResults!$G$2:$G$35)*ROW(BenchmarkResults!$F$2:$F$35)),{1,3})</f>
        <v>q4_category_revenue</v>
      </c>
      <c r="B403" s="13">
        <v>3</v>
      </c>
      <c r="C403" s="16">
        <v>1</v>
      </c>
      <c r="D403" s="18">
        <v>0</v>
      </c>
      <c r="E403" s="16">
        <v>450304</v>
      </c>
      <c r="F403" s="13">
        <v>1178576</v>
      </c>
      <c r="G403" s="13">
        <v>4968</v>
      </c>
      <c r="H403" s="18">
        <v>2477652</v>
      </c>
      <c r="I403" s="16">
        <v>0</v>
      </c>
      <c r="J403" s="18">
        <v>0</v>
      </c>
      <c r="K403" s="16">
        <v>0</v>
      </c>
      <c r="L403" s="18">
        <v>2</v>
      </c>
      <c r="M403" s="16">
        <v>685</v>
      </c>
      <c r="N403" s="18">
        <v>216</v>
      </c>
      <c r="O403" s="16">
        <v>33</v>
      </c>
      <c r="P403" s="13">
        <v>0</v>
      </c>
      <c r="Q403" s="13">
        <v>66</v>
      </c>
      <c r="R403" s="13">
        <v>0</v>
      </c>
      <c r="S403" s="18">
        <v>0</v>
      </c>
      <c r="T403" s="21">
        <v>46247.37395833333</v>
      </c>
      <c r="U403" s="55">
        <f t="shared" si="12"/>
        <v>1.1666666666666667</v>
      </c>
      <c r="V403" s="55">
        <f t="shared" si="12"/>
        <v>0</v>
      </c>
      <c r="W403" s="56">
        <f t="shared" si="13"/>
        <v>0</v>
      </c>
    </row>
    <row r="404" spans="1:23" x14ac:dyDescent="0.3">
      <c r="A404" s="13" t="str" cm="1">
        <f t="array" ref="A404:B404">INDEX(BenchmarkResults!$B$1:$D$35,SUMPRODUCT((T404&gt;=BenchmarkResults!$F$2:$F$35)*(mysql_hardware_log!T404&lt;BenchmarkResults!$G$2:$G$35)*ROW(BenchmarkResults!$F$2:$F$35)),{1,3})</f>
        <v>q4_category_revenue</v>
      </c>
      <c r="B404" s="13">
        <v>3</v>
      </c>
      <c r="C404" s="16">
        <v>1</v>
      </c>
      <c r="D404" s="18">
        <v>0</v>
      </c>
      <c r="E404" s="16">
        <v>450304</v>
      </c>
      <c r="F404" s="13">
        <v>1178576</v>
      </c>
      <c r="G404" s="13">
        <v>4976</v>
      </c>
      <c r="H404" s="18">
        <v>2477656</v>
      </c>
      <c r="I404" s="16">
        <v>0</v>
      </c>
      <c r="J404" s="18">
        <v>0</v>
      </c>
      <c r="K404" s="16">
        <v>0</v>
      </c>
      <c r="L404" s="18">
        <v>3</v>
      </c>
      <c r="M404" s="16">
        <v>676</v>
      </c>
      <c r="N404" s="18">
        <v>212</v>
      </c>
      <c r="O404" s="16">
        <v>33</v>
      </c>
      <c r="P404" s="13">
        <v>0</v>
      </c>
      <c r="Q404" s="13">
        <v>66</v>
      </c>
      <c r="R404" s="13">
        <v>0</v>
      </c>
      <c r="S404" s="18">
        <v>0</v>
      </c>
      <c r="T404" s="21">
        <v>46247.374074074076</v>
      </c>
      <c r="U404" s="55">
        <f t="shared" si="12"/>
        <v>1.1666666666666667</v>
      </c>
      <c r="V404" s="55">
        <f t="shared" si="12"/>
        <v>0</v>
      </c>
      <c r="W404" s="56">
        <f t="shared" si="13"/>
        <v>0</v>
      </c>
    </row>
    <row r="405" spans="1:23" x14ac:dyDescent="0.3">
      <c r="A405" s="13" t="str" cm="1">
        <f t="array" ref="A405:B405">INDEX(BenchmarkResults!$B$1:$D$35,SUMPRODUCT((T405&gt;=BenchmarkResults!$F$2:$F$35)*(mysql_hardware_log!T405&lt;BenchmarkResults!$G$2:$G$35)*ROW(BenchmarkResults!$F$2:$F$35)),{1,3})</f>
        <v>q4_category_revenue</v>
      </c>
      <c r="B405" s="13">
        <v>3</v>
      </c>
      <c r="C405" s="16">
        <v>1</v>
      </c>
      <c r="D405" s="18">
        <v>0</v>
      </c>
      <c r="E405" s="16">
        <v>450304</v>
      </c>
      <c r="F405" s="13">
        <v>1178576</v>
      </c>
      <c r="G405" s="13">
        <v>4984</v>
      </c>
      <c r="H405" s="18">
        <v>2477656</v>
      </c>
      <c r="I405" s="16">
        <v>0</v>
      </c>
      <c r="J405" s="18">
        <v>0</v>
      </c>
      <c r="K405" s="16">
        <v>0</v>
      </c>
      <c r="L405" s="18">
        <v>4</v>
      </c>
      <c r="M405" s="16">
        <v>676</v>
      </c>
      <c r="N405" s="18">
        <v>213</v>
      </c>
      <c r="O405" s="16">
        <v>33</v>
      </c>
      <c r="P405" s="13">
        <v>0</v>
      </c>
      <c r="Q405" s="13">
        <v>66</v>
      </c>
      <c r="R405" s="13">
        <v>0</v>
      </c>
      <c r="S405" s="18">
        <v>0</v>
      </c>
      <c r="T405" s="21">
        <v>46247.374189814815</v>
      </c>
      <c r="U405" s="55">
        <f t="shared" si="12"/>
        <v>1.1666666666666667</v>
      </c>
      <c r="V405" s="55">
        <f t="shared" si="12"/>
        <v>0</v>
      </c>
      <c r="W405" s="56">
        <f t="shared" si="13"/>
        <v>0</v>
      </c>
    </row>
    <row r="406" spans="1:23" x14ac:dyDescent="0.3">
      <c r="A406" s="13" t="str" cm="1">
        <f t="array" ref="A406:B406">INDEX(BenchmarkResults!$B$1:$D$35,SUMPRODUCT((T406&gt;=BenchmarkResults!$F$2:$F$35)*(mysql_hardware_log!T406&lt;BenchmarkResults!$G$2:$G$35)*ROW(BenchmarkResults!$F$2:$F$35)),{1,3})</f>
        <v>q4_category_revenue</v>
      </c>
      <c r="B406" s="13">
        <v>3</v>
      </c>
      <c r="C406" s="16">
        <v>1</v>
      </c>
      <c r="D406" s="18">
        <v>0</v>
      </c>
      <c r="E406" s="16">
        <v>450304</v>
      </c>
      <c r="F406" s="13">
        <v>1178576</v>
      </c>
      <c r="G406" s="13">
        <v>4992</v>
      </c>
      <c r="H406" s="18">
        <v>2477656</v>
      </c>
      <c r="I406" s="16">
        <v>0</v>
      </c>
      <c r="J406" s="18">
        <v>0</v>
      </c>
      <c r="K406" s="16">
        <v>0</v>
      </c>
      <c r="L406" s="18">
        <v>2</v>
      </c>
      <c r="M406" s="16">
        <v>688</v>
      </c>
      <c r="N406" s="18">
        <v>222</v>
      </c>
      <c r="O406" s="16">
        <v>33</v>
      </c>
      <c r="P406" s="13">
        <v>0</v>
      </c>
      <c r="Q406" s="13">
        <v>66</v>
      </c>
      <c r="R406" s="13">
        <v>0</v>
      </c>
      <c r="S406" s="18">
        <v>0</v>
      </c>
      <c r="T406" s="21">
        <v>46247.374305555553</v>
      </c>
      <c r="U406" s="55">
        <f t="shared" si="12"/>
        <v>1.1666666666666667</v>
      </c>
      <c r="V406" s="55">
        <f t="shared" si="12"/>
        <v>0</v>
      </c>
      <c r="W406" s="56">
        <f t="shared" si="13"/>
        <v>0</v>
      </c>
    </row>
    <row r="407" spans="1:23" x14ac:dyDescent="0.3">
      <c r="A407" s="13" t="str" cm="1">
        <f t="array" ref="A407:B407">INDEX(BenchmarkResults!$B$1:$D$35,SUMPRODUCT((T407&gt;=BenchmarkResults!$F$2:$F$35)*(mysql_hardware_log!T407&lt;BenchmarkResults!$G$2:$G$35)*ROW(BenchmarkResults!$F$2:$F$35)),{1,3})</f>
        <v>q4_category_revenue</v>
      </c>
      <c r="B407" s="13">
        <v>3</v>
      </c>
      <c r="C407" s="16">
        <v>1</v>
      </c>
      <c r="D407" s="18">
        <v>0</v>
      </c>
      <c r="E407" s="16">
        <v>450304</v>
      </c>
      <c r="F407" s="13">
        <v>1178576</v>
      </c>
      <c r="G407" s="13">
        <v>5000</v>
      </c>
      <c r="H407" s="18">
        <v>2477656</v>
      </c>
      <c r="I407" s="16">
        <v>0</v>
      </c>
      <c r="J407" s="18">
        <v>0</v>
      </c>
      <c r="K407" s="16">
        <v>0</v>
      </c>
      <c r="L407" s="18">
        <v>2</v>
      </c>
      <c r="M407" s="16">
        <v>684</v>
      </c>
      <c r="N407" s="18">
        <v>215</v>
      </c>
      <c r="O407" s="16">
        <v>33</v>
      </c>
      <c r="P407" s="13">
        <v>0</v>
      </c>
      <c r="Q407" s="13">
        <v>66</v>
      </c>
      <c r="R407" s="13">
        <v>0</v>
      </c>
      <c r="S407" s="18">
        <v>0</v>
      </c>
      <c r="T407" s="21">
        <v>46247.374421296299</v>
      </c>
      <c r="U407" s="55">
        <f t="shared" si="12"/>
        <v>1</v>
      </c>
      <c r="V407" s="55">
        <f t="shared" si="12"/>
        <v>0</v>
      </c>
      <c r="W407" s="56">
        <f t="shared" si="13"/>
        <v>0</v>
      </c>
    </row>
    <row r="408" spans="1:23" x14ac:dyDescent="0.3">
      <c r="A408" s="13" t="str" cm="1">
        <f t="array" ref="A408:B408">INDEX(BenchmarkResults!$B$1:$D$35,SUMPRODUCT((T408&gt;=BenchmarkResults!$F$2:$F$35)*(mysql_hardware_log!T408&lt;BenchmarkResults!$G$2:$G$35)*ROW(BenchmarkResults!$F$2:$F$35)),{1,3})</f>
        <v>q4_category_revenue</v>
      </c>
      <c r="B408" s="13">
        <v>3</v>
      </c>
      <c r="C408" s="16">
        <v>1</v>
      </c>
      <c r="D408" s="18">
        <v>0</v>
      </c>
      <c r="E408" s="16">
        <v>450304</v>
      </c>
      <c r="F408" s="13">
        <v>1178576</v>
      </c>
      <c r="G408" s="13">
        <v>5008</v>
      </c>
      <c r="H408" s="18">
        <v>2477656</v>
      </c>
      <c r="I408" s="16">
        <v>0</v>
      </c>
      <c r="J408" s="18">
        <v>0</v>
      </c>
      <c r="K408" s="16">
        <v>0</v>
      </c>
      <c r="L408" s="18">
        <v>2</v>
      </c>
      <c r="M408" s="16">
        <v>679</v>
      </c>
      <c r="N408" s="18">
        <v>221</v>
      </c>
      <c r="O408" s="16">
        <v>33</v>
      </c>
      <c r="P408" s="13">
        <v>0</v>
      </c>
      <c r="Q408" s="13">
        <v>66</v>
      </c>
      <c r="R408" s="13">
        <v>0</v>
      </c>
      <c r="S408" s="18">
        <v>0</v>
      </c>
      <c r="T408" s="21">
        <v>46247.374537037038</v>
      </c>
      <c r="U408" s="55">
        <f t="shared" si="12"/>
        <v>1</v>
      </c>
      <c r="V408" s="55">
        <f t="shared" si="12"/>
        <v>0</v>
      </c>
      <c r="W408" s="56">
        <f t="shared" si="13"/>
        <v>0</v>
      </c>
    </row>
    <row r="409" spans="1:23" x14ac:dyDescent="0.3">
      <c r="A409" s="13" t="str" cm="1">
        <f t="array" ref="A409:B409">INDEX(BenchmarkResults!$B$1:$D$35,SUMPRODUCT((T409&gt;=BenchmarkResults!$F$2:$F$35)*(mysql_hardware_log!T409&lt;BenchmarkResults!$G$2:$G$35)*ROW(BenchmarkResults!$F$2:$F$35)),{1,3})</f>
        <v>q4_category_revenue</v>
      </c>
      <c r="B409" s="13">
        <v>3</v>
      </c>
      <c r="C409" s="16">
        <v>1</v>
      </c>
      <c r="D409" s="18">
        <v>0</v>
      </c>
      <c r="E409" s="16">
        <v>450304</v>
      </c>
      <c r="F409" s="13">
        <v>1178576</v>
      </c>
      <c r="G409" s="13">
        <v>5016</v>
      </c>
      <c r="H409" s="18">
        <v>2477656</v>
      </c>
      <c r="I409" s="16">
        <v>0</v>
      </c>
      <c r="J409" s="18">
        <v>0</v>
      </c>
      <c r="K409" s="16">
        <v>0</v>
      </c>
      <c r="L409" s="18">
        <v>2</v>
      </c>
      <c r="M409" s="16">
        <v>675</v>
      </c>
      <c r="N409" s="18">
        <v>215</v>
      </c>
      <c r="O409" s="16">
        <v>33</v>
      </c>
      <c r="P409" s="13">
        <v>0</v>
      </c>
      <c r="Q409" s="13">
        <v>66</v>
      </c>
      <c r="R409" s="13">
        <v>0</v>
      </c>
      <c r="S409" s="18">
        <v>0</v>
      </c>
      <c r="T409" s="21">
        <v>46247.374652777777</v>
      </c>
      <c r="U409" s="55">
        <f t="shared" si="12"/>
        <v>1</v>
      </c>
      <c r="V409" s="55">
        <f t="shared" si="12"/>
        <v>0</v>
      </c>
      <c r="W409" s="56">
        <f t="shared" si="13"/>
        <v>0</v>
      </c>
    </row>
    <row r="410" spans="1:23" x14ac:dyDescent="0.3">
      <c r="A410" s="13" t="str" cm="1">
        <f t="array" ref="A410:B410">INDEX(BenchmarkResults!$B$1:$D$35,SUMPRODUCT((T410&gt;=BenchmarkResults!$F$2:$F$35)*(mysql_hardware_log!T410&lt;BenchmarkResults!$G$2:$G$35)*ROW(BenchmarkResults!$F$2:$F$35)),{1,3})</f>
        <v>q4_category_revenue</v>
      </c>
      <c r="B410" s="13">
        <v>3</v>
      </c>
      <c r="C410" s="16">
        <v>1</v>
      </c>
      <c r="D410" s="18">
        <v>0</v>
      </c>
      <c r="E410" s="16">
        <v>450304</v>
      </c>
      <c r="F410" s="13">
        <v>1178576</v>
      </c>
      <c r="G410" s="13">
        <v>5024</v>
      </c>
      <c r="H410" s="18">
        <v>2477656</v>
      </c>
      <c r="I410" s="16">
        <v>0</v>
      </c>
      <c r="J410" s="18">
        <v>0</v>
      </c>
      <c r="K410" s="16">
        <v>0</v>
      </c>
      <c r="L410" s="18">
        <v>2</v>
      </c>
      <c r="M410" s="16">
        <v>681</v>
      </c>
      <c r="N410" s="18">
        <v>217</v>
      </c>
      <c r="O410" s="16">
        <v>33</v>
      </c>
      <c r="P410" s="13">
        <v>0</v>
      </c>
      <c r="Q410" s="13">
        <v>66</v>
      </c>
      <c r="R410" s="13">
        <v>0</v>
      </c>
      <c r="S410" s="18">
        <v>0</v>
      </c>
      <c r="T410" s="21">
        <v>46247.374768518515</v>
      </c>
      <c r="U410" s="55">
        <f t="shared" si="12"/>
        <v>1</v>
      </c>
      <c r="V410" s="55">
        <f t="shared" si="12"/>
        <v>0</v>
      </c>
      <c r="W410" s="56">
        <f t="shared" si="13"/>
        <v>0</v>
      </c>
    </row>
    <row r="411" spans="1:23" x14ac:dyDescent="0.3">
      <c r="A411" s="13" t="str" cm="1">
        <f t="array" ref="A411:B411">INDEX(BenchmarkResults!$B$1:$D$35,SUMPRODUCT((T411&gt;=BenchmarkResults!$F$2:$F$35)*(mysql_hardware_log!T411&lt;BenchmarkResults!$G$2:$G$35)*ROW(BenchmarkResults!$F$2:$F$35)),{1,3})</f>
        <v>q4_category_revenue</v>
      </c>
      <c r="B411" s="13">
        <v>3</v>
      </c>
      <c r="C411" s="16">
        <v>1</v>
      </c>
      <c r="D411" s="18">
        <v>0</v>
      </c>
      <c r="E411" s="16">
        <v>450304</v>
      </c>
      <c r="F411" s="13">
        <v>1176336</v>
      </c>
      <c r="G411" s="13">
        <v>5040</v>
      </c>
      <c r="H411" s="18">
        <v>2477656</v>
      </c>
      <c r="I411" s="16">
        <v>0</v>
      </c>
      <c r="J411" s="18">
        <v>0</v>
      </c>
      <c r="K411" s="16">
        <v>0</v>
      </c>
      <c r="L411" s="18">
        <v>5</v>
      </c>
      <c r="M411" s="16">
        <v>698</v>
      </c>
      <c r="N411" s="18">
        <v>231</v>
      </c>
      <c r="O411" s="16">
        <v>34</v>
      </c>
      <c r="P411" s="13">
        <v>0</v>
      </c>
      <c r="Q411" s="13">
        <v>66</v>
      </c>
      <c r="R411" s="13">
        <v>0</v>
      </c>
      <c r="S411" s="18">
        <v>0</v>
      </c>
      <c r="T411" s="21">
        <v>46247.374884259261</v>
      </c>
      <c r="U411" s="55">
        <f t="shared" si="12"/>
        <v>1</v>
      </c>
      <c r="V411" s="55">
        <f t="shared" si="12"/>
        <v>0</v>
      </c>
      <c r="W411" s="56">
        <f t="shared" si="13"/>
        <v>0</v>
      </c>
    </row>
    <row r="412" spans="1:23" x14ac:dyDescent="0.3">
      <c r="A412" s="13" t="str" cm="1">
        <f t="array" ref="A412:B412">INDEX(BenchmarkResults!$B$1:$D$35,SUMPRODUCT((T412&gt;=BenchmarkResults!$F$2:$F$35)*(mysql_hardware_log!T412&lt;BenchmarkResults!$G$2:$G$35)*ROW(BenchmarkResults!$F$2:$F$35)),{1,3})</f>
        <v>q4_category_revenue</v>
      </c>
      <c r="B412" s="13">
        <v>3</v>
      </c>
      <c r="C412" s="16">
        <v>1</v>
      </c>
      <c r="D412" s="18">
        <v>0</v>
      </c>
      <c r="E412" s="16">
        <v>450304</v>
      </c>
      <c r="F412" s="13">
        <v>1176084</v>
      </c>
      <c r="G412" s="13">
        <v>5048</v>
      </c>
      <c r="H412" s="18">
        <v>2477656</v>
      </c>
      <c r="I412" s="16">
        <v>0</v>
      </c>
      <c r="J412" s="18">
        <v>0</v>
      </c>
      <c r="K412" s="16">
        <v>0</v>
      </c>
      <c r="L412" s="18">
        <v>2</v>
      </c>
      <c r="M412" s="16">
        <v>688</v>
      </c>
      <c r="N412" s="18">
        <v>226</v>
      </c>
      <c r="O412" s="16">
        <v>34</v>
      </c>
      <c r="P412" s="13">
        <v>0</v>
      </c>
      <c r="Q412" s="13">
        <v>66</v>
      </c>
      <c r="R412" s="13">
        <v>0</v>
      </c>
      <c r="S412" s="18">
        <v>0</v>
      </c>
      <c r="T412" s="21">
        <v>46247.375</v>
      </c>
      <c r="U412" s="55">
        <f t="shared" si="12"/>
        <v>1</v>
      </c>
      <c r="V412" s="55">
        <f t="shared" si="12"/>
        <v>0</v>
      </c>
      <c r="W412" s="56">
        <f t="shared" si="13"/>
        <v>0</v>
      </c>
    </row>
    <row r="413" spans="1:23" x14ac:dyDescent="0.3">
      <c r="A413" s="13" t="str" cm="1">
        <f t="array" ref="A413:B413">INDEX(BenchmarkResults!$B$1:$D$35,SUMPRODUCT((T413&gt;=BenchmarkResults!$F$2:$F$35)*(mysql_hardware_log!T413&lt;BenchmarkResults!$G$2:$G$35)*ROW(BenchmarkResults!$F$2:$F$35)),{1,3})</f>
        <v>q4_category_revenue</v>
      </c>
      <c r="B413" s="13">
        <v>3</v>
      </c>
      <c r="C413" s="16">
        <v>1</v>
      </c>
      <c r="D413" s="18">
        <v>0</v>
      </c>
      <c r="E413" s="16">
        <v>450304</v>
      </c>
      <c r="F413" s="13">
        <v>1176084</v>
      </c>
      <c r="G413" s="13">
        <v>5056</v>
      </c>
      <c r="H413" s="18">
        <v>2477656</v>
      </c>
      <c r="I413" s="16">
        <v>0</v>
      </c>
      <c r="J413" s="18">
        <v>0</v>
      </c>
      <c r="K413" s="16">
        <v>0</v>
      </c>
      <c r="L413" s="18">
        <v>5</v>
      </c>
      <c r="M413" s="16">
        <v>686</v>
      </c>
      <c r="N413" s="18">
        <v>228</v>
      </c>
      <c r="O413" s="16">
        <v>33</v>
      </c>
      <c r="P413" s="13">
        <v>0</v>
      </c>
      <c r="Q413" s="13">
        <v>66</v>
      </c>
      <c r="R413" s="13">
        <v>0</v>
      </c>
      <c r="S413" s="18">
        <v>0</v>
      </c>
      <c r="T413" s="21">
        <v>46247.375115740739</v>
      </c>
      <c r="U413" s="55">
        <f t="shared" si="12"/>
        <v>1</v>
      </c>
      <c r="V413" s="55">
        <f t="shared" si="12"/>
        <v>0</v>
      </c>
      <c r="W413" s="56">
        <f t="shared" si="13"/>
        <v>0</v>
      </c>
    </row>
    <row r="414" spans="1:23" x14ac:dyDescent="0.3">
      <c r="A414" s="13" t="str" cm="1">
        <f t="array" ref="A414:B414">INDEX(BenchmarkResults!$B$1:$D$35,SUMPRODUCT((T414&gt;=BenchmarkResults!$F$2:$F$35)*(mysql_hardware_log!T414&lt;BenchmarkResults!$G$2:$G$35)*ROW(BenchmarkResults!$F$2:$F$35)),{1,3})</f>
        <v>q4_category_revenue</v>
      </c>
      <c r="B414" s="13">
        <v>3</v>
      </c>
      <c r="C414" s="16">
        <v>1</v>
      </c>
      <c r="D414" s="18">
        <v>0</v>
      </c>
      <c r="E414" s="16">
        <v>450304</v>
      </c>
      <c r="F414" s="13">
        <v>1176084</v>
      </c>
      <c r="G414" s="13">
        <v>5064</v>
      </c>
      <c r="H414" s="18">
        <v>2477656</v>
      </c>
      <c r="I414" s="16">
        <v>0</v>
      </c>
      <c r="J414" s="18">
        <v>0</v>
      </c>
      <c r="K414" s="16">
        <v>0</v>
      </c>
      <c r="L414" s="18">
        <v>19</v>
      </c>
      <c r="M414" s="16">
        <v>683</v>
      </c>
      <c r="N414" s="18">
        <v>227</v>
      </c>
      <c r="O414" s="16">
        <v>34</v>
      </c>
      <c r="P414" s="13">
        <v>0</v>
      </c>
      <c r="Q414" s="13">
        <v>66</v>
      </c>
      <c r="R414" s="13">
        <v>0</v>
      </c>
      <c r="S414" s="18">
        <v>0</v>
      </c>
      <c r="T414" s="21">
        <v>46247.375231481485</v>
      </c>
      <c r="U414" s="55">
        <f t="shared" si="12"/>
        <v>1</v>
      </c>
      <c r="V414" s="55">
        <f t="shared" si="12"/>
        <v>0</v>
      </c>
      <c r="W414" s="56">
        <f t="shared" si="13"/>
        <v>0</v>
      </c>
    </row>
    <row r="415" spans="1:23" x14ac:dyDescent="0.3">
      <c r="A415" s="13" t="str" cm="1">
        <f t="array" ref="A415:B415">INDEX(BenchmarkResults!$B$1:$D$35,SUMPRODUCT((T415&gt;=BenchmarkResults!$F$2:$F$35)*(mysql_hardware_log!T415&lt;BenchmarkResults!$G$2:$G$35)*ROW(BenchmarkResults!$F$2:$F$35)),{1,3})</f>
        <v>q4_category_revenue</v>
      </c>
      <c r="B415" s="13">
        <v>3</v>
      </c>
      <c r="C415" s="16">
        <v>1</v>
      </c>
      <c r="D415" s="18">
        <v>0</v>
      </c>
      <c r="E415" s="16">
        <v>450304</v>
      </c>
      <c r="F415" s="13">
        <v>1176084</v>
      </c>
      <c r="G415" s="13">
        <v>5072</v>
      </c>
      <c r="H415" s="18">
        <v>2477656</v>
      </c>
      <c r="I415" s="16">
        <v>0</v>
      </c>
      <c r="J415" s="18">
        <v>0</v>
      </c>
      <c r="K415" s="16">
        <v>0</v>
      </c>
      <c r="L415" s="18">
        <v>2</v>
      </c>
      <c r="M415" s="16">
        <v>671</v>
      </c>
      <c r="N415" s="18">
        <v>212</v>
      </c>
      <c r="O415" s="16">
        <v>33</v>
      </c>
      <c r="P415" s="13">
        <v>0</v>
      </c>
      <c r="Q415" s="13">
        <v>66</v>
      </c>
      <c r="R415" s="13">
        <v>0</v>
      </c>
      <c r="S415" s="18">
        <v>0</v>
      </c>
      <c r="T415" s="21">
        <v>46247.375347222223</v>
      </c>
      <c r="U415" s="55">
        <f t="shared" si="12"/>
        <v>1</v>
      </c>
      <c r="V415" s="55">
        <f t="shared" si="12"/>
        <v>0</v>
      </c>
      <c r="W415" s="56">
        <f t="shared" si="13"/>
        <v>0</v>
      </c>
    </row>
    <row r="416" spans="1:23" x14ac:dyDescent="0.3">
      <c r="A416" s="13" t="str" cm="1">
        <f t="array" ref="A416:B416">INDEX(BenchmarkResults!$B$1:$D$35,SUMPRODUCT((T416&gt;=BenchmarkResults!$F$2:$F$35)*(mysql_hardware_log!T416&lt;BenchmarkResults!$G$2:$G$35)*ROW(BenchmarkResults!$F$2:$F$35)),{1,3})</f>
        <v>q4_category_revenue</v>
      </c>
      <c r="B416" s="13">
        <v>3</v>
      </c>
      <c r="C416" s="16">
        <v>1</v>
      </c>
      <c r="D416" s="18">
        <v>0</v>
      </c>
      <c r="E416" s="16">
        <v>450304</v>
      </c>
      <c r="F416" s="13">
        <v>1176084</v>
      </c>
      <c r="G416" s="13">
        <v>5080</v>
      </c>
      <c r="H416" s="18">
        <v>2477656</v>
      </c>
      <c r="I416" s="16">
        <v>2</v>
      </c>
      <c r="J416" s="18">
        <v>0</v>
      </c>
      <c r="K416" s="16">
        <v>2</v>
      </c>
      <c r="L416" s="18">
        <v>2</v>
      </c>
      <c r="M416" s="16">
        <v>671</v>
      </c>
      <c r="N416" s="18">
        <v>214</v>
      </c>
      <c r="O416" s="16">
        <v>33</v>
      </c>
      <c r="P416" s="13">
        <v>0</v>
      </c>
      <c r="Q416" s="13">
        <v>66</v>
      </c>
      <c r="R416" s="13">
        <v>0</v>
      </c>
      <c r="S416" s="18">
        <v>0</v>
      </c>
      <c r="T416" s="21">
        <v>46247.375462962962</v>
      </c>
      <c r="U416" s="55">
        <f t="shared" si="12"/>
        <v>1</v>
      </c>
      <c r="V416" s="55">
        <f t="shared" si="12"/>
        <v>0</v>
      </c>
      <c r="W416" s="56">
        <f t="shared" si="13"/>
        <v>0.33333333333333331</v>
      </c>
    </row>
    <row r="417" spans="1:23" x14ac:dyDescent="0.3">
      <c r="A417" s="13" t="str" cm="1">
        <f t="array" ref="A417:B417">INDEX(BenchmarkResults!$B$1:$D$35,SUMPRODUCT((T417&gt;=BenchmarkResults!$F$2:$F$35)*(mysql_hardware_log!T417&lt;BenchmarkResults!$G$2:$G$35)*ROW(BenchmarkResults!$F$2:$F$35)),{1,3})</f>
        <v>q5_top_customers</v>
      </c>
      <c r="B417" s="13">
        <v>1</v>
      </c>
      <c r="C417" s="16">
        <v>0</v>
      </c>
      <c r="D417" s="18">
        <v>1</v>
      </c>
      <c r="E417" s="16">
        <v>450304</v>
      </c>
      <c r="F417" s="13">
        <v>1172096</v>
      </c>
      <c r="G417" s="13">
        <v>5092</v>
      </c>
      <c r="H417" s="18">
        <v>2477680</v>
      </c>
      <c r="I417" s="16">
        <v>7</v>
      </c>
      <c r="J417" s="18">
        <v>0</v>
      </c>
      <c r="K417" s="16">
        <v>10</v>
      </c>
      <c r="L417" s="18">
        <v>4</v>
      </c>
      <c r="M417" s="16">
        <v>690</v>
      </c>
      <c r="N417" s="18">
        <v>239</v>
      </c>
      <c r="O417" s="16">
        <v>33</v>
      </c>
      <c r="P417" s="13">
        <v>1</v>
      </c>
      <c r="Q417" s="13">
        <v>66</v>
      </c>
      <c r="R417" s="13">
        <v>0</v>
      </c>
      <c r="S417" s="18">
        <v>0</v>
      </c>
      <c r="T417" s="21">
        <v>46247.375578703701</v>
      </c>
      <c r="U417" s="55">
        <f t="shared" si="12"/>
        <v>0.83333333333333337</v>
      </c>
      <c r="V417" s="55">
        <f t="shared" si="12"/>
        <v>0.16666666666666666</v>
      </c>
      <c r="W417" s="56">
        <f t="shared" si="13"/>
        <v>2</v>
      </c>
    </row>
    <row r="418" spans="1:23" x14ac:dyDescent="0.3">
      <c r="A418" s="13" t="str" cm="1">
        <f t="array" ref="A418:B418">INDEX(BenchmarkResults!$B$1:$D$35,SUMPRODUCT((T418&gt;=BenchmarkResults!$F$2:$F$35)*(mysql_hardware_log!T418&lt;BenchmarkResults!$G$2:$G$35)*ROW(BenchmarkResults!$F$2:$F$35)),{1,3})</f>
        <v>q5_top_customers</v>
      </c>
      <c r="B418" s="13">
        <v>1</v>
      </c>
      <c r="C418" s="16">
        <v>0</v>
      </c>
      <c r="D418" s="18">
        <v>1</v>
      </c>
      <c r="E418" s="16">
        <v>434176</v>
      </c>
      <c r="F418" s="13">
        <v>1161008</v>
      </c>
      <c r="G418" s="13">
        <v>5108</v>
      </c>
      <c r="H418" s="18">
        <v>2477680</v>
      </c>
      <c r="I418" s="16">
        <v>1854</v>
      </c>
      <c r="J418" s="18">
        <v>0</v>
      </c>
      <c r="K418" s="16">
        <v>1854</v>
      </c>
      <c r="L418" s="18">
        <v>6</v>
      </c>
      <c r="M418" s="16">
        <v>1378</v>
      </c>
      <c r="N418" s="18">
        <v>847</v>
      </c>
      <c r="O418" s="16">
        <v>28</v>
      </c>
      <c r="P418" s="13">
        <v>3</v>
      </c>
      <c r="Q418" s="13">
        <v>60</v>
      </c>
      <c r="R418" s="13">
        <v>9</v>
      </c>
      <c r="S418" s="18">
        <v>0</v>
      </c>
      <c r="T418" s="21">
        <v>46247.375694444447</v>
      </c>
      <c r="U418" s="55">
        <f t="shared" si="12"/>
        <v>0.66666666666666663</v>
      </c>
      <c r="V418" s="55">
        <f t="shared" si="12"/>
        <v>0.33333333333333331</v>
      </c>
      <c r="W418" s="56">
        <f t="shared" si="13"/>
        <v>311</v>
      </c>
    </row>
    <row r="419" spans="1:23" x14ac:dyDescent="0.3">
      <c r="A419" s="13" t="str" cm="1">
        <f t="array" ref="A419:B419">INDEX(BenchmarkResults!$B$1:$D$35,SUMPRODUCT((T419&gt;=BenchmarkResults!$F$2:$F$35)*(mysql_hardware_log!T419&lt;BenchmarkResults!$G$2:$G$35)*ROW(BenchmarkResults!$F$2:$F$35)),{1,3})</f>
        <v>q5_top_customers</v>
      </c>
      <c r="B419" s="13">
        <v>1</v>
      </c>
      <c r="C419" s="16">
        <v>1</v>
      </c>
      <c r="D419" s="18">
        <v>0</v>
      </c>
      <c r="E419" s="16">
        <v>423936</v>
      </c>
      <c r="F419" s="13">
        <v>1149920</v>
      </c>
      <c r="G419" s="13">
        <v>5116</v>
      </c>
      <c r="H419" s="18">
        <v>2477680</v>
      </c>
      <c r="I419" s="16">
        <v>873</v>
      </c>
      <c r="J419" s="18">
        <v>0</v>
      </c>
      <c r="K419" s="16">
        <v>873</v>
      </c>
      <c r="L419" s="18">
        <v>4</v>
      </c>
      <c r="M419" s="16">
        <v>1060</v>
      </c>
      <c r="N419" s="18">
        <v>597</v>
      </c>
      <c r="O419" s="16">
        <v>31</v>
      </c>
      <c r="P419" s="13">
        <v>2</v>
      </c>
      <c r="Q419" s="13">
        <v>63</v>
      </c>
      <c r="R419" s="13">
        <v>4</v>
      </c>
      <c r="S419" s="18">
        <v>0</v>
      </c>
      <c r="T419" s="21">
        <v>46247.375810185185</v>
      </c>
      <c r="U419" s="55">
        <f t="shared" si="12"/>
        <v>0.66666666666666663</v>
      </c>
      <c r="V419" s="55">
        <f t="shared" si="12"/>
        <v>0.33333333333333331</v>
      </c>
      <c r="W419" s="56">
        <f t="shared" si="13"/>
        <v>456.5</v>
      </c>
    </row>
    <row r="420" spans="1:23" x14ac:dyDescent="0.3">
      <c r="A420" s="13" t="str" cm="1">
        <f t="array" ref="A420:B420">INDEX(BenchmarkResults!$B$1:$D$35,SUMPRODUCT((T420&gt;=BenchmarkResults!$F$2:$F$35)*(mysql_hardware_log!T420&lt;BenchmarkResults!$G$2:$G$35)*ROW(BenchmarkResults!$F$2:$F$35)),{1,3})</f>
        <v>q5_top_customers</v>
      </c>
      <c r="B420" s="13">
        <v>1</v>
      </c>
      <c r="C420" s="16">
        <v>3</v>
      </c>
      <c r="D420" s="18">
        <v>0</v>
      </c>
      <c r="E420" s="16">
        <v>422656</v>
      </c>
      <c r="F420" s="13">
        <v>1142360</v>
      </c>
      <c r="G420" s="13">
        <v>5140</v>
      </c>
      <c r="H420" s="18">
        <v>2484624</v>
      </c>
      <c r="I420" s="16">
        <v>67</v>
      </c>
      <c r="J420" s="18">
        <v>0</v>
      </c>
      <c r="K420" s="16">
        <v>761</v>
      </c>
      <c r="L420" s="18">
        <v>7</v>
      </c>
      <c r="M420" s="16">
        <v>785</v>
      </c>
      <c r="N420" s="18">
        <v>294</v>
      </c>
      <c r="O420" s="16">
        <v>33</v>
      </c>
      <c r="P420" s="13">
        <v>1</v>
      </c>
      <c r="Q420" s="13">
        <v>65</v>
      </c>
      <c r="R420" s="13">
        <v>1</v>
      </c>
      <c r="S420" s="18">
        <v>0</v>
      </c>
      <c r="T420" s="21">
        <v>46247.375925925924</v>
      </c>
      <c r="U420" s="55">
        <f t="shared" si="12"/>
        <v>1</v>
      </c>
      <c r="V420" s="55">
        <f t="shared" si="12"/>
        <v>0.33333333333333331</v>
      </c>
      <c r="W420" s="56">
        <f t="shared" si="13"/>
        <v>583.33333333333337</v>
      </c>
    </row>
    <row r="421" spans="1:23" x14ac:dyDescent="0.3">
      <c r="A421" s="13" t="str" cm="1">
        <f t="array" ref="A421:B421">INDEX(BenchmarkResults!$B$1:$D$35,SUMPRODUCT((T421&gt;=BenchmarkResults!$F$2:$F$35)*(mysql_hardware_log!T421&lt;BenchmarkResults!$G$2:$G$35)*ROW(BenchmarkResults!$F$2:$F$35)),{1,3})</f>
        <v>q5_top_customers</v>
      </c>
      <c r="B421" s="13">
        <v>1</v>
      </c>
      <c r="C421" s="16">
        <v>6</v>
      </c>
      <c r="D421" s="18">
        <v>0</v>
      </c>
      <c r="E421" s="16">
        <v>422656</v>
      </c>
      <c r="F421" s="13">
        <v>1126944</v>
      </c>
      <c r="G421" s="13">
        <v>5164</v>
      </c>
      <c r="H421" s="18">
        <v>2499764</v>
      </c>
      <c r="I421" s="16">
        <v>0</v>
      </c>
      <c r="J421" s="18">
        <v>0</v>
      </c>
      <c r="K421" s="16">
        <v>378</v>
      </c>
      <c r="L421" s="18">
        <v>63</v>
      </c>
      <c r="M421" s="16">
        <v>721</v>
      </c>
      <c r="N421" s="18">
        <v>366</v>
      </c>
      <c r="O421" s="16">
        <v>34</v>
      </c>
      <c r="P421" s="13">
        <v>1</v>
      </c>
      <c r="Q421" s="13">
        <v>65</v>
      </c>
      <c r="R421" s="13">
        <v>0</v>
      </c>
      <c r="S421" s="18">
        <v>0</v>
      </c>
      <c r="T421" s="21">
        <v>46247.37604166667</v>
      </c>
      <c r="U421" s="55">
        <f t="shared" si="12"/>
        <v>1.8333333333333333</v>
      </c>
      <c r="V421" s="55">
        <f t="shared" si="12"/>
        <v>0.33333333333333331</v>
      </c>
      <c r="W421" s="56">
        <f t="shared" si="13"/>
        <v>646.33333333333337</v>
      </c>
    </row>
    <row r="422" spans="1:23" x14ac:dyDescent="0.3">
      <c r="A422" s="13" t="str" cm="1">
        <f t="array" ref="A422:B422">INDEX(BenchmarkResults!$B$1:$D$35,SUMPRODUCT((T422&gt;=BenchmarkResults!$F$2:$F$35)*(mysql_hardware_log!T422&lt;BenchmarkResults!$G$2:$G$35)*ROW(BenchmarkResults!$F$2:$F$35)),{1,3})</f>
        <v>q5_top_customers</v>
      </c>
      <c r="B422" s="13">
        <v>1</v>
      </c>
      <c r="C422" s="16">
        <v>6</v>
      </c>
      <c r="D422" s="18">
        <v>0</v>
      </c>
      <c r="E422" s="16">
        <v>422656</v>
      </c>
      <c r="F422" s="13">
        <v>1071504</v>
      </c>
      <c r="G422" s="13">
        <v>5188</v>
      </c>
      <c r="H422" s="18">
        <v>2554348</v>
      </c>
      <c r="I422" s="16">
        <v>0</v>
      </c>
      <c r="J422" s="18">
        <v>0</v>
      </c>
      <c r="K422" s="16">
        <v>4182</v>
      </c>
      <c r="L422" s="18">
        <v>7</v>
      </c>
      <c r="M422" s="16">
        <v>783</v>
      </c>
      <c r="N422" s="18">
        <v>400</v>
      </c>
      <c r="O422" s="16">
        <v>32</v>
      </c>
      <c r="P422" s="13">
        <v>2</v>
      </c>
      <c r="Q422" s="13">
        <v>65</v>
      </c>
      <c r="R422" s="13">
        <v>1</v>
      </c>
      <c r="S422" s="18">
        <v>0</v>
      </c>
      <c r="T422" s="21">
        <v>46247.376157407409</v>
      </c>
      <c r="U422" s="55">
        <f t="shared" si="12"/>
        <v>2.6666666666666665</v>
      </c>
      <c r="V422" s="55">
        <f t="shared" si="12"/>
        <v>0.33333333333333331</v>
      </c>
      <c r="W422" s="56">
        <f t="shared" si="13"/>
        <v>1343</v>
      </c>
    </row>
    <row r="423" spans="1:23" x14ac:dyDescent="0.3">
      <c r="A423" s="13" t="str" cm="1">
        <f t="array" ref="A423:B423">INDEX(BenchmarkResults!$B$1:$D$35,SUMPRODUCT((T423&gt;=BenchmarkResults!$F$2:$F$35)*(mysql_hardware_log!T423&lt;BenchmarkResults!$G$2:$G$35)*ROW(BenchmarkResults!$F$2:$F$35)),{1,3})</f>
        <v>q5_top_customers</v>
      </c>
      <c r="B423" s="13">
        <v>1</v>
      </c>
      <c r="C423" s="16">
        <v>2</v>
      </c>
      <c r="D423" s="18">
        <v>0</v>
      </c>
      <c r="E423" s="16">
        <v>422656</v>
      </c>
      <c r="F423" s="13">
        <v>1016064</v>
      </c>
      <c r="G423" s="13">
        <v>5204</v>
      </c>
      <c r="H423" s="18">
        <v>2607704</v>
      </c>
      <c r="I423" s="16">
        <v>0</v>
      </c>
      <c r="J423" s="18">
        <v>0</v>
      </c>
      <c r="K423" s="16">
        <v>3833</v>
      </c>
      <c r="L423" s="18">
        <v>2942</v>
      </c>
      <c r="M423" s="16">
        <v>804</v>
      </c>
      <c r="N423" s="18">
        <v>444</v>
      </c>
      <c r="O423" s="16">
        <v>32</v>
      </c>
      <c r="P423" s="13">
        <v>2</v>
      </c>
      <c r="Q423" s="13">
        <v>62</v>
      </c>
      <c r="R423" s="13">
        <v>4</v>
      </c>
      <c r="S423" s="18">
        <v>0</v>
      </c>
      <c r="T423" s="21">
        <v>46247.376273148147</v>
      </c>
      <c r="U423" s="55">
        <f t="shared" si="12"/>
        <v>3</v>
      </c>
      <c r="V423" s="55">
        <f t="shared" si="12"/>
        <v>0.16666666666666666</v>
      </c>
      <c r="W423" s="56">
        <f t="shared" si="13"/>
        <v>1980.1666666666667</v>
      </c>
    </row>
    <row r="424" spans="1:23" x14ac:dyDescent="0.3">
      <c r="A424" s="13" t="str" cm="1">
        <f t="array" ref="A424:B424">INDEX(BenchmarkResults!$B$1:$D$35,SUMPRODUCT((T424&gt;=BenchmarkResults!$F$2:$F$35)*(mysql_hardware_log!T424&lt;BenchmarkResults!$G$2:$G$35)*ROW(BenchmarkResults!$F$2:$F$35)),{1,3})</f>
        <v>q5_top_customers</v>
      </c>
      <c r="B424" s="13">
        <v>1</v>
      </c>
      <c r="C424" s="16">
        <v>1</v>
      </c>
      <c r="D424" s="18">
        <v>0</v>
      </c>
      <c r="E424" s="16">
        <v>422656</v>
      </c>
      <c r="F424" s="13">
        <v>1001644</v>
      </c>
      <c r="G424" s="13">
        <v>5220</v>
      </c>
      <c r="H424" s="18">
        <v>2650600</v>
      </c>
      <c r="I424" s="16">
        <v>0</v>
      </c>
      <c r="J424" s="18">
        <v>0</v>
      </c>
      <c r="K424" s="16">
        <v>2788</v>
      </c>
      <c r="L424" s="18">
        <v>10</v>
      </c>
      <c r="M424" s="16">
        <v>768</v>
      </c>
      <c r="N424" s="18">
        <v>395</v>
      </c>
      <c r="O424" s="16">
        <v>33</v>
      </c>
      <c r="P424" s="13">
        <v>1</v>
      </c>
      <c r="Q424" s="13">
        <v>66</v>
      </c>
      <c r="R424" s="13">
        <v>1</v>
      </c>
      <c r="S424" s="18">
        <v>0</v>
      </c>
      <c r="T424" s="21">
        <v>46247.376388888886</v>
      </c>
      <c r="U424" s="55">
        <f t="shared" si="12"/>
        <v>3.1666666666666665</v>
      </c>
      <c r="V424" s="55">
        <f t="shared" si="12"/>
        <v>0</v>
      </c>
      <c r="W424" s="56">
        <f t="shared" si="13"/>
        <v>2135.8333333333335</v>
      </c>
    </row>
    <row r="425" spans="1:23" x14ac:dyDescent="0.3">
      <c r="A425" s="13" t="str" cm="1">
        <f t="array" ref="A425:B425">INDEX(BenchmarkResults!$B$1:$D$35,SUMPRODUCT((T425&gt;=BenchmarkResults!$F$2:$F$35)*(mysql_hardware_log!T425&lt;BenchmarkResults!$G$2:$G$35)*ROW(BenchmarkResults!$F$2:$F$35)),{1,3})</f>
        <v>q5_top_customers</v>
      </c>
      <c r="B425" s="13">
        <v>1</v>
      </c>
      <c r="C425" s="16">
        <v>1</v>
      </c>
      <c r="D425" s="18">
        <v>0</v>
      </c>
      <c r="E425" s="16">
        <v>422656</v>
      </c>
      <c r="F425" s="13">
        <v>962584</v>
      </c>
      <c r="G425" s="13">
        <v>5240</v>
      </c>
      <c r="H425" s="18">
        <v>2692932</v>
      </c>
      <c r="I425" s="16">
        <v>0</v>
      </c>
      <c r="J425" s="18">
        <v>0</v>
      </c>
      <c r="K425" s="16">
        <v>2823</v>
      </c>
      <c r="L425" s="18">
        <v>9</v>
      </c>
      <c r="M425" s="16">
        <v>765</v>
      </c>
      <c r="N425" s="18">
        <v>423</v>
      </c>
      <c r="O425" s="16">
        <v>32</v>
      </c>
      <c r="P425" s="13">
        <v>2</v>
      </c>
      <c r="Q425" s="13">
        <v>65</v>
      </c>
      <c r="R425" s="13">
        <v>0</v>
      </c>
      <c r="S425" s="18">
        <v>0</v>
      </c>
      <c r="T425" s="21">
        <v>46247.376504629632</v>
      </c>
      <c r="U425" s="55">
        <f t="shared" si="12"/>
        <v>3.1666666666666665</v>
      </c>
      <c r="V425" s="55">
        <f t="shared" si="12"/>
        <v>0</v>
      </c>
      <c r="W425" s="56">
        <f t="shared" si="13"/>
        <v>2460.8333333333335</v>
      </c>
    </row>
    <row r="426" spans="1:23" x14ac:dyDescent="0.3">
      <c r="A426" s="13" t="str" cm="1">
        <f t="array" ref="A426:B426">INDEX(BenchmarkResults!$B$1:$D$35,SUMPRODUCT((T426&gt;=BenchmarkResults!$F$2:$F$35)*(mysql_hardware_log!T426&lt;BenchmarkResults!$G$2:$G$35)*ROW(BenchmarkResults!$F$2:$F$35)),{1,3})</f>
        <v>q5_top_customers</v>
      </c>
      <c r="B426" s="13">
        <v>1</v>
      </c>
      <c r="C426" s="16">
        <v>1</v>
      </c>
      <c r="D426" s="18">
        <v>0</v>
      </c>
      <c r="E426" s="16">
        <v>422656</v>
      </c>
      <c r="F426" s="13">
        <v>938896</v>
      </c>
      <c r="G426" s="13">
        <v>5256</v>
      </c>
      <c r="H426" s="18">
        <v>2719372</v>
      </c>
      <c r="I426" s="16">
        <v>0</v>
      </c>
      <c r="J426" s="18">
        <v>0</v>
      </c>
      <c r="K426" s="16">
        <v>1320</v>
      </c>
      <c r="L426" s="18">
        <v>4540</v>
      </c>
      <c r="M426" s="16">
        <v>753</v>
      </c>
      <c r="N426" s="18">
        <v>423</v>
      </c>
      <c r="O426" s="16">
        <v>32</v>
      </c>
      <c r="P426" s="13">
        <v>2</v>
      </c>
      <c r="Q426" s="13">
        <v>62</v>
      </c>
      <c r="R426" s="13">
        <v>3</v>
      </c>
      <c r="S426" s="18">
        <v>0</v>
      </c>
      <c r="T426" s="21">
        <v>46247.376620370371</v>
      </c>
      <c r="U426" s="55">
        <f t="shared" si="12"/>
        <v>2.8333333333333335</v>
      </c>
      <c r="V426" s="55">
        <f t="shared" si="12"/>
        <v>0</v>
      </c>
      <c r="W426" s="56">
        <f t="shared" si="13"/>
        <v>2554</v>
      </c>
    </row>
    <row r="427" spans="1:23" x14ac:dyDescent="0.3">
      <c r="A427" s="13" t="str" cm="1">
        <f t="array" ref="A427:B427">INDEX(BenchmarkResults!$B$1:$D$35,SUMPRODUCT((T427&gt;=BenchmarkResults!$F$2:$F$35)*(mysql_hardware_log!T427&lt;BenchmarkResults!$G$2:$G$35)*ROW(BenchmarkResults!$F$2:$F$35)),{1,3})</f>
        <v>q5_top_customers</v>
      </c>
      <c r="B427" s="13">
        <v>1</v>
      </c>
      <c r="C427" s="16">
        <v>1</v>
      </c>
      <c r="D427" s="18">
        <v>0</v>
      </c>
      <c r="E427" s="16">
        <v>422656</v>
      </c>
      <c r="F427" s="13">
        <v>922544</v>
      </c>
      <c r="G427" s="13">
        <v>5272</v>
      </c>
      <c r="H427" s="18">
        <v>2738000</v>
      </c>
      <c r="I427" s="16">
        <v>0</v>
      </c>
      <c r="J427" s="18">
        <v>0</v>
      </c>
      <c r="K427" s="16">
        <v>464</v>
      </c>
      <c r="L427" s="18">
        <v>7</v>
      </c>
      <c r="M427" s="16">
        <v>703</v>
      </c>
      <c r="N427" s="18">
        <v>395</v>
      </c>
      <c r="O427" s="16">
        <v>33</v>
      </c>
      <c r="P427" s="13">
        <v>1</v>
      </c>
      <c r="Q427" s="13">
        <v>65</v>
      </c>
      <c r="R427" s="13">
        <v>0</v>
      </c>
      <c r="S427" s="18">
        <v>0</v>
      </c>
      <c r="T427" s="21">
        <v>46247.376736111109</v>
      </c>
      <c r="U427" s="55">
        <f t="shared" si="12"/>
        <v>2</v>
      </c>
      <c r="V427" s="55">
        <f t="shared" si="12"/>
        <v>0</v>
      </c>
      <c r="W427" s="56">
        <f t="shared" si="13"/>
        <v>2568.3333333333335</v>
      </c>
    </row>
    <row r="428" spans="1:23" x14ac:dyDescent="0.3">
      <c r="A428" s="13" t="str" cm="1">
        <f t="array" ref="A428:B428">INDEX(BenchmarkResults!$B$1:$D$35,SUMPRODUCT((T428&gt;=BenchmarkResults!$F$2:$F$35)*(mysql_hardware_log!T428&lt;BenchmarkResults!$G$2:$G$35)*ROW(BenchmarkResults!$F$2:$F$35)),{1,3})</f>
        <v>q5_top_customers</v>
      </c>
      <c r="B428" s="13">
        <v>1</v>
      </c>
      <c r="C428" s="16">
        <v>1</v>
      </c>
      <c r="D428" s="18">
        <v>0</v>
      </c>
      <c r="E428" s="16">
        <v>422656</v>
      </c>
      <c r="F428" s="13">
        <v>891296</v>
      </c>
      <c r="G428" s="13">
        <v>5292</v>
      </c>
      <c r="H428" s="18">
        <v>2767160</v>
      </c>
      <c r="I428" s="16">
        <v>0</v>
      </c>
      <c r="J428" s="18">
        <v>0</v>
      </c>
      <c r="K428" s="16">
        <v>1306</v>
      </c>
      <c r="L428" s="18">
        <v>6</v>
      </c>
      <c r="M428" s="16">
        <v>749</v>
      </c>
      <c r="N428" s="18">
        <v>416</v>
      </c>
      <c r="O428" s="16">
        <v>33</v>
      </c>
      <c r="P428" s="13">
        <v>2</v>
      </c>
      <c r="Q428" s="13">
        <v>65</v>
      </c>
      <c r="R428" s="13">
        <v>0</v>
      </c>
      <c r="S428" s="18">
        <v>0</v>
      </c>
      <c r="T428" s="21">
        <v>46247.376851851855</v>
      </c>
      <c r="U428" s="55">
        <f t="shared" si="12"/>
        <v>1.1666666666666667</v>
      </c>
      <c r="V428" s="55">
        <f t="shared" si="12"/>
        <v>0</v>
      </c>
      <c r="W428" s="56">
        <f t="shared" si="13"/>
        <v>2089</v>
      </c>
    </row>
    <row r="429" spans="1:23" x14ac:dyDescent="0.3">
      <c r="A429" s="13" t="str" cm="1">
        <f t="array" ref="A429:B429">INDEX(BenchmarkResults!$B$1:$D$35,SUMPRODUCT((T429&gt;=BenchmarkResults!$F$2:$F$35)*(mysql_hardware_log!T429&lt;BenchmarkResults!$G$2:$G$35)*ROW(BenchmarkResults!$F$2:$F$35)),{1,3})</f>
        <v>q5_top_customers</v>
      </c>
      <c r="B429" s="13">
        <v>1</v>
      </c>
      <c r="C429" s="16">
        <v>1</v>
      </c>
      <c r="D429" s="18">
        <v>0</v>
      </c>
      <c r="E429" s="16">
        <v>422656</v>
      </c>
      <c r="F429" s="13">
        <v>860048</v>
      </c>
      <c r="G429" s="13">
        <v>5308</v>
      </c>
      <c r="H429" s="18">
        <v>2795296</v>
      </c>
      <c r="I429" s="16">
        <v>0</v>
      </c>
      <c r="J429" s="18">
        <v>0</v>
      </c>
      <c r="K429" s="16">
        <v>1267</v>
      </c>
      <c r="L429" s="18">
        <v>4719</v>
      </c>
      <c r="M429" s="16">
        <v>744</v>
      </c>
      <c r="N429" s="18">
        <v>418</v>
      </c>
      <c r="O429" s="16">
        <v>33</v>
      </c>
      <c r="P429" s="13">
        <v>2</v>
      </c>
      <c r="Q429" s="13">
        <v>61</v>
      </c>
      <c r="R429" s="13">
        <v>4</v>
      </c>
      <c r="S429" s="18">
        <v>0</v>
      </c>
      <c r="T429" s="21">
        <v>46247.376967592594</v>
      </c>
      <c r="U429" s="55">
        <f t="shared" si="12"/>
        <v>1</v>
      </c>
      <c r="V429" s="55">
        <f t="shared" si="12"/>
        <v>0</v>
      </c>
      <c r="W429" s="56">
        <f t="shared" si="13"/>
        <v>1661.3333333333333</v>
      </c>
    </row>
    <row r="430" spans="1:23" x14ac:dyDescent="0.3">
      <c r="A430" s="13" t="str" cm="1">
        <f t="array" ref="A430:B430">INDEX(BenchmarkResults!$B$1:$D$35,SUMPRODUCT((T430&gt;=BenchmarkResults!$F$2:$F$35)*(mysql_hardware_log!T430&lt;BenchmarkResults!$G$2:$G$35)*ROW(BenchmarkResults!$F$2:$F$35)),{1,3})</f>
        <v>q5_top_customers</v>
      </c>
      <c r="B430" s="13">
        <v>1</v>
      </c>
      <c r="C430" s="16">
        <v>1</v>
      </c>
      <c r="D430" s="18">
        <v>0</v>
      </c>
      <c r="E430" s="16">
        <v>422656</v>
      </c>
      <c r="F430" s="13">
        <v>836864</v>
      </c>
      <c r="G430" s="13">
        <v>5324</v>
      </c>
      <c r="H430" s="18">
        <v>2813588</v>
      </c>
      <c r="I430" s="16">
        <v>0</v>
      </c>
      <c r="J430" s="18">
        <v>0</v>
      </c>
      <c r="K430" s="16">
        <v>128</v>
      </c>
      <c r="L430" s="18">
        <v>6</v>
      </c>
      <c r="M430" s="16">
        <v>699</v>
      </c>
      <c r="N430" s="18">
        <v>422</v>
      </c>
      <c r="O430" s="16">
        <v>33</v>
      </c>
      <c r="P430" s="13">
        <v>1</v>
      </c>
      <c r="Q430" s="13">
        <v>65</v>
      </c>
      <c r="R430" s="13">
        <v>0</v>
      </c>
      <c r="S430" s="18">
        <v>0</v>
      </c>
      <c r="T430" s="21">
        <v>46247.377083333333</v>
      </c>
      <c r="U430" s="55">
        <f t="shared" si="12"/>
        <v>1</v>
      </c>
      <c r="V430" s="55">
        <f t="shared" si="12"/>
        <v>0</v>
      </c>
      <c r="W430" s="56">
        <f t="shared" si="13"/>
        <v>1218</v>
      </c>
    </row>
    <row r="431" spans="1:23" x14ac:dyDescent="0.3">
      <c r="A431" s="13" t="str" cm="1">
        <f t="array" ref="A431:B431">INDEX(BenchmarkResults!$B$1:$D$35,SUMPRODUCT((T431&gt;=BenchmarkResults!$F$2:$F$35)*(mysql_hardware_log!T431&lt;BenchmarkResults!$G$2:$G$35)*ROW(BenchmarkResults!$F$2:$F$35)),{1,3})</f>
        <v>q5_top_customers</v>
      </c>
      <c r="B431" s="13">
        <v>1</v>
      </c>
      <c r="C431" s="16">
        <v>1</v>
      </c>
      <c r="D431" s="18">
        <v>0</v>
      </c>
      <c r="E431" s="16">
        <v>422656</v>
      </c>
      <c r="F431" s="13">
        <v>813680</v>
      </c>
      <c r="G431" s="13">
        <v>5336</v>
      </c>
      <c r="H431" s="18">
        <v>2837096</v>
      </c>
      <c r="I431" s="16">
        <v>0</v>
      </c>
      <c r="J431" s="18">
        <v>0</v>
      </c>
      <c r="K431" s="16">
        <v>852</v>
      </c>
      <c r="L431" s="18">
        <v>5</v>
      </c>
      <c r="M431" s="16">
        <v>718</v>
      </c>
      <c r="N431" s="18">
        <v>400</v>
      </c>
      <c r="O431" s="16">
        <v>33</v>
      </c>
      <c r="P431" s="13">
        <v>1</v>
      </c>
      <c r="Q431" s="13">
        <v>65</v>
      </c>
      <c r="R431" s="13">
        <v>0</v>
      </c>
      <c r="S431" s="18">
        <v>0</v>
      </c>
      <c r="T431" s="21">
        <v>46247.377199074072</v>
      </c>
      <c r="U431" s="55">
        <f t="shared" si="12"/>
        <v>1</v>
      </c>
      <c r="V431" s="55">
        <f t="shared" si="12"/>
        <v>0</v>
      </c>
      <c r="W431" s="56">
        <f t="shared" si="13"/>
        <v>889.5</v>
      </c>
    </row>
    <row r="432" spans="1:23" x14ac:dyDescent="0.3">
      <c r="A432" s="13" t="str" cm="1">
        <f t="array" ref="A432:B432">INDEX(BenchmarkResults!$B$1:$D$35,SUMPRODUCT((T432&gt;=BenchmarkResults!$F$2:$F$35)*(mysql_hardware_log!T432&lt;BenchmarkResults!$G$2:$G$35)*ROW(BenchmarkResults!$F$2:$F$35)),{1,3})</f>
        <v>q5_top_customers</v>
      </c>
      <c r="B432" s="13">
        <v>1</v>
      </c>
      <c r="C432" s="16">
        <v>1</v>
      </c>
      <c r="D432" s="18">
        <v>0</v>
      </c>
      <c r="E432" s="16">
        <v>422656</v>
      </c>
      <c r="F432" s="13">
        <v>803880</v>
      </c>
      <c r="G432" s="13">
        <v>5356</v>
      </c>
      <c r="H432" s="18">
        <v>2852644</v>
      </c>
      <c r="I432" s="16">
        <v>2</v>
      </c>
      <c r="J432" s="18">
        <v>0</v>
      </c>
      <c r="K432" s="16">
        <v>122</v>
      </c>
      <c r="L432" s="18">
        <v>4790</v>
      </c>
      <c r="M432" s="16">
        <v>733</v>
      </c>
      <c r="N432" s="18">
        <v>414</v>
      </c>
      <c r="O432" s="16">
        <v>33</v>
      </c>
      <c r="P432" s="13">
        <v>1</v>
      </c>
      <c r="Q432" s="13">
        <v>62</v>
      </c>
      <c r="R432" s="13">
        <v>3</v>
      </c>
      <c r="S432" s="18">
        <v>0</v>
      </c>
      <c r="T432" s="21">
        <v>46247.377314814818</v>
      </c>
      <c r="U432" s="55">
        <f t="shared" si="12"/>
        <v>1</v>
      </c>
      <c r="V432" s="55">
        <f t="shared" si="12"/>
        <v>0</v>
      </c>
      <c r="W432" s="56">
        <f t="shared" si="13"/>
        <v>689.83333333333337</v>
      </c>
    </row>
    <row r="433" spans="1:23" x14ac:dyDescent="0.3">
      <c r="A433" s="13" t="str" cm="1">
        <f t="array" ref="A433:B433">INDEX(BenchmarkResults!$B$1:$D$35,SUMPRODUCT((T433&gt;=BenchmarkResults!$F$2:$F$35)*(mysql_hardware_log!T433&lt;BenchmarkResults!$G$2:$G$35)*ROW(BenchmarkResults!$F$2:$F$35)),{1,3})</f>
        <v>q5_top_customers</v>
      </c>
      <c r="B433" s="13">
        <v>1</v>
      </c>
      <c r="C433" s="16">
        <v>2</v>
      </c>
      <c r="D433" s="18">
        <v>0</v>
      </c>
      <c r="E433" s="16">
        <v>422656</v>
      </c>
      <c r="F433" s="13">
        <v>694008</v>
      </c>
      <c r="G433" s="13">
        <v>5372</v>
      </c>
      <c r="H433" s="18">
        <v>2875360</v>
      </c>
      <c r="I433" s="16">
        <v>0</v>
      </c>
      <c r="J433" s="18">
        <v>0</v>
      </c>
      <c r="K433" s="16">
        <v>1116</v>
      </c>
      <c r="L433" s="18">
        <v>6</v>
      </c>
      <c r="M433" s="16">
        <v>764</v>
      </c>
      <c r="N433" s="18">
        <v>385</v>
      </c>
      <c r="O433" s="16">
        <v>34</v>
      </c>
      <c r="P433" s="13">
        <v>3</v>
      </c>
      <c r="Q433" s="13">
        <v>62</v>
      </c>
      <c r="R433" s="13">
        <v>0</v>
      </c>
      <c r="S433" s="18">
        <v>0</v>
      </c>
      <c r="T433" s="21">
        <v>46247.377430555556</v>
      </c>
      <c r="U433" s="55">
        <f t="shared" si="12"/>
        <v>1.1666666666666667</v>
      </c>
      <c r="V433" s="55">
        <f t="shared" si="12"/>
        <v>0</v>
      </c>
      <c r="W433" s="56">
        <f t="shared" si="13"/>
        <v>798.5</v>
      </c>
    </row>
    <row r="434" spans="1:23" x14ac:dyDescent="0.3">
      <c r="A434" s="13" t="str" cm="1">
        <f t="array" ref="A434:B434">INDEX(BenchmarkResults!$B$1:$D$35,SUMPRODUCT((T434&gt;=BenchmarkResults!$F$2:$F$35)*(mysql_hardware_log!T434&lt;BenchmarkResults!$G$2:$G$35)*ROW(BenchmarkResults!$F$2:$F$35)),{1,3})</f>
        <v>q5_top_customers</v>
      </c>
      <c r="B434" s="13">
        <v>1</v>
      </c>
      <c r="C434" s="16">
        <v>1</v>
      </c>
      <c r="D434" s="18">
        <v>0</v>
      </c>
      <c r="E434" s="16">
        <v>422656</v>
      </c>
      <c r="F434" s="13">
        <v>104024</v>
      </c>
      <c r="G434" s="13">
        <v>5388</v>
      </c>
      <c r="H434" s="18">
        <v>2333732</v>
      </c>
      <c r="I434" s="16">
        <v>0</v>
      </c>
      <c r="J434" s="18">
        <v>0</v>
      </c>
      <c r="K434" s="16">
        <v>184</v>
      </c>
      <c r="L434" s="18">
        <v>7</v>
      </c>
      <c r="M434" s="16">
        <v>1159</v>
      </c>
      <c r="N434" s="18">
        <v>482</v>
      </c>
      <c r="O434" s="16">
        <v>42</v>
      </c>
      <c r="P434" s="13">
        <v>21</v>
      </c>
      <c r="Q434" s="13">
        <v>37</v>
      </c>
      <c r="R434" s="13">
        <v>0</v>
      </c>
      <c r="S434" s="18">
        <v>0</v>
      </c>
      <c r="T434" s="21">
        <v>46247.377546296295</v>
      </c>
      <c r="U434" s="55">
        <f t="shared" si="12"/>
        <v>1.1666666666666667</v>
      </c>
      <c r="V434" s="55">
        <f t="shared" si="12"/>
        <v>0</v>
      </c>
      <c r="W434" s="56">
        <f t="shared" si="13"/>
        <v>611.5</v>
      </c>
    </row>
    <row r="435" spans="1:23" x14ac:dyDescent="0.3">
      <c r="A435" s="13" t="str" cm="1">
        <f t="array" ref="A435:B435">INDEX(BenchmarkResults!$B$1:$D$35,SUMPRODUCT((T435&gt;=BenchmarkResults!$F$2:$F$35)*(mysql_hardware_log!T435&lt;BenchmarkResults!$G$2:$G$35)*ROW(BenchmarkResults!$F$2:$F$35)),{1,3})</f>
        <v>q5_top_customers</v>
      </c>
      <c r="B435" s="13">
        <v>1</v>
      </c>
      <c r="C435" s="16">
        <v>1</v>
      </c>
      <c r="D435" s="18">
        <v>0</v>
      </c>
      <c r="E435" s="16">
        <v>423168</v>
      </c>
      <c r="F435" s="13">
        <v>1512484</v>
      </c>
      <c r="G435" s="13">
        <v>2480</v>
      </c>
      <c r="H435" s="18">
        <v>2156064</v>
      </c>
      <c r="I435" s="16">
        <v>9</v>
      </c>
      <c r="J435" s="18">
        <v>48</v>
      </c>
      <c r="K435" s="16">
        <v>929</v>
      </c>
      <c r="L435" s="18">
        <v>52</v>
      </c>
      <c r="M435" s="16">
        <v>1000</v>
      </c>
      <c r="N435" s="18">
        <v>712</v>
      </c>
      <c r="O435" s="16">
        <v>36</v>
      </c>
      <c r="P435" s="13">
        <v>6</v>
      </c>
      <c r="Q435" s="13">
        <v>57</v>
      </c>
      <c r="R435" s="13">
        <v>1</v>
      </c>
      <c r="S435" s="18">
        <v>0</v>
      </c>
      <c r="T435" s="21">
        <v>46247.377662037034</v>
      </c>
      <c r="U435" s="55">
        <f t="shared" si="12"/>
        <v>1.1666666666666667</v>
      </c>
      <c r="V435" s="55">
        <f t="shared" si="12"/>
        <v>0</v>
      </c>
      <c r="W435" s="56">
        <f t="shared" si="13"/>
        <v>555.16666666666663</v>
      </c>
    </row>
    <row r="436" spans="1:23" x14ac:dyDescent="0.3">
      <c r="A436" s="13" t="str" cm="1">
        <f t="array" ref="A436:B436">INDEX(BenchmarkResults!$B$1:$D$35,SUMPRODUCT((T436&gt;=BenchmarkResults!$F$2:$F$35)*(mysql_hardware_log!T436&lt;BenchmarkResults!$G$2:$G$35)*ROW(BenchmarkResults!$F$2:$F$35)),{1,3})</f>
        <v>q5_top_customers</v>
      </c>
      <c r="B436" s="13">
        <v>1</v>
      </c>
      <c r="C436" s="16">
        <v>1</v>
      </c>
      <c r="D436" s="18">
        <v>0</v>
      </c>
      <c r="E436" s="16">
        <v>423168</v>
      </c>
      <c r="F436" s="13">
        <v>1493900</v>
      </c>
      <c r="G436" s="13">
        <v>2496</v>
      </c>
      <c r="H436" s="18">
        <v>2175420</v>
      </c>
      <c r="I436" s="16">
        <v>0</v>
      </c>
      <c r="J436" s="18">
        <v>0</v>
      </c>
      <c r="K436" s="16">
        <v>745</v>
      </c>
      <c r="L436" s="18">
        <v>2786</v>
      </c>
      <c r="M436" s="16">
        <v>738</v>
      </c>
      <c r="N436" s="18">
        <v>366</v>
      </c>
      <c r="O436" s="16">
        <v>33</v>
      </c>
      <c r="P436" s="13">
        <v>1</v>
      </c>
      <c r="Q436" s="13">
        <v>63</v>
      </c>
      <c r="R436" s="13">
        <v>3</v>
      </c>
      <c r="S436" s="18">
        <v>0</v>
      </c>
      <c r="T436" s="21">
        <v>46247.37777777778</v>
      </c>
      <c r="U436" s="55">
        <f t="shared" si="12"/>
        <v>1.1666666666666667</v>
      </c>
      <c r="V436" s="55">
        <f t="shared" si="12"/>
        <v>0</v>
      </c>
      <c r="W436" s="56">
        <f t="shared" si="13"/>
        <v>658</v>
      </c>
    </row>
    <row r="437" spans="1:23" x14ac:dyDescent="0.3">
      <c r="A437" s="13" t="str" cm="1">
        <f t="array" ref="A437:B437">INDEX(BenchmarkResults!$B$1:$D$35,SUMPRODUCT((T437&gt;=BenchmarkResults!$F$2:$F$35)*(mysql_hardware_log!T437&lt;BenchmarkResults!$G$2:$G$35)*ROW(BenchmarkResults!$F$2:$F$35)),{1,3})</f>
        <v>q5_top_customers</v>
      </c>
      <c r="B437" s="13">
        <v>1</v>
      </c>
      <c r="C437" s="16">
        <v>1</v>
      </c>
      <c r="D437" s="18">
        <v>0</v>
      </c>
      <c r="E437" s="16">
        <v>423168</v>
      </c>
      <c r="F437" s="13">
        <v>1470716</v>
      </c>
      <c r="G437" s="13">
        <v>2516</v>
      </c>
      <c r="H437" s="18">
        <v>2188960</v>
      </c>
      <c r="I437" s="16">
        <v>0</v>
      </c>
      <c r="J437" s="18">
        <v>0</v>
      </c>
      <c r="K437" s="16">
        <v>222</v>
      </c>
      <c r="L437" s="18">
        <v>11</v>
      </c>
      <c r="M437" s="16">
        <v>715</v>
      </c>
      <c r="N437" s="18">
        <v>367</v>
      </c>
      <c r="O437" s="16">
        <v>33</v>
      </c>
      <c r="P437" s="13">
        <v>1</v>
      </c>
      <c r="Q437" s="13">
        <v>65</v>
      </c>
      <c r="R437" s="13">
        <v>0</v>
      </c>
      <c r="S437" s="18">
        <v>0</v>
      </c>
      <c r="T437" s="21">
        <v>46247.377893518518</v>
      </c>
      <c r="U437" s="55">
        <f t="shared" si="12"/>
        <v>1.1666666666666667</v>
      </c>
      <c r="V437" s="55">
        <f t="shared" si="12"/>
        <v>0</v>
      </c>
      <c r="W437" s="56">
        <f t="shared" si="13"/>
        <v>553</v>
      </c>
    </row>
    <row r="438" spans="1:23" x14ac:dyDescent="0.3">
      <c r="A438" s="13" t="str" cm="1">
        <f t="array" ref="A438:B438">INDEX(BenchmarkResults!$B$1:$D$35,SUMPRODUCT((T438&gt;=BenchmarkResults!$F$2:$F$35)*(mysql_hardware_log!T438&lt;BenchmarkResults!$G$2:$G$35)*ROW(BenchmarkResults!$F$2:$F$35)),{1,3})</f>
        <v>q5_top_customers</v>
      </c>
      <c r="B438" s="13">
        <v>1</v>
      </c>
      <c r="C438" s="16">
        <v>1</v>
      </c>
      <c r="D438" s="18">
        <v>0</v>
      </c>
      <c r="E438" s="16">
        <v>423168</v>
      </c>
      <c r="F438" s="13">
        <v>1455092</v>
      </c>
      <c r="G438" s="13">
        <v>2532</v>
      </c>
      <c r="H438" s="18">
        <v>2200932</v>
      </c>
      <c r="I438" s="16">
        <v>0</v>
      </c>
      <c r="J438" s="18">
        <v>0</v>
      </c>
      <c r="K438" s="16">
        <v>22</v>
      </c>
      <c r="L438" s="18">
        <v>7</v>
      </c>
      <c r="M438" s="16">
        <v>722</v>
      </c>
      <c r="N438" s="18">
        <v>379</v>
      </c>
      <c r="O438" s="16">
        <v>33</v>
      </c>
      <c r="P438" s="13">
        <v>2</v>
      </c>
      <c r="Q438" s="13">
        <v>65</v>
      </c>
      <c r="R438" s="13">
        <v>0</v>
      </c>
      <c r="S438" s="18">
        <v>0</v>
      </c>
      <c r="T438" s="21">
        <v>46247.378009259257</v>
      </c>
      <c r="U438" s="55">
        <f t="shared" si="12"/>
        <v>1.1666666666666667</v>
      </c>
      <c r="V438" s="55">
        <f t="shared" si="12"/>
        <v>0</v>
      </c>
      <c r="W438" s="56">
        <f t="shared" si="13"/>
        <v>536.33333333333337</v>
      </c>
    </row>
    <row r="439" spans="1:23" x14ac:dyDescent="0.3">
      <c r="A439" s="13" t="str" cm="1">
        <f t="array" ref="A439:B439">INDEX(BenchmarkResults!$B$1:$D$35,SUMPRODUCT((T439&gt;=BenchmarkResults!$F$2:$F$35)*(mysql_hardware_log!T439&lt;BenchmarkResults!$G$2:$G$35)*ROW(BenchmarkResults!$F$2:$F$35)),{1,3})</f>
        <v>q5_top_customers</v>
      </c>
      <c r="B439" s="13">
        <v>1</v>
      </c>
      <c r="C439" s="16">
        <v>1</v>
      </c>
      <c r="D439" s="18">
        <v>0</v>
      </c>
      <c r="E439" s="16">
        <v>423168</v>
      </c>
      <c r="F439" s="13">
        <v>1434680</v>
      </c>
      <c r="G439" s="13">
        <v>2548</v>
      </c>
      <c r="H439" s="18">
        <v>2221792</v>
      </c>
      <c r="I439" s="16">
        <v>0</v>
      </c>
      <c r="J439" s="18">
        <v>0</v>
      </c>
      <c r="K439" s="16">
        <v>755</v>
      </c>
      <c r="L439" s="18">
        <v>3638</v>
      </c>
      <c r="M439" s="16">
        <v>735</v>
      </c>
      <c r="N439" s="18">
        <v>390</v>
      </c>
      <c r="O439" s="16">
        <v>33</v>
      </c>
      <c r="P439" s="13">
        <v>2</v>
      </c>
      <c r="Q439" s="13">
        <v>63</v>
      </c>
      <c r="R439" s="13">
        <v>2</v>
      </c>
      <c r="S439" s="18">
        <v>0</v>
      </c>
      <c r="T439" s="21">
        <v>46247.378125000003</v>
      </c>
      <c r="U439" s="55">
        <f t="shared" si="12"/>
        <v>1</v>
      </c>
      <c r="V439" s="55">
        <f t="shared" si="12"/>
        <v>0</v>
      </c>
      <c r="W439" s="56">
        <f t="shared" si="13"/>
        <v>476.16666666666669</v>
      </c>
    </row>
    <row r="440" spans="1:23" x14ac:dyDescent="0.3">
      <c r="A440" s="13" t="str" cm="1">
        <f t="array" ref="A440:B440">INDEX(BenchmarkResults!$B$1:$D$35,SUMPRODUCT((T440&gt;=BenchmarkResults!$F$2:$F$35)*(mysql_hardware_log!T440&lt;BenchmarkResults!$G$2:$G$35)*ROW(BenchmarkResults!$F$2:$F$35)),{1,3})</f>
        <v>q5_top_customers</v>
      </c>
      <c r="B440" s="13">
        <v>1</v>
      </c>
      <c r="C440" s="16">
        <v>1</v>
      </c>
      <c r="D440" s="18">
        <v>0</v>
      </c>
      <c r="E440" s="16">
        <v>423168</v>
      </c>
      <c r="F440" s="13">
        <v>1372804</v>
      </c>
      <c r="G440" s="13">
        <v>2564</v>
      </c>
      <c r="H440" s="18">
        <v>2273016</v>
      </c>
      <c r="I440" s="16">
        <v>0</v>
      </c>
      <c r="J440" s="18">
        <v>0</v>
      </c>
      <c r="K440" s="16">
        <v>3747</v>
      </c>
      <c r="L440" s="18">
        <v>6</v>
      </c>
      <c r="M440" s="16">
        <v>827</v>
      </c>
      <c r="N440" s="18">
        <v>494</v>
      </c>
      <c r="O440" s="16">
        <v>33</v>
      </c>
      <c r="P440" s="13">
        <v>3</v>
      </c>
      <c r="Q440" s="13">
        <v>63</v>
      </c>
      <c r="R440" s="13">
        <v>1</v>
      </c>
      <c r="S440" s="18">
        <v>0</v>
      </c>
      <c r="T440" s="21">
        <v>46247.378240740742</v>
      </c>
      <c r="U440" s="55">
        <f t="shared" si="12"/>
        <v>1</v>
      </c>
      <c r="V440" s="55">
        <f t="shared" si="12"/>
        <v>0</v>
      </c>
      <c r="W440" s="56">
        <f t="shared" si="13"/>
        <v>1070</v>
      </c>
    </row>
    <row r="441" spans="1:23" x14ac:dyDescent="0.3">
      <c r="A441" s="13" t="str" cm="1">
        <f t="array" ref="A441:B441">INDEX(BenchmarkResults!$B$1:$D$35,SUMPRODUCT((T441&gt;=BenchmarkResults!$F$2:$F$35)*(mysql_hardware_log!T441&lt;BenchmarkResults!$G$2:$G$35)*ROW(BenchmarkResults!$F$2:$F$35)),{1,3})</f>
        <v>q5_top_customers</v>
      </c>
      <c r="B441" s="13">
        <v>1</v>
      </c>
      <c r="C441" s="16">
        <v>1</v>
      </c>
      <c r="D441" s="18">
        <v>0</v>
      </c>
      <c r="E441" s="16">
        <v>423168</v>
      </c>
      <c r="F441" s="13">
        <v>1340420</v>
      </c>
      <c r="G441" s="13">
        <v>2600</v>
      </c>
      <c r="H441" s="18">
        <v>2310444</v>
      </c>
      <c r="I441" s="16">
        <v>0</v>
      </c>
      <c r="J441" s="18">
        <v>0</v>
      </c>
      <c r="K441" s="16">
        <v>2336</v>
      </c>
      <c r="L441" s="18">
        <v>37</v>
      </c>
      <c r="M441" s="16">
        <v>743</v>
      </c>
      <c r="N441" s="18">
        <v>409</v>
      </c>
      <c r="O441" s="16">
        <v>33</v>
      </c>
      <c r="P441" s="13">
        <v>2</v>
      </c>
      <c r="Q441" s="13">
        <v>65</v>
      </c>
      <c r="R441" s="13">
        <v>0</v>
      </c>
      <c r="S441" s="18">
        <v>0</v>
      </c>
      <c r="T441" s="21">
        <v>46247.37835648148</v>
      </c>
      <c r="U441" s="55">
        <f t="shared" si="12"/>
        <v>1</v>
      </c>
      <c r="V441" s="55">
        <f t="shared" si="12"/>
        <v>0</v>
      </c>
      <c r="W441" s="56">
        <f t="shared" si="13"/>
        <v>1304.5</v>
      </c>
    </row>
    <row r="442" spans="1:23" x14ac:dyDescent="0.3">
      <c r="A442" s="13" t="str" cm="1">
        <f t="array" ref="A442:B442">INDEX(BenchmarkResults!$B$1:$D$35,SUMPRODUCT((T442&gt;=BenchmarkResults!$F$2:$F$35)*(mysql_hardware_log!T442&lt;BenchmarkResults!$G$2:$G$35)*ROW(BenchmarkResults!$F$2:$F$35)),{1,3})</f>
        <v>q5_top_customers</v>
      </c>
      <c r="B442" s="13">
        <v>1</v>
      </c>
      <c r="C442" s="16">
        <v>1</v>
      </c>
      <c r="D442" s="18">
        <v>0</v>
      </c>
      <c r="E442" s="16">
        <v>423168</v>
      </c>
      <c r="F442" s="13">
        <v>1284052</v>
      </c>
      <c r="G442" s="13">
        <v>2628</v>
      </c>
      <c r="H442" s="18">
        <v>2362352</v>
      </c>
      <c r="I442" s="16">
        <v>0</v>
      </c>
      <c r="J442" s="18">
        <v>0</v>
      </c>
      <c r="K442" s="16">
        <v>3008</v>
      </c>
      <c r="L442" s="18">
        <v>4728</v>
      </c>
      <c r="M442" s="16">
        <v>813</v>
      </c>
      <c r="N442" s="18">
        <v>571</v>
      </c>
      <c r="O442" s="16">
        <v>34</v>
      </c>
      <c r="P442" s="13">
        <v>3</v>
      </c>
      <c r="Q442" s="13">
        <v>58</v>
      </c>
      <c r="R442" s="13">
        <v>5</v>
      </c>
      <c r="S442" s="18">
        <v>0</v>
      </c>
      <c r="T442" s="21">
        <v>46247.378472222219</v>
      </c>
      <c r="U442" s="55">
        <f t="shared" si="12"/>
        <v>1</v>
      </c>
      <c r="V442" s="55">
        <f t="shared" si="12"/>
        <v>0</v>
      </c>
      <c r="W442" s="56">
        <f t="shared" si="13"/>
        <v>1681.6666666666667</v>
      </c>
    </row>
    <row r="443" spans="1:23" x14ac:dyDescent="0.3">
      <c r="A443" s="13" t="str" cm="1">
        <f t="array" ref="A443:B443">INDEX(BenchmarkResults!$B$1:$D$35,SUMPRODUCT((T443&gt;=BenchmarkResults!$F$2:$F$35)*(mysql_hardware_log!T443&lt;BenchmarkResults!$G$2:$G$35)*ROW(BenchmarkResults!$F$2:$F$35)),{1,3})</f>
        <v>q5_top_customers</v>
      </c>
      <c r="B443" s="13">
        <v>1</v>
      </c>
      <c r="C443" s="16">
        <v>1</v>
      </c>
      <c r="D443" s="18">
        <v>0</v>
      </c>
      <c r="E443" s="16">
        <v>423168</v>
      </c>
      <c r="F443" s="13">
        <v>1220548</v>
      </c>
      <c r="G443" s="13">
        <v>2648</v>
      </c>
      <c r="H443" s="18">
        <v>2428556</v>
      </c>
      <c r="I443" s="16">
        <v>0</v>
      </c>
      <c r="J443" s="18">
        <v>0</v>
      </c>
      <c r="K443" s="16">
        <v>3117</v>
      </c>
      <c r="L443" s="18">
        <v>6</v>
      </c>
      <c r="M443" s="16">
        <v>821</v>
      </c>
      <c r="N443" s="18">
        <v>840</v>
      </c>
      <c r="O443" s="16">
        <v>35</v>
      </c>
      <c r="P443" s="13">
        <v>3</v>
      </c>
      <c r="Q443" s="13">
        <v>61</v>
      </c>
      <c r="R443" s="13">
        <v>1</v>
      </c>
      <c r="S443" s="18">
        <v>0</v>
      </c>
      <c r="T443" s="21">
        <v>46247.378587962965</v>
      </c>
      <c r="U443" s="55">
        <f t="shared" si="12"/>
        <v>1</v>
      </c>
      <c r="V443" s="55">
        <f t="shared" si="12"/>
        <v>0</v>
      </c>
      <c r="W443" s="56">
        <f t="shared" si="13"/>
        <v>2164.1666666666665</v>
      </c>
    </row>
    <row r="444" spans="1:23" x14ac:dyDescent="0.3">
      <c r="A444" s="13" t="str" cm="1">
        <f t="array" ref="A444:B444">INDEX(BenchmarkResults!$B$1:$D$35,SUMPRODUCT((T444&gt;=BenchmarkResults!$F$2:$F$35)*(mysql_hardware_log!T444&lt;BenchmarkResults!$G$2:$G$35)*ROW(BenchmarkResults!$F$2:$F$35)),{1,3})</f>
        <v>q5_top_customers</v>
      </c>
      <c r="B444" s="13">
        <v>1</v>
      </c>
      <c r="C444" s="16">
        <v>1</v>
      </c>
      <c r="D444" s="18">
        <v>0</v>
      </c>
      <c r="E444" s="16">
        <v>423168</v>
      </c>
      <c r="F444" s="13">
        <v>1148984</v>
      </c>
      <c r="G444" s="13">
        <v>2664</v>
      </c>
      <c r="H444" s="18">
        <v>2508628</v>
      </c>
      <c r="I444" s="16">
        <v>0</v>
      </c>
      <c r="J444" s="18">
        <v>0</v>
      </c>
      <c r="K444" s="16">
        <v>3826</v>
      </c>
      <c r="L444" s="18">
        <v>6</v>
      </c>
      <c r="M444" s="16">
        <v>909</v>
      </c>
      <c r="N444" s="18">
        <v>1211</v>
      </c>
      <c r="O444" s="16">
        <v>35</v>
      </c>
      <c r="P444" s="13">
        <v>3</v>
      </c>
      <c r="Q444" s="13">
        <v>61</v>
      </c>
      <c r="R444" s="13">
        <v>1</v>
      </c>
      <c r="S444" s="18">
        <v>0</v>
      </c>
      <c r="T444" s="21">
        <v>46247.378703703704</v>
      </c>
      <c r="U444" s="55">
        <f t="shared" si="12"/>
        <v>1</v>
      </c>
      <c r="V444" s="55">
        <f t="shared" si="12"/>
        <v>0</v>
      </c>
      <c r="W444" s="56">
        <f t="shared" si="13"/>
        <v>2798.1666666666665</v>
      </c>
    </row>
    <row r="445" spans="1:23" x14ac:dyDescent="0.3">
      <c r="A445" s="13" t="str" cm="1">
        <f t="array" ref="A445:B445">INDEX(BenchmarkResults!$B$1:$D$35,SUMPRODUCT((T445&gt;=BenchmarkResults!$F$2:$F$35)*(mysql_hardware_log!T445&lt;BenchmarkResults!$G$2:$G$35)*ROW(BenchmarkResults!$F$2:$F$35)),{1,3})</f>
        <v>q5_top_customers</v>
      </c>
      <c r="B445" s="13">
        <v>1</v>
      </c>
      <c r="C445" s="16">
        <v>1</v>
      </c>
      <c r="D445" s="18">
        <v>0</v>
      </c>
      <c r="E445" s="16">
        <v>423168</v>
      </c>
      <c r="F445" s="13">
        <v>1078540</v>
      </c>
      <c r="G445" s="13">
        <v>2740</v>
      </c>
      <c r="H445" s="18">
        <v>2577660</v>
      </c>
      <c r="I445" s="16">
        <v>0</v>
      </c>
      <c r="J445" s="18">
        <v>0</v>
      </c>
      <c r="K445" s="16">
        <v>3347</v>
      </c>
      <c r="L445" s="18">
        <v>12498</v>
      </c>
      <c r="M445" s="16">
        <v>1176</v>
      </c>
      <c r="N445" s="18">
        <v>1694</v>
      </c>
      <c r="O445" s="16">
        <v>35</v>
      </c>
      <c r="P445" s="13">
        <v>5</v>
      </c>
      <c r="Q445" s="13">
        <v>52</v>
      </c>
      <c r="R445" s="13">
        <v>8</v>
      </c>
      <c r="S445" s="18">
        <v>0</v>
      </c>
      <c r="T445" s="21">
        <v>46247.378819444442</v>
      </c>
      <c r="U445" s="55">
        <f t="shared" si="12"/>
        <v>1</v>
      </c>
      <c r="V445" s="55">
        <f t="shared" si="12"/>
        <v>0</v>
      </c>
      <c r="W445" s="56">
        <f t="shared" si="13"/>
        <v>3230.1666666666665</v>
      </c>
    </row>
    <row r="446" spans="1:23" x14ac:dyDescent="0.3">
      <c r="A446" s="13" t="str" cm="1">
        <f t="array" ref="A446:B446">INDEX(BenchmarkResults!$B$1:$D$35,SUMPRODUCT((T446&gt;=BenchmarkResults!$F$2:$F$35)*(mysql_hardware_log!T446&lt;BenchmarkResults!$G$2:$G$35)*ROW(BenchmarkResults!$F$2:$F$35)),{1,3})</f>
        <v>q5_top_customers</v>
      </c>
      <c r="B446" s="13">
        <v>1</v>
      </c>
      <c r="C446" s="16">
        <v>1</v>
      </c>
      <c r="D446" s="18">
        <v>0</v>
      </c>
      <c r="E446" s="16">
        <v>423168</v>
      </c>
      <c r="F446" s="13">
        <v>1042252</v>
      </c>
      <c r="G446" s="13">
        <v>2756</v>
      </c>
      <c r="H446" s="18">
        <v>2616696</v>
      </c>
      <c r="I446" s="16">
        <v>0</v>
      </c>
      <c r="J446" s="18">
        <v>0</v>
      </c>
      <c r="K446" s="16">
        <v>769</v>
      </c>
      <c r="L446" s="18">
        <v>24</v>
      </c>
      <c r="M446" s="16">
        <v>833</v>
      </c>
      <c r="N446" s="18">
        <v>2128</v>
      </c>
      <c r="O446" s="16">
        <v>35</v>
      </c>
      <c r="P446" s="13">
        <v>4</v>
      </c>
      <c r="Q446" s="13">
        <v>61</v>
      </c>
      <c r="R446" s="13">
        <v>0</v>
      </c>
      <c r="S446" s="18">
        <v>0</v>
      </c>
      <c r="T446" s="21">
        <v>46247.378935185188</v>
      </c>
      <c r="U446" s="55">
        <f t="shared" si="12"/>
        <v>1</v>
      </c>
      <c r="V446" s="55">
        <f t="shared" si="12"/>
        <v>0</v>
      </c>
      <c r="W446" s="56">
        <f t="shared" si="13"/>
        <v>2733.8333333333335</v>
      </c>
    </row>
    <row r="447" spans="1:23" x14ac:dyDescent="0.3">
      <c r="A447" s="13" t="str" cm="1">
        <f t="array" ref="A447:B447">INDEX(BenchmarkResults!$B$1:$D$35,SUMPRODUCT((T447&gt;=BenchmarkResults!$F$2:$F$35)*(mysql_hardware_log!T447&lt;BenchmarkResults!$G$2:$G$35)*ROW(BenchmarkResults!$F$2:$F$35)),{1,3})</f>
        <v>q5_top_customers</v>
      </c>
      <c r="B447" s="13">
        <v>1</v>
      </c>
      <c r="C447" s="16">
        <v>1</v>
      </c>
      <c r="D447" s="18">
        <v>0</v>
      </c>
      <c r="E447" s="16">
        <v>423168</v>
      </c>
      <c r="F447" s="13">
        <v>1002184</v>
      </c>
      <c r="G447" s="13">
        <v>2776</v>
      </c>
      <c r="H447" s="18">
        <v>2657892</v>
      </c>
      <c r="I447" s="16">
        <v>0</v>
      </c>
      <c r="J447" s="18">
        <v>0</v>
      </c>
      <c r="K447" s="16">
        <v>1961</v>
      </c>
      <c r="L447" s="18">
        <v>8</v>
      </c>
      <c r="M447" s="16">
        <v>987</v>
      </c>
      <c r="N447" s="18">
        <v>2595</v>
      </c>
      <c r="O447" s="16">
        <v>34</v>
      </c>
      <c r="P447" s="13">
        <v>4</v>
      </c>
      <c r="Q447" s="13">
        <v>62</v>
      </c>
      <c r="R447" s="13">
        <v>0</v>
      </c>
      <c r="S447" s="18">
        <v>0</v>
      </c>
      <c r="T447" s="21">
        <v>46247.379050925927</v>
      </c>
      <c r="U447" s="55">
        <f t="shared" si="12"/>
        <v>1</v>
      </c>
      <c r="V447" s="55">
        <f t="shared" si="12"/>
        <v>0</v>
      </c>
      <c r="W447" s="56">
        <f t="shared" si="13"/>
        <v>2671.3333333333335</v>
      </c>
    </row>
    <row r="448" spans="1:23" x14ac:dyDescent="0.3">
      <c r="A448" s="13" t="str" cm="1">
        <f t="array" ref="A448:B448">INDEX(BenchmarkResults!$B$1:$D$35,SUMPRODUCT((T448&gt;=BenchmarkResults!$F$2:$F$35)*(mysql_hardware_log!T448&lt;BenchmarkResults!$G$2:$G$35)*ROW(BenchmarkResults!$F$2:$F$35)),{1,3})</f>
        <v>q5_top_customers</v>
      </c>
      <c r="B448" s="13">
        <v>1</v>
      </c>
      <c r="C448" s="16">
        <v>2</v>
      </c>
      <c r="D448" s="18">
        <v>1</v>
      </c>
      <c r="E448" s="16">
        <v>423168</v>
      </c>
      <c r="F448" s="13">
        <v>946744</v>
      </c>
      <c r="G448" s="13">
        <v>2792</v>
      </c>
      <c r="H448" s="18">
        <v>2701796</v>
      </c>
      <c r="I448" s="16">
        <v>0</v>
      </c>
      <c r="J448" s="18">
        <v>0</v>
      </c>
      <c r="K448" s="16">
        <v>2628</v>
      </c>
      <c r="L448" s="18">
        <v>881</v>
      </c>
      <c r="M448" s="16">
        <v>1069</v>
      </c>
      <c r="N448" s="18">
        <v>2889</v>
      </c>
      <c r="O448" s="16">
        <v>37</v>
      </c>
      <c r="P448" s="13">
        <v>4</v>
      </c>
      <c r="Q448" s="13">
        <v>58</v>
      </c>
      <c r="R448" s="13">
        <v>1</v>
      </c>
      <c r="S448" s="18">
        <v>0</v>
      </c>
      <c r="T448" s="21">
        <v>46247.379166666666</v>
      </c>
      <c r="U448" s="55">
        <f t="shared" si="12"/>
        <v>1.1666666666666667</v>
      </c>
      <c r="V448" s="55">
        <f t="shared" si="12"/>
        <v>0.16666666666666666</v>
      </c>
      <c r="W448" s="56">
        <f t="shared" si="13"/>
        <v>2608</v>
      </c>
    </row>
    <row r="449" spans="1:23" x14ac:dyDescent="0.3">
      <c r="A449" s="13" t="str" cm="1">
        <f t="array" ref="A449:B449">INDEX(BenchmarkResults!$B$1:$D$35,SUMPRODUCT((T449&gt;=BenchmarkResults!$F$2:$F$35)*(mysql_hardware_log!T449&lt;BenchmarkResults!$G$2:$G$35)*ROW(BenchmarkResults!$F$2:$F$35)),{1,3})</f>
        <v>q5_top_customers</v>
      </c>
      <c r="B449" s="13">
        <v>1</v>
      </c>
      <c r="C449" s="16">
        <v>1</v>
      </c>
      <c r="D449" s="18">
        <v>0</v>
      </c>
      <c r="E449" s="16">
        <v>423168</v>
      </c>
      <c r="F449" s="13">
        <v>927648</v>
      </c>
      <c r="G449" s="13">
        <v>2808</v>
      </c>
      <c r="H449" s="18">
        <v>2740012</v>
      </c>
      <c r="I449" s="16">
        <v>1</v>
      </c>
      <c r="J449" s="18">
        <v>0</v>
      </c>
      <c r="K449" s="16">
        <v>2435</v>
      </c>
      <c r="L449" s="18">
        <v>15465</v>
      </c>
      <c r="M449" s="16">
        <v>1208</v>
      </c>
      <c r="N449" s="18">
        <v>2946</v>
      </c>
      <c r="O449" s="16">
        <v>36</v>
      </c>
      <c r="P449" s="13">
        <v>6</v>
      </c>
      <c r="Q449" s="13">
        <v>52</v>
      </c>
      <c r="R449" s="13">
        <v>6</v>
      </c>
      <c r="S449" s="18">
        <v>0</v>
      </c>
      <c r="T449" s="21">
        <v>46247.379282407404</v>
      </c>
      <c r="U449" s="55">
        <f t="shared" si="12"/>
        <v>1.1666666666666667</v>
      </c>
      <c r="V449" s="55">
        <f t="shared" si="12"/>
        <v>0.16666666666666666</v>
      </c>
      <c r="W449" s="56">
        <f t="shared" si="13"/>
        <v>2494.3333333333335</v>
      </c>
    </row>
    <row r="450" spans="1:23" x14ac:dyDescent="0.3">
      <c r="A450" s="13" t="str" cm="1">
        <f t="array" ref="A450:B450">INDEX(BenchmarkResults!$B$1:$D$35,SUMPRODUCT((T450&gt;=BenchmarkResults!$F$2:$F$35)*(mysql_hardware_log!T450&lt;BenchmarkResults!$G$2:$G$35)*ROW(BenchmarkResults!$F$2:$F$35)),{1,3})</f>
        <v>q5_top_customers</v>
      </c>
      <c r="B450" s="13">
        <v>1</v>
      </c>
      <c r="C450" s="16">
        <v>1</v>
      </c>
      <c r="D450" s="18">
        <v>0</v>
      </c>
      <c r="E450" s="16">
        <v>423168</v>
      </c>
      <c r="F450" s="13">
        <v>891360</v>
      </c>
      <c r="G450" s="13">
        <v>2824</v>
      </c>
      <c r="H450" s="18">
        <v>2777352</v>
      </c>
      <c r="I450" s="16">
        <v>0</v>
      </c>
      <c r="J450" s="18">
        <v>0</v>
      </c>
      <c r="K450" s="16">
        <v>2483</v>
      </c>
      <c r="L450" s="18">
        <v>6</v>
      </c>
      <c r="M450" s="16">
        <v>976</v>
      </c>
      <c r="N450" s="18">
        <v>2967</v>
      </c>
      <c r="O450" s="16">
        <v>35</v>
      </c>
      <c r="P450" s="13">
        <v>5</v>
      </c>
      <c r="Q450" s="13">
        <v>59</v>
      </c>
      <c r="R450" s="13">
        <v>0</v>
      </c>
      <c r="S450" s="18">
        <v>0</v>
      </c>
      <c r="T450" s="21">
        <v>46247.37939814815</v>
      </c>
      <c r="U450" s="55">
        <f t="shared" si="12"/>
        <v>1.1666666666666667</v>
      </c>
      <c r="V450" s="55">
        <f t="shared" si="12"/>
        <v>0.16666666666666666</v>
      </c>
      <c r="W450" s="56">
        <f t="shared" si="13"/>
        <v>2270.5</v>
      </c>
    </row>
    <row r="451" spans="1:23" x14ac:dyDescent="0.3">
      <c r="A451" s="13" t="str" cm="1">
        <f t="array" ref="A451:B451">INDEX(BenchmarkResults!$B$1:$D$35,SUMPRODUCT((T451&gt;=BenchmarkResults!$F$2:$F$35)*(mysql_hardware_log!T451&lt;BenchmarkResults!$G$2:$G$35)*ROW(BenchmarkResults!$F$2:$F$35)),{1,3})</f>
        <v>q5_top_customers</v>
      </c>
      <c r="B451" s="13">
        <v>1</v>
      </c>
      <c r="C451" s="16">
        <v>1</v>
      </c>
      <c r="D451" s="18">
        <v>0</v>
      </c>
      <c r="E451" s="16">
        <v>423168</v>
      </c>
      <c r="F451" s="13">
        <v>840960</v>
      </c>
      <c r="G451" s="13">
        <v>2844</v>
      </c>
      <c r="H451" s="18">
        <v>2816284</v>
      </c>
      <c r="I451" s="16">
        <v>0</v>
      </c>
      <c r="J451" s="18">
        <v>0</v>
      </c>
      <c r="K451" s="16">
        <v>2736</v>
      </c>
      <c r="L451" s="18">
        <v>6</v>
      </c>
      <c r="M451" s="16">
        <v>1093</v>
      </c>
      <c r="N451" s="18">
        <v>3231</v>
      </c>
      <c r="O451" s="16">
        <v>35</v>
      </c>
      <c r="P451" s="13">
        <v>5</v>
      </c>
      <c r="Q451" s="13">
        <v>60</v>
      </c>
      <c r="R451" s="13">
        <v>0</v>
      </c>
      <c r="S451" s="18">
        <v>0</v>
      </c>
      <c r="T451" s="21">
        <v>46247.379513888889</v>
      </c>
      <c r="U451" s="55">
        <f t="shared" si="12"/>
        <v>1.1666666666666667</v>
      </c>
      <c r="V451" s="55">
        <f t="shared" si="12"/>
        <v>0.16666666666666666</v>
      </c>
      <c r="W451" s="56">
        <f t="shared" si="13"/>
        <v>2168.6666666666665</v>
      </c>
    </row>
    <row r="452" spans="1:23" x14ac:dyDescent="0.3">
      <c r="A452" s="13" t="str" cm="1">
        <f t="array" ref="A452:B452">INDEX(BenchmarkResults!$B$1:$D$35,SUMPRODUCT((T452&gt;=BenchmarkResults!$F$2:$F$35)*(mysql_hardware_log!T452&lt;BenchmarkResults!$G$2:$G$35)*ROW(BenchmarkResults!$F$2:$F$35)),{1,3})</f>
        <v>q5_top_customers</v>
      </c>
      <c r="B452" s="13">
        <v>1</v>
      </c>
      <c r="C452" s="16">
        <v>1</v>
      </c>
      <c r="D452" s="18">
        <v>0</v>
      </c>
      <c r="E452" s="16">
        <v>423168</v>
      </c>
      <c r="F452" s="13">
        <v>799884</v>
      </c>
      <c r="G452" s="13">
        <v>2860</v>
      </c>
      <c r="H452" s="18">
        <v>2861748</v>
      </c>
      <c r="I452" s="16">
        <v>0</v>
      </c>
      <c r="J452" s="18">
        <v>0</v>
      </c>
      <c r="K452" s="16">
        <v>3395</v>
      </c>
      <c r="L452" s="18">
        <v>17635</v>
      </c>
      <c r="M452" s="16">
        <v>1308</v>
      </c>
      <c r="N452" s="18">
        <v>3343</v>
      </c>
      <c r="O452" s="16">
        <v>34</v>
      </c>
      <c r="P452" s="13">
        <v>6</v>
      </c>
      <c r="Q452" s="13">
        <v>51</v>
      </c>
      <c r="R452" s="13">
        <v>9</v>
      </c>
      <c r="S452" s="18">
        <v>0</v>
      </c>
      <c r="T452" s="21">
        <v>46247.379629629628</v>
      </c>
      <c r="U452" s="55">
        <f t="shared" si="12"/>
        <v>1.1666666666666667</v>
      </c>
      <c r="V452" s="55">
        <f t="shared" si="12"/>
        <v>0.16666666666666666</v>
      </c>
      <c r="W452" s="56">
        <f t="shared" si="13"/>
        <v>2606.3333333333335</v>
      </c>
    </row>
    <row r="453" spans="1:23" x14ac:dyDescent="0.3">
      <c r="A453" s="13" t="str" cm="1">
        <f t="array" ref="A453:B453">INDEX(BenchmarkResults!$B$1:$D$35,SUMPRODUCT((T453&gt;=BenchmarkResults!$F$2:$F$35)*(mysql_hardware_log!T453&lt;BenchmarkResults!$G$2:$G$35)*ROW(BenchmarkResults!$F$2:$F$35)),{1,3})</f>
        <v>q5_top_customers</v>
      </c>
      <c r="B453" s="13">
        <v>1</v>
      </c>
      <c r="C453" s="16">
        <v>1</v>
      </c>
      <c r="D453" s="18">
        <v>0</v>
      </c>
      <c r="E453" s="16">
        <v>423168</v>
      </c>
      <c r="F453" s="13">
        <v>758556</v>
      </c>
      <c r="G453" s="13">
        <v>2876</v>
      </c>
      <c r="H453" s="18">
        <v>2900312</v>
      </c>
      <c r="I453" s="16">
        <v>0</v>
      </c>
      <c r="J453" s="18">
        <v>0</v>
      </c>
      <c r="K453" s="16">
        <v>2768</v>
      </c>
      <c r="L453" s="18">
        <v>6</v>
      </c>
      <c r="M453" s="16">
        <v>1032</v>
      </c>
      <c r="N453" s="18">
        <v>3402</v>
      </c>
      <c r="O453" s="16">
        <v>33</v>
      </c>
      <c r="P453" s="13">
        <v>5</v>
      </c>
      <c r="Q453" s="13">
        <v>61</v>
      </c>
      <c r="R453" s="13">
        <v>0</v>
      </c>
      <c r="S453" s="18">
        <v>0</v>
      </c>
      <c r="T453" s="21">
        <v>46247.379745370374</v>
      </c>
      <c r="U453" s="55">
        <f t="shared" si="12"/>
        <v>1.1666666666666667</v>
      </c>
      <c r="V453" s="55">
        <f t="shared" si="12"/>
        <v>0.16666666666666666</v>
      </c>
      <c r="W453" s="56">
        <f t="shared" si="13"/>
        <v>2740.8333333333335</v>
      </c>
    </row>
    <row r="454" spans="1:23" x14ac:dyDescent="0.3">
      <c r="A454" s="13" t="str" cm="1">
        <f t="array" ref="A454:B454">INDEX(BenchmarkResults!$B$1:$D$35,SUMPRODUCT((T454&gt;=BenchmarkResults!$F$2:$F$35)*(mysql_hardware_log!T454&lt;BenchmarkResults!$G$2:$G$35)*ROW(BenchmarkResults!$F$2:$F$35)),{1,3})</f>
        <v>q5_top_customers</v>
      </c>
      <c r="B454" s="13">
        <v>1</v>
      </c>
      <c r="C454" s="16">
        <v>1</v>
      </c>
      <c r="D454" s="18">
        <v>0</v>
      </c>
      <c r="E454" s="16">
        <v>423168</v>
      </c>
      <c r="F454" s="13">
        <v>737388</v>
      </c>
      <c r="G454" s="13">
        <v>2892</v>
      </c>
      <c r="H454" s="18">
        <v>2928984</v>
      </c>
      <c r="I454" s="16">
        <v>0</v>
      </c>
      <c r="J454" s="18">
        <v>0</v>
      </c>
      <c r="K454" s="16">
        <v>1795</v>
      </c>
      <c r="L454" s="18">
        <v>6</v>
      </c>
      <c r="M454" s="16">
        <v>945</v>
      </c>
      <c r="N454" s="18">
        <v>3459</v>
      </c>
      <c r="O454" s="16">
        <v>34</v>
      </c>
      <c r="P454" s="13">
        <v>5</v>
      </c>
      <c r="Q454" s="13">
        <v>61</v>
      </c>
      <c r="R454" s="13">
        <v>0</v>
      </c>
      <c r="S454" s="18">
        <v>0</v>
      </c>
      <c r="T454" s="21">
        <v>46247.379861111112</v>
      </c>
      <c r="U454" s="55">
        <f t="shared" si="12"/>
        <v>1</v>
      </c>
      <c r="V454" s="55">
        <f t="shared" si="12"/>
        <v>0</v>
      </c>
      <c r="W454" s="56">
        <f t="shared" si="13"/>
        <v>2602</v>
      </c>
    </row>
    <row r="455" spans="1:23" x14ac:dyDescent="0.3">
      <c r="A455" s="13" t="str" cm="1">
        <f t="array" ref="A455:B455">INDEX(BenchmarkResults!$B$1:$D$35,SUMPRODUCT((T455&gt;=BenchmarkResults!$F$2:$F$35)*(mysql_hardware_log!T455&lt;BenchmarkResults!$G$2:$G$35)*ROW(BenchmarkResults!$F$2:$F$35)),{1,3})</f>
        <v>q5_top_customers</v>
      </c>
      <c r="B455" s="13">
        <v>1</v>
      </c>
      <c r="C455" s="16">
        <v>1</v>
      </c>
      <c r="D455" s="18">
        <v>0</v>
      </c>
      <c r="E455" s="16">
        <v>423168</v>
      </c>
      <c r="F455" s="13">
        <v>701912</v>
      </c>
      <c r="G455" s="13">
        <v>2912</v>
      </c>
      <c r="H455" s="18">
        <v>2960140</v>
      </c>
      <c r="I455" s="16">
        <v>0</v>
      </c>
      <c r="J455" s="18">
        <v>0</v>
      </c>
      <c r="K455" s="16">
        <v>2076</v>
      </c>
      <c r="L455" s="18">
        <v>17244</v>
      </c>
      <c r="M455" s="16">
        <v>1283</v>
      </c>
      <c r="N455" s="18">
        <v>3514</v>
      </c>
      <c r="O455" s="16">
        <v>35</v>
      </c>
      <c r="P455" s="13">
        <v>6</v>
      </c>
      <c r="Q455" s="13">
        <v>47</v>
      </c>
      <c r="R455" s="13">
        <v>12</v>
      </c>
      <c r="S455" s="18">
        <v>0</v>
      </c>
      <c r="T455" s="21">
        <v>46247.379976851851</v>
      </c>
      <c r="U455" s="55">
        <f t="shared" si="12"/>
        <v>1</v>
      </c>
      <c r="V455" s="55">
        <f t="shared" si="12"/>
        <v>0</v>
      </c>
      <c r="W455" s="56">
        <f t="shared" si="13"/>
        <v>2542.1666666666665</v>
      </c>
    </row>
    <row r="456" spans="1:23" x14ac:dyDescent="0.3">
      <c r="A456" s="13" t="str" cm="1">
        <f t="array" ref="A456:B456">INDEX(BenchmarkResults!$B$1:$D$35,SUMPRODUCT((T456&gt;=BenchmarkResults!$F$2:$F$35)*(mysql_hardware_log!T456&lt;BenchmarkResults!$G$2:$G$35)*ROW(BenchmarkResults!$F$2:$F$35)),{1,3})</f>
        <v>q5_top_customers</v>
      </c>
      <c r="B456" s="13">
        <v>1</v>
      </c>
      <c r="C456" s="16">
        <v>1</v>
      </c>
      <c r="D456" s="18">
        <v>0</v>
      </c>
      <c r="E456" s="16">
        <v>423168</v>
      </c>
      <c r="F456" s="13">
        <v>666884</v>
      </c>
      <c r="G456" s="13">
        <v>2928</v>
      </c>
      <c r="H456" s="18">
        <v>2992024</v>
      </c>
      <c r="I456" s="16">
        <v>0</v>
      </c>
      <c r="J456" s="18">
        <v>0</v>
      </c>
      <c r="K456" s="16">
        <v>2115</v>
      </c>
      <c r="L456" s="18">
        <v>13</v>
      </c>
      <c r="M456" s="16">
        <v>1117</v>
      </c>
      <c r="N456" s="18">
        <v>3625</v>
      </c>
      <c r="O456" s="16">
        <v>36</v>
      </c>
      <c r="P456" s="13">
        <v>5</v>
      </c>
      <c r="Q456" s="13">
        <v>59</v>
      </c>
      <c r="R456" s="13">
        <v>0</v>
      </c>
      <c r="S456" s="18">
        <v>0</v>
      </c>
      <c r="T456" s="21">
        <v>46247.38009259259</v>
      </c>
      <c r="U456" s="55">
        <f t="shared" si="12"/>
        <v>1</v>
      </c>
      <c r="V456" s="55">
        <f t="shared" si="12"/>
        <v>0</v>
      </c>
      <c r="W456" s="56">
        <f t="shared" si="13"/>
        <v>2480.8333333333335</v>
      </c>
    </row>
    <row r="457" spans="1:23" x14ac:dyDescent="0.3">
      <c r="A457" s="13" t="str" cm="1">
        <f t="array" ref="A457:B457">INDEX(BenchmarkResults!$B$1:$D$35,SUMPRODUCT((T457&gt;=BenchmarkResults!$F$2:$F$35)*(mysql_hardware_log!T457&lt;BenchmarkResults!$G$2:$G$35)*ROW(BenchmarkResults!$F$2:$F$35)),{1,3})</f>
        <v>q5_top_customers</v>
      </c>
      <c r="B457" s="13">
        <v>1</v>
      </c>
      <c r="C457" s="16">
        <v>1</v>
      </c>
      <c r="D457" s="18">
        <v>0</v>
      </c>
      <c r="E457" s="16">
        <v>423168</v>
      </c>
      <c r="F457" s="13">
        <v>633116</v>
      </c>
      <c r="G457" s="13">
        <v>2944</v>
      </c>
      <c r="H457" s="18">
        <v>3027772</v>
      </c>
      <c r="I457" s="16">
        <v>0</v>
      </c>
      <c r="J457" s="18">
        <v>0</v>
      </c>
      <c r="K457" s="16">
        <v>2518</v>
      </c>
      <c r="L457" s="18">
        <v>7</v>
      </c>
      <c r="M457" s="16">
        <v>1329</v>
      </c>
      <c r="N457" s="18">
        <v>3591</v>
      </c>
      <c r="O457" s="16">
        <v>36</v>
      </c>
      <c r="P457" s="13">
        <v>5</v>
      </c>
      <c r="Q457" s="13">
        <v>58</v>
      </c>
      <c r="R457" s="13">
        <v>0</v>
      </c>
      <c r="S457" s="18">
        <v>0</v>
      </c>
      <c r="T457" s="21">
        <v>46247.380208333336</v>
      </c>
      <c r="U457" s="55">
        <f t="shared" ref="U457:V520" si="14">AVERAGE(C452:C457)</f>
        <v>1</v>
      </c>
      <c r="V457" s="55">
        <f t="shared" si="14"/>
        <v>0</v>
      </c>
      <c r="W457" s="56">
        <f t="shared" ref="W457:W520" si="15">AVERAGE(K452:K457)</f>
        <v>2444.5</v>
      </c>
    </row>
    <row r="458" spans="1:23" x14ac:dyDescent="0.3">
      <c r="A458" s="13" t="str" cm="1">
        <f t="array" ref="A458:B458">INDEX(BenchmarkResults!$B$1:$D$35,SUMPRODUCT((T458&gt;=BenchmarkResults!$F$2:$F$35)*(mysql_hardware_log!T458&lt;BenchmarkResults!$G$2:$G$35)*ROW(BenchmarkResults!$F$2:$F$35)),{1,3})</f>
        <v>q5_top_customers</v>
      </c>
      <c r="B458" s="13">
        <v>1</v>
      </c>
      <c r="C458" s="16">
        <v>2</v>
      </c>
      <c r="D458" s="18">
        <v>1</v>
      </c>
      <c r="E458" s="16">
        <v>423168</v>
      </c>
      <c r="F458" s="13">
        <v>602436</v>
      </c>
      <c r="G458" s="13">
        <v>2960</v>
      </c>
      <c r="H458" s="18">
        <v>3061224</v>
      </c>
      <c r="I458" s="16">
        <v>6</v>
      </c>
      <c r="J458" s="18">
        <v>0</v>
      </c>
      <c r="K458" s="16">
        <v>2185</v>
      </c>
      <c r="L458" s="18">
        <v>15046</v>
      </c>
      <c r="M458" s="16">
        <v>1335</v>
      </c>
      <c r="N458" s="18">
        <v>3716</v>
      </c>
      <c r="O458" s="16">
        <v>38</v>
      </c>
      <c r="P458" s="13">
        <v>6</v>
      </c>
      <c r="Q458" s="13">
        <v>50</v>
      </c>
      <c r="R458" s="13">
        <v>6</v>
      </c>
      <c r="S458" s="18">
        <v>0</v>
      </c>
      <c r="T458" s="21">
        <v>46247.380324074074</v>
      </c>
      <c r="U458" s="55">
        <f t="shared" si="14"/>
        <v>1.1666666666666667</v>
      </c>
      <c r="V458" s="55">
        <f t="shared" si="14"/>
        <v>0.16666666666666666</v>
      </c>
      <c r="W458" s="56">
        <f t="shared" si="15"/>
        <v>2242.8333333333335</v>
      </c>
    </row>
    <row r="459" spans="1:23" x14ac:dyDescent="0.3">
      <c r="A459" s="13" t="str" cm="1">
        <f t="array" ref="A459:B459">INDEX(BenchmarkResults!$B$1:$D$35,SUMPRODUCT((T459&gt;=BenchmarkResults!$F$2:$F$35)*(mysql_hardware_log!T459&lt;BenchmarkResults!$G$2:$G$35)*ROW(BenchmarkResults!$F$2:$F$35)),{1,3})</f>
        <v>q5_top_customers</v>
      </c>
      <c r="B459" s="13">
        <v>1</v>
      </c>
      <c r="C459" s="16">
        <v>1</v>
      </c>
      <c r="D459" s="18">
        <v>0</v>
      </c>
      <c r="E459" s="16">
        <v>423168</v>
      </c>
      <c r="F459" s="13">
        <v>570432</v>
      </c>
      <c r="G459" s="13">
        <v>2980</v>
      </c>
      <c r="H459" s="18">
        <v>3090704</v>
      </c>
      <c r="I459" s="16">
        <v>0</v>
      </c>
      <c r="J459" s="18">
        <v>0</v>
      </c>
      <c r="K459" s="16">
        <v>1774</v>
      </c>
      <c r="L459" s="18">
        <v>2890</v>
      </c>
      <c r="M459" s="16">
        <v>1108</v>
      </c>
      <c r="N459" s="18">
        <v>3951</v>
      </c>
      <c r="O459" s="16">
        <v>36</v>
      </c>
      <c r="P459" s="13">
        <v>5</v>
      </c>
      <c r="Q459" s="13">
        <v>57</v>
      </c>
      <c r="R459" s="13">
        <v>2</v>
      </c>
      <c r="S459" s="18">
        <v>0</v>
      </c>
      <c r="T459" s="21">
        <v>46247.380439814813</v>
      </c>
      <c r="U459" s="55">
        <f t="shared" si="14"/>
        <v>1.1666666666666667</v>
      </c>
      <c r="V459" s="55">
        <f t="shared" si="14"/>
        <v>0.16666666666666666</v>
      </c>
      <c r="W459" s="56">
        <f t="shared" si="15"/>
        <v>2077.1666666666665</v>
      </c>
    </row>
    <row r="460" spans="1:23" x14ac:dyDescent="0.3">
      <c r="A460" s="13" t="str" cm="1">
        <f t="array" ref="A460:B460">INDEX(BenchmarkResults!$B$1:$D$35,SUMPRODUCT((T460&gt;=BenchmarkResults!$F$2:$F$35)*(mysql_hardware_log!T460&lt;BenchmarkResults!$G$2:$G$35)*ROW(BenchmarkResults!$F$2:$F$35)),{1,3})</f>
        <v>q5_top_customers</v>
      </c>
      <c r="B460" s="13">
        <v>1</v>
      </c>
      <c r="C460" s="16">
        <v>1</v>
      </c>
      <c r="D460" s="18">
        <v>0</v>
      </c>
      <c r="E460" s="16">
        <v>423168</v>
      </c>
      <c r="F460" s="13">
        <v>559344</v>
      </c>
      <c r="G460" s="13">
        <v>2996</v>
      </c>
      <c r="H460" s="18">
        <v>3105364</v>
      </c>
      <c r="I460" s="16">
        <v>0</v>
      </c>
      <c r="J460" s="18">
        <v>0</v>
      </c>
      <c r="K460" s="16">
        <v>270</v>
      </c>
      <c r="L460" s="18">
        <v>6</v>
      </c>
      <c r="M460" s="16">
        <v>1391</v>
      </c>
      <c r="N460" s="18">
        <v>4325</v>
      </c>
      <c r="O460" s="16">
        <v>36</v>
      </c>
      <c r="P460" s="13">
        <v>5</v>
      </c>
      <c r="Q460" s="13">
        <v>57</v>
      </c>
      <c r="R460" s="13">
        <v>1</v>
      </c>
      <c r="S460" s="18">
        <v>0</v>
      </c>
      <c r="T460" s="21">
        <v>46247.380555555559</v>
      </c>
      <c r="U460" s="55">
        <f t="shared" si="14"/>
        <v>1.1666666666666667</v>
      </c>
      <c r="V460" s="55">
        <f t="shared" si="14"/>
        <v>0.16666666666666666</v>
      </c>
      <c r="W460" s="56">
        <f t="shared" si="15"/>
        <v>1823</v>
      </c>
    </row>
    <row r="461" spans="1:23" x14ac:dyDescent="0.3">
      <c r="A461" s="13" t="str" cm="1">
        <f t="array" ref="A461:B461">INDEX(BenchmarkResults!$B$1:$D$35,SUMPRODUCT((T461&gt;=BenchmarkResults!$F$2:$F$35)*(mysql_hardware_log!T461&lt;BenchmarkResults!$G$2:$G$35)*ROW(BenchmarkResults!$F$2:$F$35)),{1,3})</f>
        <v>q5_top_customers</v>
      </c>
      <c r="B461" s="13">
        <v>1</v>
      </c>
      <c r="C461" s="16">
        <v>1</v>
      </c>
      <c r="D461" s="18">
        <v>0</v>
      </c>
      <c r="E461" s="16">
        <v>423168</v>
      </c>
      <c r="F461" s="13">
        <v>536664</v>
      </c>
      <c r="G461" s="13">
        <v>3012</v>
      </c>
      <c r="H461" s="18">
        <v>3123656</v>
      </c>
      <c r="I461" s="16">
        <v>0</v>
      </c>
      <c r="J461" s="18">
        <v>0</v>
      </c>
      <c r="K461" s="16">
        <v>558</v>
      </c>
      <c r="L461" s="18">
        <v>6</v>
      </c>
      <c r="M461" s="16">
        <v>1345</v>
      </c>
      <c r="N461" s="18">
        <v>4566</v>
      </c>
      <c r="O461" s="16">
        <v>37</v>
      </c>
      <c r="P461" s="13">
        <v>6</v>
      </c>
      <c r="Q461" s="13">
        <v>57</v>
      </c>
      <c r="R461" s="13">
        <v>1</v>
      </c>
      <c r="S461" s="18">
        <v>0</v>
      </c>
      <c r="T461" s="21">
        <v>46247.380671296298</v>
      </c>
      <c r="U461" s="55">
        <f t="shared" si="14"/>
        <v>1.1666666666666667</v>
      </c>
      <c r="V461" s="55">
        <f t="shared" si="14"/>
        <v>0.16666666666666666</v>
      </c>
      <c r="W461" s="56">
        <f t="shared" si="15"/>
        <v>1570</v>
      </c>
    </row>
    <row r="462" spans="1:23" x14ac:dyDescent="0.3">
      <c r="A462" s="13" t="str" cm="1">
        <f t="array" ref="A462:B462">INDEX(BenchmarkResults!$B$1:$D$35,SUMPRODUCT((T462&gt;=BenchmarkResults!$F$2:$F$35)*(mysql_hardware_log!T462&lt;BenchmarkResults!$G$2:$G$35)*ROW(BenchmarkResults!$F$2:$F$35)),{1,3})</f>
        <v>q5_top_customers</v>
      </c>
      <c r="B462" s="13">
        <v>1</v>
      </c>
      <c r="C462" s="16">
        <v>1</v>
      </c>
      <c r="D462" s="18">
        <v>0</v>
      </c>
      <c r="E462" s="16">
        <v>423168</v>
      </c>
      <c r="F462" s="13">
        <v>526836</v>
      </c>
      <c r="G462" s="13">
        <v>3028</v>
      </c>
      <c r="H462" s="18">
        <v>3136420</v>
      </c>
      <c r="I462" s="16">
        <v>0</v>
      </c>
      <c r="J462" s="18">
        <v>0</v>
      </c>
      <c r="K462" s="16">
        <v>58</v>
      </c>
      <c r="L462" s="18">
        <v>18412</v>
      </c>
      <c r="M462" s="16">
        <v>1544</v>
      </c>
      <c r="N462" s="18">
        <v>4964</v>
      </c>
      <c r="O462" s="16">
        <v>35</v>
      </c>
      <c r="P462" s="13">
        <v>8</v>
      </c>
      <c r="Q462" s="13">
        <v>51</v>
      </c>
      <c r="R462" s="13">
        <v>6</v>
      </c>
      <c r="S462" s="18">
        <v>0</v>
      </c>
      <c r="T462" s="21">
        <v>46247.380787037036</v>
      </c>
      <c r="U462" s="55">
        <f t="shared" si="14"/>
        <v>1.1666666666666667</v>
      </c>
      <c r="V462" s="55">
        <f t="shared" si="14"/>
        <v>0.16666666666666666</v>
      </c>
      <c r="W462" s="56">
        <f t="shared" si="15"/>
        <v>1227.1666666666667</v>
      </c>
    </row>
    <row r="463" spans="1:23" x14ac:dyDescent="0.3">
      <c r="A463" s="13" t="str" cm="1">
        <f t="array" ref="A463:B463">INDEX(BenchmarkResults!$B$1:$D$35,SUMPRODUCT((T463&gt;=BenchmarkResults!$F$2:$F$35)*(mysql_hardware_log!T463&lt;BenchmarkResults!$G$2:$G$35)*ROW(BenchmarkResults!$F$2:$F$35)),{1,3})</f>
        <v>q5_top_customers</v>
      </c>
      <c r="B463" s="13">
        <v>1</v>
      </c>
      <c r="C463" s="16">
        <v>1</v>
      </c>
      <c r="D463" s="18">
        <v>0</v>
      </c>
      <c r="E463" s="16">
        <v>423168</v>
      </c>
      <c r="F463" s="13">
        <v>517260</v>
      </c>
      <c r="G463" s="13">
        <v>3044</v>
      </c>
      <c r="H463" s="18">
        <v>3149996</v>
      </c>
      <c r="I463" s="16">
        <v>0</v>
      </c>
      <c r="J463" s="18">
        <v>0</v>
      </c>
      <c r="K463" s="16">
        <v>3</v>
      </c>
      <c r="L463" s="18">
        <v>9</v>
      </c>
      <c r="M463" s="16">
        <v>1305</v>
      </c>
      <c r="N463" s="18">
        <v>5446</v>
      </c>
      <c r="O463" s="16">
        <v>37</v>
      </c>
      <c r="P463" s="13">
        <v>7</v>
      </c>
      <c r="Q463" s="13">
        <v>56</v>
      </c>
      <c r="R463" s="13">
        <v>0</v>
      </c>
      <c r="S463" s="18">
        <v>0</v>
      </c>
      <c r="T463" s="21">
        <v>46247.380902777775</v>
      </c>
      <c r="U463" s="55">
        <f t="shared" si="14"/>
        <v>1.1666666666666667</v>
      </c>
      <c r="V463" s="55">
        <f t="shared" si="14"/>
        <v>0.16666666666666666</v>
      </c>
      <c r="W463" s="56">
        <f t="shared" si="15"/>
        <v>808</v>
      </c>
    </row>
    <row r="464" spans="1:23" x14ac:dyDescent="0.3">
      <c r="A464" s="13" t="str" cm="1">
        <f t="array" ref="A464:B464">INDEX(BenchmarkResults!$B$1:$D$35,SUMPRODUCT((T464&gt;=BenchmarkResults!$F$2:$F$35)*(mysql_hardware_log!T464&lt;BenchmarkResults!$G$2:$G$35)*ROW(BenchmarkResults!$F$2:$F$35)),{1,3})</f>
        <v>q5_top_customers</v>
      </c>
      <c r="B464" s="13">
        <v>1</v>
      </c>
      <c r="C464" s="16">
        <v>3</v>
      </c>
      <c r="D464" s="18">
        <v>0</v>
      </c>
      <c r="E464" s="16">
        <v>423168</v>
      </c>
      <c r="F464" s="13">
        <v>498108</v>
      </c>
      <c r="G464" s="13">
        <v>3060</v>
      </c>
      <c r="H464" s="18">
        <v>3163708</v>
      </c>
      <c r="I464" s="16">
        <v>0</v>
      </c>
      <c r="J464" s="18">
        <v>0</v>
      </c>
      <c r="K464" s="16">
        <v>3</v>
      </c>
      <c r="L464" s="18">
        <v>7</v>
      </c>
      <c r="M464" s="16">
        <v>1491</v>
      </c>
      <c r="N464" s="18">
        <v>5801</v>
      </c>
      <c r="O464" s="16">
        <v>38</v>
      </c>
      <c r="P464" s="13">
        <v>8</v>
      </c>
      <c r="Q464" s="13">
        <v>54</v>
      </c>
      <c r="R464" s="13">
        <v>0</v>
      </c>
      <c r="S464" s="18">
        <v>0</v>
      </c>
      <c r="T464" s="21">
        <v>46247.381018518521</v>
      </c>
      <c r="U464" s="55">
        <f t="shared" si="14"/>
        <v>1.3333333333333333</v>
      </c>
      <c r="V464" s="55">
        <f t="shared" si="14"/>
        <v>0</v>
      </c>
      <c r="W464" s="56">
        <f t="shared" si="15"/>
        <v>444.33333333333331</v>
      </c>
    </row>
    <row r="465" spans="1:23" x14ac:dyDescent="0.3">
      <c r="A465" s="13" t="str" cm="1">
        <f t="array" ref="A465:B465">INDEX(BenchmarkResults!$B$1:$D$35,SUMPRODUCT((T465&gt;=BenchmarkResults!$F$2:$F$35)*(mysql_hardware_log!T465&lt;BenchmarkResults!$G$2:$G$35)*ROW(BenchmarkResults!$F$2:$F$35)),{1,3})</f>
        <v>q5_top_customers</v>
      </c>
      <c r="B465" s="13">
        <v>1</v>
      </c>
      <c r="C465" s="16">
        <v>1</v>
      </c>
      <c r="D465" s="18">
        <v>0</v>
      </c>
      <c r="E465" s="16">
        <v>423168</v>
      </c>
      <c r="F465" s="13">
        <v>490504</v>
      </c>
      <c r="G465" s="13">
        <v>3088</v>
      </c>
      <c r="H465" s="18">
        <v>3177608</v>
      </c>
      <c r="I465" s="16">
        <v>0</v>
      </c>
      <c r="J465" s="18">
        <v>0</v>
      </c>
      <c r="K465" s="16">
        <v>7</v>
      </c>
      <c r="L465" s="18">
        <v>20304</v>
      </c>
      <c r="M465" s="16">
        <v>1840</v>
      </c>
      <c r="N465" s="18">
        <v>6262</v>
      </c>
      <c r="O465" s="16">
        <v>38</v>
      </c>
      <c r="P465" s="13">
        <v>10</v>
      </c>
      <c r="Q465" s="13">
        <v>46</v>
      </c>
      <c r="R465" s="13">
        <v>7</v>
      </c>
      <c r="S465" s="18">
        <v>0</v>
      </c>
      <c r="T465" s="21">
        <v>46247.38113425926</v>
      </c>
      <c r="U465" s="55">
        <f t="shared" si="14"/>
        <v>1.3333333333333333</v>
      </c>
      <c r="V465" s="55">
        <f t="shared" si="14"/>
        <v>0</v>
      </c>
      <c r="W465" s="56">
        <f t="shared" si="15"/>
        <v>149.83333333333334</v>
      </c>
    </row>
    <row r="466" spans="1:23" x14ac:dyDescent="0.3">
      <c r="A466" s="13" t="str" cm="1">
        <f t="array" ref="A466:B466">INDEX(BenchmarkResults!$B$1:$D$35,SUMPRODUCT((T466&gt;=BenchmarkResults!$F$2:$F$35)*(mysql_hardware_log!T466&lt;BenchmarkResults!$G$2:$G$35)*ROW(BenchmarkResults!$F$2:$F$35)),{1,3})</f>
        <v>q5_top_customers</v>
      </c>
      <c r="B466" s="13">
        <v>1</v>
      </c>
      <c r="C466" s="16">
        <v>2</v>
      </c>
      <c r="D466" s="18">
        <v>0</v>
      </c>
      <c r="E466" s="16">
        <v>423168</v>
      </c>
      <c r="F466" s="13">
        <v>471856</v>
      </c>
      <c r="G466" s="13">
        <v>3104</v>
      </c>
      <c r="H466" s="18">
        <v>3192252</v>
      </c>
      <c r="I466" s="16">
        <v>0</v>
      </c>
      <c r="J466" s="18">
        <v>0</v>
      </c>
      <c r="K466" s="16">
        <v>16</v>
      </c>
      <c r="L466" s="18">
        <v>10</v>
      </c>
      <c r="M466" s="16">
        <v>1373</v>
      </c>
      <c r="N466" s="18">
        <v>6483</v>
      </c>
      <c r="O466" s="16">
        <v>36</v>
      </c>
      <c r="P466" s="13">
        <v>8</v>
      </c>
      <c r="Q466" s="13">
        <v>56</v>
      </c>
      <c r="R466" s="13">
        <v>0</v>
      </c>
      <c r="S466" s="18">
        <v>0</v>
      </c>
      <c r="T466" s="21">
        <v>46247.381249999999</v>
      </c>
      <c r="U466" s="55">
        <f t="shared" si="14"/>
        <v>1.5</v>
      </c>
      <c r="V466" s="55">
        <f t="shared" si="14"/>
        <v>0</v>
      </c>
      <c r="W466" s="56">
        <f t="shared" si="15"/>
        <v>107.5</v>
      </c>
    </row>
    <row r="467" spans="1:23" x14ac:dyDescent="0.3">
      <c r="A467" s="13" t="str" cm="1">
        <f t="array" ref="A467:B467">INDEX(BenchmarkResults!$B$1:$D$35,SUMPRODUCT((T467&gt;=BenchmarkResults!$F$2:$F$35)*(mysql_hardware_log!T467&lt;BenchmarkResults!$G$2:$G$35)*ROW(BenchmarkResults!$F$2:$F$35)),{1,3})</f>
        <v>q5_top_customers</v>
      </c>
      <c r="B467" s="13">
        <v>1</v>
      </c>
      <c r="C467" s="16">
        <v>1</v>
      </c>
      <c r="D467" s="18">
        <v>0</v>
      </c>
      <c r="E467" s="16">
        <v>423168</v>
      </c>
      <c r="F467" s="13">
        <v>453464</v>
      </c>
      <c r="G467" s="13">
        <v>3120</v>
      </c>
      <c r="H467" s="18">
        <v>3206448</v>
      </c>
      <c r="I467" s="16">
        <v>0</v>
      </c>
      <c r="J467" s="18">
        <v>0</v>
      </c>
      <c r="K467" s="16">
        <v>3</v>
      </c>
      <c r="L467" s="18">
        <v>6</v>
      </c>
      <c r="M467" s="16">
        <v>1741</v>
      </c>
      <c r="N467" s="18">
        <v>7046</v>
      </c>
      <c r="O467" s="16">
        <v>36</v>
      </c>
      <c r="P467" s="13">
        <v>8</v>
      </c>
      <c r="Q467" s="13">
        <v>56</v>
      </c>
      <c r="R467" s="13">
        <v>0</v>
      </c>
      <c r="S467" s="18">
        <v>0</v>
      </c>
      <c r="T467" s="21">
        <v>46247.381365740737</v>
      </c>
      <c r="U467" s="55">
        <f t="shared" si="14"/>
        <v>1.5</v>
      </c>
      <c r="V467" s="55">
        <f t="shared" si="14"/>
        <v>0</v>
      </c>
      <c r="W467" s="56">
        <f t="shared" si="15"/>
        <v>15</v>
      </c>
    </row>
    <row r="468" spans="1:23" x14ac:dyDescent="0.3">
      <c r="A468" s="13" t="str" cm="1">
        <f t="array" ref="A468:B468">INDEX(BenchmarkResults!$B$1:$D$35,SUMPRODUCT((T468&gt;=BenchmarkResults!$F$2:$F$35)*(mysql_hardware_log!T468&lt;BenchmarkResults!$G$2:$G$35)*ROW(BenchmarkResults!$F$2:$F$35)),{1,3})</f>
        <v>q5_top_customers</v>
      </c>
      <c r="B468" s="13">
        <v>1</v>
      </c>
      <c r="C468" s="16">
        <v>4</v>
      </c>
      <c r="D468" s="18">
        <v>0</v>
      </c>
      <c r="E468" s="16">
        <v>423168</v>
      </c>
      <c r="F468" s="13">
        <v>453772</v>
      </c>
      <c r="G468" s="13">
        <v>3136</v>
      </c>
      <c r="H468" s="18">
        <v>3221460</v>
      </c>
      <c r="I468" s="16">
        <v>0</v>
      </c>
      <c r="J468" s="18">
        <v>0</v>
      </c>
      <c r="K468" s="16">
        <v>22</v>
      </c>
      <c r="L468" s="18">
        <v>23763</v>
      </c>
      <c r="M468" s="16">
        <v>1863</v>
      </c>
      <c r="N468" s="18">
        <v>7328</v>
      </c>
      <c r="O468" s="16">
        <v>37</v>
      </c>
      <c r="P468" s="13">
        <v>10</v>
      </c>
      <c r="Q468" s="13">
        <v>45</v>
      </c>
      <c r="R468" s="13">
        <v>8</v>
      </c>
      <c r="S468" s="18">
        <v>0</v>
      </c>
      <c r="T468" s="21">
        <v>46247.381481481483</v>
      </c>
      <c r="U468" s="55">
        <f t="shared" si="14"/>
        <v>2</v>
      </c>
      <c r="V468" s="55">
        <f t="shared" si="14"/>
        <v>0</v>
      </c>
      <c r="W468" s="56">
        <f t="shared" si="15"/>
        <v>9</v>
      </c>
    </row>
    <row r="469" spans="1:23" x14ac:dyDescent="0.3">
      <c r="A469" s="13" t="str" cm="1">
        <f t="array" ref="A469:B469">INDEX(BenchmarkResults!$B$1:$D$35,SUMPRODUCT((T469&gt;=BenchmarkResults!$F$2:$F$35)*(mysql_hardware_log!T469&lt;BenchmarkResults!$G$2:$G$35)*ROW(BenchmarkResults!$F$2:$F$35)),{1,3})</f>
        <v>q5_top_customers</v>
      </c>
      <c r="B469" s="13">
        <v>1</v>
      </c>
      <c r="C469" s="16">
        <v>1</v>
      </c>
      <c r="D469" s="18">
        <v>0</v>
      </c>
      <c r="E469" s="16">
        <v>423168</v>
      </c>
      <c r="F469" s="13">
        <v>438056</v>
      </c>
      <c r="G469" s="13">
        <v>3156</v>
      </c>
      <c r="H469" s="18">
        <v>3236428</v>
      </c>
      <c r="I469" s="16">
        <v>0</v>
      </c>
      <c r="J469" s="18">
        <v>0</v>
      </c>
      <c r="K469" s="16">
        <v>6</v>
      </c>
      <c r="L469" s="18">
        <v>18402</v>
      </c>
      <c r="M469" s="16">
        <v>1819</v>
      </c>
      <c r="N469" s="18">
        <v>7374</v>
      </c>
      <c r="O469" s="16">
        <v>41</v>
      </c>
      <c r="P469" s="13">
        <v>10</v>
      </c>
      <c r="Q469" s="13">
        <v>38</v>
      </c>
      <c r="R469" s="13">
        <v>10</v>
      </c>
      <c r="S469" s="18">
        <v>0</v>
      </c>
      <c r="T469" s="21">
        <v>46247.381597222222</v>
      </c>
      <c r="U469" s="55">
        <f t="shared" si="14"/>
        <v>2</v>
      </c>
      <c r="V469" s="55">
        <f t="shared" si="14"/>
        <v>0</v>
      </c>
      <c r="W469" s="56">
        <f t="shared" si="15"/>
        <v>9.5</v>
      </c>
    </row>
    <row r="470" spans="1:23" x14ac:dyDescent="0.3">
      <c r="A470" s="13" t="str" cm="1">
        <f t="array" ref="A470:B470">INDEX(BenchmarkResults!$B$1:$D$35,SUMPRODUCT((T470&gt;=BenchmarkResults!$F$2:$F$35)*(mysql_hardware_log!T470&lt;BenchmarkResults!$G$2:$G$35)*ROW(BenchmarkResults!$F$2:$F$35)),{1,3})</f>
        <v>q5_top_customers</v>
      </c>
      <c r="B470" s="13">
        <v>1</v>
      </c>
      <c r="C470" s="16">
        <v>3</v>
      </c>
      <c r="D470" s="18">
        <v>1</v>
      </c>
      <c r="E470" s="16">
        <v>423168</v>
      </c>
      <c r="F470" s="13">
        <v>433132</v>
      </c>
      <c r="G470" s="13">
        <v>3176</v>
      </c>
      <c r="H470" s="18">
        <v>3250692</v>
      </c>
      <c r="I470" s="16">
        <v>0</v>
      </c>
      <c r="J470" s="18">
        <v>0</v>
      </c>
      <c r="K470" s="16">
        <v>18</v>
      </c>
      <c r="L470" s="18">
        <v>35467</v>
      </c>
      <c r="M470" s="16">
        <v>1949</v>
      </c>
      <c r="N470" s="18">
        <v>7699</v>
      </c>
      <c r="O470" s="16">
        <v>40</v>
      </c>
      <c r="P470" s="13">
        <v>12</v>
      </c>
      <c r="Q470" s="13">
        <v>30</v>
      </c>
      <c r="R470" s="13">
        <v>17</v>
      </c>
      <c r="S470" s="18">
        <v>0</v>
      </c>
      <c r="T470" s="21">
        <v>46247.381712962961</v>
      </c>
      <c r="U470" s="55">
        <f t="shared" si="14"/>
        <v>2</v>
      </c>
      <c r="V470" s="55">
        <f t="shared" si="14"/>
        <v>0.16666666666666666</v>
      </c>
      <c r="W470" s="56">
        <f t="shared" si="15"/>
        <v>12</v>
      </c>
    </row>
    <row r="471" spans="1:23" x14ac:dyDescent="0.3">
      <c r="A471" s="13" t="str" cm="1">
        <f t="array" ref="A471:B471">INDEX(BenchmarkResults!$B$1:$D$35,SUMPRODUCT((T471&gt;=BenchmarkResults!$F$2:$F$35)*(mysql_hardware_log!T471&lt;BenchmarkResults!$G$2:$G$35)*ROW(BenchmarkResults!$F$2:$F$35)),{1,3})</f>
        <v>q5_top_customers</v>
      </c>
      <c r="B471" s="13">
        <v>1</v>
      </c>
      <c r="C471" s="16">
        <v>3</v>
      </c>
      <c r="D471" s="18">
        <v>0</v>
      </c>
      <c r="E471" s="16">
        <v>423168</v>
      </c>
      <c r="F471" s="13">
        <v>409236</v>
      </c>
      <c r="G471" s="13">
        <v>3196</v>
      </c>
      <c r="H471" s="18">
        <v>3264564</v>
      </c>
      <c r="I471" s="16">
        <v>0</v>
      </c>
      <c r="J471" s="18">
        <v>0</v>
      </c>
      <c r="K471" s="16">
        <v>38</v>
      </c>
      <c r="L471" s="18">
        <v>2547</v>
      </c>
      <c r="M471" s="16">
        <v>1586</v>
      </c>
      <c r="N471" s="18">
        <v>8016</v>
      </c>
      <c r="O471" s="16">
        <v>38</v>
      </c>
      <c r="P471" s="13">
        <v>10</v>
      </c>
      <c r="Q471" s="13">
        <v>51</v>
      </c>
      <c r="R471" s="13">
        <v>1</v>
      </c>
      <c r="S471" s="18">
        <v>0</v>
      </c>
      <c r="T471" s="21">
        <v>46247.381828703707</v>
      </c>
      <c r="U471" s="55">
        <f t="shared" si="14"/>
        <v>2.3333333333333335</v>
      </c>
      <c r="V471" s="55">
        <f t="shared" si="14"/>
        <v>0.16666666666666666</v>
      </c>
      <c r="W471" s="56">
        <f t="shared" si="15"/>
        <v>17.166666666666668</v>
      </c>
    </row>
    <row r="472" spans="1:23" x14ac:dyDescent="0.3">
      <c r="A472" s="13" t="str" cm="1">
        <f t="array" ref="A472:B472">INDEX(BenchmarkResults!$B$1:$D$35,SUMPRODUCT((T472&gt;=BenchmarkResults!$F$2:$F$35)*(mysql_hardware_log!T472&lt;BenchmarkResults!$G$2:$G$35)*ROW(BenchmarkResults!$F$2:$F$35)),{1,3})</f>
        <v>q5_top_customers</v>
      </c>
      <c r="B472" s="13">
        <v>1</v>
      </c>
      <c r="C472" s="16">
        <v>3</v>
      </c>
      <c r="D472" s="18">
        <v>0</v>
      </c>
      <c r="E472" s="16">
        <v>423168</v>
      </c>
      <c r="F472" s="13">
        <v>392100</v>
      </c>
      <c r="G472" s="13">
        <v>3212</v>
      </c>
      <c r="H472" s="18">
        <v>3286900</v>
      </c>
      <c r="I472" s="16">
        <v>0</v>
      </c>
      <c r="J472" s="18">
        <v>0</v>
      </c>
      <c r="K472" s="16">
        <v>888</v>
      </c>
      <c r="L472" s="18">
        <v>6</v>
      </c>
      <c r="M472" s="16">
        <v>2016</v>
      </c>
      <c r="N472" s="18">
        <v>8704</v>
      </c>
      <c r="O472" s="16">
        <v>44</v>
      </c>
      <c r="P472" s="13">
        <v>11</v>
      </c>
      <c r="Q472" s="13">
        <v>44</v>
      </c>
      <c r="R472" s="13">
        <v>1</v>
      </c>
      <c r="S472" s="18">
        <v>0</v>
      </c>
      <c r="T472" s="21">
        <v>46247.381944444445</v>
      </c>
      <c r="U472" s="55">
        <f t="shared" si="14"/>
        <v>2.5</v>
      </c>
      <c r="V472" s="55">
        <f t="shared" si="14"/>
        <v>0.16666666666666666</v>
      </c>
      <c r="W472" s="56">
        <f t="shared" si="15"/>
        <v>162.5</v>
      </c>
    </row>
    <row r="473" spans="1:23" x14ac:dyDescent="0.3">
      <c r="A473" s="13" t="str" cm="1">
        <f t="array" ref="A473:B473">INDEX(BenchmarkResults!$B$1:$D$35,SUMPRODUCT((T473&gt;=BenchmarkResults!$F$2:$F$35)*(mysql_hardware_log!T473&lt;BenchmarkResults!$G$2:$G$35)*ROW(BenchmarkResults!$F$2:$F$35)),{1,3})</f>
        <v>q5_top_customers</v>
      </c>
      <c r="B473" s="13">
        <v>1</v>
      </c>
      <c r="C473" s="16">
        <v>1</v>
      </c>
      <c r="D473" s="18">
        <v>0</v>
      </c>
      <c r="E473" s="16">
        <v>423168</v>
      </c>
      <c r="F473" s="13">
        <v>378240</v>
      </c>
      <c r="G473" s="13">
        <v>3232</v>
      </c>
      <c r="H473" s="18">
        <v>3301028</v>
      </c>
      <c r="I473" s="16">
        <v>0</v>
      </c>
      <c r="J473" s="18">
        <v>0</v>
      </c>
      <c r="K473" s="16">
        <v>86</v>
      </c>
      <c r="L473" s="18">
        <v>7</v>
      </c>
      <c r="M473" s="16">
        <v>1817</v>
      </c>
      <c r="N473" s="18">
        <v>8560</v>
      </c>
      <c r="O473" s="16">
        <v>43</v>
      </c>
      <c r="P473" s="13">
        <v>11</v>
      </c>
      <c r="Q473" s="13">
        <v>46</v>
      </c>
      <c r="R473" s="13">
        <v>0</v>
      </c>
      <c r="S473" s="18">
        <v>0</v>
      </c>
      <c r="T473" s="21">
        <v>46247.382060185184</v>
      </c>
      <c r="U473" s="55">
        <f t="shared" si="14"/>
        <v>2.5</v>
      </c>
      <c r="V473" s="55">
        <f t="shared" si="14"/>
        <v>0.16666666666666666</v>
      </c>
      <c r="W473" s="56">
        <f t="shared" si="15"/>
        <v>176.33333333333334</v>
      </c>
    </row>
    <row r="474" spans="1:23" x14ac:dyDescent="0.3">
      <c r="A474" s="13" t="str" cm="1">
        <f t="array" ref="A474:B474">INDEX(BenchmarkResults!$B$1:$D$35,SUMPRODUCT((T474&gt;=BenchmarkResults!$F$2:$F$35)*(mysql_hardware_log!T474&lt;BenchmarkResults!$G$2:$G$35)*ROW(BenchmarkResults!$F$2:$F$35)),{1,3})</f>
        <v>q5_top_customers</v>
      </c>
      <c r="B474" s="13">
        <v>1</v>
      </c>
      <c r="C474" s="16">
        <v>3</v>
      </c>
      <c r="D474" s="18">
        <v>1</v>
      </c>
      <c r="E474" s="16">
        <v>423168</v>
      </c>
      <c r="F474" s="13">
        <v>349904</v>
      </c>
      <c r="G474" s="13">
        <v>3256</v>
      </c>
      <c r="H474" s="18">
        <v>3325328</v>
      </c>
      <c r="I474" s="16">
        <v>0</v>
      </c>
      <c r="J474" s="18">
        <v>0</v>
      </c>
      <c r="K474" s="16">
        <v>1128</v>
      </c>
      <c r="L474" s="18">
        <v>39342</v>
      </c>
      <c r="M474" s="16">
        <v>2504</v>
      </c>
      <c r="N474" s="18">
        <v>8301</v>
      </c>
      <c r="O474" s="16">
        <v>38</v>
      </c>
      <c r="P474" s="13">
        <v>11</v>
      </c>
      <c r="Q474" s="13">
        <v>37</v>
      </c>
      <c r="R474" s="13">
        <v>14</v>
      </c>
      <c r="S474" s="18">
        <v>0</v>
      </c>
      <c r="T474" s="21">
        <v>46247.382175925923</v>
      </c>
      <c r="U474" s="55">
        <f t="shared" si="14"/>
        <v>2.3333333333333335</v>
      </c>
      <c r="V474" s="55">
        <f t="shared" si="14"/>
        <v>0.33333333333333331</v>
      </c>
      <c r="W474" s="56">
        <f t="shared" si="15"/>
        <v>360.66666666666669</v>
      </c>
    </row>
    <row r="475" spans="1:23" x14ac:dyDescent="0.3">
      <c r="A475" s="13" t="str" cm="1">
        <f t="array" ref="A475:B475">INDEX(BenchmarkResults!$B$1:$D$35,SUMPRODUCT((T475&gt;=BenchmarkResults!$F$2:$F$35)*(mysql_hardware_log!T475&lt;BenchmarkResults!$G$2:$G$35)*ROW(BenchmarkResults!$F$2:$F$35)),{1,3})</f>
        <v>q5_top_customers</v>
      </c>
      <c r="B475" s="13">
        <v>1</v>
      </c>
      <c r="C475" s="16">
        <v>3</v>
      </c>
      <c r="D475" s="18">
        <v>0</v>
      </c>
      <c r="E475" s="16">
        <v>423168</v>
      </c>
      <c r="F475" s="13">
        <v>342344</v>
      </c>
      <c r="G475" s="13">
        <v>3272</v>
      </c>
      <c r="H475" s="18">
        <v>3338800</v>
      </c>
      <c r="I475" s="16">
        <v>0</v>
      </c>
      <c r="J475" s="18">
        <v>0</v>
      </c>
      <c r="K475" s="16">
        <v>133</v>
      </c>
      <c r="L475" s="18">
        <v>30204</v>
      </c>
      <c r="M475" s="16">
        <v>2059</v>
      </c>
      <c r="N475" s="18">
        <v>8642</v>
      </c>
      <c r="O475" s="16">
        <v>38</v>
      </c>
      <c r="P475" s="13">
        <v>11</v>
      </c>
      <c r="Q475" s="13">
        <v>40</v>
      </c>
      <c r="R475" s="13">
        <v>10</v>
      </c>
      <c r="S475" s="18">
        <v>0</v>
      </c>
      <c r="T475" s="21">
        <v>46247.382291666669</v>
      </c>
      <c r="U475" s="55">
        <f t="shared" si="14"/>
        <v>2.6666666666666665</v>
      </c>
      <c r="V475" s="55">
        <f t="shared" si="14"/>
        <v>0.33333333333333331</v>
      </c>
      <c r="W475" s="56">
        <f t="shared" si="15"/>
        <v>381.83333333333331</v>
      </c>
    </row>
    <row r="476" spans="1:23" x14ac:dyDescent="0.3">
      <c r="A476" s="13" t="str" cm="1">
        <f t="array" ref="A476:B476">INDEX(BenchmarkResults!$B$1:$D$35,SUMPRODUCT((T476&gt;=BenchmarkResults!$F$2:$F$35)*(mysql_hardware_log!T476&lt;BenchmarkResults!$G$2:$G$35)*ROW(BenchmarkResults!$F$2:$F$35)),{1,3})</f>
        <v>q5_top_customers</v>
      </c>
      <c r="B476" s="13">
        <v>1</v>
      </c>
      <c r="C476" s="16">
        <v>1</v>
      </c>
      <c r="D476" s="18">
        <v>0</v>
      </c>
      <c r="E476" s="16">
        <v>423168</v>
      </c>
      <c r="F476" s="13">
        <v>250200</v>
      </c>
      <c r="G476" s="13">
        <v>3292</v>
      </c>
      <c r="H476" s="18">
        <v>3407472</v>
      </c>
      <c r="I476" s="16">
        <v>0</v>
      </c>
      <c r="J476" s="18">
        <v>0</v>
      </c>
      <c r="K476" s="16">
        <v>5590</v>
      </c>
      <c r="L476" s="18">
        <v>21119</v>
      </c>
      <c r="M476" s="16">
        <v>2886</v>
      </c>
      <c r="N476" s="18">
        <v>7725</v>
      </c>
      <c r="O476" s="16">
        <v>36</v>
      </c>
      <c r="P476" s="13">
        <v>10</v>
      </c>
      <c r="Q476" s="13">
        <v>43</v>
      </c>
      <c r="R476" s="13">
        <v>10</v>
      </c>
      <c r="S476" s="18">
        <v>0</v>
      </c>
      <c r="T476" s="21">
        <v>46247.382407407407</v>
      </c>
      <c r="U476" s="55">
        <f t="shared" si="14"/>
        <v>2.3333333333333335</v>
      </c>
      <c r="V476" s="55">
        <f t="shared" si="14"/>
        <v>0.16666666666666666</v>
      </c>
      <c r="W476" s="56">
        <f t="shared" si="15"/>
        <v>1310.5</v>
      </c>
    </row>
    <row r="477" spans="1:23" x14ac:dyDescent="0.3">
      <c r="A477" s="13" t="str" cm="1">
        <f t="array" ref="A477:B477">INDEX(BenchmarkResults!$B$1:$D$35,SUMPRODUCT((T477&gt;=BenchmarkResults!$F$2:$F$35)*(mysql_hardware_log!T477&lt;BenchmarkResults!$G$2:$G$35)*ROW(BenchmarkResults!$F$2:$F$35)),{1,3})</f>
        <v>q5_top_customers</v>
      </c>
      <c r="B477" s="13">
        <v>2</v>
      </c>
      <c r="C477" s="16">
        <v>1</v>
      </c>
      <c r="D477" s="18">
        <v>0</v>
      </c>
      <c r="E477" s="16">
        <v>423168</v>
      </c>
      <c r="F477" s="13">
        <v>234936</v>
      </c>
      <c r="G477" s="13">
        <v>3300</v>
      </c>
      <c r="H477" s="18">
        <v>3411656</v>
      </c>
      <c r="I477" s="16">
        <v>0</v>
      </c>
      <c r="J477" s="18">
        <v>0</v>
      </c>
      <c r="K477" s="16">
        <v>306</v>
      </c>
      <c r="L477" s="18">
        <v>3</v>
      </c>
      <c r="M477" s="16">
        <v>2215</v>
      </c>
      <c r="N477" s="18">
        <v>3717</v>
      </c>
      <c r="O477" s="16">
        <v>34</v>
      </c>
      <c r="P477" s="13">
        <v>4</v>
      </c>
      <c r="Q477" s="13">
        <v>62</v>
      </c>
      <c r="R477" s="13">
        <v>0</v>
      </c>
      <c r="S477" s="18">
        <v>0</v>
      </c>
      <c r="T477" s="21">
        <v>46247.382523148146</v>
      </c>
      <c r="U477" s="55">
        <f t="shared" si="14"/>
        <v>2</v>
      </c>
      <c r="V477" s="55">
        <f t="shared" si="14"/>
        <v>0.16666666666666666</v>
      </c>
      <c r="W477" s="56">
        <f t="shared" si="15"/>
        <v>1355.1666666666667</v>
      </c>
    </row>
    <row r="478" spans="1:23" x14ac:dyDescent="0.3">
      <c r="A478" s="13" t="str" cm="1">
        <f t="array" ref="A478:B478">INDEX(BenchmarkResults!$B$1:$D$35,SUMPRODUCT((T478&gt;=BenchmarkResults!$F$2:$F$35)*(mysql_hardware_log!T478&lt;BenchmarkResults!$G$2:$G$35)*ROW(BenchmarkResults!$F$2:$F$35)),{1,3})</f>
        <v>q5_top_customers</v>
      </c>
      <c r="B478" s="13">
        <v>2</v>
      </c>
      <c r="C478" s="16">
        <v>1</v>
      </c>
      <c r="D478" s="18">
        <v>0</v>
      </c>
      <c r="E478" s="16">
        <v>423168</v>
      </c>
      <c r="F478" s="13">
        <v>234988</v>
      </c>
      <c r="G478" s="13">
        <v>3316</v>
      </c>
      <c r="H478" s="18">
        <v>3413356</v>
      </c>
      <c r="I478" s="16">
        <v>0</v>
      </c>
      <c r="J478" s="18">
        <v>0</v>
      </c>
      <c r="K478" s="16">
        <v>85</v>
      </c>
      <c r="L478" s="18">
        <v>7</v>
      </c>
      <c r="M478" s="16">
        <v>703</v>
      </c>
      <c r="N478" s="18">
        <v>288</v>
      </c>
      <c r="O478" s="16">
        <v>33</v>
      </c>
      <c r="P478" s="13">
        <v>1</v>
      </c>
      <c r="Q478" s="13">
        <v>66</v>
      </c>
      <c r="R478" s="13">
        <v>0</v>
      </c>
      <c r="S478" s="18">
        <v>0</v>
      </c>
      <c r="T478" s="21">
        <v>46247.382638888892</v>
      </c>
      <c r="U478" s="55">
        <f t="shared" si="14"/>
        <v>1.6666666666666667</v>
      </c>
      <c r="V478" s="55">
        <f t="shared" si="14"/>
        <v>0.16666666666666666</v>
      </c>
      <c r="W478" s="56">
        <f t="shared" si="15"/>
        <v>1221.3333333333333</v>
      </c>
    </row>
    <row r="479" spans="1:23" x14ac:dyDescent="0.3">
      <c r="A479" s="13" t="str" cm="1">
        <f t="array" ref="A479:B479">INDEX(BenchmarkResults!$B$1:$D$35,SUMPRODUCT((T479&gt;=BenchmarkResults!$F$2:$F$35)*(mysql_hardware_log!T479&lt;BenchmarkResults!$G$2:$G$35)*ROW(BenchmarkResults!$F$2:$F$35)),{1,3})</f>
        <v>q5_top_customers</v>
      </c>
      <c r="B479" s="13">
        <v>2</v>
      </c>
      <c r="C479" s="16">
        <v>1</v>
      </c>
      <c r="D479" s="18">
        <v>0</v>
      </c>
      <c r="E479" s="16">
        <v>423168</v>
      </c>
      <c r="F479" s="13">
        <v>238588</v>
      </c>
      <c r="G479" s="13">
        <v>3340</v>
      </c>
      <c r="H479" s="18">
        <v>3415432</v>
      </c>
      <c r="I479" s="16">
        <v>0</v>
      </c>
      <c r="J479" s="18">
        <v>0</v>
      </c>
      <c r="K479" s="16">
        <v>121</v>
      </c>
      <c r="L479" s="18">
        <v>8824</v>
      </c>
      <c r="M479" s="16">
        <v>822</v>
      </c>
      <c r="N479" s="18">
        <v>338</v>
      </c>
      <c r="O479" s="16">
        <v>33</v>
      </c>
      <c r="P479" s="13">
        <v>1</v>
      </c>
      <c r="Q479" s="13">
        <v>58</v>
      </c>
      <c r="R479" s="13">
        <v>8</v>
      </c>
      <c r="S479" s="18">
        <v>0</v>
      </c>
      <c r="T479" s="21">
        <v>46247.382754629631</v>
      </c>
      <c r="U479" s="55">
        <f t="shared" si="14"/>
        <v>1.6666666666666667</v>
      </c>
      <c r="V479" s="55">
        <f t="shared" si="14"/>
        <v>0.16666666666666666</v>
      </c>
      <c r="W479" s="56">
        <f t="shared" si="15"/>
        <v>1227.1666666666667</v>
      </c>
    </row>
    <row r="480" spans="1:23" x14ac:dyDescent="0.3">
      <c r="A480" s="13" t="str" cm="1">
        <f t="array" ref="A480:B480">INDEX(BenchmarkResults!$B$1:$D$35,SUMPRODUCT((T480&gt;=BenchmarkResults!$F$2:$F$35)*(mysql_hardware_log!T480&lt;BenchmarkResults!$G$2:$G$35)*ROW(BenchmarkResults!$F$2:$F$35)),{1,3})</f>
        <v>q5_top_customers</v>
      </c>
      <c r="B480" s="13">
        <v>2</v>
      </c>
      <c r="C480" s="16">
        <v>1</v>
      </c>
      <c r="D480" s="18">
        <v>0</v>
      </c>
      <c r="E480" s="16">
        <v>423168</v>
      </c>
      <c r="F480" s="13">
        <v>238588</v>
      </c>
      <c r="G480" s="13">
        <v>3348</v>
      </c>
      <c r="H480" s="18">
        <v>3425916</v>
      </c>
      <c r="I480" s="16">
        <v>0</v>
      </c>
      <c r="J480" s="18">
        <v>0</v>
      </c>
      <c r="K480" s="16">
        <v>1048</v>
      </c>
      <c r="L480" s="18">
        <v>8</v>
      </c>
      <c r="M480" s="16">
        <v>742</v>
      </c>
      <c r="N480" s="18">
        <v>262</v>
      </c>
      <c r="O480" s="16">
        <v>33</v>
      </c>
      <c r="P480" s="13">
        <v>1</v>
      </c>
      <c r="Q480" s="13">
        <v>65</v>
      </c>
      <c r="R480" s="13">
        <v>1</v>
      </c>
      <c r="S480" s="18">
        <v>0</v>
      </c>
      <c r="T480" s="21">
        <v>46247.382870370369</v>
      </c>
      <c r="U480" s="55">
        <f t="shared" si="14"/>
        <v>1.3333333333333333</v>
      </c>
      <c r="V480" s="55">
        <f t="shared" si="14"/>
        <v>0</v>
      </c>
      <c r="W480" s="56">
        <f t="shared" si="15"/>
        <v>1213.8333333333333</v>
      </c>
    </row>
    <row r="481" spans="1:23" x14ac:dyDescent="0.3">
      <c r="A481" s="13" t="str" cm="1">
        <f t="array" ref="A481:B481">INDEX(BenchmarkResults!$B$1:$D$35,SUMPRODUCT((T481&gt;=BenchmarkResults!$F$2:$F$35)*(mysql_hardware_log!T481&lt;BenchmarkResults!$G$2:$G$35)*ROW(BenchmarkResults!$F$2:$F$35)),{1,3})</f>
        <v>q5_top_customers</v>
      </c>
      <c r="B481" s="13">
        <v>2</v>
      </c>
      <c r="C481" s="16">
        <v>1</v>
      </c>
      <c r="D481" s="18">
        <v>0</v>
      </c>
      <c r="E481" s="16">
        <v>423168</v>
      </c>
      <c r="F481" s="13">
        <v>231288</v>
      </c>
      <c r="G481" s="13">
        <v>3356</v>
      </c>
      <c r="H481" s="18">
        <v>3433716</v>
      </c>
      <c r="I481" s="16">
        <v>0</v>
      </c>
      <c r="J481" s="18">
        <v>0</v>
      </c>
      <c r="K481" s="16">
        <v>266</v>
      </c>
      <c r="L481" s="18">
        <v>2</v>
      </c>
      <c r="M481" s="16">
        <v>699</v>
      </c>
      <c r="N481" s="18">
        <v>338</v>
      </c>
      <c r="O481" s="16">
        <v>35</v>
      </c>
      <c r="P481" s="13">
        <v>1</v>
      </c>
      <c r="Q481" s="13">
        <v>64</v>
      </c>
      <c r="R481" s="13">
        <v>0</v>
      </c>
      <c r="S481" s="18">
        <v>0</v>
      </c>
      <c r="T481" s="21">
        <v>46247.382986111108</v>
      </c>
      <c r="U481" s="55">
        <f t="shared" si="14"/>
        <v>1</v>
      </c>
      <c r="V481" s="55">
        <f t="shared" si="14"/>
        <v>0</v>
      </c>
      <c r="W481" s="56">
        <f t="shared" si="15"/>
        <v>1236</v>
      </c>
    </row>
    <row r="482" spans="1:23" x14ac:dyDescent="0.3">
      <c r="A482" s="13" t="str" cm="1">
        <f t="array" ref="A482:B482">INDEX(BenchmarkResults!$B$1:$D$35,SUMPRODUCT((T482&gt;=BenchmarkResults!$F$2:$F$35)*(mysql_hardware_log!T482&lt;BenchmarkResults!$G$2:$G$35)*ROW(BenchmarkResults!$F$2:$F$35)),{1,3})</f>
        <v>q5_top_customers</v>
      </c>
      <c r="B482" s="13">
        <v>2</v>
      </c>
      <c r="C482" s="16">
        <v>1</v>
      </c>
      <c r="D482" s="18">
        <v>0</v>
      </c>
      <c r="E482" s="16">
        <v>423168</v>
      </c>
      <c r="F482" s="13">
        <v>180132</v>
      </c>
      <c r="G482" s="13">
        <v>3372</v>
      </c>
      <c r="H482" s="18">
        <v>3479880</v>
      </c>
      <c r="I482" s="16">
        <v>0</v>
      </c>
      <c r="J482" s="18">
        <v>0</v>
      </c>
      <c r="K482" s="16">
        <v>4020</v>
      </c>
      <c r="L482" s="18">
        <v>2347</v>
      </c>
      <c r="M482" s="16">
        <v>807</v>
      </c>
      <c r="N482" s="18">
        <v>376</v>
      </c>
      <c r="O482" s="16">
        <v>33</v>
      </c>
      <c r="P482" s="13">
        <v>2</v>
      </c>
      <c r="Q482" s="13">
        <v>62</v>
      </c>
      <c r="R482" s="13">
        <v>3</v>
      </c>
      <c r="S482" s="18">
        <v>0</v>
      </c>
      <c r="T482" s="21">
        <v>46247.383101851854</v>
      </c>
      <c r="U482" s="55">
        <f t="shared" si="14"/>
        <v>1</v>
      </c>
      <c r="V482" s="55">
        <f t="shared" si="14"/>
        <v>0</v>
      </c>
      <c r="W482" s="56">
        <f t="shared" si="15"/>
        <v>974.33333333333337</v>
      </c>
    </row>
    <row r="483" spans="1:23" x14ac:dyDescent="0.3">
      <c r="A483" s="13" t="str" cm="1">
        <f t="array" ref="A483:B483">INDEX(BenchmarkResults!$B$1:$D$35,SUMPRODUCT((T483&gt;=BenchmarkResults!$F$2:$F$35)*(mysql_hardware_log!T483&lt;BenchmarkResults!$G$2:$G$35)*ROW(BenchmarkResults!$F$2:$F$35)),{1,3})</f>
        <v>q5_top_customers</v>
      </c>
      <c r="B483" s="13">
        <v>2</v>
      </c>
      <c r="C483" s="16">
        <v>1</v>
      </c>
      <c r="D483" s="18">
        <v>0</v>
      </c>
      <c r="E483" s="16">
        <v>423168</v>
      </c>
      <c r="F483" s="13">
        <v>139056</v>
      </c>
      <c r="G483" s="13">
        <v>3388</v>
      </c>
      <c r="H483" s="18">
        <v>3523880</v>
      </c>
      <c r="I483" s="16">
        <v>0</v>
      </c>
      <c r="J483" s="18">
        <v>0</v>
      </c>
      <c r="K483" s="16">
        <v>3695</v>
      </c>
      <c r="L483" s="18">
        <v>7</v>
      </c>
      <c r="M483" s="16">
        <v>778</v>
      </c>
      <c r="N483" s="18">
        <v>380</v>
      </c>
      <c r="O483" s="16">
        <v>34</v>
      </c>
      <c r="P483" s="13">
        <v>1</v>
      </c>
      <c r="Q483" s="13">
        <v>63</v>
      </c>
      <c r="R483" s="13">
        <v>1</v>
      </c>
      <c r="S483" s="18">
        <v>0</v>
      </c>
      <c r="T483" s="21">
        <v>46247.383217592593</v>
      </c>
      <c r="U483" s="55">
        <f t="shared" si="14"/>
        <v>1</v>
      </c>
      <c r="V483" s="55">
        <f t="shared" si="14"/>
        <v>0</v>
      </c>
      <c r="W483" s="56">
        <f t="shared" si="15"/>
        <v>1539.1666666666667</v>
      </c>
    </row>
    <row r="484" spans="1:23" x14ac:dyDescent="0.3">
      <c r="A484" s="13" t="str" cm="1">
        <f t="array" ref="A484:B484">INDEX(BenchmarkResults!$B$1:$D$35,SUMPRODUCT((T484&gt;=BenchmarkResults!$F$2:$F$35)*(mysql_hardware_log!T484&lt;BenchmarkResults!$G$2:$G$35)*ROW(BenchmarkResults!$F$2:$F$35)),{1,3})</f>
        <v>q5_top_customers</v>
      </c>
      <c r="B484" s="13">
        <v>2</v>
      </c>
      <c r="C484" s="16">
        <v>2</v>
      </c>
      <c r="D484" s="18">
        <v>0</v>
      </c>
      <c r="E484" s="16">
        <v>423168</v>
      </c>
      <c r="F484" s="13">
        <v>108816</v>
      </c>
      <c r="G484" s="13">
        <v>3404</v>
      </c>
      <c r="H484" s="18">
        <v>3555164</v>
      </c>
      <c r="I484" s="16">
        <v>0</v>
      </c>
      <c r="J484" s="18">
        <v>0</v>
      </c>
      <c r="K484" s="16">
        <v>2557</v>
      </c>
      <c r="L484" s="18">
        <v>3</v>
      </c>
      <c r="M484" s="16">
        <v>770</v>
      </c>
      <c r="N484" s="18">
        <v>426</v>
      </c>
      <c r="O484" s="16">
        <v>36</v>
      </c>
      <c r="P484" s="13">
        <v>1</v>
      </c>
      <c r="Q484" s="13">
        <v>62</v>
      </c>
      <c r="R484" s="13">
        <v>1</v>
      </c>
      <c r="S484" s="18">
        <v>0</v>
      </c>
      <c r="T484" s="21">
        <v>46247.383333333331</v>
      </c>
      <c r="U484" s="55">
        <f t="shared" si="14"/>
        <v>1.1666666666666667</v>
      </c>
      <c r="V484" s="55">
        <f t="shared" si="14"/>
        <v>0</v>
      </c>
      <c r="W484" s="56">
        <f t="shared" si="15"/>
        <v>1951.1666666666667</v>
      </c>
    </row>
    <row r="485" spans="1:23" x14ac:dyDescent="0.3">
      <c r="A485" s="13" t="str" cm="1">
        <f t="array" ref="A485:B485">INDEX(BenchmarkResults!$B$1:$D$35,SUMPRODUCT((T485&gt;=BenchmarkResults!$F$2:$F$35)*(mysql_hardware_log!T485&lt;BenchmarkResults!$G$2:$G$35)*ROW(BenchmarkResults!$F$2:$F$35)),{1,3})</f>
        <v>q5_top_customers</v>
      </c>
      <c r="B485" s="13">
        <v>2</v>
      </c>
      <c r="C485" s="16">
        <v>1</v>
      </c>
      <c r="D485" s="18">
        <v>0</v>
      </c>
      <c r="E485" s="16">
        <v>423168</v>
      </c>
      <c r="F485" s="13">
        <v>156808</v>
      </c>
      <c r="G485" s="13">
        <v>2892</v>
      </c>
      <c r="H485" s="18">
        <v>3530036</v>
      </c>
      <c r="I485" s="16">
        <v>0</v>
      </c>
      <c r="J485" s="18">
        <v>0</v>
      </c>
      <c r="K485" s="16">
        <v>2594</v>
      </c>
      <c r="L485" s="18">
        <v>3</v>
      </c>
      <c r="M485" s="16">
        <v>742</v>
      </c>
      <c r="N485" s="18">
        <v>358</v>
      </c>
      <c r="O485" s="16">
        <v>33</v>
      </c>
      <c r="P485" s="13">
        <v>1</v>
      </c>
      <c r="Q485" s="13">
        <v>65</v>
      </c>
      <c r="R485" s="13">
        <v>0</v>
      </c>
      <c r="S485" s="18">
        <v>0</v>
      </c>
      <c r="T485" s="21">
        <v>46247.383449074077</v>
      </c>
      <c r="U485" s="55">
        <f t="shared" si="14"/>
        <v>1.1666666666666667</v>
      </c>
      <c r="V485" s="55">
        <f t="shared" si="14"/>
        <v>0</v>
      </c>
      <c r="W485" s="56">
        <f t="shared" si="15"/>
        <v>2363.3333333333335</v>
      </c>
    </row>
    <row r="486" spans="1:23" x14ac:dyDescent="0.3">
      <c r="A486" s="13" t="str" cm="1">
        <f t="array" ref="A486:B486">INDEX(BenchmarkResults!$B$1:$D$35,SUMPRODUCT((T486&gt;=BenchmarkResults!$F$2:$F$35)*(mysql_hardware_log!T486&lt;BenchmarkResults!$G$2:$G$35)*ROW(BenchmarkResults!$F$2:$F$35)),{1,3})</f>
        <v>q5_top_customers</v>
      </c>
      <c r="B486" s="13">
        <v>2</v>
      </c>
      <c r="C486" s="16">
        <v>1</v>
      </c>
      <c r="D486" s="18">
        <v>0</v>
      </c>
      <c r="E486" s="16">
        <v>423168</v>
      </c>
      <c r="F486" s="13">
        <v>128584</v>
      </c>
      <c r="G486" s="13">
        <v>2908</v>
      </c>
      <c r="H486" s="18">
        <v>3544092</v>
      </c>
      <c r="I486" s="16">
        <v>0</v>
      </c>
      <c r="J486" s="18">
        <v>0</v>
      </c>
      <c r="K486" s="16">
        <v>1338</v>
      </c>
      <c r="L486" s="18">
        <v>4650</v>
      </c>
      <c r="M486" s="16">
        <v>750</v>
      </c>
      <c r="N486" s="18">
        <v>370</v>
      </c>
      <c r="O486" s="16">
        <v>33</v>
      </c>
      <c r="P486" s="13">
        <v>1</v>
      </c>
      <c r="Q486" s="13">
        <v>61</v>
      </c>
      <c r="R486" s="13">
        <v>4</v>
      </c>
      <c r="S486" s="18">
        <v>0</v>
      </c>
      <c r="T486" s="21">
        <v>46247.383564814816</v>
      </c>
      <c r="U486" s="55">
        <f t="shared" si="14"/>
        <v>1.1666666666666667</v>
      </c>
      <c r="V486" s="55">
        <f t="shared" si="14"/>
        <v>0</v>
      </c>
      <c r="W486" s="56">
        <f t="shared" si="15"/>
        <v>2411.6666666666665</v>
      </c>
    </row>
    <row r="487" spans="1:23" x14ac:dyDescent="0.3">
      <c r="A487" s="13" t="str" cm="1">
        <f t="array" ref="A487:B487">INDEX(BenchmarkResults!$B$1:$D$35,SUMPRODUCT((T487&gt;=BenchmarkResults!$F$2:$F$35)*(mysql_hardware_log!T487&lt;BenchmarkResults!$G$2:$G$35)*ROW(BenchmarkResults!$F$2:$F$35)),{1,3})</f>
        <v>q5_top_customers</v>
      </c>
      <c r="B487" s="13">
        <v>2</v>
      </c>
      <c r="C487" s="16">
        <v>1</v>
      </c>
      <c r="D487" s="18">
        <v>0</v>
      </c>
      <c r="E487" s="16">
        <v>423168</v>
      </c>
      <c r="F487" s="13">
        <v>127576</v>
      </c>
      <c r="G487" s="13">
        <v>2924</v>
      </c>
      <c r="H487" s="18">
        <v>3547972</v>
      </c>
      <c r="I487" s="16">
        <v>0</v>
      </c>
      <c r="J487" s="18">
        <v>0</v>
      </c>
      <c r="K487" s="16">
        <v>40</v>
      </c>
      <c r="L487" s="18">
        <v>4</v>
      </c>
      <c r="M487" s="16">
        <v>707</v>
      </c>
      <c r="N487" s="18">
        <v>378</v>
      </c>
      <c r="O487" s="16">
        <v>34</v>
      </c>
      <c r="P487" s="13">
        <v>1</v>
      </c>
      <c r="Q487" s="13">
        <v>65</v>
      </c>
      <c r="R487" s="13">
        <v>0</v>
      </c>
      <c r="S487" s="18">
        <v>0</v>
      </c>
      <c r="T487" s="21">
        <v>46247.383680555555</v>
      </c>
      <c r="U487" s="55">
        <f t="shared" si="14"/>
        <v>1.1666666666666667</v>
      </c>
      <c r="V487" s="55">
        <f t="shared" si="14"/>
        <v>0</v>
      </c>
      <c r="W487" s="56">
        <f t="shared" si="15"/>
        <v>2374</v>
      </c>
    </row>
    <row r="488" spans="1:23" x14ac:dyDescent="0.3">
      <c r="A488" s="13" t="str" cm="1">
        <f t="array" ref="A488:B488">INDEX(BenchmarkResults!$B$1:$D$35,SUMPRODUCT((T488&gt;=BenchmarkResults!$F$2:$F$35)*(mysql_hardware_log!T488&lt;BenchmarkResults!$G$2:$G$35)*ROW(BenchmarkResults!$F$2:$F$35)),{1,3})</f>
        <v>q5_top_customers</v>
      </c>
      <c r="B488" s="13">
        <v>2</v>
      </c>
      <c r="C488" s="16">
        <v>1</v>
      </c>
      <c r="D488" s="18">
        <v>0</v>
      </c>
      <c r="E488" s="16">
        <v>423168</v>
      </c>
      <c r="F488" s="13">
        <v>124048</v>
      </c>
      <c r="G488" s="13">
        <v>2940</v>
      </c>
      <c r="H488" s="18">
        <v>3556576</v>
      </c>
      <c r="I488" s="16">
        <v>0</v>
      </c>
      <c r="J488" s="18">
        <v>0</v>
      </c>
      <c r="K488" s="16">
        <v>43</v>
      </c>
      <c r="L488" s="18">
        <v>3</v>
      </c>
      <c r="M488" s="16">
        <v>687</v>
      </c>
      <c r="N488" s="18">
        <v>339</v>
      </c>
      <c r="O488" s="16">
        <v>33</v>
      </c>
      <c r="P488" s="13">
        <v>1</v>
      </c>
      <c r="Q488" s="13">
        <v>66</v>
      </c>
      <c r="R488" s="13">
        <v>0</v>
      </c>
      <c r="S488" s="18">
        <v>0</v>
      </c>
      <c r="T488" s="21">
        <v>46247.383796296293</v>
      </c>
      <c r="U488" s="55">
        <f t="shared" si="14"/>
        <v>1.1666666666666667</v>
      </c>
      <c r="V488" s="55">
        <f t="shared" si="14"/>
        <v>0</v>
      </c>
      <c r="W488" s="56">
        <f t="shared" si="15"/>
        <v>1711.1666666666667</v>
      </c>
    </row>
    <row r="489" spans="1:23" x14ac:dyDescent="0.3">
      <c r="A489" s="13" t="str" cm="1">
        <f t="array" ref="A489:B489">INDEX(BenchmarkResults!$B$1:$D$35,SUMPRODUCT((T489&gt;=BenchmarkResults!$F$2:$F$35)*(mysql_hardware_log!T489&lt;BenchmarkResults!$G$2:$G$35)*ROW(BenchmarkResults!$F$2:$F$35)),{1,3})</f>
        <v>q5_top_customers</v>
      </c>
      <c r="B489" s="13">
        <v>2</v>
      </c>
      <c r="C489" s="16">
        <v>7</v>
      </c>
      <c r="D489" s="18">
        <v>0</v>
      </c>
      <c r="E489" s="16">
        <v>423168</v>
      </c>
      <c r="F489" s="13">
        <v>119008</v>
      </c>
      <c r="G489" s="13">
        <v>2956</v>
      </c>
      <c r="H489" s="18">
        <v>3560908</v>
      </c>
      <c r="I489" s="16">
        <v>0</v>
      </c>
      <c r="J489" s="18">
        <v>0</v>
      </c>
      <c r="K489" s="16">
        <v>11</v>
      </c>
      <c r="L489" s="18">
        <v>4536</v>
      </c>
      <c r="M489" s="16">
        <v>716</v>
      </c>
      <c r="N489" s="18">
        <v>393</v>
      </c>
      <c r="O489" s="16">
        <v>33</v>
      </c>
      <c r="P489" s="13">
        <v>1</v>
      </c>
      <c r="Q489" s="13">
        <v>63</v>
      </c>
      <c r="R489" s="13">
        <v>3</v>
      </c>
      <c r="S489" s="18">
        <v>0</v>
      </c>
      <c r="T489" s="21">
        <v>46247.383912037039</v>
      </c>
      <c r="U489" s="55">
        <f t="shared" si="14"/>
        <v>2.1666666666666665</v>
      </c>
      <c r="V489" s="55">
        <f t="shared" si="14"/>
        <v>0</v>
      </c>
      <c r="W489" s="56">
        <f t="shared" si="15"/>
        <v>1097.1666666666667</v>
      </c>
    </row>
    <row r="490" spans="1:23" x14ac:dyDescent="0.3">
      <c r="A490" s="13" t="str" cm="1">
        <f t="array" ref="A490:B490">INDEX(BenchmarkResults!$B$1:$D$35,SUMPRODUCT((T490&gt;=BenchmarkResults!$F$2:$F$35)*(mysql_hardware_log!T490&lt;BenchmarkResults!$G$2:$G$35)*ROW(BenchmarkResults!$F$2:$F$35)),{1,3})</f>
        <v>q5_top_customers</v>
      </c>
      <c r="B490" s="13">
        <v>2</v>
      </c>
      <c r="C490" s="16">
        <v>1</v>
      </c>
      <c r="D490" s="18">
        <v>0</v>
      </c>
      <c r="E490" s="16">
        <v>423168</v>
      </c>
      <c r="F490" s="13">
        <v>119008</v>
      </c>
      <c r="G490" s="13">
        <v>2972</v>
      </c>
      <c r="H490" s="18">
        <v>3560988</v>
      </c>
      <c r="I490" s="16">
        <v>0</v>
      </c>
      <c r="J490" s="18">
        <v>0</v>
      </c>
      <c r="K490" s="16">
        <v>6</v>
      </c>
      <c r="L490" s="18">
        <v>4</v>
      </c>
      <c r="M490" s="16">
        <v>712</v>
      </c>
      <c r="N490" s="18">
        <v>388</v>
      </c>
      <c r="O490" s="16">
        <v>33</v>
      </c>
      <c r="P490" s="13">
        <v>1</v>
      </c>
      <c r="Q490" s="13">
        <v>66</v>
      </c>
      <c r="R490" s="13">
        <v>0</v>
      </c>
      <c r="S490" s="18">
        <v>0</v>
      </c>
      <c r="T490" s="21">
        <v>46247.384027777778</v>
      </c>
      <c r="U490" s="55">
        <f t="shared" si="14"/>
        <v>2</v>
      </c>
      <c r="V490" s="55">
        <f t="shared" si="14"/>
        <v>0</v>
      </c>
      <c r="W490" s="56">
        <f t="shared" si="15"/>
        <v>672</v>
      </c>
    </row>
    <row r="491" spans="1:23" x14ac:dyDescent="0.3">
      <c r="A491" s="13" t="str" cm="1">
        <f t="array" ref="A491:B491">INDEX(BenchmarkResults!$B$1:$D$35,SUMPRODUCT((T491&gt;=BenchmarkResults!$F$2:$F$35)*(mysql_hardware_log!T491&lt;BenchmarkResults!$G$2:$G$35)*ROW(BenchmarkResults!$F$2:$F$35)),{1,3})</f>
        <v>q5_top_customers</v>
      </c>
      <c r="B491" s="13">
        <v>2</v>
      </c>
      <c r="C491" s="16">
        <v>1</v>
      </c>
      <c r="D491" s="18">
        <v>0</v>
      </c>
      <c r="E491" s="16">
        <v>423168</v>
      </c>
      <c r="F491" s="13">
        <v>119008</v>
      </c>
      <c r="G491" s="13">
        <v>2988</v>
      </c>
      <c r="H491" s="18">
        <v>3561004</v>
      </c>
      <c r="I491" s="16">
        <v>0</v>
      </c>
      <c r="J491" s="18">
        <v>0</v>
      </c>
      <c r="K491" s="16">
        <v>0</v>
      </c>
      <c r="L491" s="18">
        <v>3</v>
      </c>
      <c r="M491" s="16">
        <v>687</v>
      </c>
      <c r="N491" s="18">
        <v>331</v>
      </c>
      <c r="O491" s="16">
        <v>33</v>
      </c>
      <c r="P491" s="13">
        <v>0</v>
      </c>
      <c r="Q491" s="13">
        <v>66</v>
      </c>
      <c r="R491" s="13">
        <v>0</v>
      </c>
      <c r="S491" s="18">
        <v>0</v>
      </c>
      <c r="T491" s="21">
        <v>46247.384143518517</v>
      </c>
      <c r="U491" s="55">
        <f t="shared" si="14"/>
        <v>2</v>
      </c>
      <c r="V491" s="55">
        <f t="shared" si="14"/>
        <v>0</v>
      </c>
      <c r="W491" s="56">
        <f t="shared" si="15"/>
        <v>239.66666666666666</v>
      </c>
    </row>
    <row r="492" spans="1:23" x14ac:dyDescent="0.3">
      <c r="A492" s="13" t="str" cm="1">
        <f t="array" ref="A492:B492">INDEX(BenchmarkResults!$B$1:$D$35,SUMPRODUCT((T492&gt;=BenchmarkResults!$F$2:$F$35)*(mysql_hardware_log!T492&lt;BenchmarkResults!$G$2:$G$35)*ROW(BenchmarkResults!$F$2:$F$35)),{1,3})</f>
        <v>q5_top_customers</v>
      </c>
      <c r="B492" s="13">
        <v>2</v>
      </c>
      <c r="C492" s="16">
        <v>1</v>
      </c>
      <c r="D492" s="18">
        <v>0</v>
      </c>
      <c r="E492" s="16">
        <v>423168</v>
      </c>
      <c r="F492" s="13">
        <v>118756</v>
      </c>
      <c r="G492" s="13">
        <v>3004</v>
      </c>
      <c r="H492" s="18">
        <v>3561020</v>
      </c>
      <c r="I492" s="16">
        <v>0</v>
      </c>
      <c r="J492" s="18">
        <v>0</v>
      </c>
      <c r="K492" s="16">
        <v>0</v>
      </c>
      <c r="L492" s="18">
        <v>5021</v>
      </c>
      <c r="M492" s="16">
        <v>714</v>
      </c>
      <c r="N492" s="18">
        <v>327</v>
      </c>
      <c r="O492" s="16">
        <v>34</v>
      </c>
      <c r="P492" s="13">
        <v>1</v>
      </c>
      <c r="Q492" s="13">
        <v>62</v>
      </c>
      <c r="R492" s="13">
        <v>3</v>
      </c>
      <c r="S492" s="18">
        <v>0</v>
      </c>
      <c r="T492" s="21">
        <v>46247.384259259263</v>
      </c>
      <c r="U492" s="55">
        <f t="shared" si="14"/>
        <v>2</v>
      </c>
      <c r="V492" s="55">
        <f t="shared" si="14"/>
        <v>0</v>
      </c>
      <c r="W492" s="56">
        <f t="shared" si="15"/>
        <v>16.666666666666668</v>
      </c>
    </row>
    <row r="493" spans="1:23" x14ac:dyDescent="0.3">
      <c r="A493" s="13" t="str" cm="1">
        <f t="array" ref="A493:B493">INDEX(BenchmarkResults!$B$1:$D$35,SUMPRODUCT((T493&gt;=BenchmarkResults!$F$2:$F$35)*(mysql_hardware_log!T493&lt;BenchmarkResults!$G$2:$G$35)*ROW(BenchmarkResults!$F$2:$F$35)),{1,3})</f>
        <v>q5_top_customers</v>
      </c>
      <c r="B493" s="13">
        <v>2</v>
      </c>
      <c r="C493" s="16">
        <v>1</v>
      </c>
      <c r="D493" s="18">
        <v>0</v>
      </c>
      <c r="E493" s="16">
        <v>423168</v>
      </c>
      <c r="F493" s="13">
        <v>118756</v>
      </c>
      <c r="G493" s="13">
        <v>3020</v>
      </c>
      <c r="H493" s="18">
        <v>3561036</v>
      </c>
      <c r="I493" s="16">
        <v>0</v>
      </c>
      <c r="J493" s="18">
        <v>0</v>
      </c>
      <c r="K493" s="16">
        <v>0</v>
      </c>
      <c r="L493" s="18">
        <v>3</v>
      </c>
      <c r="M493" s="16">
        <v>696</v>
      </c>
      <c r="N493" s="18">
        <v>324</v>
      </c>
      <c r="O493" s="16">
        <v>34</v>
      </c>
      <c r="P493" s="13">
        <v>0</v>
      </c>
      <c r="Q493" s="13">
        <v>66</v>
      </c>
      <c r="R493" s="13">
        <v>0</v>
      </c>
      <c r="S493" s="18">
        <v>0</v>
      </c>
      <c r="T493" s="21">
        <v>46247.384375000001</v>
      </c>
      <c r="U493" s="55">
        <f t="shared" si="14"/>
        <v>2</v>
      </c>
      <c r="V493" s="55">
        <f t="shared" si="14"/>
        <v>0</v>
      </c>
      <c r="W493" s="56">
        <f t="shared" si="15"/>
        <v>10</v>
      </c>
    </row>
    <row r="494" spans="1:23" x14ac:dyDescent="0.3">
      <c r="A494" s="13" t="str" cm="1">
        <f t="array" ref="A494:B494">INDEX(BenchmarkResults!$B$1:$D$35,SUMPRODUCT((T494&gt;=BenchmarkResults!$F$2:$F$35)*(mysql_hardware_log!T494&lt;BenchmarkResults!$G$2:$G$35)*ROW(BenchmarkResults!$F$2:$F$35)),{1,3})</f>
        <v>q5_top_customers</v>
      </c>
      <c r="B494" s="13">
        <v>2</v>
      </c>
      <c r="C494" s="16">
        <v>1</v>
      </c>
      <c r="D494" s="18">
        <v>0</v>
      </c>
      <c r="E494" s="16">
        <v>423168</v>
      </c>
      <c r="F494" s="13">
        <v>118756</v>
      </c>
      <c r="G494" s="13">
        <v>3036</v>
      </c>
      <c r="H494" s="18">
        <v>3561056</v>
      </c>
      <c r="I494" s="16">
        <v>0</v>
      </c>
      <c r="J494" s="18">
        <v>0</v>
      </c>
      <c r="K494" s="16">
        <v>0</v>
      </c>
      <c r="L494" s="18">
        <v>3</v>
      </c>
      <c r="M494" s="16">
        <v>694</v>
      </c>
      <c r="N494" s="18">
        <v>339</v>
      </c>
      <c r="O494" s="16">
        <v>34</v>
      </c>
      <c r="P494" s="13">
        <v>1</v>
      </c>
      <c r="Q494" s="13">
        <v>66</v>
      </c>
      <c r="R494" s="13">
        <v>0</v>
      </c>
      <c r="S494" s="18">
        <v>0</v>
      </c>
      <c r="T494" s="21">
        <v>46247.38449074074</v>
      </c>
      <c r="U494" s="55">
        <f t="shared" si="14"/>
        <v>2</v>
      </c>
      <c r="V494" s="55">
        <f t="shared" si="14"/>
        <v>0</v>
      </c>
      <c r="W494" s="56">
        <f t="shared" si="15"/>
        <v>2.8333333333333335</v>
      </c>
    </row>
    <row r="495" spans="1:23" x14ac:dyDescent="0.3">
      <c r="A495" s="13" t="str" cm="1">
        <f t="array" ref="A495:B495">INDEX(BenchmarkResults!$B$1:$D$35,SUMPRODUCT((T495&gt;=BenchmarkResults!$F$2:$F$35)*(mysql_hardware_log!T495&lt;BenchmarkResults!$G$2:$G$35)*ROW(BenchmarkResults!$F$2:$F$35)),{1,3})</f>
        <v>q5_top_customers</v>
      </c>
      <c r="B495" s="13">
        <v>2</v>
      </c>
      <c r="C495" s="16">
        <v>2</v>
      </c>
      <c r="D495" s="18">
        <v>0</v>
      </c>
      <c r="E495" s="16">
        <v>423168</v>
      </c>
      <c r="F495" s="13">
        <v>1057468</v>
      </c>
      <c r="G495" s="13">
        <v>1532</v>
      </c>
      <c r="H495" s="18">
        <v>2602840</v>
      </c>
      <c r="I495" s="16">
        <v>0</v>
      </c>
      <c r="J495" s="18">
        <v>22</v>
      </c>
      <c r="K495" s="16">
        <v>138</v>
      </c>
      <c r="L495" s="18">
        <v>3629</v>
      </c>
      <c r="M495" s="16">
        <v>1150</v>
      </c>
      <c r="N495" s="18">
        <v>608</v>
      </c>
      <c r="O495" s="16">
        <v>41</v>
      </c>
      <c r="P495" s="13">
        <v>16</v>
      </c>
      <c r="Q495" s="13">
        <v>42</v>
      </c>
      <c r="R495" s="13">
        <v>1</v>
      </c>
      <c r="S495" s="18">
        <v>0</v>
      </c>
      <c r="T495" s="21">
        <v>46247.384606481479</v>
      </c>
      <c r="U495" s="55">
        <f t="shared" si="14"/>
        <v>1.1666666666666667</v>
      </c>
      <c r="V495" s="55">
        <f t="shared" si="14"/>
        <v>0</v>
      </c>
      <c r="W495" s="56">
        <f t="shared" si="15"/>
        <v>24</v>
      </c>
    </row>
    <row r="496" spans="1:23" x14ac:dyDescent="0.3">
      <c r="A496" s="13" t="str" cm="1">
        <f t="array" ref="A496:B496">INDEX(BenchmarkResults!$B$1:$D$35,SUMPRODUCT((T496&gt;=BenchmarkResults!$F$2:$F$35)*(mysql_hardware_log!T496&lt;BenchmarkResults!$G$2:$G$35)*ROW(BenchmarkResults!$F$2:$F$35)),{1,3})</f>
        <v>q5_top_customers</v>
      </c>
      <c r="B496" s="13">
        <v>2</v>
      </c>
      <c r="C496" s="16">
        <v>1</v>
      </c>
      <c r="D496" s="18">
        <v>0</v>
      </c>
      <c r="E496" s="16">
        <v>423168</v>
      </c>
      <c r="F496" s="13">
        <v>1032156</v>
      </c>
      <c r="G496" s="13">
        <v>1548</v>
      </c>
      <c r="H496" s="18">
        <v>2622880</v>
      </c>
      <c r="I496" s="16">
        <v>0</v>
      </c>
      <c r="J496" s="18">
        <v>0</v>
      </c>
      <c r="K496" s="16">
        <v>1009</v>
      </c>
      <c r="L496" s="18">
        <v>3</v>
      </c>
      <c r="M496" s="16">
        <v>764</v>
      </c>
      <c r="N496" s="18">
        <v>363</v>
      </c>
      <c r="O496" s="16">
        <v>33</v>
      </c>
      <c r="P496" s="13">
        <v>3</v>
      </c>
      <c r="Q496" s="13">
        <v>63</v>
      </c>
      <c r="R496" s="13">
        <v>0</v>
      </c>
      <c r="S496" s="18">
        <v>0</v>
      </c>
      <c r="T496" s="21">
        <v>46247.384722222225</v>
      </c>
      <c r="U496" s="55">
        <f t="shared" si="14"/>
        <v>1.1666666666666667</v>
      </c>
      <c r="V496" s="55">
        <f t="shared" si="14"/>
        <v>0</v>
      </c>
      <c r="W496" s="56">
        <f t="shared" si="15"/>
        <v>191.16666666666666</v>
      </c>
    </row>
    <row r="497" spans="1:23" x14ac:dyDescent="0.3">
      <c r="A497" s="13" t="str" cm="1">
        <f t="array" ref="A497:B497">INDEX(BenchmarkResults!$B$1:$D$35,SUMPRODUCT((T497&gt;=BenchmarkResults!$F$2:$F$35)*(mysql_hardware_log!T497&lt;BenchmarkResults!$G$2:$G$35)*ROW(BenchmarkResults!$F$2:$F$35)),{1,3})</f>
        <v>q5_top_customers</v>
      </c>
      <c r="B497" s="13">
        <v>2</v>
      </c>
      <c r="C497" s="16">
        <v>1</v>
      </c>
      <c r="D497" s="18">
        <v>0</v>
      </c>
      <c r="E497" s="16">
        <v>423168</v>
      </c>
      <c r="F497" s="13">
        <v>1015804</v>
      </c>
      <c r="G497" s="13">
        <v>1564</v>
      </c>
      <c r="H497" s="18">
        <v>2638160</v>
      </c>
      <c r="I497" s="16">
        <v>0</v>
      </c>
      <c r="J497" s="18">
        <v>0</v>
      </c>
      <c r="K497" s="16">
        <v>352</v>
      </c>
      <c r="L497" s="18">
        <v>4</v>
      </c>
      <c r="M497" s="16">
        <v>724</v>
      </c>
      <c r="N497" s="18">
        <v>389</v>
      </c>
      <c r="O497" s="16">
        <v>33</v>
      </c>
      <c r="P497" s="13">
        <v>1</v>
      </c>
      <c r="Q497" s="13">
        <v>66</v>
      </c>
      <c r="R497" s="13">
        <v>0</v>
      </c>
      <c r="S497" s="18">
        <v>0</v>
      </c>
      <c r="T497" s="21">
        <v>46247.384837962964</v>
      </c>
      <c r="U497" s="55">
        <f t="shared" si="14"/>
        <v>1.1666666666666667</v>
      </c>
      <c r="V497" s="55">
        <f t="shared" si="14"/>
        <v>0</v>
      </c>
      <c r="W497" s="56">
        <f t="shared" si="15"/>
        <v>249.83333333333334</v>
      </c>
    </row>
    <row r="498" spans="1:23" x14ac:dyDescent="0.3">
      <c r="A498" s="13" t="str" cm="1">
        <f t="array" ref="A498:B498">INDEX(BenchmarkResults!$B$1:$D$35,SUMPRODUCT((T498&gt;=BenchmarkResults!$F$2:$F$35)*(mysql_hardware_log!T498&lt;BenchmarkResults!$G$2:$G$35)*ROW(BenchmarkResults!$F$2:$F$35)),{1,3})</f>
        <v>q5_top_customers</v>
      </c>
      <c r="B498" s="13">
        <v>2</v>
      </c>
      <c r="C498" s="16">
        <v>1</v>
      </c>
      <c r="D498" s="18">
        <v>0</v>
      </c>
      <c r="E498" s="16">
        <v>423168</v>
      </c>
      <c r="F498" s="13">
        <v>1008244</v>
      </c>
      <c r="G498" s="13">
        <v>1580</v>
      </c>
      <c r="H498" s="18">
        <v>2651756</v>
      </c>
      <c r="I498" s="16">
        <v>0</v>
      </c>
      <c r="J498" s="18">
        <v>0</v>
      </c>
      <c r="K498" s="16">
        <v>80</v>
      </c>
      <c r="L498" s="18">
        <v>3</v>
      </c>
      <c r="M498" s="16">
        <v>700</v>
      </c>
      <c r="N498" s="18">
        <v>391</v>
      </c>
      <c r="O498" s="16">
        <v>33</v>
      </c>
      <c r="P498" s="13">
        <v>1</v>
      </c>
      <c r="Q498" s="13">
        <v>66</v>
      </c>
      <c r="R498" s="13">
        <v>0</v>
      </c>
      <c r="S498" s="18">
        <v>0</v>
      </c>
      <c r="T498" s="21">
        <v>46247.384953703702</v>
      </c>
      <c r="U498" s="55">
        <f t="shared" si="14"/>
        <v>1.1666666666666667</v>
      </c>
      <c r="V498" s="55">
        <f t="shared" si="14"/>
        <v>0</v>
      </c>
      <c r="W498" s="56">
        <f t="shared" si="15"/>
        <v>263.16666666666669</v>
      </c>
    </row>
    <row r="499" spans="1:23" x14ac:dyDescent="0.3">
      <c r="A499" s="13" t="str" cm="1">
        <f t="array" ref="A499:B499">INDEX(BenchmarkResults!$B$1:$D$35,SUMPRODUCT((T499&gt;=BenchmarkResults!$F$2:$F$35)*(mysql_hardware_log!T499&lt;BenchmarkResults!$G$2:$G$35)*ROW(BenchmarkResults!$F$2:$F$35)),{1,3})</f>
        <v>q5_top_customers</v>
      </c>
      <c r="B499" s="13">
        <v>2</v>
      </c>
      <c r="C499" s="16">
        <v>1</v>
      </c>
      <c r="D499" s="18">
        <v>0</v>
      </c>
      <c r="E499" s="16">
        <v>423168</v>
      </c>
      <c r="F499" s="13">
        <v>960868</v>
      </c>
      <c r="G499" s="13">
        <v>1596</v>
      </c>
      <c r="H499" s="18">
        <v>2696560</v>
      </c>
      <c r="I499" s="16">
        <v>0</v>
      </c>
      <c r="J499" s="18">
        <v>0</v>
      </c>
      <c r="K499" s="16">
        <v>3349</v>
      </c>
      <c r="L499" s="18">
        <v>3910</v>
      </c>
      <c r="M499" s="16">
        <v>766</v>
      </c>
      <c r="N499" s="18">
        <v>399</v>
      </c>
      <c r="O499" s="16">
        <v>32</v>
      </c>
      <c r="P499" s="13">
        <v>2</v>
      </c>
      <c r="Q499" s="13">
        <v>62</v>
      </c>
      <c r="R499" s="13">
        <v>4</v>
      </c>
      <c r="S499" s="18">
        <v>0</v>
      </c>
      <c r="T499" s="21">
        <v>46247.385069444441</v>
      </c>
      <c r="U499" s="55">
        <f t="shared" si="14"/>
        <v>1.1666666666666667</v>
      </c>
      <c r="V499" s="55">
        <f t="shared" si="14"/>
        <v>0</v>
      </c>
      <c r="W499" s="56">
        <f t="shared" si="15"/>
        <v>821.33333333333337</v>
      </c>
    </row>
    <row r="500" spans="1:23" x14ac:dyDescent="0.3">
      <c r="A500" s="13" t="str" cm="1">
        <f t="array" ref="A500:B500">INDEX(BenchmarkResults!$B$1:$D$35,SUMPRODUCT((T500&gt;=BenchmarkResults!$F$2:$F$35)*(mysql_hardware_log!T500&lt;BenchmarkResults!$G$2:$G$35)*ROW(BenchmarkResults!$F$2:$F$35)),{1,3})</f>
        <v>q5_top_customers</v>
      </c>
      <c r="B500" s="13">
        <v>2</v>
      </c>
      <c r="C500" s="16">
        <v>1</v>
      </c>
      <c r="D500" s="18">
        <v>0</v>
      </c>
      <c r="E500" s="16">
        <v>423168</v>
      </c>
      <c r="F500" s="13">
        <v>917524</v>
      </c>
      <c r="G500" s="13">
        <v>1612</v>
      </c>
      <c r="H500" s="18">
        <v>2743328</v>
      </c>
      <c r="I500" s="16">
        <v>0</v>
      </c>
      <c r="J500" s="18">
        <v>0</v>
      </c>
      <c r="K500" s="16">
        <v>3758</v>
      </c>
      <c r="L500" s="18">
        <v>3</v>
      </c>
      <c r="M500" s="16">
        <v>743</v>
      </c>
      <c r="N500" s="18">
        <v>390</v>
      </c>
      <c r="O500" s="16">
        <v>32</v>
      </c>
      <c r="P500" s="13">
        <v>2</v>
      </c>
      <c r="Q500" s="13">
        <v>65</v>
      </c>
      <c r="R500" s="13">
        <v>0</v>
      </c>
      <c r="S500" s="18">
        <v>0</v>
      </c>
      <c r="T500" s="21">
        <v>46247.385185185187</v>
      </c>
      <c r="U500" s="55">
        <f t="shared" si="14"/>
        <v>1.1666666666666667</v>
      </c>
      <c r="V500" s="55">
        <f t="shared" si="14"/>
        <v>0</v>
      </c>
      <c r="W500" s="56">
        <f t="shared" si="15"/>
        <v>1447.6666666666667</v>
      </c>
    </row>
    <row r="501" spans="1:23" x14ac:dyDescent="0.3">
      <c r="A501" s="13" t="str" cm="1">
        <f t="array" ref="A501:B501">INDEX(BenchmarkResults!$B$1:$D$35,SUMPRODUCT((T501&gt;=BenchmarkResults!$F$2:$F$35)*(mysql_hardware_log!T501&lt;BenchmarkResults!$G$2:$G$35)*ROW(BenchmarkResults!$F$2:$F$35)),{1,3})</f>
        <v>q5_top_customers</v>
      </c>
      <c r="B501" s="13">
        <v>2</v>
      </c>
      <c r="C501" s="16">
        <v>1</v>
      </c>
      <c r="D501" s="18">
        <v>0</v>
      </c>
      <c r="E501" s="16">
        <v>423168</v>
      </c>
      <c r="F501" s="13">
        <v>871156</v>
      </c>
      <c r="G501" s="13">
        <v>1628</v>
      </c>
      <c r="H501" s="18">
        <v>2792388</v>
      </c>
      <c r="I501" s="16">
        <v>0</v>
      </c>
      <c r="J501" s="18">
        <v>0</v>
      </c>
      <c r="K501" s="16">
        <v>3990</v>
      </c>
      <c r="L501" s="18">
        <v>3</v>
      </c>
      <c r="M501" s="16">
        <v>769</v>
      </c>
      <c r="N501" s="18">
        <v>445</v>
      </c>
      <c r="O501" s="16">
        <v>32</v>
      </c>
      <c r="P501" s="13">
        <v>2</v>
      </c>
      <c r="Q501" s="13">
        <v>65</v>
      </c>
      <c r="R501" s="13">
        <v>1</v>
      </c>
      <c r="S501" s="18">
        <v>0</v>
      </c>
      <c r="T501" s="21">
        <v>46247.385300925926</v>
      </c>
      <c r="U501" s="55">
        <f t="shared" si="14"/>
        <v>1</v>
      </c>
      <c r="V501" s="55">
        <f t="shared" si="14"/>
        <v>0</v>
      </c>
      <c r="W501" s="56">
        <f t="shared" si="15"/>
        <v>2089.6666666666665</v>
      </c>
    </row>
    <row r="502" spans="1:23" x14ac:dyDescent="0.3">
      <c r="A502" s="13" t="str" cm="1">
        <f t="array" ref="A502:B502">INDEX(BenchmarkResults!$B$1:$D$35,SUMPRODUCT((T502&gt;=BenchmarkResults!$F$2:$F$35)*(mysql_hardware_log!T502&lt;BenchmarkResults!$G$2:$G$35)*ROW(BenchmarkResults!$F$2:$F$35)),{1,3})</f>
        <v>q5_top_customers</v>
      </c>
      <c r="B502" s="13">
        <v>2</v>
      </c>
      <c r="C502" s="16">
        <v>1</v>
      </c>
      <c r="D502" s="18">
        <v>0</v>
      </c>
      <c r="E502" s="16">
        <v>423168</v>
      </c>
      <c r="F502" s="13">
        <v>811184</v>
      </c>
      <c r="G502" s="13">
        <v>1652</v>
      </c>
      <c r="H502" s="18">
        <v>2851448</v>
      </c>
      <c r="I502" s="16">
        <v>0</v>
      </c>
      <c r="J502" s="18">
        <v>0</v>
      </c>
      <c r="K502" s="16">
        <v>4098</v>
      </c>
      <c r="L502" s="18">
        <v>4857</v>
      </c>
      <c r="M502" s="16">
        <v>851</v>
      </c>
      <c r="N502" s="18">
        <v>699</v>
      </c>
      <c r="O502" s="16">
        <v>33</v>
      </c>
      <c r="P502" s="13">
        <v>3</v>
      </c>
      <c r="Q502" s="13">
        <v>61</v>
      </c>
      <c r="R502" s="13">
        <v>3</v>
      </c>
      <c r="S502" s="18">
        <v>0</v>
      </c>
      <c r="T502" s="21">
        <v>46247.385416666664</v>
      </c>
      <c r="U502" s="55">
        <f t="shared" si="14"/>
        <v>1</v>
      </c>
      <c r="V502" s="55">
        <f t="shared" si="14"/>
        <v>0</v>
      </c>
      <c r="W502" s="56">
        <f t="shared" si="15"/>
        <v>2604.5</v>
      </c>
    </row>
    <row r="503" spans="1:23" x14ac:dyDescent="0.3">
      <c r="A503" s="13" t="str" cm="1">
        <f t="array" ref="A503:B503">INDEX(BenchmarkResults!$B$1:$D$35,SUMPRODUCT((T503&gt;=BenchmarkResults!$F$2:$F$35)*(mysql_hardware_log!T503&lt;BenchmarkResults!$G$2:$G$35)*ROW(BenchmarkResults!$F$2:$F$35)),{1,3})</f>
        <v>q5_top_customers</v>
      </c>
      <c r="B503" s="13">
        <v>2</v>
      </c>
      <c r="C503" s="16">
        <v>1</v>
      </c>
      <c r="D503" s="18">
        <v>0</v>
      </c>
      <c r="E503" s="16">
        <v>423168</v>
      </c>
      <c r="F503" s="13">
        <v>731300</v>
      </c>
      <c r="G503" s="13">
        <v>1668</v>
      </c>
      <c r="H503" s="18">
        <v>2919404</v>
      </c>
      <c r="I503" s="16">
        <v>0</v>
      </c>
      <c r="J503" s="18">
        <v>0</v>
      </c>
      <c r="K503" s="16">
        <v>4187</v>
      </c>
      <c r="L503" s="18">
        <v>33</v>
      </c>
      <c r="M503" s="16">
        <v>821</v>
      </c>
      <c r="N503" s="18">
        <v>1010</v>
      </c>
      <c r="O503" s="16">
        <v>33</v>
      </c>
      <c r="P503" s="13">
        <v>2</v>
      </c>
      <c r="Q503" s="13">
        <v>64</v>
      </c>
      <c r="R503" s="13">
        <v>1</v>
      </c>
      <c r="S503" s="18">
        <v>0</v>
      </c>
      <c r="T503" s="21">
        <v>46247.38553240741</v>
      </c>
      <c r="U503" s="55">
        <f t="shared" si="14"/>
        <v>1</v>
      </c>
      <c r="V503" s="55">
        <f t="shared" si="14"/>
        <v>0</v>
      </c>
      <c r="W503" s="56">
        <f t="shared" si="15"/>
        <v>3243.6666666666665</v>
      </c>
    </row>
    <row r="504" spans="1:23" x14ac:dyDescent="0.3">
      <c r="A504" s="13" t="str" cm="1">
        <f t="array" ref="A504:B504">INDEX(BenchmarkResults!$B$1:$D$35,SUMPRODUCT((T504&gt;=BenchmarkResults!$F$2:$F$35)*(mysql_hardware_log!T504&lt;BenchmarkResults!$G$2:$G$35)*ROW(BenchmarkResults!$F$2:$F$35)),{1,3})</f>
        <v>q5_top_customers</v>
      </c>
      <c r="B504" s="13">
        <v>2</v>
      </c>
      <c r="C504" s="16">
        <v>1</v>
      </c>
      <c r="D504" s="18">
        <v>0</v>
      </c>
      <c r="E504" s="16">
        <v>423168</v>
      </c>
      <c r="F504" s="13">
        <v>714640</v>
      </c>
      <c r="G504" s="13">
        <v>1684</v>
      </c>
      <c r="H504" s="18">
        <v>2950272</v>
      </c>
      <c r="I504" s="16">
        <v>0</v>
      </c>
      <c r="J504" s="18">
        <v>0</v>
      </c>
      <c r="K504" s="16">
        <v>814</v>
      </c>
      <c r="L504" s="18">
        <v>5</v>
      </c>
      <c r="M504" s="16">
        <v>769</v>
      </c>
      <c r="N504" s="18">
        <v>1389</v>
      </c>
      <c r="O504" s="16">
        <v>34</v>
      </c>
      <c r="P504" s="13">
        <v>2</v>
      </c>
      <c r="Q504" s="13">
        <v>64</v>
      </c>
      <c r="R504" s="13">
        <v>0</v>
      </c>
      <c r="S504" s="18">
        <v>0</v>
      </c>
      <c r="T504" s="21">
        <v>46247.385648148149</v>
      </c>
      <c r="U504" s="55">
        <f t="shared" si="14"/>
        <v>1</v>
      </c>
      <c r="V504" s="55">
        <f t="shared" si="14"/>
        <v>0</v>
      </c>
      <c r="W504" s="56">
        <f t="shared" si="15"/>
        <v>3366</v>
      </c>
    </row>
    <row r="505" spans="1:23" x14ac:dyDescent="0.3">
      <c r="A505" s="13" t="str" cm="1">
        <f t="array" ref="A505:B505">INDEX(BenchmarkResults!$B$1:$D$35,SUMPRODUCT((T505&gt;=BenchmarkResults!$F$2:$F$35)*(mysql_hardware_log!T505&lt;BenchmarkResults!$G$2:$G$35)*ROW(BenchmarkResults!$F$2:$F$35)),{1,3})</f>
        <v>q5_top_customers</v>
      </c>
      <c r="B505" s="13">
        <v>2</v>
      </c>
      <c r="C505" s="16">
        <v>4</v>
      </c>
      <c r="D505" s="18">
        <v>0</v>
      </c>
      <c r="E505" s="16">
        <v>423168</v>
      </c>
      <c r="F505" s="13">
        <v>703776</v>
      </c>
      <c r="G505" s="13">
        <v>1700</v>
      </c>
      <c r="H505" s="18">
        <v>2973084</v>
      </c>
      <c r="I505" s="16">
        <v>0</v>
      </c>
      <c r="J505" s="18">
        <v>0</v>
      </c>
      <c r="K505" s="16">
        <v>779</v>
      </c>
      <c r="L505" s="18">
        <v>13544</v>
      </c>
      <c r="M505" s="16">
        <v>876</v>
      </c>
      <c r="N505" s="18">
        <v>1844</v>
      </c>
      <c r="O505" s="16">
        <v>35</v>
      </c>
      <c r="P505" s="13">
        <v>3</v>
      </c>
      <c r="Q505" s="13">
        <v>56</v>
      </c>
      <c r="R505" s="13">
        <v>6</v>
      </c>
      <c r="S505" s="18">
        <v>0</v>
      </c>
      <c r="T505" s="21">
        <v>46247.385763888888</v>
      </c>
      <c r="U505" s="55">
        <f t="shared" si="14"/>
        <v>1.5</v>
      </c>
      <c r="V505" s="55">
        <f t="shared" si="14"/>
        <v>0</v>
      </c>
      <c r="W505" s="56">
        <f t="shared" si="15"/>
        <v>2937.6666666666665</v>
      </c>
    </row>
    <row r="506" spans="1:23" x14ac:dyDescent="0.3">
      <c r="A506" s="13" t="str" cm="1">
        <f t="array" ref="A506:B506">INDEX(BenchmarkResults!$B$1:$D$35,SUMPRODUCT((T506&gt;=BenchmarkResults!$F$2:$F$35)*(mysql_hardware_log!T506&lt;BenchmarkResults!$G$2:$G$35)*ROW(BenchmarkResults!$F$2:$F$35)),{1,3})</f>
        <v>q5_top_customers</v>
      </c>
      <c r="B506" s="13">
        <v>2</v>
      </c>
      <c r="C506" s="16">
        <v>1</v>
      </c>
      <c r="D506" s="18">
        <v>0</v>
      </c>
      <c r="E506" s="16">
        <v>423168</v>
      </c>
      <c r="F506" s="13">
        <v>676560</v>
      </c>
      <c r="G506" s="13">
        <v>1716</v>
      </c>
      <c r="H506" s="18">
        <v>2987344</v>
      </c>
      <c r="I506" s="16">
        <v>0</v>
      </c>
      <c r="J506" s="18">
        <v>0</v>
      </c>
      <c r="K506" s="16">
        <v>376</v>
      </c>
      <c r="L506" s="18">
        <v>3</v>
      </c>
      <c r="M506" s="16">
        <v>832</v>
      </c>
      <c r="N506" s="18">
        <v>2432</v>
      </c>
      <c r="O506" s="16">
        <v>35</v>
      </c>
      <c r="P506" s="13">
        <v>3</v>
      </c>
      <c r="Q506" s="13">
        <v>62</v>
      </c>
      <c r="R506" s="13">
        <v>0</v>
      </c>
      <c r="S506" s="18">
        <v>0</v>
      </c>
      <c r="T506" s="21">
        <v>46247.385879629626</v>
      </c>
      <c r="U506" s="55">
        <f t="shared" si="14"/>
        <v>1.5</v>
      </c>
      <c r="V506" s="55">
        <f t="shared" si="14"/>
        <v>0</v>
      </c>
      <c r="W506" s="56">
        <f t="shared" si="15"/>
        <v>2374</v>
      </c>
    </row>
    <row r="507" spans="1:23" x14ac:dyDescent="0.3">
      <c r="A507" s="13" t="str" cm="1">
        <f t="array" ref="A507:B507">INDEX(BenchmarkResults!$B$1:$D$35,SUMPRODUCT((T507&gt;=BenchmarkResults!$F$2:$F$35)*(mysql_hardware_log!T507&lt;BenchmarkResults!$G$2:$G$35)*ROW(BenchmarkResults!$F$2:$F$35)),{1,3})</f>
        <v>q5_top_customers</v>
      </c>
      <c r="B507" s="13">
        <v>2</v>
      </c>
      <c r="C507" s="16">
        <v>1</v>
      </c>
      <c r="D507" s="18">
        <v>0</v>
      </c>
      <c r="E507" s="16">
        <v>423168</v>
      </c>
      <c r="F507" s="13">
        <v>660432</v>
      </c>
      <c r="G507" s="13">
        <v>1732</v>
      </c>
      <c r="H507" s="18">
        <v>3008392</v>
      </c>
      <c r="I507" s="16">
        <v>0</v>
      </c>
      <c r="J507" s="18">
        <v>0</v>
      </c>
      <c r="K507" s="16">
        <v>1430</v>
      </c>
      <c r="L507" s="18">
        <v>4</v>
      </c>
      <c r="M507" s="16">
        <v>976</v>
      </c>
      <c r="N507" s="18">
        <v>2801</v>
      </c>
      <c r="O507" s="16">
        <v>36</v>
      </c>
      <c r="P507" s="13">
        <v>4</v>
      </c>
      <c r="Q507" s="13">
        <v>60</v>
      </c>
      <c r="R507" s="13">
        <v>0</v>
      </c>
      <c r="S507" s="18">
        <v>0</v>
      </c>
      <c r="T507" s="21">
        <v>46247.385995370372</v>
      </c>
      <c r="U507" s="55">
        <f t="shared" si="14"/>
        <v>1.5</v>
      </c>
      <c r="V507" s="55">
        <f t="shared" si="14"/>
        <v>0</v>
      </c>
      <c r="W507" s="56">
        <f t="shared" si="15"/>
        <v>1947.3333333333333</v>
      </c>
    </row>
    <row r="508" spans="1:23" x14ac:dyDescent="0.3">
      <c r="A508" s="13" t="str" cm="1">
        <f t="array" ref="A508:B508">INDEX(BenchmarkResults!$B$1:$D$35,SUMPRODUCT((T508&gt;=BenchmarkResults!$F$2:$F$35)*(mysql_hardware_log!T508&lt;BenchmarkResults!$G$2:$G$35)*ROW(BenchmarkResults!$F$2:$F$35)),{1,3})</f>
        <v>q5_top_customers</v>
      </c>
      <c r="B508" s="13">
        <v>2</v>
      </c>
      <c r="C508" s="16">
        <v>1</v>
      </c>
      <c r="D508" s="18">
        <v>0</v>
      </c>
      <c r="E508" s="16">
        <v>423168</v>
      </c>
      <c r="F508" s="13">
        <v>648172</v>
      </c>
      <c r="G508" s="13">
        <v>1748</v>
      </c>
      <c r="H508" s="18">
        <v>3025208</v>
      </c>
      <c r="I508" s="16">
        <v>0</v>
      </c>
      <c r="J508" s="18">
        <v>0</v>
      </c>
      <c r="K508" s="16">
        <v>1259</v>
      </c>
      <c r="L508" s="18">
        <v>17622</v>
      </c>
      <c r="M508" s="16">
        <v>1014</v>
      </c>
      <c r="N508" s="18">
        <v>3112</v>
      </c>
      <c r="O508" s="16">
        <v>35</v>
      </c>
      <c r="P508" s="13">
        <v>4</v>
      </c>
      <c r="Q508" s="13">
        <v>50</v>
      </c>
      <c r="R508" s="13">
        <v>10</v>
      </c>
      <c r="S508" s="18">
        <v>0</v>
      </c>
      <c r="T508" s="21">
        <v>46247.386111111111</v>
      </c>
      <c r="U508" s="55">
        <f t="shared" si="14"/>
        <v>1.5</v>
      </c>
      <c r="V508" s="55">
        <f t="shared" si="14"/>
        <v>0</v>
      </c>
      <c r="W508" s="56">
        <f t="shared" si="15"/>
        <v>1474.1666666666667</v>
      </c>
    </row>
    <row r="509" spans="1:23" x14ac:dyDescent="0.3">
      <c r="A509" s="13" t="str" cm="1">
        <f t="array" ref="A509:B509">INDEX(BenchmarkResults!$B$1:$D$35,SUMPRODUCT((T509&gt;=BenchmarkResults!$F$2:$F$35)*(mysql_hardware_log!T509&lt;BenchmarkResults!$G$2:$G$35)*ROW(BenchmarkResults!$F$2:$F$35)),{1,3})</f>
        <v>q5_top_customers</v>
      </c>
      <c r="B509" s="13">
        <v>2</v>
      </c>
      <c r="C509" s="16">
        <v>1</v>
      </c>
      <c r="D509" s="18">
        <v>0</v>
      </c>
      <c r="E509" s="16">
        <v>423168</v>
      </c>
      <c r="F509" s="13">
        <v>625996</v>
      </c>
      <c r="G509" s="13">
        <v>1764</v>
      </c>
      <c r="H509" s="18">
        <v>3041736</v>
      </c>
      <c r="I509" s="16">
        <v>0</v>
      </c>
      <c r="J509" s="18">
        <v>0</v>
      </c>
      <c r="K509" s="16">
        <v>1329</v>
      </c>
      <c r="L509" s="18">
        <v>3</v>
      </c>
      <c r="M509" s="16">
        <v>1128</v>
      </c>
      <c r="N509" s="18">
        <v>3248</v>
      </c>
      <c r="O509" s="16">
        <v>35</v>
      </c>
      <c r="P509" s="13">
        <v>4</v>
      </c>
      <c r="Q509" s="13">
        <v>61</v>
      </c>
      <c r="R509" s="13">
        <v>0</v>
      </c>
      <c r="S509" s="18">
        <v>0</v>
      </c>
      <c r="T509" s="21">
        <v>46247.38622685185</v>
      </c>
      <c r="U509" s="55">
        <f t="shared" si="14"/>
        <v>1.5</v>
      </c>
      <c r="V509" s="55">
        <f t="shared" si="14"/>
        <v>0</v>
      </c>
      <c r="W509" s="56">
        <f t="shared" si="15"/>
        <v>997.83333333333337</v>
      </c>
    </row>
    <row r="510" spans="1:23" x14ac:dyDescent="0.3">
      <c r="A510" s="13" t="str" cm="1">
        <f t="array" ref="A510:B510">INDEX(BenchmarkResults!$B$1:$D$35,SUMPRODUCT((T510&gt;=BenchmarkResults!$F$2:$F$35)*(mysql_hardware_log!T510&lt;BenchmarkResults!$G$2:$G$35)*ROW(BenchmarkResults!$F$2:$F$35)),{1,3})</f>
        <v>q5_top_customers</v>
      </c>
      <c r="B510" s="13">
        <v>2</v>
      </c>
      <c r="C510" s="16">
        <v>2</v>
      </c>
      <c r="D510" s="18">
        <v>0</v>
      </c>
      <c r="E510" s="16">
        <v>423168</v>
      </c>
      <c r="F510" s="13">
        <v>602812</v>
      </c>
      <c r="G510" s="13">
        <v>1780</v>
      </c>
      <c r="H510" s="18">
        <v>3056520</v>
      </c>
      <c r="I510" s="16">
        <v>0</v>
      </c>
      <c r="J510" s="18">
        <v>0</v>
      </c>
      <c r="K510" s="16">
        <v>1249</v>
      </c>
      <c r="L510" s="18">
        <v>3</v>
      </c>
      <c r="M510" s="16">
        <v>1158</v>
      </c>
      <c r="N510" s="18">
        <v>3347</v>
      </c>
      <c r="O510" s="16">
        <v>34</v>
      </c>
      <c r="P510" s="13">
        <v>4</v>
      </c>
      <c r="Q510" s="13">
        <v>62</v>
      </c>
      <c r="R510" s="13">
        <v>0</v>
      </c>
      <c r="S510" s="18">
        <v>0</v>
      </c>
      <c r="T510" s="21">
        <v>46247.386342592596</v>
      </c>
      <c r="U510" s="55">
        <f t="shared" si="14"/>
        <v>1.6666666666666667</v>
      </c>
      <c r="V510" s="55">
        <f t="shared" si="14"/>
        <v>0</v>
      </c>
      <c r="W510" s="56">
        <f t="shared" si="15"/>
        <v>1070.3333333333333</v>
      </c>
    </row>
    <row r="511" spans="1:23" x14ac:dyDescent="0.3">
      <c r="A511" s="13" t="str" cm="1">
        <f t="array" ref="A511:B511">INDEX(BenchmarkResults!$B$1:$D$35,SUMPRODUCT((T511&gt;=BenchmarkResults!$F$2:$F$35)*(mysql_hardware_log!T511&lt;BenchmarkResults!$G$2:$G$35)*ROW(BenchmarkResults!$F$2:$F$35)),{1,3})</f>
        <v>q5_top_customers</v>
      </c>
      <c r="B511" s="13">
        <v>2</v>
      </c>
      <c r="C511" s="16">
        <v>1</v>
      </c>
      <c r="D511" s="18">
        <v>0</v>
      </c>
      <c r="E511" s="16">
        <v>423168</v>
      </c>
      <c r="F511" s="13">
        <v>602812</v>
      </c>
      <c r="G511" s="13">
        <v>1796</v>
      </c>
      <c r="H511" s="18">
        <v>3063840</v>
      </c>
      <c r="I511" s="16">
        <v>0</v>
      </c>
      <c r="J511" s="18">
        <v>0</v>
      </c>
      <c r="K511" s="16">
        <v>602</v>
      </c>
      <c r="L511" s="18">
        <v>4</v>
      </c>
      <c r="M511" s="16">
        <v>1101</v>
      </c>
      <c r="N511" s="18">
        <v>3557</v>
      </c>
      <c r="O511" s="16">
        <v>34</v>
      </c>
      <c r="P511" s="13">
        <v>4</v>
      </c>
      <c r="Q511" s="13">
        <v>62</v>
      </c>
      <c r="R511" s="13">
        <v>0</v>
      </c>
      <c r="S511" s="18">
        <v>0</v>
      </c>
      <c r="T511" s="21">
        <v>46247.386458333334</v>
      </c>
      <c r="U511" s="55">
        <f t="shared" si="14"/>
        <v>1.1666666666666667</v>
      </c>
      <c r="V511" s="55">
        <f t="shared" si="14"/>
        <v>0</v>
      </c>
      <c r="W511" s="56">
        <f t="shared" si="15"/>
        <v>1040.8333333333333</v>
      </c>
    </row>
    <row r="512" spans="1:23" x14ac:dyDescent="0.3">
      <c r="A512" s="13" t="str" cm="1">
        <f t="array" ref="A512:B512">INDEX(BenchmarkResults!$B$1:$D$35,SUMPRODUCT((T512&gt;=BenchmarkResults!$F$2:$F$35)*(mysql_hardware_log!T512&lt;BenchmarkResults!$G$2:$G$35)*ROW(BenchmarkResults!$F$2:$F$35)),{1,3})</f>
        <v>q5_top_customers</v>
      </c>
      <c r="B512" s="13">
        <v>2</v>
      </c>
      <c r="C512" s="16">
        <v>3</v>
      </c>
      <c r="D512" s="18">
        <v>0</v>
      </c>
      <c r="E512" s="16">
        <v>423168</v>
      </c>
      <c r="F512" s="13">
        <v>589964</v>
      </c>
      <c r="G512" s="13">
        <v>1812</v>
      </c>
      <c r="H512" s="18">
        <v>3082124</v>
      </c>
      <c r="I512" s="16">
        <v>8</v>
      </c>
      <c r="J512" s="18">
        <v>0</v>
      </c>
      <c r="K512" s="16">
        <v>1761</v>
      </c>
      <c r="L512" s="18">
        <v>29590</v>
      </c>
      <c r="M512" s="16">
        <v>1944</v>
      </c>
      <c r="N512" s="18">
        <v>5188</v>
      </c>
      <c r="O512" s="16">
        <v>45</v>
      </c>
      <c r="P512" s="13">
        <v>7</v>
      </c>
      <c r="Q512" s="13">
        <v>29</v>
      </c>
      <c r="R512" s="13">
        <v>19</v>
      </c>
      <c r="S512" s="18">
        <v>0</v>
      </c>
      <c r="T512" s="21">
        <v>46247.386574074073</v>
      </c>
      <c r="U512" s="55">
        <f t="shared" si="14"/>
        <v>1.5</v>
      </c>
      <c r="V512" s="55">
        <f t="shared" si="14"/>
        <v>0</v>
      </c>
      <c r="W512" s="56">
        <f t="shared" si="15"/>
        <v>1271.6666666666667</v>
      </c>
    </row>
    <row r="513" spans="1:23" x14ac:dyDescent="0.3">
      <c r="A513" s="13" t="str" cm="1">
        <f t="array" ref="A513:B513">INDEX(BenchmarkResults!$B$1:$D$35,SUMPRODUCT((T513&gt;=BenchmarkResults!$F$2:$F$35)*(mysql_hardware_log!T513&lt;BenchmarkResults!$G$2:$G$35)*ROW(BenchmarkResults!$F$2:$F$35)),{1,3})</f>
        <v>q5_top_customers</v>
      </c>
      <c r="B513" s="13">
        <v>2</v>
      </c>
      <c r="C513" s="16">
        <v>1</v>
      </c>
      <c r="D513" s="18">
        <v>0</v>
      </c>
      <c r="E513" s="16">
        <v>423168</v>
      </c>
      <c r="F513" s="13">
        <v>566024</v>
      </c>
      <c r="G513" s="13">
        <v>1828</v>
      </c>
      <c r="H513" s="18">
        <v>3103116</v>
      </c>
      <c r="I513" s="16">
        <v>0</v>
      </c>
      <c r="J513" s="18">
        <v>0</v>
      </c>
      <c r="K513" s="16">
        <v>2088</v>
      </c>
      <c r="L513" s="18">
        <v>3</v>
      </c>
      <c r="M513" s="16">
        <v>2196</v>
      </c>
      <c r="N513" s="18">
        <v>7546</v>
      </c>
      <c r="O513" s="16">
        <v>51</v>
      </c>
      <c r="P513" s="13">
        <v>7</v>
      </c>
      <c r="Q513" s="13">
        <v>42</v>
      </c>
      <c r="R513" s="13">
        <v>0</v>
      </c>
      <c r="S513" s="18">
        <v>0</v>
      </c>
      <c r="T513" s="21">
        <v>46247.386689814812</v>
      </c>
      <c r="U513" s="55">
        <f t="shared" si="14"/>
        <v>1.5</v>
      </c>
      <c r="V513" s="55">
        <f t="shared" si="14"/>
        <v>0</v>
      </c>
      <c r="W513" s="56">
        <f t="shared" si="15"/>
        <v>1381.3333333333333</v>
      </c>
    </row>
    <row r="514" spans="1:23" x14ac:dyDescent="0.3">
      <c r="A514" s="13" t="str" cm="1">
        <f t="array" ref="A514:B514">INDEX(BenchmarkResults!$B$1:$D$35,SUMPRODUCT((T514&gt;=BenchmarkResults!$F$2:$F$35)*(mysql_hardware_log!T514&lt;BenchmarkResults!$G$2:$G$35)*ROW(BenchmarkResults!$F$2:$F$35)),{1,3})</f>
        <v>q5_top_customers</v>
      </c>
      <c r="B514" s="13">
        <v>2</v>
      </c>
      <c r="C514" s="16">
        <v>1</v>
      </c>
      <c r="D514" s="18">
        <v>0</v>
      </c>
      <c r="E514" s="16">
        <v>423168</v>
      </c>
      <c r="F514" s="13">
        <v>549896</v>
      </c>
      <c r="G514" s="13">
        <v>1844</v>
      </c>
      <c r="H514" s="18">
        <v>3111588</v>
      </c>
      <c r="I514" s="16">
        <v>0</v>
      </c>
      <c r="J514" s="18">
        <v>0</v>
      </c>
      <c r="K514" s="16">
        <v>814</v>
      </c>
      <c r="L514" s="18">
        <v>5</v>
      </c>
      <c r="M514" s="16">
        <v>2021</v>
      </c>
      <c r="N514" s="18">
        <v>7861</v>
      </c>
      <c r="O514" s="16">
        <v>52</v>
      </c>
      <c r="P514" s="13">
        <v>7</v>
      </c>
      <c r="Q514" s="13">
        <v>41</v>
      </c>
      <c r="R514" s="13">
        <v>0</v>
      </c>
      <c r="S514" s="18">
        <v>0</v>
      </c>
      <c r="T514" s="21">
        <v>46247.386805555558</v>
      </c>
      <c r="U514" s="55">
        <f t="shared" si="14"/>
        <v>1.5</v>
      </c>
      <c r="V514" s="55">
        <f t="shared" si="14"/>
        <v>0</v>
      </c>
      <c r="W514" s="56">
        <f t="shared" si="15"/>
        <v>1307.1666666666667</v>
      </c>
    </row>
    <row r="515" spans="1:23" x14ac:dyDescent="0.3">
      <c r="A515" s="13" t="str" cm="1">
        <f t="array" ref="A515:B515">INDEX(BenchmarkResults!$B$1:$D$35,SUMPRODUCT((T515&gt;=BenchmarkResults!$F$2:$F$35)*(mysql_hardware_log!T515&lt;BenchmarkResults!$G$2:$G$35)*ROW(BenchmarkResults!$F$2:$F$35)),{1,3})</f>
        <v>q5_top_customers</v>
      </c>
      <c r="B515" s="13">
        <v>2</v>
      </c>
      <c r="C515" s="16">
        <v>1</v>
      </c>
      <c r="D515" s="18">
        <v>0</v>
      </c>
      <c r="E515" s="16">
        <v>423168</v>
      </c>
      <c r="F515" s="13">
        <v>546872</v>
      </c>
      <c r="G515" s="13">
        <v>1868</v>
      </c>
      <c r="H515" s="18">
        <v>3123208</v>
      </c>
      <c r="I515" s="16">
        <v>0</v>
      </c>
      <c r="J515" s="18">
        <v>0</v>
      </c>
      <c r="K515" s="16">
        <v>1159</v>
      </c>
      <c r="L515" s="18">
        <v>28</v>
      </c>
      <c r="M515" s="16">
        <v>2423</v>
      </c>
      <c r="N515" s="18">
        <v>8702</v>
      </c>
      <c r="O515" s="16">
        <v>52</v>
      </c>
      <c r="P515" s="13">
        <v>8</v>
      </c>
      <c r="Q515" s="13">
        <v>40</v>
      </c>
      <c r="R515" s="13">
        <v>1</v>
      </c>
      <c r="S515" s="18">
        <v>0</v>
      </c>
      <c r="T515" s="21">
        <v>46247.386921296296</v>
      </c>
      <c r="U515" s="55">
        <f t="shared" si="14"/>
        <v>1.5</v>
      </c>
      <c r="V515" s="55">
        <f t="shared" si="14"/>
        <v>0</v>
      </c>
      <c r="W515" s="56">
        <f t="shared" si="15"/>
        <v>1278.8333333333333</v>
      </c>
    </row>
    <row r="516" spans="1:23" x14ac:dyDescent="0.3">
      <c r="A516" s="13" t="str" cm="1">
        <f t="array" ref="A516:B516">INDEX(BenchmarkResults!$B$1:$D$35,SUMPRODUCT((T516&gt;=BenchmarkResults!$F$2:$F$35)*(mysql_hardware_log!T516&lt;BenchmarkResults!$G$2:$G$35)*ROW(BenchmarkResults!$F$2:$F$35)),{1,3})</f>
        <v>q5_top_customers</v>
      </c>
      <c r="B516" s="13">
        <v>2</v>
      </c>
      <c r="C516" s="16">
        <v>2</v>
      </c>
      <c r="D516" s="18">
        <v>0</v>
      </c>
      <c r="E516" s="16">
        <v>423168</v>
      </c>
      <c r="F516" s="13">
        <v>549504</v>
      </c>
      <c r="G516" s="13">
        <v>1884</v>
      </c>
      <c r="H516" s="18">
        <v>3124496</v>
      </c>
      <c r="I516" s="16">
        <v>0</v>
      </c>
      <c r="J516" s="18">
        <v>0</v>
      </c>
      <c r="K516" s="16">
        <v>124</v>
      </c>
      <c r="L516" s="18">
        <v>23432</v>
      </c>
      <c r="M516" s="16">
        <v>2764</v>
      </c>
      <c r="N516" s="18">
        <v>9920</v>
      </c>
      <c r="O516" s="16">
        <v>51</v>
      </c>
      <c r="P516" s="13">
        <v>9</v>
      </c>
      <c r="Q516" s="13">
        <v>34</v>
      </c>
      <c r="R516" s="13">
        <v>5</v>
      </c>
      <c r="S516" s="18">
        <v>0</v>
      </c>
      <c r="T516" s="21">
        <v>46247.387037037035</v>
      </c>
      <c r="U516" s="55">
        <f t="shared" si="14"/>
        <v>1.5</v>
      </c>
      <c r="V516" s="55">
        <f t="shared" si="14"/>
        <v>0</v>
      </c>
      <c r="W516" s="56">
        <f t="shared" si="15"/>
        <v>1091.3333333333333</v>
      </c>
    </row>
    <row r="517" spans="1:23" x14ac:dyDescent="0.3">
      <c r="A517" s="13" t="str" cm="1">
        <f t="array" ref="A517:B517">INDEX(BenchmarkResults!$B$1:$D$35,SUMPRODUCT((T517&gt;=BenchmarkResults!$F$2:$F$35)*(mysql_hardware_log!T517&lt;BenchmarkResults!$G$2:$G$35)*ROW(BenchmarkResults!$F$2:$F$35)),{1,3})</f>
        <v>q5_top_customers</v>
      </c>
      <c r="B517" s="13">
        <v>2</v>
      </c>
      <c r="C517" s="16">
        <v>1</v>
      </c>
      <c r="D517" s="18">
        <v>0</v>
      </c>
      <c r="E517" s="16">
        <v>423168</v>
      </c>
      <c r="F517" s="13">
        <v>549252</v>
      </c>
      <c r="G517" s="13">
        <v>1892</v>
      </c>
      <c r="H517" s="18">
        <v>3124600</v>
      </c>
      <c r="I517" s="16">
        <v>0</v>
      </c>
      <c r="J517" s="18">
        <v>0</v>
      </c>
      <c r="K517" s="16">
        <v>5</v>
      </c>
      <c r="L517" s="18">
        <v>2</v>
      </c>
      <c r="M517" s="16">
        <v>2739</v>
      </c>
      <c r="N517" s="18">
        <v>11768</v>
      </c>
      <c r="O517" s="16">
        <v>52</v>
      </c>
      <c r="P517" s="13">
        <v>9</v>
      </c>
      <c r="Q517" s="13">
        <v>38</v>
      </c>
      <c r="R517" s="13">
        <v>0</v>
      </c>
      <c r="S517" s="18">
        <v>0</v>
      </c>
      <c r="T517" s="21">
        <v>46247.387152777781</v>
      </c>
      <c r="U517" s="55">
        <f t="shared" si="14"/>
        <v>1.5</v>
      </c>
      <c r="V517" s="55">
        <f t="shared" si="14"/>
        <v>0</v>
      </c>
      <c r="W517" s="56">
        <f t="shared" si="15"/>
        <v>991.83333333333337</v>
      </c>
    </row>
    <row r="518" spans="1:23" x14ac:dyDescent="0.3">
      <c r="A518" s="13" t="str" cm="1">
        <f t="array" ref="A518:B518">INDEX(BenchmarkResults!$B$1:$D$35,SUMPRODUCT((T518&gt;=BenchmarkResults!$F$2:$F$35)*(mysql_hardware_log!T518&lt;BenchmarkResults!$G$2:$G$35)*ROW(BenchmarkResults!$F$2:$F$35)),{1,3})</f>
        <v>q5_top_customers</v>
      </c>
      <c r="B518" s="13">
        <v>2</v>
      </c>
      <c r="C518" s="16">
        <v>1</v>
      </c>
      <c r="D518" s="18">
        <v>0</v>
      </c>
      <c r="E518" s="16">
        <v>423168</v>
      </c>
      <c r="F518" s="13">
        <v>547488</v>
      </c>
      <c r="G518" s="13">
        <v>1908</v>
      </c>
      <c r="H518" s="18">
        <v>3124620</v>
      </c>
      <c r="I518" s="16">
        <v>0</v>
      </c>
      <c r="J518" s="18">
        <v>0</v>
      </c>
      <c r="K518" s="16">
        <v>0</v>
      </c>
      <c r="L518" s="18">
        <v>3</v>
      </c>
      <c r="M518" s="16">
        <v>3261</v>
      </c>
      <c r="N518" s="18">
        <v>13820</v>
      </c>
      <c r="O518" s="16">
        <v>54</v>
      </c>
      <c r="P518" s="13">
        <v>10</v>
      </c>
      <c r="Q518" s="13">
        <v>36</v>
      </c>
      <c r="R518" s="13">
        <v>0</v>
      </c>
      <c r="S518" s="18">
        <v>0</v>
      </c>
      <c r="T518" s="21">
        <v>46247.38726851852</v>
      </c>
      <c r="U518" s="55">
        <f t="shared" si="14"/>
        <v>1.1666666666666667</v>
      </c>
      <c r="V518" s="55">
        <f t="shared" si="14"/>
        <v>0</v>
      </c>
      <c r="W518" s="56">
        <f t="shared" si="15"/>
        <v>698.33333333333337</v>
      </c>
    </row>
    <row r="519" spans="1:23" x14ac:dyDescent="0.3">
      <c r="A519" s="13" t="str" cm="1">
        <f t="array" ref="A519:B519">INDEX(BenchmarkResults!$B$1:$D$35,SUMPRODUCT((T519&gt;=BenchmarkResults!$F$2:$F$35)*(mysql_hardware_log!T519&lt;BenchmarkResults!$G$2:$G$35)*ROW(BenchmarkResults!$F$2:$F$35)),{1,3})</f>
        <v>q5_top_customers</v>
      </c>
      <c r="B519" s="13">
        <v>2</v>
      </c>
      <c r="C519" s="16">
        <v>1</v>
      </c>
      <c r="D519" s="18">
        <v>1</v>
      </c>
      <c r="E519" s="16">
        <v>423168</v>
      </c>
      <c r="F519" s="13">
        <v>547568</v>
      </c>
      <c r="G519" s="13">
        <v>1924</v>
      </c>
      <c r="H519" s="18">
        <v>3125288</v>
      </c>
      <c r="I519" s="16">
        <v>0</v>
      </c>
      <c r="J519" s="18">
        <v>0</v>
      </c>
      <c r="K519" s="16">
        <v>62</v>
      </c>
      <c r="L519" s="18">
        <v>29366</v>
      </c>
      <c r="M519" s="16">
        <v>2996</v>
      </c>
      <c r="N519" s="18">
        <v>14393</v>
      </c>
      <c r="O519" s="16">
        <v>54</v>
      </c>
      <c r="P519" s="13">
        <v>11</v>
      </c>
      <c r="Q519" s="13">
        <v>29</v>
      </c>
      <c r="R519" s="13">
        <v>6</v>
      </c>
      <c r="S519" s="18">
        <v>0</v>
      </c>
      <c r="T519" s="21">
        <v>46247.387384259258</v>
      </c>
      <c r="U519" s="55">
        <f t="shared" si="14"/>
        <v>1.1666666666666667</v>
      </c>
      <c r="V519" s="55">
        <f t="shared" si="14"/>
        <v>0.16666666666666666</v>
      </c>
      <c r="W519" s="56">
        <f t="shared" si="15"/>
        <v>360.66666666666669</v>
      </c>
    </row>
    <row r="520" spans="1:23" x14ac:dyDescent="0.3">
      <c r="A520" s="13" t="str" cm="1">
        <f t="array" ref="A520:B520">INDEX(BenchmarkResults!$B$1:$D$35,SUMPRODUCT((T520&gt;=BenchmarkResults!$F$2:$F$35)*(mysql_hardware_log!T520&lt;BenchmarkResults!$G$2:$G$35)*ROW(BenchmarkResults!$F$2:$F$35)),{1,3})</f>
        <v>q5_top_customers</v>
      </c>
      <c r="B520" s="13">
        <v>2</v>
      </c>
      <c r="C520" s="16">
        <v>1</v>
      </c>
      <c r="D520" s="18">
        <v>0</v>
      </c>
      <c r="E520" s="16">
        <v>423168</v>
      </c>
      <c r="F520" s="13">
        <v>543644</v>
      </c>
      <c r="G520" s="13">
        <v>1940</v>
      </c>
      <c r="H520" s="18">
        <v>3128520</v>
      </c>
      <c r="I520" s="16">
        <v>0</v>
      </c>
      <c r="J520" s="18">
        <v>0</v>
      </c>
      <c r="K520" s="16">
        <v>11</v>
      </c>
      <c r="L520" s="18">
        <v>39454</v>
      </c>
      <c r="M520" s="16">
        <v>3452</v>
      </c>
      <c r="N520" s="18">
        <v>15979</v>
      </c>
      <c r="O520" s="16">
        <v>54</v>
      </c>
      <c r="P520" s="13">
        <v>13</v>
      </c>
      <c r="Q520" s="13">
        <v>27</v>
      </c>
      <c r="R520" s="13">
        <v>6</v>
      </c>
      <c r="S520" s="18">
        <v>0</v>
      </c>
      <c r="T520" s="21">
        <v>46247.387499999997</v>
      </c>
      <c r="U520" s="55">
        <f t="shared" si="14"/>
        <v>1.1666666666666667</v>
      </c>
      <c r="V520" s="55">
        <f t="shared" si="14"/>
        <v>0.16666666666666666</v>
      </c>
      <c r="W520" s="56">
        <f t="shared" si="15"/>
        <v>226.83333333333334</v>
      </c>
    </row>
    <row r="521" spans="1:23" x14ac:dyDescent="0.3">
      <c r="A521" s="13" t="str" cm="1">
        <f t="array" ref="A521:B521">INDEX(BenchmarkResults!$B$1:$D$35,SUMPRODUCT((T521&gt;=BenchmarkResults!$F$2:$F$35)*(mysql_hardware_log!T521&lt;BenchmarkResults!$G$2:$G$35)*ROW(BenchmarkResults!$F$2:$F$35)),{1,3})</f>
        <v>q5_top_customers</v>
      </c>
      <c r="B521" s="13">
        <v>2</v>
      </c>
      <c r="C521" s="16">
        <v>6</v>
      </c>
      <c r="D521" s="18">
        <v>1</v>
      </c>
      <c r="E521" s="16">
        <v>423168</v>
      </c>
      <c r="F521" s="13">
        <v>537028</v>
      </c>
      <c r="G521" s="13">
        <v>1956</v>
      </c>
      <c r="H521" s="18">
        <v>3133056</v>
      </c>
      <c r="I521" s="16">
        <v>0</v>
      </c>
      <c r="J521" s="18">
        <v>0</v>
      </c>
      <c r="K521" s="16">
        <v>454</v>
      </c>
      <c r="L521" s="18">
        <v>23768</v>
      </c>
      <c r="M521" s="16">
        <v>3494</v>
      </c>
      <c r="N521" s="18">
        <v>16570</v>
      </c>
      <c r="O521" s="16">
        <v>54</v>
      </c>
      <c r="P521" s="13">
        <v>13</v>
      </c>
      <c r="Q521" s="13">
        <v>29</v>
      </c>
      <c r="R521" s="13">
        <v>5</v>
      </c>
      <c r="S521" s="18">
        <v>0</v>
      </c>
      <c r="T521" s="21">
        <v>46247.387615740743</v>
      </c>
      <c r="U521" s="55">
        <f t="shared" ref="U521:V584" si="16">AVERAGE(C516:C521)</f>
        <v>2</v>
      </c>
      <c r="V521" s="55">
        <f t="shared" si="16"/>
        <v>0.33333333333333331</v>
      </c>
      <c r="W521" s="56">
        <f t="shared" ref="W521:W584" si="17">AVERAGE(K516:K521)</f>
        <v>109.33333333333333</v>
      </c>
    </row>
    <row r="522" spans="1:23" x14ac:dyDescent="0.3">
      <c r="A522" s="13" t="str" cm="1">
        <f t="array" ref="A522:B522">INDEX(BenchmarkResults!$B$1:$D$35,SUMPRODUCT((T522&gt;=BenchmarkResults!$F$2:$F$35)*(mysql_hardware_log!T522&lt;BenchmarkResults!$G$2:$G$35)*ROW(BenchmarkResults!$F$2:$F$35)),{1,3})</f>
        <v>q5_top_customers</v>
      </c>
      <c r="B522" s="13">
        <v>2</v>
      </c>
      <c r="C522" s="16">
        <v>2</v>
      </c>
      <c r="D522" s="18">
        <v>0</v>
      </c>
      <c r="E522" s="16">
        <v>423168</v>
      </c>
      <c r="F522" s="13">
        <v>533668</v>
      </c>
      <c r="G522" s="13">
        <v>1972</v>
      </c>
      <c r="H522" s="18">
        <v>3136376</v>
      </c>
      <c r="I522" s="16">
        <v>0</v>
      </c>
      <c r="J522" s="18">
        <v>0</v>
      </c>
      <c r="K522" s="16">
        <v>301</v>
      </c>
      <c r="L522" s="18">
        <v>43003</v>
      </c>
      <c r="M522" s="16">
        <v>3536</v>
      </c>
      <c r="N522" s="18">
        <v>17565</v>
      </c>
      <c r="O522" s="16">
        <v>54</v>
      </c>
      <c r="P522" s="13">
        <v>14</v>
      </c>
      <c r="Q522" s="13">
        <v>25</v>
      </c>
      <c r="R522" s="13">
        <v>6</v>
      </c>
      <c r="S522" s="18">
        <v>0</v>
      </c>
      <c r="T522" s="21">
        <v>46247.387731481482</v>
      </c>
      <c r="U522" s="55">
        <f t="shared" si="16"/>
        <v>2</v>
      </c>
      <c r="V522" s="55">
        <f t="shared" si="16"/>
        <v>0.33333333333333331</v>
      </c>
      <c r="W522" s="56">
        <f t="shared" si="17"/>
        <v>138.83333333333334</v>
      </c>
    </row>
    <row r="523" spans="1:23" x14ac:dyDescent="0.3">
      <c r="A523" s="13" t="str" cm="1">
        <f t="array" ref="A523:B523">INDEX(BenchmarkResults!$B$1:$D$35,SUMPRODUCT((T523&gt;=BenchmarkResults!$F$2:$F$35)*(mysql_hardware_log!T523&lt;BenchmarkResults!$G$2:$G$35)*ROW(BenchmarkResults!$F$2:$F$35)),{1,3})</f>
        <v>q5_top_customers</v>
      </c>
      <c r="B523" s="13">
        <v>2</v>
      </c>
      <c r="C523" s="16">
        <v>1</v>
      </c>
      <c r="D523" s="18">
        <v>1</v>
      </c>
      <c r="E523" s="16">
        <v>423168</v>
      </c>
      <c r="F523" s="13">
        <v>454040</v>
      </c>
      <c r="G523" s="13">
        <v>2092</v>
      </c>
      <c r="H523" s="18">
        <v>3200848</v>
      </c>
      <c r="I523" s="16">
        <v>0</v>
      </c>
      <c r="J523" s="18">
        <v>0</v>
      </c>
      <c r="K523" s="16">
        <v>5912</v>
      </c>
      <c r="L523" s="18">
        <v>26209</v>
      </c>
      <c r="M523" s="16">
        <v>4917</v>
      </c>
      <c r="N523" s="18">
        <v>15969</v>
      </c>
      <c r="O523" s="16">
        <v>48</v>
      </c>
      <c r="P523" s="13">
        <v>14</v>
      </c>
      <c r="Q523" s="13">
        <v>31</v>
      </c>
      <c r="R523" s="13">
        <v>6</v>
      </c>
      <c r="S523" s="18">
        <v>0</v>
      </c>
      <c r="T523" s="21">
        <v>46247.38784722222</v>
      </c>
      <c r="U523" s="55">
        <f t="shared" si="16"/>
        <v>2</v>
      </c>
      <c r="V523" s="55">
        <f t="shared" si="16"/>
        <v>0.5</v>
      </c>
      <c r="W523" s="56">
        <f t="shared" si="17"/>
        <v>1123.3333333333333</v>
      </c>
    </row>
    <row r="524" spans="1:23" x14ac:dyDescent="0.3">
      <c r="A524" s="13" t="str" cm="1">
        <f t="array" ref="A524:B524">INDEX(BenchmarkResults!$B$1:$D$35,SUMPRODUCT((T524&gt;=BenchmarkResults!$F$2:$F$35)*(mysql_hardware_log!T524&lt;BenchmarkResults!$G$2:$G$35)*ROW(BenchmarkResults!$F$2:$F$35)),{1,3})</f>
        <v>q5_top_customers</v>
      </c>
      <c r="B524" s="13">
        <v>3</v>
      </c>
      <c r="C524" s="16">
        <v>1</v>
      </c>
      <c r="D524" s="18">
        <v>0</v>
      </c>
      <c r="E524" s="16">
        <v>423168</v>
      </c>
      <c r="F524" s="13">
        <v>430128</v>
      </c>
      <c r="G524" s="13">
        <v>2108</v>
      </c>
      <c r="H524" s="18">
        <v>3227304</v>
      </c>
      <c r="I524" s="16">
        <v>1</v>
      </c>
      <c r="J524" s="18">
        <v>0</v>
      </c>
      <c r="K524" s="16">
        <v>2756</v>
      </c>
      <c r="L524" s="18">
        <v>19607</v>
      </c>
      <c r="M524" s="16">
        <v>2482</v>
      </c>
      <c r="N524" s="18">
        <v>2788</v>
      </c>
      <c r="O524" s="16">
        <v>43</v>
      </c>
      <c r="P524" s="13">
        <v>4</v>
      </c>
      <c r="Q524" s="13">
        <v>48</v>
      </c>
      <c r="R524" s="13">
        <v>5</v>
      </c>
      <c r="S524" s="18">
        <v>0</v>
      </c>
      <c r="T524" s="21">
        <v>46247.387962962966</v>
      </c>
      <c r="U524" s="55">
        <f t="shared" si="16"/>
        <v>2</v>
      </c>
      <c r="V524" s="55">
        <f t="shared" si="16"/>
        <v>0.5</v>
      </c>
      <c r="W524" s="56">
        <f t="shared" si="17"/>
        <v>1582.6666666666667</v>
      </c>
    </row>
    <row r="525" spans="1:23" x14ac:dyDescent="0.3">
      <c r="A525" s="13" t="str" cm="1">
        <f t="array" ref="A525:B525">INDEX(BenchmarkResults!$B$1:$D$35,SUMPRODUCT((T525&gt;=BenchmarkResults!$F$2:$F$35)*(mysql_hardware_log!T525&lt;BenchmarkResults!$G$2:$G$35)*ROW(BenchmarkResults!$F$2:$F$35)),{1,3})</f>
        <v>q5_top_customers</v>
      </c>
      <c r="B525" s="13">
        <v>3</v>
      </c>
      <c r="C525" s="16">
        <v>1</v>
      </c>
      <c r="D525" s="18">
        <v>0</v>
      </c>
      <c r="E525" s="16">
        <v>423168</v>
      </c>
      <c r="F525" s="13">
        <v>390060</v>
      </c>
      <c r="G525" s="13">
        <v>2116</v>
      </c>
      <c r="H525" s="18">
        <v>3263988</v>
      </c>
      <c r="I525" s="16">
        <v>0</v>
      </c>
      <c r="J525" s="18">
        <v>0</v>
      </c>
      <c r="K525" s="16">
        <v>3675</v>
      </c>
      <c r="L525" s="18">
        <v>2</v>
      </c>
      <c r="M525" s="16">
        <v>813</v>
      </c>
      <c r="N525" s="18">
        <v>316</v>
      </c>
      <c r="O525" s="16">
        <v>32</v>
      </c>
      <c r="P525" s="13">
        <v>2</v>
      </c>
      <c r="Q525" s="13">
        <v>65</v>
      </c>
      <c r="R525" s="13">
        <v>2</v>
      </c>
      <c r="S525" s="18">
        <v>0</v>
      </c>
      <c r="T525" s="21">
        <v>46247.388078703705</v>
      </c>
      <c r="U525" s="55">
        <f t="shared" si="16"/>
        <v>2</v>
      </c>
      <c r="V525" s="55">
        <f t="shared" si="16"/>
        <v>0.33333333333333331</v>
      </c>
      <c r="W525" s="56">
        <f t="shared" si="17"/>
        <v>2184.8333333333335</v>
      </c>
    </row>
    <row r="526" spans="1:23" x14ac:dyDescent="0.3">
      <c r="A526" s="13" t="str" cm="1">
        <f t="array" ref="A526:B526">INDEX(BenchmarkResults!$B$1:$D$35,SUMPRODUCT((T526&gt;=BenchmarkResults!$F$2:$F$35)*(mysql_hardware_log!T526&lt;BenchmarkResults!$G$2:$G$35)*ROW(BenchmarkResults!$F$2:$F$35)),{1,3})</f>
        <v>q5_top_customers</v>
      </c>
      <c r="B526" s="13">
        <v>3</v>
      </c>
      <c r="C526" s="16">
        <v>1</v>
      </c>
      <c r="D526" s="18">
        <v>0</v>
      </c>
      <c r="E526" s="16">
        <v>423168</v>
      </c>
      <c r="F526" s="13">
        <v>358812</v>
      </c>
      <c r="G526" s="13">
        <v>2124</v>
      </c>
      <c r="H526" s="18">
        <v>3297100</v>
      </c>
      <c r="I526" s="16">
        <v>0</v>
      </c>
      <c r="J526" s="18">
        <v>0</v>
      </c>
      <c r="K526" s="16">
        <v>3311</v>
      </c>
      <c r="L526" s="18">
        <v>2</v>
      </c>
      <c r="M526" s="16">
        <v>807</v>
      </c>
      <c r="N526" s="18">
        <v>302</v>
      </c>
      <c r="O526" s="16">
        <v>32</v>
      </c>
      <c r="P526" s="13">
        <v>2</v>
      </c>
      <c r="Q526" s="13">
        <v>65</v>
      </c>
      <c r="R526" s="13">
        <v>1</v>
      </c>
      <c r="S526" s="18">
        <v>0</v>
      </c>
      <c r="T526" s="21">
        <v>46247.388194444444</v>
      </c>
      <c r="U526" s="55">
        <f t="shared" si="16"/>
        <v>2</v>
      </c>
      <c r="V526" s="55">
        <f t="shared" si="16"/>
        <v>0.33333333333333331</v>
      </c>
      <c r="W526" s="56">
        <f t="shared" si="17"/>
        <v>2734.8333333333335</v>
      </c>
    </row>
    <row r="527" spans="1:23" x14ac:dyDescent="0.3">
      <c r="A527" s="13" t="str" cm="1">
        <f t="array" ref="A527:B527">INDEX(BenchmarkResults!$B$1:$D$35,SUMPRODUCT((T527&gt;=BenchmarkResults!$F$2:$F$35)*(mysql_hardware_log!T527&lt;BenchmarkResults!$G$2:$G$35)*ROW(BenchmarkResults!$F$2:$F$35)),{1,3})</f>
        <v>q5_top_customers</v>
      </c>
      <c r="B527" s="13">
        <v>3</v>
      </c>
      <c r="C527" s="16">
        <v>1</v>
      </c>
      <c r="D527" s="18">
        <v>0</v>
      </c>
      <c r="E527" s="16">
        <v>423168</v>
      </c>
      <c r="F527" s="13">
        <v>318492</v>
      </c>
      <c r="G527" s="13">
        <v>2132</v>
      </c>
      <c r="H527" s="18">
        <v>3338036</v>
      </c>
      <c r="I527" s="16">
        <v>0</v>
      </c>
      <c r="J527" s="18">
        <v>0</v>
      </c>
      <c r="K527" s="16">
        <v>4087</v>
      </c>
      <c r="L527" s="18">
        <v>298</v>
      </c>
      <c r="M527" s="16">
        <v>780</v>
      </c>
      <c r="N527" s="18">
        <v>294</v>
      </c>
      <c r="O527" s="16">
        <v>32</v>
      </c>
      <c r="P527" s="13">
        <v>1</v>
      </c>
      <c r="Q527" s="13">
        <v>66</v>
      </c>
      <c r="R527" s="13">
        <v>1</v>
      </c>
      <c r="S527" s="18">
        <v>0</v>
      </c>
      <c r="T527" s="21">
        <v>46247.388310185182</v>
      </c>
      <c r="U527" s="55">
        <f t="shared" si="16"/>
        <v>1.1666666666666667</v>
      </c>
      <c r="V527" s="55">
        <f t="shared" si="16"/>
        <v>0.16666666666666666</v>
      </c>
      <c r="W527" s="56">
        <f t="shared" si="17"/>
        <v>3340.3333333333335</v>
      </c>
    </row>
    <row r="528" spans="1:23" x14ac:dyDescent="0.3">
      <c r="A528" s="13" t="str" cm="1">
        <f t="array" ref="A528:B528">INDEX(BenchmarkResults!$B$1:$D$35,SUMPRODUCT((T528&gt;=BenchmarkResults!$F$2:$F$35)*(mysql_hardware_log!T528&lt;BenchmarkResults!$G$2:$G$35)*ROW(BenchmarkResults!$F$2:$F$35)),{1,3})</f>
        <v>q5_top_customers</v>
      </c>
      <c r="B528" s="13">
        <v>3</v>
      </c>
      <c r="C528" s="16">
        <v>1</v>
      </c>
      <c r="D528" s="18">
        <v>0</v>
      </c>
      <c r="E528" s="16">
        <v>423168</v>
      </c>
      <c r="F528" s="13">
        <v>311436</v>
      </c>
      <c r="G528" s="13">
        <v>2148</v>
      </c>
      <c r="H528" s="18">
        <v>3345036</v>
      </c>
      <c r="I528" s="16">
        <v>0</v>
      </c>
      <c r="J528" s="18">
        <v>0</v>
      </c>
      <c r="K528" s="16">
        <v>700</v>
      </c>
      <c r="L528" s="18">
        <v>3</v>
      </c>
      <c r="M528" s="16">
        <v>708</v>
      </c>
      <c r="N528" s="18">
        <v>342</v>
      </c>
      <c r="O528" s="16">
        <v>33</v>
      </c>
      <c r="P528" s="13">
        <v>1</v>
      </c>
      <c r="Q528" s="13">
        <v>66</v>
      </c>
      <c r="R528" s="13">
        <v>0</v>
      </c>
      <c r="S528" s="18">
        <v>0</v>
      </c>
      <c r="T528" s="21">
        <v>46247.388425925928</v>
      </c>
      <c r="U528" s="55">
        <f t="shared" si="16"/>
        <v>1</v>
      </c>
      <c r="V528" s="55">
        <f t="shared" si="16"/>
        <v>0.16666666666666666</v>
      </c>
      <c r="W528" s="56">
        <f t="shared" si="17"/>
        <v>3406.8333333333335</v>
      </c>
    </row>
    <row r="529" spans="1:23" x14ac:dyDescent="0.3">
      <c r="A529" s="13" t="str" cm="1">
        <f t="array" ref="A529:B529">INDEX(BenchmarkResults!$B$1:$D$35,SUMPRODUCT((T529&gt;=BenchmarkResults!$F$2:$F$35)*(mysql_hardware_log!T529&lt;BenchmarkResults!$G$2:$G$35)*ROW(BenchmarkResults!$F$2:$F$35)),{1,3})</f>
        <v>q5_top_customers</v>
      </c>
      <c r="B529" s="13">
        <v>3</v>
      </c>
      <c r="C529" s="16">
        <v>3</v>
      </c>
      <c r="D529" s="18">
        <v>0</v>
      </c>
      <c r="E529" s="16">
        <v>423168</v>
      </c>
      <c r="F529" s="13">
        <v>311436</v>
      </c>
      <c r="G529" s="13">
        <v>2164</v>
      </c>
      <c r="H529" s="18">
        <v>3346420</v>
      </c>
      <c r="I529" s="16">
        <v>0</v>
      </c>
      <c r="J529" s="18">
        <v>0</v>
      </c>
      <c r="K529" s="16">
        <v>139</v>
      </c>
      <c r="L529" s="18">
        <v>3360</v>
      </c>
      <c r="M529" s="16">
        <v>708</v>
      </c>
      <c r="N529" s="18">
        <v>348</v>
      </c>
      <c r="O529" s="16">
        <v>33</v>
      </c>
      <c r="P529" s="13">
        <v>1</v>
      </c>
      <c r="Q529" s="13">
        <v>63</v>
      </c>
      <c r="R529" s="13">
        <v>3</v>
      </c>
      <c r="S529" s="18">
        <v>0</v>
      </c>
      <c r="T529" s="21">
        <v>46247.388541666667</v>
      </c>
      <c r="U529" s="55">
        <f t="shared" si="16"/>
        <v>1.3333333333333333</v>
      </c>
      <c r="V529" s="55">
        <f t="shared" si="16"/>
        <v>0</v>
      </c>
      <c r="W529" s="56">
        <f t="shared" si="17"/>
        <v>2444.6666666666665</v>
      </c>
    </row>
    <row r="530" spans="1:23" x14ac:dyDescent="0.3">
      <c r="A530" s="13" t="str" cm="1">
        <f t="array" ref="A530:B530">INDEX(BenchmarkResults!$B$1:$D$35,SUMPRODUCT((T530&gt;=BenchmarkResults!$F$2:$F$35)*(mysql_hardware_log!T530&lt;BenchmarkResults!$G$2:$G$35)*ROW(BenchmarkResults!$F$2:$F$35)),{1,3})</f>
        <v>q5_top_customers</v>
      </c>
      <c r="B530" s="13">
        <v>3</v>
      </c>
      <c r="C530" s="16">
        <v>1</v>
      </c>
      <c r="D530" s="18">
        <v>0</v>
      </c>
      <c r="E530" s="16">
        <v>423168</v>
      </c>
      <c r="F530" s="13">
        <v>296092</v>
      </c>
      <c r="G530" s="13">
        <v>2180</v>
      </c>
      <c r="H530" s="18">
        <v>3358100</v>
      </c>
      <c r="I530" s="16">
        <v>0</v>
      </c>
      <c r="J530" s="18">
        <v>0</v>
      </c>
      <c r="K530" s="16">
        <v>1168</v>
      </c>
      <c r="L530" s="18">
        <v>3</v>
      </c>
      <c r="M530" s="16">
        <v>738</v>
      </c>
      <c r="N530" s="18">
        <v>353</v>
      </c>
      <c r="O530" s="16">
        <v>33</v>
      </c>
      <c r="P530" s="13">
        <v>1</v>
      </c>
      <c r="Q530" s="13">
        <v>65</v>
      </c>
      <c r="R530" s="13">
        <v>0</v>
      </c>
      <c r="S530" s="18">
        <v>1</v>
      </c>
      <c r="T530" s="21">
        <v>46247.388657407406</v>
      </c>
      <c r="U530" s="55">
        <f t="shared" si="16"/>
        <v>1.3333333333333333</v>
      </c>
      <c r="V530" s="55">
        <f t="shared" si="16"/>
        <v>0</v>
      </c>
      <c r="W530" s="56">
        <f t="shared" si="17"/>
        <v>2180</v>
      </c>
    </row>
    <row r="531" spans="1:23" x14ac:dyDescent="0.3">
      <c r="A531" s="13" t="str" cm="1">
        <f t="array" ref="A531:B531">INDEX(BenchmarkResults!$B$1:$D$35,SUMPRODUCT((T531&gt;=BenchmarkResults!$F$2:$F$35)*(mysql_hardware_log!T531&lt;BenchmarkResults!$G$2:$G$35)*ROW(BenchmarkResults!$F$2:$F$35)),{1,3})</f>
        <v>q5_top_customers</v>
      </c>
      <c r="B531" s="13">
        <v>3</v>
      </c>
      <c r="C531" s="16">
        <v>1</v>
      </c>
      <c r="D531" s="18">
        <v>0</v>
      </c>
      <c r="E531" s="16">
        <v>423168</v>
      </c>
      <c r="F531" s="13">
        <v>272908</v>
      </c>
      <c r="G531" s="13">
        <v>2196</v>
      </c>
      <c r="H531" s="18">
        <v>3381232</v>
      </c>
      <c r="I531" s="16">
        <v>0</v>
      </c>
      <c r="J531" s="18">
        <v>0</v>
      </c>
      <c r="K531" s="16">
        <v>2313</v>
      </c>
      <c r="L531" s="18">
        <v>4</v>
      </c>
      <c r="M531" s="16">
        <v>743</v>
      </c>
      <c r="N531" s="18">
        <v>293</v>
      </c>
      <c r="O531" s="16">
        <v>32</v>
      </c>
      <c r="P531" s="13">
        <v>2</v>
      </c>
      <c r="Q531" s="13">
        <v>66</v>
      </c>
      <c r="R531" s="13">
        <v>1</v>
      </c>
      <c r="S531" s="18">
        <v>0</v>
      </c>
      <c r="T531" s="21">
        <v>46247.388773148145</v>
      </c>
      <c r="U531" s="55">
        <f t="shared" si="16"/>
        <v>1.3333333333333333</v>
      </c>
      <c r="V531" s="55">
        <f t="shared" si="16"/>
        <v>0</v>
      </c>
      <c r="W531" s="56">
        <f t="shared" si="17"/>
        <v>1953</v>
      </c>
    </row>
    <row r="532" spans="1:23" x14ac:dyDescent="0.3">
      <c r="A532" s="13" t="str" cm="1">
        <f t="array" ref="A532:B532">INDEX(BenchmarkResults!$B$1:$D$35,SUMPRODUCT((T532&gt;=BenchmarkResults!$F$2:$F$35)*(mysql_hardware_log!T532&lt;BenchmarkResults!$G$2:$G$35)*ROW(BenchmarkResults!$F$2:$F$35)),{1,3})</f>
        <v>q5_top_customers</v>
      </c>
      <c r="B532" s="13">
        <v>3</v>
      </c>
      <c r="C532" s="16">
        <v>1</v>
      </c>
      <c r="D532" s="18">
        <v>0</v>
      </c>
      <c r="E532" s="16">
        <v>423168</v>
      </c>
      <c r="F532" s="13">
        <v>256780</v>
      </c>
      <c r="G532" s="13">
        <v>2220</v>
      </c>
      <c r="H532" s="18">
        <v>3397436</v>
      </c>
      <c r="I532" s="16">
        <v>0</v>
      </c>
      <c r="J532" s="18">
        <v>0</v>
      </c>
      <c r="K532" s="16">
        <v>1620</v>
      </c>
      <c r="L532" s="18">
        <v>5</v>
      </c>
      <c r="M532" s="16">
        <v>760</v>
      </c>
      <c r="N532" s="18">
        <v>378</v>
      </c>
      <c r="O532" s="16">
        <v>32</v>
      </c>
      <c r="P532" s="13">
        <v>1</v>
      </c>
      <c r="Q532" s="13">
        <v>66</v>
      </c>
      <c r="R532" s="13">
        <v>0</v>
      </c>
      <c r="S532" s="18">
        <v>0</v>
      </c>
      <c r="T532" s="21">
        <v>46247.388888888891</v>
      </c>
      <c r="U532" s="55">
        <f t="shared" si="16"/>
        <v>1.3333333333333333</v>
      </c>
      <c r="V532" s="55">
        <f t="shared" si="16"/>
        <v>0</v>
      </c>
      <c r="W532" s="56">
        <f t="shared" si="17"/>
        <v>1671.1666666666667</v>
      </c>
    </row>
    <row r="533" spans="1:23" x14ac:dyDescent="0.3">
      <c r="A533" s="13" t="str" cm="1">
        <f t="array" ref="A533:B533">INDEX(BenchmarkResults!$B$1:$D$35,SUMPRODUCT((T533&gt;=BenchmarkResults!$F$2:$F$35)*(mysql_hardware_log!T533&lt;BenchmarkResults!$G$2:$G$35)*ROW(BenchmarkResults!$F$2:$F$35)),{1,3})</f>
        <v>q5_top_customers</v>
      </c>
      <c r="B533" s="13">
        <v>3</v>
      </c>
      <c r="C533" s="16">
        <v>1</v>
      </c>
      <c r="D533" s="18">
        <v>0</v>
      </c>
      <c r="E533" s="16">
        <v>423168</v>
      </c>
      <c r="F533" s="13">
        <v>253504</v>
      </c>
      <c r="G533" s="13">
        <v>2228</v>
      </c>
      <c r="H533" s="18">
        <v>3411624</v>
      </c>
      <c r="I533" s="16">
        <v>0</v>
      </c>
      <c r="J533" s="18">
        <v>0</v>
      </c>
      <c r="K533" s="16">
        <v>1424</v>
      </c>
      <c r="L533" s="18">
        <v>4199</v>
      </c>
      <c r="M533" s="16">
        <v>774</v>
      </c>
      <c r="N533" s="18">
        <v>356</v>
      </c>
      <c r="O533" s="16">
        <v>32</v>
      </c>
      <c r="P533" s="13">
        <v>1</v>
      </c>
      <c r="Q533" s="13">
        <v>63</v>
      </c>
      <c r="R533" s="13">
        <v>3</v>
      </c>
      <c r="S533" s="18">
        <v>0</v>
      </c>
      <c r="T533" s="21">
        <v>46247.389004629629</v>
      </c>
      <c r="U533" s="55">
        <f t="shared" si="16"/>
        <v>1.3333333333333333</v>
      </c>
      <c r="V533" s="55">
        <f t="shared" si="16"/>
        <v>0</v>
      </c>
      <c r="W533" s="56">
        <f t="shared" si="17"/>
        <v>1227.3333333333333</v>
      </c>
    </row>
    <row r="534" spans="1:23" x14ac:dyDescent="0.3">
      <c r="A534" s="13" t="str" cm="1">
        <f t="array" ref="A534:B534">INDEX(BenchmarkResults!$B$1:$D$35,SUMPRODUCT((T534&gt;=BenchmarkResults!$F$2:$F$35)*(mysql_hardware_log!T534&lt;BenchmarkResults!$G$2:$G$35)*ROW(BenchmarkResults!$F$2:$F$35)),{1,3})</f>
        <v>q5_top_customers</v>
      </c>
      <c r="B534" s="13">
        <v>3</v>
      </c>
      <c r="C534" s="16">
        <v>1</v>
      </c>
      <c r="D534" s="18">
        <v>0</v>
      </c>
      <c r="E534" s="16">
        <v>423168</v>
      </c>
      <c r="F534" s="13">
        <v>229564</v>
      </c>
      <c r="G534" s="13">
        <v>2244</v>
      </c>
      <c r="H534" s="18">
        <v>3431788</v>
      </c>
      <c r="I534" s="16">
        <v>0</v>
      </c>
      <c r="J534" s="18">
        <v>0</v>
      </c>
      <c r="K534" s="16">
        <v>2012</v>
      </c>
      <c r="L534" s="18">
        <v>4</v>
      </c>
      <c r="M534" s="16">
        <v>767</v>
      </c>
      <c r="N534" s="18">
        <v>386</v>
      </c>
      <c r="O534" s="16">
        <v>32</v>
      </c>
      <c r="P534" s="13">
        <v>1</v>
      </c>
      <c r="Q534" s="13">
        <v>65</v>
      </c>
      <c r="R534" s="13">
        <v>1</v>
      </c>
      <c r="S534" s="18">
        <v>0</v>
      </c>
      <c r="T534" s="21">
        <v>46247.389120370368</v>
      </c>
      <c r="U534" s="55">
        <f t="shared" si="16"/>
        <v>1.3333333333333333</v>
      </c>
      <c r="V534" s="55">
        <f t="shared" si="16"/>
        <v>0</v>
      </c>
      <c r="W534" s="56">
        <f t="shared" si="17"/>
        <v>1446</v>
      </c>
    </row>
    <row r="535" spans="1:23" x14ac:dyDescent="0.3">
      <c r="A535" s="13" t="str" cm="1">
        <f t="array" ref="A535:B535">INDEX(BenchmarkResults!$B$1:$D$35,SUMPRODUCT((T535&gt;=BenchmarkResults!$F$2:$F$35)*(mysql_hardware_log!T535&lt;BenchmarkResults!$G$2:$G$35)*ROW(BenchmarkResults!$F$2:$F$35)),{1,3})</f>
        <v>q5_top_customers</v>
      </c>
      <c r="B535" s="13">
        <v>3</v>
      </c>
      <c r="C535" s="16">
        <v>1</v>
      </c>
      <c r="D535" s="18">
        <v>0</v>
      </c>
      <c r="E535" s="16">
        <v>423168</v>
      </c>
      <c r="F535" s="13">
        <v>205876</v>
      </c>
      <c r="G535" s="13">
        <v>2260</v>
      </c>
      <c r="H535" s="18">
        <v>3453252</v>
      </c>
      <c r="I535" s="16">
        <v>0</v>
      </c>
      <c r="J535" s="18">
        <v>0</v>
      </c>
      <c r="K535" s="16">
        <v>2146</v>
      </c>
      <c r="L535" s="18">
        <v>3</v>
      </c>
      <c r="M535" s="16">
        <v>769</v>
      </c>
      <c r="N535" s="18">
        <v>389</v>
      </c>
      <c r="O535" s="16">
        <v>32</v>
      </c>
      <c r="P535" s="13">
        <v>1</v>
      </c>
      <c r="Q535" s="13">
        <v>65</v>
      </c>
      <c r="R535" s="13">
        <v>1</v>
      </c>
      <c r="S535" s="18">
        <v>0</v>
      </c>
      <c r="T535" s="21">
        <v>46247.389236111114</v>
      </c>
      <c r="U535" s="55">
        <f t="shared" si="16"/>
        <v>1</v>
      </c>
      <c r="V535" s="55">
        <f t="shared" si="16"/>
        <v>0</v>
      </c>
      <c r="W535" s="56">
        <f t="shared" si="17"/>
        <v>1780.5</v>
      </c>
    </row>
    <row r="536" spans="1:23" x14ac:dyDescent="0.3">
      <c r="A536" s="13" t="str" cm="1">
        <f t="array" ref="A536:B536">INDEX(BenchmarkResults!$B$1:$D$35,SUMPRODUCT((T536&gt;=BenchmarkResults!$F$2:$F$35)*(mysql_hardware_log!T536&lt;BenchmarkResults!$G$2:$G$35)*ROW(BenchmarkResults!$F$2:$F$35)),{1,3})</f>
        <v>q5_top_customers</v>
      </c>
      <c r="B536" s="13">
        <v>3</v>
      </c>
      <c r="C536" s="16">
        <v>1</v>
      </c>
      <c r="D536" s="18">
        <v>0</v>
      </c>
      <c r="E536" s="16">
        <v>423168</v>
      </c>
      <c r="F536" s="13">
        <v>191008</v>
      </c>
      <c r="G536" s="13">
        <v>2276</v>
      </c>
      <c r="H536" s="18">
        <v>3470064</v>
      </c>
      <c r="I536" s="16">
        <v>0</v>
      </c>
      <c r="J536" s="18">
        <v>0</v>
      </c>
      <c r="K536" s="16">
        <v>1684</v>
      </c>
      <c r="L536" s="18">
        <v>4677</v>
      </c>
      <c r="M536" s="16">
        <v>753</v>
      </c>
      <c r="N536" s="18">
        <v>372</v>
      </c>
      <c r="O536" s="16">
        <v>33</v>
      </c>
      <c r="P536" s="13">
        <v>1</v>
      </c>
      <c r="Q536" s="13">
        <v>61</v>
      </c>
      <c r="R536" s="13">
        <v>5</v>
      </c>
      <c r="S536" s="18">
        <v>0</v>
      </c>
      <c r="T536" s="21">
        <v>46247.389351851853</v>
      </c>
      <c r="U536" s="55">
        <f t="shared" si="16"/>
        <v>1</v>
      </c>
      <c r="V536" s="55">
        <f t="shared" si="16"/>
        <v>0</v>
      </c>
      <c r="W536" s="56">
        <f t="shared" si="17"/>
        <v>1866.5</v>
      </c>
    </row>
    <row r="537" spans="1:23" x14ac:dyDescent="0.3">
      <c r="A537" s="13" t="str" cm="1">
        <f t="array" ref="A537:B537">INDEX(BenchmarkResults!$B$1:$D$35,SUMPRODUCT((T537&gt;=BenchmarkResults!$F$2:$F$35)*(mysql_hardware_log!T537&lt;BenchmarkResults!$G$2:$G$35)*ROW(BenchmarkResults!$F$2:$F$35)),{1,3})</f>
        <v>q5_top_customers</v>
      </c>
      <c r="B537" s="13">
        <v>3</v>
      </c>
      <c r="C537" s="16">
        <v>1</v>
      </c>
      <c r="D537" s="18">
        <v>0</v>
      </c>
      <c r="E537" s="16">
        <v>423168</v>
      </c>
      <c r="F537" s="13">
        <v>174124</v>
      </c>
      <c r="G537" s="13">
        <v>2300</v>
      </c>
      <c r="H537" s="18">
        <v>3487264</v>
      </c>
      <c r="I537" s="16">
        <v>0</v>
      </c>
      <c r="J537" s="18">
        <v>0</v>
      </c>
      <c r="K537" s="16">
        <v>1721</v>
      </c>
      <c r="L537" s="18">
        <v>6</v>
      </c>
      <c r="M537" s="16">
        <v>752</v>
      </c>
      <c r="N537" s="18">
        <v>379</v>
      </c>
      <c r="O537" s="16">
        <v>33</v>
      </c>
      <c r="P537" s="13">
        <v>1</v>
      </c>
      <c r="Q537" s="13">
        <v>65</v>
      </c>
      <c r="R537" s="13">
        <v>0</v>
      </c>
      <c r="S537" s="18">
        <v>0</v>
      </c>
      <c r="T537" s="21">
        <v>46247.389467592591</v>
      </c>
      <c r="U537" s="55">
        <f t="shared" si="16"/>
        <v>1</v>
      </c>
      <c r="V537" s="55">
        <f t="shared" si="16"/>
        <v>0</v>
      </c>
      <c r="W537" s="56">
        <f t="shared" si="17"/>
        <v>1767.8333333333333</v>
      </c>
    </row>
    <row r="538" spans="1:23" x14ac:dyDescent="0.3">
      <c r="A538" s="13" t="str" cm="1">
        <f t="array" ref="A538:B538">INDEX(BenchmarkResults!$B$1:$D$35,SUMPRODUCT((T538&gt;=BenchmarkResults!$F$2:$F$35)*(mysql_hardware_log!T538&lt;BenchmarkResults!$G$2:$G$35)*ROW(BenchmarkResults!$F$2:$F$35)),{1,3})</f>
        <v>q5_top_customers</v>
      </c>
      <c r="B538" s="13">
        <v>3</v>
      </c>
      <c r="C538" s="16">
        <v>1</v>
      </c>
      <c r="D538" s="18">
        <v>0</v>
      </c>
      <c r="E538" s="16">
        <v>423168</v>
      </c>
      <c r="F538" s="13">
        <v>158248</v>
      </c>
      <c r="G538" s="13">
        <v>2316</v>
      </c>
      <c r="H538" s="18">
        <v>3502524</v>
      </c>
      <c r="I538" s="16">
        <v>0</v>
      </c>
      <c r="J538" s="18">
        <v>0</v>
      </c>
      <c r="K538" s="16">
        <v>1532</v>
      </c>
      <c r="L538" s="18">
        <v>22</v>
      </c>
      <c r="M538" s="16">
        <v>765</v>
      </c>
      <c r="N538" s="18">
        <v>394</v>
      </c>
      <c r="O538" s="16">
        <v>33</v>
      </c>
      <c r="P538" s="13">
        <v>1</v>
      </c>
      <c r="Q538" s="13">
        <v>65</v>
      </c>
      <c r="R538" s="13">
        <v>0</v>
      </c>
      <c r="S538" s="18">
        <v>0</v>
      </c>
      <c r="T538" s="21">
        <v>46247.38958333333</v>
      </c>
      <c r="U538" s="55">
        <f t="shared" si="16"/>
        <v>1</v>
      </c>
      <c r="V538" s="55">
        <f t="shared" si="16"/>
        <v>0</v>
      </c>
      <c r="W538" s="56">
        <f t="shared" si="17"/>
        <v>1753.1666666666667</v>
      </c>
    </row>
    <row r="539" spans="1:23" x14ac:dyDescent="0.3">
      <c r="A539" s="13" t="str" cm="1">
        <f t="array" ref="A539:B539">INDEX(BenchmarkResults!$B$1:$D$35,SUMPRODUCT((T539&gt;=BenchmarkResults!$F$2:$F$35)*(mysql_hardware_log!T539&lt;BenchmarkResults!$G$2:$G$35)*ROW(BenchmarkResults!$F$2:$F$35)),{1,3})</f>
        <v>q5_top_customers</v>
      </c>
      <c r="B539" s="13">
        <v>3</v>
      </c>
      <c r="C539" s="16">
        <v>1</v>
      </c>
      <c r="D539" s="18">
        <v>0</v>
      </c>
      <c r="E539" s="16">
        <v>423168</v>
      </c>
      <c r="F539" s="13">
        <v>149176</v>
      </c>
      <c r="G539" s="13">
        <v>2332</v>
      </c>
      <c r="H539" s="18">
        <v>3515800</v>
      </c>
      <c r="I539" s="16">
        <v>0</v>
      </c>
      <c r="J539" s="18">
        <v>0</v>
      </c>
      <c r="K539" s="16">
        <v>1318</v>
      </c>
      <c r="L539" s="18">
        <v>4710</v>
      </c>
      <c r="M539" s="16">
        <v>770</v>
      </c>
      <c r="N539" s="18">
        <v>353</v>
      </c>
      <c r="O539" s="16">
        <v>32</v>
      </c>
      <c r="P539" s="13">
        <v>2</v>
      </c>
      <c r="Q539" s="13">
        <v>62</v>
      </c>
      <c r="R539" s="13">
        <v>4</v>
      </c>
      <c r="S539" s="18">
        <v>0</v>
      </c>
      <c r="T539" s="21">
        <v>46247.389699074076</v>
      </c>
      <c r="U539" s="55">
        <f t="shared" si="16"/>
        <v>1</v>
      </c>
      <c r="V539" s="55">
        <f t="shared" si="16"/>
        <v>0</v>
      </c>
      <c r="W539" s="56">
        <f t="shared" si="17"/>
        <v>1735.5</v>
      </c>
    </row>
    <row r="540" spans="1:23" x14ac:dyDescent="0.3">
      <c r="A540" s="13" t="str" cm="1">
        <f t="array" ref="A540:B540">INDEX(BenchmarkResults!$B$1:$D$35,SUMPRODUCT((T540&gt;=BenchmarkResults!$F$2:$F$35)*(mysql_hardware_log!T540&lt;BenchmarkResults!$G$2:$G$35)*ROW(BenchmarkResults!$F$2:$F$35)),{1,3})</f>
        <v>q5_top_customers</v>
      </c>
      <c r="B540" s="13">
        <v>3</v>
      </c>
      <c r="C540" s="16">
        <v>1</v>
      </c>
      <c r="D540" s="18">
        <v>0</v>
      </c>
      <c r="E540" s="16">
        <v>423168</v>
      </c>
      <c r="F540" s="13">
        <v>134560</v>
      </c>
      <c r="G540" s="13">
        <v>2348</v>
      </c>
      <c r="H540" s="18">
        <v>3530260</v>
      </c>
      <c r="I540" s="16">
        <v>0</v>
      </c>
      <c r="J540" s="18">
        <v>0</v>
      </c>
      <c r="K540" s="16">
        <v>1446</v>
      </c>
      <c r="L540" s="18">
        <v>3</v>
      </c>
      <c r="M540" s="16">
        <v>767</v>
      </c>
      <c r="N540" s="18">
        <v>391</v>
      </c>
      <c r="O540" s="16">
        <v>33</v>
      </c>
      <c r="P540" s="13">
        <v>1</v>
      </c>
      <c r="Q540" s="13">
        <v>66</v>
      </c>
      <c r="R540" s="13">
        <v>0</v>
      </c>
      <c r="S540" s="18">
        <v>0</v>
      </c>
      <c r="T540" s="21">
        <v>46247.389814814815</v>
      </c>
      <c r="U540" s="55">
        <f t="shared" si="16"/>
        <v>1</v>
      </c>
      <c r="V540" s="55">
        <f t="shared" si="16"/>
        <v>0</v>
      </c>
      <c r="W540" s="56">
        <f t="shared" si="17"/>
        <v>1641.1666666666667</v>
      </c>
    </row>
    <row r="541" spans="1:23" x14ac:dyDescent="0.3">
      <c r="A541" s="13" t="str" cm="1">
        <f t="array" ref="A541:B541">INDEX(BenchmarkResults!$B$1:$D$35,SUMPRODUCT((T541&gt;=BenchmarkResults!$F$2:$F$35)*(mysql_hardware_log!T541&lt;BenchmarkResults!$G$2:$G$35)*ROW(BenchmarkResults!$F$2:$F$35)),{1,3})</f>
        <v>q5_top_customers</v>
      </c>
      <c r="B541" s="13">
        <v>3</v>
      </c>
      <c r="C541" s="16">
        <v>1</v>
      </c>
      <c r="D541" s="18">
        <v>0</v>
      </c>
      <c r="E541" s="16">
        <v>423168</v>
      </c>
      <c r="F541" s="13">
        <v>133552</v>
      </c>
      <c r="G541" s="13">
        <v>2364</v>
      </c>
      <c r="H541" s="18">
        <v>3530956</v>
      </c>
      <c r="I541" s="16">
        <v>0</v>
      </c>
      <c r="J541" s="18">
        <v>0</v>
      </c>
      <c r="K541" s="16">
        <v>70</v>
      </c>
      <c r="L541" s="18">
        <v>5</v>
      </c>
      <c r="M541" s="16">
        <v>702</v>
      </c>
      <c r="N541" s="18">
        <v>329</v>
      </c>
      <c r="O541" s="16">
        <v>33</v>
      </c>
      <c r="P541" s="13">
        <v>1</v>
      </c>
      <c r="Q541" s="13">
        <v>66</v>
      </c>
      <c r="R541" s="13">
        <v>0</v>
      </c>
      <c r="S541" s="18">
        <v>0</v>
      </c>
      <c r="T541" s="21">
        <v>46247.389930555553</v>
      </c>
      <c r="U541" s="55">
        <f t="shared" si="16"/>
        <v>1</v>
      </c>
      <c r="V541" s="55">
        <f t="shared" si="16"/>
        <v>0</v>
      </c>
      <c r="W541" s="56">
        <f t="shared" si="17"/>
        <v>1295.1666666666667</v>
      </c>
    </row>
    <row r="542" spans="1:23" x14ac:dyDescent="0.3">
      <c r="A542" s="13" t="str" cm="1">
        <f t="array" ref="A542:B542">INDEX(BenchmarkResults!$B$1:$D$35,SUMPRODUCT((T542&gt;=BenchmarkResults!$F$2:$F$35)*(mysql_hardware_log!T542&lt;BenchmarkResults!$G$2:$G$35)*ROW(BenchmarkResults!$F$2:$F$35)),{1,3})</f>
        <v>q5_top_customers</v>
      </c>
      <c r="B542" s="13">
        <v>3</v>
      </c>
      <c r="C542" s="16">
        <v>1</v>
      </c>
      <c r="D542" s="18">
        <v>0</v>
      </c>
      <c r="E542" s="16">
        <v>423168</v>
      </c>
      <c r="F542" s="13">
        <v>133552</v>
      </c>
      <c r="G542" s="13">
        <v>2372</v>
      </c>
      <c r="H542" s="18">
        <v>3530956</v>
      </c>
      <c r="I542" s="16">
        <v>0</v>
      </c>
      <c r="J542" s="18">
        <v>0</v>
      </c>
      <c r="K542" s="16">
        <v>0</v>
      </c>
      <c r="L542" s="18">
        <v>3636</v>
      </c>
      <c r="M542" s="16">
        <v>728</v>
      </c>
      <c r="N542" s="18">
        <v>294</v>
      </c>
      <c r="O542" s="16">
        <v>33</v>
      </c>
      <c r="P542" s="13">
        <v>1</v>
      </c>
      <c r="Q542" s="13">
        <v>63</v>
      </c>
      <c r="R542" s="13">
        <v>3</v>
      </c>
      <c r="S542" s="18">
        <v>0</v>
      </c>
      <c r="T542" s="21">
        <v>46247.390046296299</v>
      </c>
      <c r="U542" s="55">
        <f t="shared" si="16"/>
        <v>1</v>
      </c>
      <c r="V542" s="55">
        <f t="shared" si="16"/>
        <v>0</v>
      </c>
      <c r="W542" s="56">
        <f t="shared" si="17"/>
        <v>1014.5</v>
      </c>
    </row>
    <row r="543" spans="1:23" x14ac:dyDescent="0.3">
      <c r="A543" s="13" t="str" cm="1">
        <f t="array" ref="A543:B543">INDEX(BenchmarkResults!$B$1:$D$35,SUMPRODUCT((T543&gt;=BenchmarkResults!$F$2:$F$35)*(mysql_hardware_log!T543&lt;BenchmarkResults!$G$2:$G$35)*ROW(BenchmarkResults!$F$2:$F$35)),{1,3})</f>
        <v>q5_top_customers</v>
      </c>
      <c r="B543" s="13">
        <v>3</v>
      </c>
      <c r="C543" s="16">
        <v>1</v>
      </c>
      <c r="D543" s="18">
        <v>0</v>
      </c>
      <c r="E543" s="16">
        <v>423168</v>
      </c>
      <c r="F543" s="13">
        <v>133552</v>
      </c>
      <c r="G543" s="13">
        <v>2388</v>
      </c>
      <c r="H543" s="18">
        <v>3530956</v>
      </c>
      <c r="I543" s="16">
        <v>0</v>
      </c>
      <c r="J543" s="18">
        <v>0</v>
      </c>
      <c r="K543" s="16">
        <v>0</v>
      </c>
      <c r="L543" s="18">
        <v>3</v>
      </c>
      <c r="M543" s="16">
        <v>702</v>
      </c>
      <c r="N543" s="18">
        <v>331</v>
      </c>
      <c r="O543" s="16">
        <v>33</v>
      </c>
      <c r="P543" s="13">
        <v>1</v>
      </c>
      <c r="Q543" s="13">
        <v>66</v>
      </c>
      <c r="R543" s="13">
        <v>0</v>
      </c>
      <c r="S543" s="18">
        <v>0</v>
      </c>
      <c r="T543" s="21">
        <v>46247.390162037038</v>
      </c>
      <c r="U543" s="55">
        <f t="shared" si="16"/>
        <v>1</v>
      </c>
      <c r="V543" s="55">
        <f t="shared" si="16"/>
        <v>0</v>
      </c>
      <c r="W543" s="56">
        <f t="shared" si="17"/>
        <v>727.66666666666663</v>
      </c>
    </row>
    <row r="544" spans="1:23" x14ac:dyDescent="0.3">
      <c r="A544" s="13" t="str" cm="1">
        <f t="array" ref="A544:B544">INDEX(BenchmarkResults!$B$1:$D$35,SUMPRODUCT((T544&gt;=BenchmarkResults!$F$2:$F$35)*(mysql_hardware_log!T544&lt;BenchmarkResults!$G$2:$G$35)*ROW(BenchmarkResults!$F$2:$F$35)),{1,3})</f>
        <v>q5_top_customers</v>
      </c>
      <c r="B544" s="13">
        <v>3</v>
      </c>
      <c r="C544" s="16">
        <v>3</v>
      </c>
      <c r="D544" s="18">
        <v>0</v>
      </c>
      <c r="E544" s="16">
        <v>423168</v>
      </c>
      <c r="F544" s="13">
        <v>133552</v>
      </c>
      <c r="G544" s="13">
        <v>2404</v>
      </c>
      <c r="H544" s="18">
        <v>3530956</v>
      </c>
      <c r="I544" s="16">
        <v>0</v>
      </c>
      <c r="J544" s="18">
        <v>0</v>
      </c>
      <c r="K544" s="16">
        <v>0</v>
      </c>
      <c r="L544" s="18">
        <v>3</v>
      </c>
      <c r="M544" s="16">
        <v>697</v>
      </c>
      <c r="N544" s="18">
        <v>352</v>
      </c>
      <c r="O544" s="16">
        <v>33</v>
      </c>
      <c r="P544" s="13">
        <v>1</v>
      </c>
      <c r="Q544" s="13">
        <v>65</v>
      </c>
      <c r="R544" s="13">
        <v>0</v>
      </c>
      <c r="S544" s="18">
        <v>0</v>
      </c>
      <c r="T544" s="21">
        <v>46247.390277777777</v>
      </c>
      <c r="U544" s="55">
        <f t="shared" si="16"/>
        <v>1.3333333333333333</v>
      </c>
      <c r="V544" s="55">
        <f t="shared" si="16"/>
        <v>0</v>
      </c>
      <c r="W544" s="56">
        <f t="shared" si="17"/>
        <v>472.33333333333331</v>
      </c>
    </row>
    <row r="545" spans="1:23" x14ac:dyDescent="0.3">
      <c r="A545" s="13" t="str" cm="1">
        <f t="array" ref="A545:B545">INDEX(BenchmarkResults!$B$1:$D$35,SUMPRODUCT((T545&gt;=BenchmarkResults!$F$2:$F$35)*(mysql_hardware_log!T545&lt;BenchmarkResults!$G$2:$G$35)*ROW(BenchmarkResults!$F$2:$F$35)),{1,3})</f>
        <v>q5_top_customers</v>
      </c>
      <c r="B545" s="13">
        <v>3</v>
      </c>
      <c r="C545" s="16">
        <v>1</v>
      </c>
      <c r="D545" s="18">
        <v>0</v>
      </c>
      <c r="E545" s="16">
        <v>423168</v>
      </c>
      <c r="F545" s="13">
        <v>133552</v>
      </c>
      <c r="G545" s="13">
        <v>2420</v>
      </c>
      <c r="H545" s="18">
        <v>3530956</v>
      </c>
      <c r="I545" s="16">
        <v>0</v>
      </c>
      <c r="J545" s="18">
        <v>0</v>
      </c>
      <c r="K545" s="16">
        <v>0</v>
      </c>
      <c r="L545" s="18">
        <v>4046</v>
      </c>
      <c r="M545" s="16">
        <v>734</v>
      </c>
      <c r="N545" s="18">
        <v>381</v>
      </c>
      <c r="O545" s="16">
        <v>33</v>
      </c>
      <c r="P545" s="13">
        <v>1</v>
      </c>
      <c r="Q545" s="13">
        <v>62</v>
      </c>
      <c r="R545" s="13">
        <v>3</v>
      </c>
      <c r="S545" s="18">
        <v>0</v>
      </c>
      <c r="T545" s="21">
        <v>46247.390393518515</v>
      </c>
      <c r="U545" s="55">
        <f t="shared" si="16"/>
        <v>1.3333333333333333</v>
      </c>
      <c r="V545" s="55">
        <f t="shared" si="16"/>
        <v>0</v>
      </c>
      <c r="W545" s="56">
        <f t="shared" si="17"/>
        <v>252.66666666666666</v>
      </c>
    </row>
    <row r="546" spans="1:23" x14ac:dyDescent="0.3">
      <c r="A546" s="13" t="str" cm="1">
        <f t="array" ref="A546:B546">INDEX(BenchmarkResults!$B$1:$D$35,SUMPRODUCT((T546&gt;=BenchmarkResults!$F$2:$F$35)*(mysql_hardware_log!T546&lt;BenchmarkResults!$G$2:$G$35)*ROW(BenchmarkResults!$F$2:$F$35)),{1,3})</f>
        <v>q5_top_customers</v>
      </c>
      <c r="B546" s="13">
        <v>3</v>
      </c>
      <c r="C546" s="16">
        <v>1</v>
      </c>
      <c r="D546" s="18">
        <v>0</v>
      </c>
      <c r="E546" s="16">
        <v>423168</v>
      </c>
      <c r="F546" s="13">
        <v>132796</v>
      </c>
      <c r="G546" s="13">
        <v>2436</v>
      </c>
      <c r="H546" s="18">
        <v>3531968</v>
      </c>
      <c r="I546" s="16">
        <v>0</v>
      </c>
      <c r="J546" s="18">
        <v>0</v>
      </c>
      <c r="K546" s="16">
        <v>0</v>
      </c>
      <c r="L546" s="18">
        <v>3</v>
      </c>
      <c r="M546" s="16">
        <v>695</v>
      </c>
      <c r="N546" s="18">
        <v>338</v>
      </c>
      <c r="O546" s="16">
        <v>33</v>
      </c>
      <c r="P546" s="13">
        <v>1</v>
      </c>
      <c r="Q546" s="13">
        <v>66</v>
      </c>
      <c r="R546" s="13">
        <v>0</v>
      </c>
      <c r="S546" s="18">
        <v>1</v>
      </c>
      <c r="T546" s="21">
        <v>46247.390509259261</v>
      </c>
      <c r="U546" s="55">
        <f t="shared" si="16"/>
        <v>1.3333333333333333</v>
      </c>
      <c r="V546" s="55">
        <f t="shared" si="16"/>
        <v>0</v>
      </c>
      <c r="W546" s="56">
        <f t="shared" si="17"/>
        <v>11.666666666666666</v>
      </c>
    </row>
    <row r="547" spans="1:23" x14ac:dyDescent="0.3">
      <c r="A547" s="13" t="str" cm="1">
        <f t="array" ref="A547:B547">INDEX(BenchmarkResults!$B$1:$D$35,SUMPRODUCT((T547&gt;=BenchmarkResults!$F$2:$F$35)*(mysql_hardware_log!T547&lt;BenchmarkResults!$G$2:$G$35)*ROW(BenchmarkResults!$F$2:$F$35)),{1,3})</f>
        <v>q5_top_customers</v>
      </c>
      <c r="B547" s="13">
        <v>3</v>
      </c>
      <c r="C547" s="16">
        <v>1</v>
      </c>
      <c r="D547" s="18">
        <v>0</v>
      </c>
      <c r="E547" s="16">
        <v>423168</v>
      </c>
      <c r="F547" s="13">
        <v>132796</v>
      </c>
      <c r="G547" s="13">
        <v>2452</v>
      </c>
      <c r="H547" s="18">
        <v>3532048</v>
      </c>
      <c r="I547" s="16">
        <v>0</v>
      </c>
      <c r="J547" s="18">
        <v>0</v>
      </c>
      <c r="K547" s="16">
        <v>0</v>
      </c>
      <c r="L547" s="18">
        <v>3</v>
      </c>
      <c r="M547" s="16">
        <v>707</v>
      </c>
      <c r="N547" s="18">
        <v>389</v>
      </c>
      <c r="O547" s="16">
        <v>33</v>
      </c>
      <c r="P547" s="13">
        <v>1</v>
      </c>
      <c r="Q547" s="13">
        <v>65</v>
      </c>
      <c r="R547" s="13">
        <v>0</v>
      </c>
      <c r="S547" s="18">
        <v>1</v>
      </c>
      <c r="T547" s="21">
        <v>46247.390625</v>
      </c>
      <c r="U547" s="55">
        <f t="shared" si="16"/>
        <v>1.3333333333333333</v>
      </c>
      <c r="V547" s="55">
        <f t="shared" si="16"/>
        <v>0</v>
      </c>
      <c r="W547" s="56">
        <f t="shared" si="17"/>
        <v>0</v>
      </c>
    </row>
    <row r="548" spans="1:23" x14ac:dyDescent="0.3">
      <c r="A548" s="13" t="str" cm="1">
        <f t="array" ref="A548:B548">INDEX(BenchmarkResults!$B$1:$D$35,SUMPRODUCT((T548&gt;=BenchmarkResults!$F$2:$F$35)*(mysql_hardware_log!T548&lt;BenchmarkResults!$G$2:$G$35)*ROW(BenchmarkResults!$F$2:$F$35)),{1,3})</f>
        <v>q5_top_customers</v>
      </c>
      <c r="B548" s="13">
        <v>3</v>
      </c>
      <c r="C548" s="16">
        <v>1</v>
      </c>
      <c r="D548" s="18">
        <v>0</v>
      </c>
      <c r="E548" s="16">
        <v>423168</v>
      </c>
      <c r="F548" s="13">
        <v>140104</v>
      </c>
      <c r="G548" s="13">
        <v>2468</v>
      </c>
      <c r="H548" s="18">
        <v>3532208</v>
      </c>
      <c r="I548" s="16">
        <v>0</v>
      </c>
      <c r="J548" s="18">
        <v>0</v>
      </c>
      <c r="K548" s="16">
        <v>0</v>
      </c>
      <c r="L548" s="18">
        <v>4</v>
      </c>
      <c r="M548" s="16">
        <v>732</v>
      </c>
      <c r="N548" s="18">
        <v>594</v>
      </c>
      <c r="O548" s="16">
        <v>33</v>
      </c>
      <c r="P548" s="13">
        <v>1</v>
      </c>
      <c r="Q548" s="13">
        <v>65</v>
      </c>
      <c r="R548" s="13">
        <v>0</v>
      </c>
      <c r="S548" s="18">
        <v>0</v>
      </c>
      <c r="T548" s="21">
        <v>46247.390740740739</v>
      </c>
      <c r="U548" s="55">
        <f t="shared" si="16"/>
        <v>1.3333333333333333</v>
      </c>
      <c r="V548" s="55">
        <f t="shared" si="16"/>
        <v>0</v>
      </c>
      <c r="W548" s="56">
        <f t="shared" si="17"/>
        <v>0</v>
      </c>
    </row>
    <row r="549" spans="1:23" x14ac:dyDescent="0.3">
      <c r="A549" s="13" t="str" cm="1">
        <f t="array" ref="A549:B549">INDEX(BenchmarkResults!$B$1:$D$35,SUMPRODUCT((T549&gt;=BenchmarkResults!$F$2:$F$35)*(mysql_hardware_log!T549&lt;BenchmarkResults!$G$2:$G$35)*ROW(BenchmarkResults!$F$2:$F$35)),{1,3})</f>
        <v>q5_top_customers</v>
      </c>
      <c r="B549" s="13">
        <v>3</v>
      </c>
      <c r="C549" s="16">
        <v>1</v>
      </c>
      <c r="D549" s="18">
        <v>0</v>
      </c>
      <c r="E549" s="16">
        <v>423168</v>
      </c>
      <c r="F549" s="13">
        <v>139152</v>
      </c>
      <c r="G549" s="13">
        <v>2484</v>
      </c>
      <c r="H549" s="18">
        <v>3532356</v>
      </c>
      <c r="I549" s="16">
        <v>0</v>
      </c>
      <c r="J549" s="18">
        <v>0</v>
      </c>
      <c r="K549" s="16">
        <v>0</v>
      </c>
      <c r="L549" s="18">
        <v>5775</v>
      </c>
      <c r="M549" s="16">
        <v>762</v>
      </c>
      <c r="N549" s="18">
        <v>903</v>
      </c>
      <c r="O549" s="16">
        <v>33</v>
      </c>
      <c r="P549" s="13">
        <v>2</v>
      </c>
      <c r="Q549" s="13">
        <v>60</v>
      </c>
      <c r="R549" s="13">
        <v>4</v>
      </c>
      <c r="S549" s="18">
        <v>0</v>
      </c>
      <c r="T549" s="21">
        <v>46247.390856481485</v>
      </c>
      <c r="U549" s="55">
        <f t="shared" si="16"/>
        <v>1.3333333333333333</v>
      </c>
      <c r="V549" s="55">
        <f t="shared" si="16"/>
        <v>0</v>
      </c>
      <c r="W549" s="56">
        <f t="shared" si="17"/>
        <v>0</v>
      </c>
    </row>
    <row r="550" spans="1:23" x14ac:dyDescent="0.3">
      <c r="A550" s="13" t="str" cm="1">
        <f t="array" ref="A550:B550">INDEX(BenchmarkResults!$B$1:$D$35,SUMPRODUCT((T550&gt;=BenchmarkResults!$F$2:$F$35)*(mysql_hardware_log!T550&lt;BenchmarkResults!$G$2:$G$35)*ROW(BenchmarkResults!$F$2:$F$35)),{1,3})</f>
        <v>q5_top_customers</v>
      </c>
      <c r="B550" s="13">
        <v>3</v>
      </c>
      <c r="C550" s="16">
        <v>1</v>
      </c>
      <c r="D550" s="18">
        <v>0</v>
      </c>
      <c r="E550" s="16">
        <v>423168</v>
      </c>
      <c r="F550" s="13">
        <v>138904</v>
      </c>
      <c r="G550" s="13">
        <v>2500</v>
      </c>
      <c r="H550" s="18">
        <v>3532496</v>
      </c>
      <c r="I550" s="16">
        <v>0</v>
      </c>
      <c r="J550" s="18">
        <v>0</v>
      </c>
      <c r="K550" s="16">
        <v>0</v>
      </c>
      <c r="L550" s="18">
        <v>4</v>
      </c>
      <c r="M550" s="16">
        <v>714</v>
      </c>
      <c r="N550" s="18">
        <v>1253</v>
      </c>
      <c r="O550" s="16">
        <v>33</v>
      </c>
      <c r="P550" s="13">
        <v>2</v>
      </c>
      <c r="Q550" s="13">
        <v>64</v>
      </c>
      <c r="R550" s="13">
        <v>0</v>
      </c>
      <c r="S550" s="18">
        <v>0</v>
      </c>
      <c r="T550" s="21">
        <v>46247.390972222223</v>
      </c>
      <c r="U550" s="55">
        <f t="shared" si="16"/>
        <v>1</v>
      </c>
      <c r="V550" s="55">
        <f t="shared" si="16"/>
        <v>0</v>
      </c>
      <c r="W550" s="56">
        <f t="shared" si="17"/>
        <v>0</v>
      </c>
    </row>
    <row r="551" spans="1:23" x14ac:dyDescent="0.3">
      <c r="A551" s="13" t="str" cm="1">
        <f t="array" ref="A551:B551">INDEX(BenchmarkResults!$B$1:$D$35,SUMPRODUCT((T551&gt;=BenchmarkResults!$F$2:$F$35)*(mysql_hardware_log!T551&lt;BenchmarkResults!$G$2:$G$35)*ROW(BenchmarkResults!$F$2:$F$35)),{1,3})</f>
        <v>q5_top_customers</v>
      </c>
      <c r="B551" s="13">
        <v>3</v>
      </c>
      <c r="C551" s="16">
        <v>1</v>
      </c>
      <c r="D551" s="18">
        <v>0</v>
      </c>
      <c r="E551" s="16">
        <v>423168</v>
      </c>
      <c r="F551" s="13">
        <v>138904</v>
      </c>
      <c r="G551" s="13">
        <v>2516</v>
      </c>
      <c r="H551" s="18">
        <v>3532660</v>
      </c>
      <c r="I551" s="16">
        <v>0</v>
      </c>
      <c r="J551" s="18">
        <v>0</v>
      </c>
      <c r="K551" s="16">
        <v>0</v>
      </c>
      <c r="L551" s="18">
        <v>4</v>
      </c>
      <c r="M551" s="16">
        <v>787</v>
      </c>
      <c r="N551" s="18">
        <v>1680</v>
      </c>
      <c r="O551" s="16">
        <v>33</v>
      </c>
      <c r="P551" s="13">
        <v>2</v>
      </c>
      <c r="Q551" s="13">
        <v>64</v>
      </c>
      <c r="R551" s="13">
        <v>0</v>
      </c>
      <c r="S551" s="18">
        <v>0</v>
      </c>
      <c r="T551" s="21">
        <v>46247.391087962962</v>
      </c>
      <c r="U551" s="55">
        <f t="shared" si="16"/>
        <v>1</v>
      </c>
      <c r="V551" s="55">
        <f t="shared" si="16"/>
        <v>0</v>
      </c>
      <c r="W551" s="56">
        <f t="shared" si="17"/>
        <v>0</v>
      </c>
    </row>
    <row r="552" spans="1:23" x14ac:dyDescent="0.3">
      <c r="A552" s="13" t="str" cm="1">
        <f t="array" ref="A552:B552">INDEX(BenchmarkResults!$B$1:$D$35,SUMPRODUCT((T552&gt;=BenchmarkResults!$F$2:$F$35)*(mysql_hardware_log!T552&lt;BenchmarkResults!$G$2:$G$35)*ROW(BenchmarkResults!$F$2:$F$35)),{1,3})</f>
        <v>q5_top_customers</v>
      </c>
      <c r="B552" s="13">
        <v>3</v>
      </c>
      <c r="C552" s="16">
        <v>1</v>
      </c>
      <c r="D552" s="18">
        <v>0</v>
      </c>
      <c r="E552" s="16">
        <v>423168</v>
      </c>
      <c r="F552" s="13">
        <v>141804</v>
      </c>
      <c r="G552" s="13">
        <v>2532</v>
      </c>
      <c r="H552" s="18">
        <v>3532888</v>
      </c>
      <c r="I552" s="16">
        <v>0</v>
      </c>
      <c r="J552" s="18">
        <v>0</v>
      </c>
      <c r="K552" s="16">
        <v>0</v>
      </c>
      <c r="L552" s="18">
        <v>14480</v>
      </c>
      <c r="M552" s="16">
        <v>879</v>
      </c>
      <c r="N552" s="18">
        <v>2090</v>
      </c>
      <c r="O552" s="16">
        <v>34</v>
      </c>
      <c r="P552" s="13">
        <v>4</v>
      </c>
      <c r="Q552" s="13">
        <v>55</v>
      </c>
      <c r="R552" s="13">
        <v>6</v>
      </c>
      <c r="S552" s="18">
        <v>0</v>
      </c>
      <c r="T552" s="21">
        <v>46247.391203703701</v>
      </c>
      <c r="U552" s="55">
        <f t="shared" si="16"/>
        <v>1</v>
      </c>
      <c r="V552" s="55">
        <f t="shared" si="16"/>
        <v>0</v>
      </c>
      <c r="W552" s="56">
        <f t="shared" si="17"/>
        <v>0</v>
      </c>
    </row>
    <row r="553" spans="1:23" x14ac:dyDescent="0.3">
      <c r="A553" s="13" t="str" cm="1">
        <f t="array" ref="A553:B553">INDEX(BenchmarkResults!$B$1:$D$35,SUMPRODUCT((T553&gt;=BenchmarkResults!$F$2:$F$35)*(mysql_hardware_log!T553&lt;BenchmarkResults!$G$2:$G$35)*ROW(BenchmarkResults!$F$2:$F$35)),{1,3})</f>
        <v>q5_top_customers</v>
      </c>
      <c r="B553" s="13">
        <v>3</v>
      </c>
      <c r="C553" s="16">
        <v>1</v>
      </c>
      <c r="D553" s="18">
        <v>0</v>
      </c>
      <c r="E553" s="16">
        <v>423168</v>
      </c>
      <c r="F553" s="13">
        <v>140800</v>
      </c>
      <c r="G553" s="13">
        <v>2548</v>
      </c>
      <c r="H553" s="18">
        <v>3533096</v>
      </c>
      <c r="I553" s="16">
        <v>0</v>
      </c>
      <c r="J553" s="18">
        <v>0</v>
      </c>
      <c r="K553" s="16">
        <v>0</v>
      </c>
      <c r="L553" s="18">
        <v>3</v>
      </c>
      <c r="M553" s="16">
        <v>872</v>
      </c>
      <c r="N553" s="18">
        <v>2683</v>
      </c>
      <c r="O553" s="16">
        <v>38</v>
      </c>
      <c r="P553" s="13">
        <v>3</v>
      </c>
      <c r="Q553" s="13">
        <v>58</v>
      </c>
      <c r="R553" s="13">
        <v>0</v>
      </c>
      <c r="S553" s="18">
        <v>0</v>
      </c>
      <c r="T553" s="21">
        <v>46247.391319444447</v>
      </c>
      <c r="U553" s="55">
        <f t="shared" si="16"/>
        <v>1</v>
      </c>
      <c r="V553" s="55">
        <f t="shared" si="16"/>
        <v>0</v>
      </c>
      <c r="W553" s="56">
        <f t="shared" si="17"/>
        <v>0</v>
      </c>
    </row>
    <row r="554" spans="1:23" x14ac:dyDescent="0.3">
      <c r="A554" s="13" t="str" cm="1">
        <f t="array" ref="A554:B554">INDEX(BenchmarkResults!$B$1:$D$35,SUMPRODUCT((T554&gt;=BenchmarkResults!$F$2:$F$35)*(mysql_hardware_log!T554&lt;BenchmarkResults!$G$2:$G$35)*ROW(BenchmarkResults!$F$2:$F$35)),{1,3})</f>
        <v>q5_top_customers</v>
      </c>
      <c r="B554" s="13">
        <v>3</v>
      </c>
      <c r="C554" s="16">
        <v>1</v>
      </c>
      <c r="D554" s="18">
        <v>0</v>
      </c>
      <c r="E554" s="16">
        <v>423168</v>
      </c>
      <c r="F554" s="13">
        <v>140800</v>
      </c>
      <c r="G554" s="13">
        <v>2564</v>
      </c>
      <c r="H554" s="18">
        <v>3533140</v>
      </c>
      <c r="I554" s="16">
        <v>0</v>
      </c>
      <c r="J554" s="18">
        <v>0</v>
      </c>
      <c r="K554" s="16">
        <v>0</v>
      </c>
      <c r="L554" s="18">
        <v>3</v>
      </c>
      <c r="M554" s="16">
        <v>972</v>
      </c>
      <c r="N554" s="18">
        <v>2984</v>
      </c>
      <c r="O554" s="16">
        <v>38</v>
      </c>
      <c r="P554" s="13">
        <v>4</v>
      </c>
      <c r="Q554" s="13">
        <v>59</v>
      </c>
      <c r="R554" s="13">
        <v>0</v>
      </c>
      <c r="S554" s="18">
        <v>0</v>
      </c>
      <c r="T554" s="21">
        <v>46247.391435185185</v>
      </c>
      <c r="U554" s="55">
        <f t="shared" si="16"/>
        <v>1</v>
      </c>
      <c r="V554" s="55">
        <f t="shared" si="16"/>
        <v>0</v>
      </c>
      <c r="W554" s="56">
        <f t="shared" si="17"/>
        <v>0</v>
      </c>
    </row>
    <row r="555" spans="1:23" x14ac:dyDescent="0.3">
      <c r="A555" s="13" t="str" cm="1">
        <f t="array" ref="A555:B555">INDEX(BenchmarkResults!$B$1:$D$35,SUMPRODUCT((T555&gt;=BenchmarkResults!$F$2:$F$35)*(mysql_hardware_log!T555&lt;BenchmarkResults!$G$2:$G$35)*ROW(BenchmarkResults!$F$2:$F$35)),{1,3})</f>
        <v>q5_top_customers</v>
      </c>
      <c r="B555" s="13">
        <v>3</v>
      </c>
      <c r="C555" s="16">
        <v>2</v>
      </c>
      <c r="D555" s="18">
        <v>0</v>
      </c>
      <c r="E555" s="16">
        <v>423168</v>
      </c>
      <c r="F555" s="13">
        <v>140864</v>
      </c>
      <c r="G555" s="13">
        <v>2580</v>
      </c>
      <c r="H555" s="18">
        <v>3533168</v>
      </c>
      <c r="I555" s="16">
        <v>0</v>
      </c>
      <c r="J555" s="18">
        <v>0</v>
      </c>
      <c r="K555" s="16">
        <v>0</v>
      </c>
      <c r="L555" s="18">
        <v>16131</v>
      </c>
      <c r="M555" s="16">
        <v>983</v>
      </c>
      <c r="N555" s="18">
        <v>3156</v>
      </c>
      <c r="O555" s="16">
        <v>38</v>
      </c>
      <c r="P555" s="13">
        <v>4</v>
      </c>
      <c r="Q555" s="13">
        <v>51</v>
      </c>
      <c r="R555" s="13">
        <v>7</v>
      </c>
      <c r="S555" s="18">
        <v>0</v>
      </c>
      <c r="T555" s="21">
        <v>46247.391550925924</v>
      </c>
      <c r="U555" s="55">
        <f t="shared" si="16"/>
        <v>1.1666666666666667</v>
      </c>
      <c r="V555" s="55">
        <f t="shared" si="16"/>
        <v>0</v>
      </c>
      <c r="W555" s="56">
        <f t="shared" si="17"/>
        <v>0</v>
      </c>
    </row>
    <row r="556" spans="1:23" x14ac:dyDescent="0.3">
      <c r="A556" s="13" t="str" cm="1">
        <f t="array" ref="A556:B556">INDEX(BenchmarkResults!$B$1:$D$35,SUMPRODUCT((T556&gt;=BenchmarkResults!$F$2:$F$35)*(mysql_hardware_log!T556&lt;BenchmarkResults!$G$2:$G$35)*ROW(BenchmarkResults!$F$2:$F$35)),{1,3})</f>
        <v>q5_top_customers</v>
      </c>
      <c r="B556" s="13">
        <v>3</v>
      </c>
      <c r="C556" s="16">
        <v>2</v>
      </c>
      <c r="D556" s="18">
        <v>0</v>
      </c>
      <c r="E556" s="16">
        <v>423168</v>
      </c>
      <c r="F556" s="13">
        <v>140360</v>
      </c>
      <c r="G556" s="13">
        <v>2596</v>
      </c>
      <c r="H556" s="18">
        <v>3533196</v>
      </c>
      <c r="I556" s="16">
        <v>0</v>
      </c>
      <c r="J556" s="18">
        <v>0</v>
      </c>
      <c r="K556" s="16">
        <v>0</v>
      </c>
      <c r="L556" s="18">
        <v>3</v>
      </c>
      <c r="M556" s="16">
        <v>987</v>
      </c>
      <c r="N556" s="18">
        <v>3326</v>
      </c>
      <c r="O556" s="16">
        <v>38</v>
      </c>
      <c r="P556" s="13">
        <v>4</v>
      </c>
      <c r="Q556" s="13">
        <v>58</v>
      </c>
      <c r="R556" s="13">
        <v>0</v>
      </c>
      <c r="S556" s="18">
        <v>0</v>
      </c>
      <c r="T556" s="21">
        <v>46247.39166666667</v>
      </c>
      <c r="U556" s="55">
        <f t="shared" si="16"/>
        <v>1.3333333333333333</v>
      </c>
      <c r="V556" s="55">
        <f t="shared" si="16"/>
        <v>0</v>
      </c>
      <c r="W556" s="56">
        <f t="shared" si="17"/>
        <v>0</v>
      </c>
    </row>
    <row r="557" spans="1:23" x14ac:dyDescent="0.3">
      <c r="A557" s="13" t="str" cm="1">
        <f t="array" ref="A557:B557">INDEX(BenchmarkResults!$B$1:$D$35,SUMPRODUCT((T557&gt;=BenchmarkResults!$F$2:$F$35)*(mysql_hardware_log!T557&lt;BenchmarkResults!$G$2:$G$35)*ROW(BenchmarkResults!$F$2:$F$35)),{1,3})</f>
        <v>q5_top_customers</v>
      </c>
      <c r="B557" s="13">
        <v>3</v>
      </c>
      <c r="C557" s="16">
        <v>1</v>
      </c>
      <c r="D557" s="18">
        <v>0</v>
      </c>
      <c r="E557" s="16">
        <v>423168</v>
      </c>
      <c r="F557" s="13">
        <v>140360</v>
      </c>
      <c r="G557" s="13">
        <v>2612</v>
      </c>
      <c r="H557" s="18">
        <v>3533212</v>
      </c>
      <c r="I557" s="16">
        <v>0</v>
      </c>
      <c r="J557" s="18">
        <v>0</v>
      </c>
      <c r="K557" s="16">
        <v>0</v>
      </c>
      <c r="L557" s="18">
        <v>3</v>
      </c>
      <c r="M557" s="16">
        <v>858</v>
      </c>
      <c r="N557" s="18">
        <v>3459</v>
      </c>
      <c r="O557" s="16">
        <v>38</v>
      </c>
      <c r="P557" s="13">
        <v>4</v>
      </c>
      <c r="Q557" s="13">
        <v>58</v>
      </c>
      <c r="R557" s="13">
        <v>0</v>
      </c>
      <c r="S557" s="18">
        <v>0</v>
      </c>
      <c r="T557" s="21">
        <v>46247.391782407409</v>
      </c>
      <c r="U557" s="55">
        <f t="shared" si="16"/>
        <v>1.3333333333333333</v>
      </c>
      <c r="V557" s="55">
        <f t="shared" si="16"/>
        <v>0</v>
      </c>
      <c r="W557" s="56">
        <f t="shared" si="17"/>
        <v>0</v>
      </c>
    </row>
    <row r="558" spans="1:23" x14ac:dyDescent="0.3">
      <c r="A558" s="13" t="str" cm="1">
        <f t="array" ref="A558:B558">INDEX(BenchmarkResults!$B$1:$D$35,SUMPRODUCT((T558&gt;=BenchmarkResults!$F$2:$F$35)*(mysql_hardware_log!T558&lt;BenchmarkResults!$G$2:$G$35)*ROW(BenchmarkResults!$F$2:$F$35)),{1,3})</f>
        <v>q5_top_customers</v>
      </c>
      <c r="B558" s="13">
        <v>3</v>
      </c>
      <c r="C558" s="16">
        <v>1</v>
      </c>
      <c r="D558" s="18">
        <v>0</v>
      </c>
      <c r="E558" s="16">
        <v>423168</v>
      </c>
      <c r="F558" s="13">
        <v>141620</v>
      </c>
      <c r="G558" s="13">
        <v>2628</v>
      </c>
      <c r="H558" s="18">
        <v>3533224</v>
      </c>
      <c r="I558" s="16">
        <v>0</v>
      </c>
      <c r="J558" s="18">
        <v>0</v>
      </c>
      <c r="K558" s="16">
        <v>0</v>
      </c>
      <c r="L558" s="18">
        <v>17272</v>
      </c>
      <c r="M558" s="16">
        <v>949</v>
      </c>
      <c r="N558" s="18">
        <v>3396</v>
      </c>
      <c r="O558" s="16">
        <v>35</v>
      </c>
      <c r="P558" s="13">
        <v>5</v>
      </c>
      <c r="Q558" s="13">
        <v>52</v>
      </c>
      <c r="R558" s="13">
        <v>9</v>
      </c>
      <c r="S558" s="18">
        <v>0</v>
      </c>
      <c r="T558" s="21">
        <v>46247.391898148147</v>
      </c>
      <c r="U558" s="55">
        <f t="shared" si="16"/>
        <v>1.3333333333333333</v>
      </c>
      <c r="V558" s="55">
        <f t="shared" si="16"/>
        <v>0</v>
      </c>
      <c r="W558" s="56">
        <f t="shared" si="17"/>
        <v>0</v>
      </c>
    </row>
    <row r="559" spans="1:23" x14ac:dyDescent="0.3">
      <c r="A559" s="13" t="str" cm="1">
        <f t="array" ref="A559:B559">INDEX(BenchmarkResults!$B$1:$D$35,SUMPRODUCT((T559&gt;=BenchmarkResults!$F$2:$F$35)*(mysql_hardware_log!T559&lt;BenchmarkResults!$G$2:$G$35)*ROW(BenchmarkResults!$F$2:$F$35)),{1,3})</f>
        <v>q5_top_customers</v>
      </c>
      <c r="B559" s="13">
        <v>3</v>
      </c>
      <c r="C559" s="16">
        <v>3</v>
      </c>
      <c r="D559" s="18">
        <v>0</v>
      </c>
      <c r="E559" s="16">
        <v>423168</v>
      </c>
      <c r="F559" s="13">
        <v>141620</v>
      </c>
      <c r="G559" s="13">
        <v>2644</v>
      </c>
      <c r="H559" s="18">
        <v>3533228</v>
      </c>
      <c r="I559" s="16">
        <v>0</v>
      </c>
      <c r="J559" s="18">
        <v>0</v>
      </c>
      <c r="K559" s="16">
        <v>0</v>
      </c>
      <c r="L559" s="18">
        <v>3</v>
      </c>
      <c r="M559" s="16">
        <v>849</v>
      </c>
      <c r="N559" s="18">
        <v>3497</v>
      </c>
      <c r="O559" s="16">
        <v>36</v>
      </c>
      <c r="P559" s="13">
        <v>4</v>
      </c>
      <c r="Q559" s="13">
        <v>60</v>
      </c>
      <c r="R559" s="13">
        <v>0</v>
      </c>
      <c r="S559" s="18">
        <v>0</v>
      </c>
      <c r="T559" s="21">
        <v>46247.392013888886</v>
      </c>
      <c r="U559" s="55">
        <f t="shared" si="16"/>
        <v>1.6666666666666667</v>
      </c>
      <c r="V559" s="55">
        <f t="shared" si="16"/>
        <v>0</v>
      </c>
      <c r="W559" s="56">
        <f t="shared" si="17"/>
        <v>0</v>
      </c>
    </row>
    <row r="560" spans="1:23" x14ac:dyDescent="0.3">
      <c r="A560" s="13" t="str" cm="1">
        <f t="array" ref="A560:B560">INDEX(BenchmarkResults!$B$1:$D$35,SUMPRODUCT((T560&gt;=BenchmarkResults!$F$2:$F$35)*(mysql_hardware_log!T560&lt;BenchmarkResults!$G$2:$G$35)*ROW(BenchmarkResults!$F$2:$F$35)),{1,3})</f>
        <v>q5_top_customers</v>
      </c>
      <c r="B560" s="13">
        <v>3</v>
      </c>
      <c r="C560" s="16">
        <v>1</v>
      </c>
      <c r="D560" s="18">
        <v>0</v>
      </c>
      <c r="E560" s="16">
        <v>423168</v>
      </c>
      <c r="F560" s="13">
        <v>141116</v>
      </c>
      <c r="G560" s="13">
        <v>2660</v>
      </c>
      <c r="H560" s="18">
        <v>3533236</v>
      </c>
      <c r="I560" s="16">
        <v>0</v>
      </c>
      <c r="J560" s="18">
        <v>0</v>
      </c>
      <c r="K560" s="16">
        <v>0</v>
      </c>
      <c r="L560" s="18">
        <v>4</v>
      </c>
      <c r="M560" s="16">
        <v>996</v>
      </c>
      <c r="N560" s="18">
        <v>3708</v>
      </c>
      <c r="O560" s="16">
        <v>37</v>
      </c>
      <c r="P560" s="13">
        <v>4</v>
      </c>
      <c r="Q560" s="13">
        <v>59</v>
      </c>
      <c r="R560" s="13">
        <v>0</v>
      </c>
      <c r="S560" s="18">
        <v>0</v>
      </c>
      <c r="T560" s="21">
        <v>46247.392129629632</v>
      </c>
      <c r="U560" s="55">
        <f t="shared" si="16"/>
        <v>1.6666666666666667</v>
      </c>
      <c r="V560" s="55">
        <f t="shared" si="16"/>
        <v>0</v>
      </c>
      <c r="W560" s="56">
        <f t="shared" si="17"/>
        <v>0</v>
      </c>
    </row>
    <row r="561" spans="1:23" x14ac:dyDescent="0.3">
      <c r="A561" s="13" t="str" cm="1">
        <f t="array" ref="A561:B561">INDEX(BenchmarkResults!$B$1:$D$35,SUMPRODUCT((T561&gt;=BenchmarkResults!$F$2:$F$35)*(mysql_hardware_log!T561&lt;BenchmarkResults!$G$2:$G$35)*ROW(BenchmarkResults!$F$2:$F$35)),{1,3})</f>
        <v>q5_top_customers</v>
      </c>
      <c r="B561" s="13">
        <v>3</v>
      </c>
      <c r="C561" s="16">
        <v>3</v>
      </c>
      <c r="D561" s="18">
        <v>0</v>
      </c>
      <c r="E561" s="16">
        <v>423168</v>
      </c>
      <c r="F561" s="13">
        <v>141116</v>
      </c>
      <c r="G561" s="13">
        <v>2676</v>
      </c>
      <c r="H561" s="18">
        <v>3533244</v>
      </c>
      <c r="I561" s="16">
        <v>0</v>
      </c>
      <c r="J561" s="18">
        <v>0</v>
      </c>
      <c r="K561" s="16">
        <v>0</v>
      </c>
      <c r="L561" s="18">
        <v>3</v>
      </c>
      <c r="M561" s="16">
        <v>1085</v>
      </c>
      <c r="N561" s="18">
        <v>3494</v>
      </c>
      <c r="O561" s="16">
        <v>38</v>
      </c>
      <c r="P561" s="13">
        <v>4</v>
      </c>
      <c r="Q561" s="13">
        <v>58</v>
      </c>
      <c r="R561" s="13">
        <v>0</v>
      </c>
      <c r="S561" s="18">
        <v>0</v>
      </c>
      <c r="T561" s="21">
        <v>46247.392245370371</v>
      </c>
      <c r="U561" s="55">
        <f t="shared" si="16"/>
        <v>1.8333333333333333</v>
      </c>
      <c r="V561" s="55">
        <f t="shared" si="16"/>
        <v>0</v>
      </c>
      <c r="W561" s="56">
        <f t="shared" si="17"/>
        <v>0</v>
      </c>
    </row>
    <row r="562" spans="1:23" x14ac:dyDescent="0.3">
      <c r="A562" s="13" t="str" cm="1">
        <f t="array" ref="A562:B562">INDEX(BenchmarkResults!$B$1:$D$35,SUMPRODUCT((T562&gt;=BenchmarkResults!$F$2:$F$35)*(mysql_hardware_log!T562&lt;BenchmarkResults!$G$2:$G$35)*ROW(BenchmarkResults!$F$2:$F$35)),{1,3})</f>
        <v>q5_top_customers</v>
      </c>
      <c r="B562" s="13">
        <v>3</v>
      </c>
      <c r="C562" s="16">
        <v>1</v>
      </c>
      <c r="D562" s="18">
        <v>0</v>
      </c>
      <c r="E562" s="16">
        <v>423168</v>
      </c>
      <c r="F562" s="13">
        <v>140644</v>
      </c>
      <c r="G562" s="13">
        <v>2692</v>
      </c>
      <c r="H562" s="18">
        <v>3533260</v>
      </c>
      <c r="I562" s="16">
        <v>0</v>
      </c>
      <c r="J562" s="18">
        <v>0</v>
      </c>
      <c r="K562" s="16">
        <v>0</v>
      </c>
      <c r="L562" s="18">
        <v>16283</v>
      </c>
      <c r="M562" s="16">
        <v>938</v>
      </c>
      <c r="N562" s="18">
        <v>3489</v>
      </c>
      <c r="O562" s="16">
        <v>36</v>
      </c>
      <c r="P562" s="13">
        <v>4</v>
      </c>
      <c r="Q562" s="13">
        <v>52</v>
      </c>
      <c r="R562" s="13">
        <v>8</v>
      </c>
      <c r="S562" s="18">
        <v>0</v>
      </c>
      <c r="T562" s="21">
        <v>46247.392361111109</v>
      </c>
      <c r="U562" s="55">
        <f t="shared" si="16"/>
        <v>1.6666666666666667</v>
      </c>
      <c r="V562" s="55">
        <f t="shared" si="16"/>
        <v>0</v>
      </c>
      <c r="W562" s="56">
        <f t="shared" si="17"/>
        <v>0</v>
      </c>
    </row>
    <row r="563" spans="1:23" x14ac:dyDescent="0.3">
      <c r="A563" s="13" t="str" cm="1">
        <f t="array" ref="A563:B563">INDEX(BenchmarkResults!$B$1:$D$35,SUMPRODUCT((T563&gt;=BenchmarkResults!$F$2:$F$35)*(mysql_hardware_log!T563&lt;BenchmarkResults!$G$2:$G$35)*ROW(BenchmarkResults!$F$2:$F$35)),{1,3})</f>
        <v>q5_top_customers</v>
      </c>
      <c r="B563" s="13">
        <v>3</v>
      </c>
      <c r="C563" s="16">
        <v>1</v>
      </c>
      <c r="D563" s="18">
        <v>0</v>
      </c>
      <c r="E563" s="16">
        <v>423168</v>
      </c>
      <c r="F563" s="13">
        <v>140644</v>
      </c>
      <c r="G563" s="13">
        <v>2708</v>
      </c>
      <c r="H563" s="18">
        <v>3533292</v>
      </c>
      <c r="I563" s="16">
        <v>0</v>
      </c>
      <c r="J563" s="18">
        <v>0</v>
      </c>
      <c r="K563" s="16">
        <v>0</v>
      </c>
      <c r="L563" s="18">
        <v>3</v>
      </c>
      <c r="M563" s="16">
        <v>1144</v>
      </c>
      <c r="N563" s="18">
        <v>4002</v>
      </c>
      <c r="O563" s="16">
        <v>37</v>
      </c>
      <c r="P563" s="13">
        <v>4</v>
      </c>
      <c r="Q563" s="13">
        <v>59</v>
      </c>
      <c r="R563" s="13">
        <v>0</v>
      </c>
      <c r="S563" s="18">
        <v>0</v>
      </c>
      <c r="T563" s="21">
        <v>46247.392476851855</v>
      </c>
      <c r="U563" s="55">
        <f t="shared" si="16"/>
        <v>1.6666666666666667</v>
      </c>
      <c r="V563" s="55">
        <f t="shared" si="16"/>
        <v>0</v>
      </c>
      <c r="W563" s="56">
        <f t="shared" si="17"/>
        <v>0</v>
      </c>
    </row>
    <row r="564" spans="1:23" x14ac:dyDescent="0.3">
      <c r="A564" s="13" t="str" cm="1">
        <f t="array" ref="A564:B564">INDEX(BenchmarkResults!$B$1:$D$35,SUMPRODUCT((T564&gt;=BenchmarkResults!$F$2:$F$35)*(mysql_hardware_log!T564&lt;BenchmarkResults!$G$2:$G$35)*ROW(BenchmarkResults!$F$2:$F$35)),{1,3})</f>
        <v>q5_top_customers</v>
      </c>
      <c r="B564" s="13">
        <v>3</v>
      </c>
      <c r="C564" s="16">
        <v>1</v>
      </c>
      <c r="D564" s="18">
        <v>0</v>
      </c>
      <c r="E564" s="16">
        <v>423168</v>
      </c>
      <c r="F564" s="13">
        <v>140644</v>
      </c>
      <c r="G564" s="13">
        <v>2724</v>
      </c>
      <c r="H564" s="18">
        <v>3533324</v>
      </c>
      <c r="I564" s="16">
        <v>0</v>
      </c>
      <c r="J564" s="18">
        <v>0</v>
      </c>
      <c r="K564" s="16">
        <v>0</v>
      </c>
      <c r="L564" s="18">
        <v>4</v>
      </c>
      <c r="M564" s="16">
        <v>1394</v>
      </c>
      <c r="N564" s="18">
        <v>4385</v>
      </c>
      <c r="O564" s="16">
        <v>37</v>
      </c>
      <c r="P564" s="13">
        <v>4</v>
      </c>
      <c r="Q564" s="13">
        <v>58</v>
      </c>
      <c r="R564" s="13">
        <v>0</v>
      </c>
      <c r="S564" s="18">
        <v>0</v>
      </c>
      <c r="T564" s="21">
        <v>46247.392592592594</v>
      </c>
      <c r="U564" s="55">
        <f t="shared" si="16"/>
        <v>1.6666666666666667</v>
      </c>
      <c r="V564" s="55">
        <f t="shared" si="16"/>
        <v>0</v>
      </c>
      <c r="W564" s="56">
        <f t="shared" si="17"/>
        <v>0</v>
      </c>
    </row>
    <row r="565" spans="1:23" x14ac:dyDescent="0.3">
      <c r="A565" s="13" t="str" cm="1">
        <f t="array" ref="A565:B565">INDEX(BenchmarkResults!$B$1:$D$35,SUMPRODUCT((T565&gt;=BenchmarkResults!$F$2:$F$35)*(mysql_hardware_log!T565&lt;BenchmarkResults!$G$2:$G$35)*ROW(BenchmarkResults!$F$2:$F$35)),{1,3})</f>
        <v>q5_top_customers</v>
      </c>
      <c r="B565" s="13">
        <v>3</v>
      </c>
      <c r="C565" s="16">
        <v>1</v>
      </c>
      <c r="D565" s="18">
        <v>0</v>
      </c>
      <c r="E565" s="16">
        <v>423168</v>
      </c>
      <c r="F565" s="13">
        <v>141748</v>
      </c>
      <c r="G565" s="13">
        <v>2740</v>
      </c>
      <c r="H565" s="18">
        <v>3533356</v>
      </c>
      <c r="I565" s="16">
        <v>0</v>
      </c>
      <c r="J565" s="18">
        <v>0</v>
      </c>
      <c r="K565" s="16">
        <v>0</v>
      </c>
      <c r="L565" s="18">
        <v>16787</v>
      </c>
      <c r="M565" s="16">
        <v>1296</v>
      </c>
      <c r="N565" s="18">
        <v>4573</v>
      </c>
      <c r="O565" s="16">
        <v>38</v>
      </c>
      <c r="P565" s="13">
        <v>5</v>
      </c>
      <c r="Q565" s="13">
        <v>47</v>
      </c>
      <c r="R565" s="13">
        <v>9</v>
      </c>
      <c r="S565" s="18">
        <v>0</v>
      </c>
      <c r="T565" s="21">
        <v>46247.392708333333</v>
      </c>
      <c r="U565" s="55">
        <f t="shared" si="16"/>
        <v>1.3333333333333333</v>
      </c>
      <c r="V565" s="55">
        <f t="shared" si="16"/>
        <v>0</v>
      </c>
      <c r="W565" s="56">
        <f t="shared" si="17"/>
        <v>0</v>
      </c>
    </row>
    <row r="566" spans="1:23" x14ac:dyDescent="0.3">
      <c r="A566" s="13" t="str" cm="1">
        <f t="array" ref="A566:B566">INDEX(BenchmarkResults!$B$1:$D$35,SUMPRODUCT((T566&gt;=BenchmarkResults!$F$2:$F$35)*(mysql_hardware_log!T566&lt;BenchmarkResults!$G$2:$G$35)*ROW(BenchmarkResults!$F$2:$F$35)),{1,3})</f>
        <v>q5_top_customers</v>
      </c>
      <c r="B566" s="13">
        <v>3</v>
      </c>
      <c r="C566" s="16">
        <v>2</v>
      </c>
      <c r="D566" s="18">
        <v>0</v>
      </c>
      <c r="E566" s="16">
        <v>423168</v>
      </c>
      <c r="F566" s="13">
        <v>137240</v>
      </c>
      <c r="G566" s="13">
        <v>2756</v>
      </c>
      <c r="H566" s="18">
        <v>3533660</v>
      </c>
      <c r="I566" s="16">
        <v>0</v>
      </c>
      <c r="J566" s="18">
        <v>0</v>
      </c>
      <c r="K566" s="16">
        <v>24</v>
      </c>
      <c r="L566" s="18">
        <v>3</v>
      </c>
      <c r="M566" s="16">
        <v>1331</v>
      </c>
      <c r="N566" s="18">
        <v>4864</v>
      </c>
      <c r="O566" s="16">
        <v>37</v>
      </c>
      <c r="P566" s="13">
        <v>5</v>
      </c>
      <c r="Q566" s="13">
        <v>57</v>
      </c>
      <c r="R566" s="13">
        <v>0</v>
      </c>
      <c r="S566" s="18">
        <v>0</v>
      </c>
      <c r="T566" s="21">
        <v>46247.392824074072</v>
      </c>
      <c r="U566" s="55">
        <f t="shared" si="16"/>
        <v>1.5</v>
      </c>
      <c r="V566" s="55">
        <f t="shared" si="16"/>
        <v>0</v>
      </c>
      <c r="W566" s="56">
        <f t="shared" si="17"/>
        <v>4</v>
      </c>
    </row>
    <row r="567" spans="1:23" x14ac:dyDescent="0.3">
      <c r="A567" s="13" t="str" cm="1">
        <f t="array" ref="A567:B567">INDEX(BenchmarkResults!$B$1:$D$35,SUMPRODUCT((T567&gt;=BenchmarkResults!$F$2:$F$35)*(mysql_hardware_log!T567&lt;BenchmarkResults!$G$2:$G$35)*ROW(BenchmarkResults!$F$2:$F$35)),{1,3})</f>
        <v>q5_top_customers</v>
      </c>
      <c r="B567" s="13">
        <v>3</v>
      </c>
      <c r="C567" s="16">
        <v>3</v>
      </c>
      <c r="D567" s="18">
        <v>0</v>
      </c>
      <c r="E567" s="16">
        <v>423168</v>
      </c>
      <c r="F567" s="13">
        <v>136988</v>
      </c>
      <c r="G567" s="13">
        <v>2780</v>
      </c>
      <c r="H567" s="18">
        <v>3533704</v>
      </c>
      <c r="I567" s="16">
        <v>0</v>
      </c>
      <c r="J567" s="18">
        <v>0</v>
      </c>
      <c r="K567" s="16">
        <v>0</v>
      </c>
      <c r="L567" s="18">
        <v>34</v>
      </c>
      <c r="M567" s="16">
        <v>1699</v>
      </c>
      <c r="N567" s="18">
        <v>5452</v>
      </c>
      <c r="O567" s="16">
        <v>36</v>
      </c>
      <c r="P567" s="13">
        <v>6</v>
      </c>
      <c r="Q567" s="13">
        <v>57</v>
      </c>
      <c r="R567" s="13">
        <v>1</v>
      </c>
      <c r="S567" s="18">
        <v>0</v>
      </c>
      <c r="T567" s="21">
        <v>46247.392939814818</v>
      </c>
      <c r="U567" s="55">
        <f t="shared" si="16"/>
        <v>1.5</v>
      </c>
      <c r="V567" s="55">
        <f t="shared" si="16"/>
        <v>0</v>
      </c>
      <c r="W567" s="56">
        <f t="shared" si="17"/>
        <v>4</v>
      </c>
    </row>
    <row r="568" spans="1:23" x14ac:dyDescent="0.3">
      <c r="A568" s="13" t="str" cm="1">
        <f t="array" ref="A568:B568">INDEX(BenchmarkResults!$B$1:$D$35,SUMPRODUCT((T568&gt;=BenchmarkResults!$F$2:$F$35)*(mysql_hardware_log!T568&lt;BenchmarkResults!$G$2:$G$35)*ROW(BenchmarkResults!$F$2:$F$35)),{1,3})</f>
        <v>q5_top_customers</v>
      </c>
      <c r="B568" s="13">
        <v>3</v>
      </c>
      <c r="C568" s="16">
        <v>1</v>
      </c>
      <c r="D568" s="18">
        <v>0</v>
      </c>
      <c r="E568" s="16">
        <v>423168</v>
      </c>
      <c r="F568" s="13">
        <v>141180</v>
      </c>
      <c r="G568" s="13">
        <v>2796</v>
      </c>
      <c r="H568" s="18">
        <v>3533720</v>
      </c>
      <c r="I568" s="16">
        <v>0</v>
      </c>
      <c r="J568" s="18">
        <v>0</v>
      </c>
      <c r="K568" s="16">
        <v>0</v>
      </c>
      <c r="L568" s="18">
        <v>21450</v>
      </c>
      <c r="M568" s="16">
        <v>1527</v>
      </c>
      <c r="N568" s="18">
        <v>5790</v>
      </c>
      <c r="O568" s="16">
        <v>39</v>
      </c>
      <c r="P568" s="13">
        <v>7</v>
      </c>
      <c r="Q568" s="13">
        <v>46</v>
      </c>
      <c r="R568" s="13">
        <v>8</v>
      </c>
      <c r="S568" s="18">
        <v>0</v>
      </c>
      <c r="T568" s="21">
        <v>46247.393055555556</v>
      </c>
      <c r="U568" s="55">
        <f t="shared" si="16"/>
        <v>1.5</v>
      </c>
      <c r="V568" s="55">
        <f t="shared" si="16"/>
        <v>0</v>
      </c>
      <c r="W568" s="56">
        <f t="shared" si="17"/>
        <v>4</v>
      </c>
    </row>
    <row r="569" spans="1:23" x14ac:dyDescent="0.3">
      <c r="A569" s="13" t="str" cm="1">
        <f t="array" ref="A569:B569">INDEX(BenchmarkResults!$B$1:$D$35,SUMPRODUCT((T569&gt;=BenchmarkResults!$F$2:$F$35)*(mysql_hardware_log!T569&lt;BenchmarkResults!$G$2:$G$35)*ROW(BenchmarkResults!$F$2:$F$35)),{1,3})</f>
        <v>q5_top_customers</v>
      </c>
      <c r="B569" s="13">
        <v>3</v>
      </c>
      <c r="C569" s="16">
        <v>1</v>
      </c>
      <c r="D569" s="18">
        <v>0</v>
      </c>
      <c r="E569" s="16">
        <v>423168</v>
      </c>
      <c r="F569" s="13">
        <v>141512</v>
      </c>
      <c r="G569" s="13">
        <v>2812</v>
      </c>
      <c r="H569" s="18">
        <v>3533720</v>
      </c>
      <c r="I569" s="16">
        <v>0</v>
      </c>
      <c r="J569" s="18">
        <v>0</v>
      </c>
      <c r="K569" s="16">
        <v>0</v>
      </c>
      <c r="L569" s="18">
        <v>13299</v>
      </c>
      <c r="M569" s="16">
        <v>1670</v>
      </c>
      <c r="N569" s="18">
        <v>6036</v>
      </c>
      <c r="O569" s="16">
        <v>38</v>
      </c>
      <c r="P569" s="13">
        <v>8</v>
      </c>
      <c r="Q569" s="13">
        <v>44</v>
      </c>
      <c r="R569" s="13">
        <v>9</v>
      </c>
      <c r="S569" s="18">
        <v>0</v>
      </c>
      <c r="T569" s="21">
        <v>46247.393171296295</v>
      </c>
      <c r="U569" s="55">
        <f t="shared" si="16"/>
        <v>1.5</v>
      </c>
      <c r="V569" s="55">
        <f t="shared" si="16"/>
        <v>0</v>
      </c>
      <c r="W569" s="56">
        <f t="shared" si="17"/>
        <v>4</v>
      </c>
    </row>
    <row r="570" spans="1:23" x14ac:dyDescent="0.3">
      <c r="A570" s="13" t="str" cm="1">
        <f t="array" ref="A570:B570">INDEX(BenchmarkResults!$B$1:$D$35,SUMPRODUCT((T570&gt;=BenchmarkResults!$F$2:$F$35)*(mysql_hardware_log!T570&lt;BenchmarkResults!$G$2:$G$35)*ROW(BenchmarkResults!$F$2:$F$35)),{1,3})</f>
        <v>q5_top_customers</v>
      </c>
      <c r="B570" s="13">
        <v>3</v>
      </c>
      <c r="C570" s="16">
        <v>1</v>
      </c>
      <c r="D570" s="18">
        <v>0</v>
      </c>
      <c r="E570" s="16">
        <v>423168</v>
      </c>
      <c r="F570" s="13">
        <v>140756</v>
      </c>
      <c r="G570" s="13">
        <v>2828</v>
      </c>
      <c r="H570" s="18">
        <v>3533724</v>
      </c>
      <c r="I570" s="16">
        <v>0</v>
      </c>
      <c r="J570" s="18">
        <v>0</v>
      </c>
      <c r="K570" s="16">
        <v>0</v>
      </c>
      <c r="L570" s="18">
        <v>3</v>
      </c>
      <c r="M570" s="16">
        <v>1574</v>
      </c>
      <c r="N570" s="18">
        <v>6479</v>
      </c>
      <c r="O570" s="16">
        <v>40</v>
      </c>
      <c r="P570" s="13">
        <v>7</v>
      </c>
      <c r="Q570" s="13">
        <v>53</v>
      </c>
      <c r="R570" s="13">
        <v>0</v>
      </c>
      <c r="S570" s="18">
        <v>0</v>
      </c>
      <c r="T570" s="21">
        <v>46247.393287037034</v>
      </c>
      <c r="U570" s="55">
        <f t="shared" si="16"/>
        <v>1.5</v>
      </c>
      <c r="V570" s="55">
        <f t="shared" si="16"/>
        <v>0</v>
      </c>
      <c r="W570" s="56">
        <f t="shared" si="17"/>
        <v>4</v>
      </c>
    </row>
    <row r="571" spans="1:23" x14ac:dyDescent="0.3">
      <c r="A571" s="13" t="str" cm="1">
        <f t="array" ref="A571:B571">INDEX(BenchmarkResults!$B$1:$D$35,SUMPRODUCT((T571&gt;=BenchmarkResults!$F$2:$F$35)*(mysql_hardware_log!T571&lt;BenchmarkResults!$G$2:$G$35)*ROW(BenchmarkResults!$F$2:$F$35)),{1,3})</f>
        <v>q5_top_customers</v>
      </c>
      <c r="B571" s="13">
        <v>3</v>
      </c>
      <c r="C571" s="16">
        <v>1</v>
      </c>
      <c r="D571" s="18">
        <v>0</v>
      </c>
      <c r="E571" s="16">
        <v>423168</v>
      </c>
      <c r="F571" s="13">
        <v>140756</v>
      </c>
      <c r="G571" s="13">
        <v>2844</v>
      </c>
      <c r="H571" s="18">
        <v>3533724</v>
      </c>
      <c r="I571" s="16">
        <v>0</v>
      </c>
      <c r="J571" s="18">
        <v>0</v>
      </c>
      <c r="K571" s="16">
        <v>0</v>
      </c>
      <c r="L571" s="18">
        <v>4</v>
      </c>
      <c r="M571" s="16">
        <v>1595</v>
      </c>
      <c r="N571" s="18">
        <v>6967</v>
      </c>
      <c r="O571" s="16">
        <v>38</v>
      </c>
      <c r="P571" s="13">
        <v>7</v>
      </c>
      <c r="Q571" s="13">
        <v>54</v>
      </c>
      <c r="R571" s="13">
        <v>0</v>
      </c>
      <c r="S571" s="18">
        <v>0</v>
      </c>
      <c r="T571" s="21">
        <v>46247.39340277778</v>
      </c>
      <c r="U571" s="55">
        <f t="shared" si="16"/>
        <v>1.5</v>
      </c>
      <c r="V571" s="55">
        <f t="shared" si="16"/>
        <v>0</v>
      </c>
      <c r="W571" s="56">
        <f t="shared" si="17"/>
        <v>4</v>
      </c>
    </row>
    <row r="572" spans="1:23" x14ac:dyDescent="0.3">
      <c r="A572" s="13" t="str" cm="1">
        <f t="array" ref="A572:B572">INDEX(BenchmarkResults!$B$1:$D$35,SUMPRODUCT((T572&gt;=BenchmarkResults!$F$2:$F$35)*(mysql_hardware_log!T572&lt;BenchmarkResults!$G$2:$G$35)*ROW(BenchmarkResults!$F$2:$F$35)),{1,3})</f>
        <v>q5_top_customers</v>
      </c>
      <c r="B572" s="13">
        <v>3</v>
      </c>
      <c r="C572" s="16">
        <v>4</v>
      </c>
      <c r="D572" s="18">
        <v>0</v>
      </c>
      <c r="E572" s="16">
        <v>423168</v>
      </c>
      <c r="F572" s="13">
        <v>99332</v>
      </c>
      <c r="G572" s="13">
        <v>2860</v>
      </c>
      <c r="H572" s="18">
        <v>2995532</v>
      </c>
      <c r="I572" s="16">
        <v>0</v>
      </c>
      <c r="J572" s="18">
        <v>0</v>
      </c>
      <c r="K572" s="16">
        <v>182</v>
      </c>
      <c r="L572" s="18">
        <v>20418</v>
      </c>
      <c r="M572" s="16">
        <v>1532</v>
      </c>
      <c r="N572" s="18">
        <v>4733</v>
      </c>
      <c r="O572" s="16">
        <v>39</v>
      </c>
      <c r="P572" s="13">
        <v>16</v>
      </c>
      <c r="Q572" s="13">
        <v>40</v>
      </c>
      <c r="R572" s="13">
        <v>4</v>
      </c>
      <c r="S572" s="18">
        <v>0</v>
      </c>
      <c r="T572" s="21">
        <v>46247.393518518518</v>
      </c>
      <c r="U572" s="55">
        <f t="shared" si="16"/>
        <v>1.8333333333333333</v>
      </c>
      <c r="V572" s="55">
        <f t="shared" si="16"/>
        <v>0</v>
      </c>
      <c r="W572" s="56">
        <f t="shared" si="17"/>
        <v>30.333333333333332</v>
      </c>
    </row>
    <row r="573" spans="1:23" x14ac:dyDescent="0.3">
      <c r="A573" s="13" t="str" cm="1">
        <f t="array" ref="A573:B573">INDEX(BenchmarkResults!$B$1:$D$35,SUMPRODUCT((T573&gt;=BenchmarkResults!$F$2:$F$35)*(mysql_hardware_log!T573&lt;BenchmarkResults!$G$2:$G$35)*ROW(BenchmarkResults!$F$2:$F$35)),{1,3})</f>
        <v>q5_top_customers</v>
      </c>
      <c r="B573" s="13">
        <v>3</v>
      </c>
      <c r="C573" s="16">
        <v>1</v>
      </c>
      <c r="D573" s="18">
        <v>0</v>
      </c>
      <c r="E573" s="16">
        <v>423680</v>
      </c>
      <c r="F573" s="13">
        <v>1018196</v>
      </c>
      <c r="G573" s="13">
        <v>2140</v>
      </c>
      <c r="H573" s="18">
        <v>2644172</v>
      </c>
      <c r="I573" s="16">
        <v>0</v>
      </c>
      <c r="J573" s="18">
        <v>41</v>
      </c>
      <c r="K573" s="16">
        <v>3018</v>
      </c>
      <c r="L573" s="18">
        <v>44</v>
      </c>
      <c r="M573" s="16">
        <v>1895</v>
      </c>
      <c r="N573" s="18">
        <v>5553</v>
      </c>
      <c r="O573" s="16">
        <v>36</v>
      </c>
      <c r="P573" s="13">
        <v>15</v>
      </c>
      <c r="Q573" s="13">
        <v>48</v>
      </c>
      <c r="R573" s="13">
        <v>1</v>
      </c>
      <c r="S573" s="18">
        <v>0</v>
      </c>
      <c r="T573" s="21">
        <v>46247.393634259257</v>
      </c>
      <c r="U573" s="55">
        <f t="shared" si="16"/>
        <v>1.5</v>
      </c>
      <c r="V573" s="55">
        <f t="shared" si="16"/>
        <v>0</v>
      </c>
      <c r="W573" s="56">
        <f t="shared" si="17"/>
        <v>533.33333333333337</v>
      </c>
    </row>
    <row r="574" spans="1:23" x14ac:dyDescent="0.3">
      <c r="A574" s="13" t="str" cm="1">
        <f t="array" ref="A574:B574">INDEX(BenchmarkResults!$B$1:$D$35,SUMPRODUCT((T574&gt;=BenchmarkResults!$F$2:$F$35)*(mysql_hardware_log!T574&lt;BenchmarkResults!$G$2:$G$35)*ROW(BenchmarkResults!$F$2:$F$35)),{1,3})</f>
        <v>q5_top_customers</v>
      </c>
      <c r="B574" s="13">
        <v>3</v>
      </c>
      <c r="C574" s="16">
        <v>1</v>
      </c>
      <c r="D574" s="18">
        <v>0</v>
      </c>
      <c r="E574" s="16">
        <v>423680</v>
      </c>
      <c r="F574" s="13">
        <v>973844</v>
      </c>
      <c r="G574" s="13">
        <v>2156</v>
      </c>
      <c r="H574" s="18">
        <v>2683744</v>
      </c>
      <c r="I574" s="16">
        <v>0</v>
      </c>
      <c r="J574" s="18">
        <v>0</v>
      </c>
      <c r="K574" s="16">
        <v>3664</v>
      </c>
      <c r="L574" s="18">
        <v>3</v>
      </c>
      <c r="M574" s="16">
        <v>1858</v>
      </c>
      <c r="N574" s="18">
        <v>7146</v>
      </c>
      <c r="O574" s="16">
        <v>35</v>
      </c>
      <c r="P574" s="13">
        <v>8</v>
      </c>
      <c r="Q574" s="13">
        <v>56</v>
      </c>
      <c r="R574" s="13">
        <v>1</v>
      </c>
      <c r="S574" s="18">
        <v>0</v>
      </c>
      <c r="T574" s="21">
        <v>46247.393750000003</v>
      </c>
      <c r="U574" s="55">
        <f t="shared" si="16"/>
        <v>1.5</v>
      </c>
      <c r="V574" s="55">
        <f t="shared" si="16"/>
        <v>0</v>
      </c>
      <c r="W574" s="56">
        <f t="shared" si="17"/>
        <v>1144</v>
      </c>
    </row>
    <row r="575" spans="1:23" x14ac:dyDescent="0.3">
      <c r="A575" s="13" t="str" cm="1">
        <f t="array" ref="A575:B575">INDEX(BenchmarkResults!$B$1:$D$35,SUMPRODUCT((T575&gt;=BenchmarkResults!$F$2:$F$35)*(mysql_hardware_log!T575&lt;BenchmarkResults!$G$2:$G$35)*ROW(BenchmarkResults!$F$2:$F$35)),{1,3})</f>
        <v>q5_top_customers</v>
      </c>
      <c r="B575" s="13">
        <v>3</v>
      </c>
      <c r="C575" s="16">
        <v>3</v>
      </c>
      <c r="D575" s="18">
        <v>1</v>
      </c>
      <c r="E575" s="16">
        <v>423680</v>
      </c>
      <c r="F575" s="13">
        <v>939688</v>
      </c>
      <c r="G575" s="13">
        <v>2172</v>
      </c>
      <c r="H575" s="18">
        <v>2725216</v>
      </c>
      <c r="I575" s="16">
        <v>0</v>
      </c>
      <c r="J575" s="18">
        <v>0</v>
      </c>
      <c r="K575" s="16">
        <v>3826</v>
      </c>
      <c r="L575" s="18">
        <v>17860</v>
      </c>
      <c r="M575" s="16">
        <v>1911</v>
      </c>
      <c r="N575" s="18">
        <v>7284</v>
      </c>
      <c r="O575" s="16">
        <v>36</v>
      </c>
      <c r="P575" s="13">
        <v>9</v>
      </c>
      <c r="Q575" s="13">
        <v>49</v>
      </c>
      <c r="R575" s="13">
        <v>6</v>
      </c>
      <c r="S575" s="18">
        <v>0</v>
      </c>
      <c r="T575" s="21">
        <v>46247.393865740742</v>
      </c>
      <c r="U575" s="55">
        <f t="shared" si="16"/>
        <v>1.8333333333333333</v>
      </c>
      <c r="V575" s="55">
        <f t="shared" si="16"/>
        <v>0.16666666666666666</v>
      </c>
      <c r="W575" s="56">
        <f t="shared" si="17"/>
        <v>1781.6666666666667</v>
      </c>
    </row>
    <row r="576" spans="1:23" x14ac:dyDescent="0.3">
      <c r="A576" s="13" t="str" cm="1">
        <f t="array" ref="A576:B576">INDEX(BenchmarkResults!$B$1:$D$35,SUMPRODUCT((T576&gt;=BenchmarkResults!$F$2:$F$35)*(mysql_hardware_log!T576&lt;BenchmarkResults!$G$2:$G$35)*ROW(BenchmarkResults!$F$2:$F$35)),{1,3})</f>
        <v>q5_top_customers</v>
      </c>
      <c r="B576" s="13">
        <v>3</v>
      </c>
      <c r="C576" s="16">
        <v>1</v>
      </c>
      <c r="D576" s="18">
        <v>0</v>
      </c>
      <c r="E576" s="16">
        <v>423680</v>
      </c>
      <c r="F576" s="13">
        <v>895960</v>
      </c>
      <c r="G576" s="13">
        <v>2188</v>
      </c>
      <c r="H576" s="18">
        <v>2762604</v>
      </c>
      <c r="I576" s="16">
        <v>0</v>
      </c>
      <c r="J576" s="18">
        <v>0</v>
      </c>
      <c r="K576" s="16">
        <v>3400</v>
      </c>
      <c r="L576" s="18">
        <v>25565</v>
      </c>
      <c r="M576" s="16">
        <v>2079</v>
      </c>
      <c r="N576" s="18">
        <v>7729</v>
      </c>
      <c r="O576" s="16">
        <v>40</v>
      </c>
      <c r="P576" s="13">
        <v>11</v>
      </c>
      <c r="Q576" s="13">
        <v>39</v>
      </c>
      <c r="R576" s="13">
        <v>10</v>
      </c>
      <c r="S576" s="18">
        <v>0</v>
      </c>
      <c r="T576" s="21">
        <v>46247.39398148148</v>
      </c>
      <c r="U576" s="55">
        <f t="shared" si="16"/>
        <v>1.8333333333333333</v>
      </c>
      <c r="V576" s="55">
        <f t="shared" si="16"/>
        <v>0.16666666666666666</v>
      </c>
      <c r="W576" s="56">
        <f t="shared" si="17"/>
        <v>2348.3333333333335</v>
      </c>
    </row>
    <row r="577" spans="1:23" x14ac:dyDescent="0.3">
      <c r="A577" s="13" t="str" cm="1">
        <f t="array" ref="A577:B577">INDEX(BenchmarkResults!$B$1:$D$35,SUMPRODUCT((T577&gt;=BenchmarkResults!$F$2:$F$35)*(mysql_hardware_log!T577&lt;BenchmarkResults!$G$2:$G$35)*ROW(BenchmarkResults!$F$2:$F$35)),{1,3})</f>
        <v>q5_top_customers</v>
      </c>
      <c r="B577" s="13">
        <v>3</v>
      </c>
      <c r="C577" s="16">
        <v>1</v>
      </c>
      <c r="D577" s="18">
        <v>0</v>
      </c>
      <c r="E577" s="16">
        <v>423680</v>
      </c>
      <c r="F577" s="13">
        <v>871512</v>
      </c>
      <c r="G577" s="13">
        <v>2204</v>
      </c>
      <c r="H577" s="18">
        <v>2786880</v>
      </c>
      <c r="I577" s="16">
        <v>0</v>
      </c>
      <c r="J577" s="18">
        <v>0</v>
      </c>
      <c r="K577" s="16">
        <v>2078</v>
      </c>
      <c r="L577" s="18">
        <v>19664</v>
      </c>
      <c r="M577" s="16">
        <v>2127</v>
      </c>
      <c r="N577" s="18">
        <v>7983</v>
      </c>
      <c r="O577" s="16">
        <v>42</v>
      </c>
      <c r="P577" s="13">
        <v>11</v>
      </c>
      <c r="Q577" s="13">
        <v>37</v>
      </c>
      <c r="R577" s="13">
        <v>9</v>
      </c>
      <c r="S577" s="18">
        <v>0</v>
      </c>
      <c r="T577" s="21">
        <v>46247.394097222219</v>
      </c>
      <c r="U577" s="55">
        <f t="shared" si="16"/>
        <v>1.8333333333333333</v>
      </c>
      <c r="V577" s="55">
        <f t="shared" si="16"/>
        <v>0.16666666666666666</v>
      </c>
      <c r="W577" s="56">
        <f t="shared" si="17"/>
        <v>2694.6666666666665</v>
      </c>
    </row>
    <row r="578" spans="1:23" x14ac:dyDescent="0.3">
      <c r="A578" s="13" t="str" cm="1">
        <f t="array" ref="A578:B578">INDEX(BenchmarkResults!$B$1:$D$35,SUMPRODUCT((T578&gt;=BenchmarkResults!$F$2:$F$35)*(mysql_hardware_log!T578&lt;BenchmarkResults!$G$2:$G$35)*ROW(BenchmarkResults!$F$2:$F$35)),{1,3})</f>
        <v>q5_top_customers</v>
      </c>
      <c r="B578" s="13">
        <v>3</v>
      </c>
      <c r="C578" s="16">
        <v>1</v>
      </c>
      <c r="D578" s="18">
        <v>1</v>
      </c>
      <c r="E578" s="16">
        <v>423680</v>
      </c>
      <c r="F578" s="13">
        <v>848088</v>
      </c>
      <c r="G578" s="13">
        <v>2336</v>
      </c>
      <c r="H578" s="18">
        <v>2818140</v>
      </c>
      <c r="I578" s="16">
        <v>1</v>
      </c>
      <c r="J578" s="18">
        <v>0</v>
      </c>
      <c r="K578" s="16">
        <v>2713</v>
      </c>
      <c r="L578" s="18">
        <v>38589</v>
      </c>
      <c r="M578" s="16">
        <v>2212</v>
      </c>
      <c r="N578" s="18">
        <v>7723</v>
      </c>
      <c r="O578" s="16">
        <v>37</v>
      </c>
      <c r="P578" s="13">
        <v>11</v>
      </c>
      <c r="Q578" s="13">
        <v>32</v>
      </c>
      <c r="R578" s="13">
        <v>20</v>
      </c>
      <c r="S578" s="18">
        <v>0</v>
      </c>
      <c r="T578" s="21">
        <v>46247.394212962965</v>
      </c>
      <c r="U578" s="55">
        <f t="shared" si="16"/>
        <v>1.3333333333333333</v>
      </c>
      <c r="V578" s="55">
        <f t="shared" si="16"/>
        <v>0.33333333333333331</v>
      </c>
      <c r="W578" s="56">
        <f t="shared" si="17"/>
        <v>3116.5</v>
      </c>
    </row>
    <row r="579" spans="1:23" x14ac:dyDescent="0.3">
      <c r="A579" s="13" t="str" cm="1">
        <f t="array" ref="A579:B579">INDEX(BenchmarkResults!$B$1:$D$35,SUMPRODUCT((T579&gt;=BenchmarkResults!$F$2:$F$35)*(mysql_hardware_log!T579&lt;BenchmarkResults!$G$2:$G$35)*ROW(BenchmarkResults!$F$2:$F$35)),{1,3})</f>
        <v>q5_top_customers</v>
      </c>
      <c r="B579" s="13">
        <v>3</v>
      </c>
      <c r="C579" s="16">
        <v>1</v>
      </c>
      <c r="D579" s="18">
        <v>0</v>
      </c>
      <c r="E579" s="16">
        <v>423680</v>
      </c>
      <c r="F579" s="13">
        <v>822736</v>
      </c>
      <c r="G579" s="13">
        <v>2352</v>
      </c>
      <c r="H579" s="18">
        <v>2841136</v>
      </c>
      <c r="I579" s="16">
        <v>0</v>
      </c>
      <c r="J579" s="18">
        <v>0</v>
      </c>
      <c r="K579" s="16">
        <v>2006</v>
      </c>
      <c r="L579" s="18">
        <v>22879</v>
      </c>
      <c r="M579" s="16">
        <v>2361</v>
      </c>
      <c r="N579" s="18">
        <v>8213</v>
      </c>
      <c r="O579" s="16">
        <v>36</v>
      </c>
      <c r="P579" s="13">
        <v>10</v>
      </c>
      <c r="Q579" s="13">
        <v>42</v>
      </c>
      <c r="R579" s="13">
        <v>12</v>
      </c>
      <c r="S579" s="18">
        <v>0</v>
      </c>
      <c r="T579" s="21">
        <v>46247.394328703704</v>
      </c>
      <c r="U579" s="55">
        <f t="shared" si="16"/>
        <v>1.3333333333333333</v>
      </c>
      <c r="V579" s="55">
        <f t="shared" si="16"/>
        <v>0.33333333333333331</v>
      </c>
      <c r="W579" s="56">
        <f t="shared" si="17"/>
        <v>2947.8333333333335</v>
      </c>
    </row>
    <row r="580" spans="1:23" x14ac:dyDescent="0.3">
      <c r="A580" s="13" t="str" cm="1">
        <f t="array" ref="A580:B580">INDEX(BenchmarkResults!$B$1:$D$35,SUMPRODUCT((T580&gt;=BenchmarkResults!$F$2:$F$35)*(mysql_hardware_log!T580&lt;BenchmarkResults!$G$2:$G$35)*ROW(BenchmarkResults!$F$2:$F$35)),{1,3})</f>
        <v>q5_top_customers</v>
      </c>
      <c r="B580" s="13">
        <v>3</v>
      </c>
      <c r="C580" s="16">
        <v>4</v>
      </c>
      <c r="D580" s="18">
        <v>0</v>
      </c>
      <c r="E580" s="16">
        <v>423680</v>
      </c>
      <c r="F580" s="13">
        <v>792768</v>
      </c>
      <c r="G580" s="13">
        <v>2368</v>
      </c>
      <c r="H580" s="18">
        <v>2867636</v>
      </c>
      <c r="I580" s="16">
        <v>0</v>
      </c>
      <c r="J580" s="18">
        <v>0</v>
      </c>
      <c r="K580" s="16">
        <v>2514</v>
      </c>
      <c r="L580" s="18">
        <v>21303</v>
      </c>
      <c r="M580" s="16">
        <v>2237</v>
      </c>
      <c r="N580" s="18">
        <v>8628</v>
      </c>
      <c r="O580" s="16">
        <v>41</v>
      </c>
      <c r="P580" s="13">
        <v>12</v>
      </c>
      <c r="Q580" s="13">
        <v>41</v>
      </c>
      <c r="R580" s="13">
        <v>6</v>
      </c>
      <c r="S580" s="18">
        <v>0</v>
      </c>
      <c r="T580" s="21">
        <v>46247.394444444442</v>
      </c>
      <c r="U580" s="55">
        <f t="shared" si="16"/>
        <v>1.8333333333333333</v>
      </c>
      <c r="V580" s="55">
        <f t="shared" si="16"/>
        <v>0.33333333333333331</v>
      </c>
      <c r="W580" s="56">
        <f t="shared" si="17"/>
        <v>2756.1666666666665</v>
      </c>
    </row>
    <row r="581" spans="1:23" x14ac:dyDescent="0.3">
      <c r="A581" s="13" t="str" cm="1">
        <f t="array" ref="A581:B581">INDEX(BenchmarkResults!$B$1:$D$35,SUMPRODUCT((T581&gt;=BenchmarkResults!$F$2:$F$35)*(mysql_hardware_log!T581&lt;BenchmarkResults!$G$2:$G$35)*ROW(BenchmarkResults!$F$2:$F$35)),{1,3})</f>
        <v>q5_top_customers</v>
      </c>
      <c r="B581" s="13">
        <v>3</v>
      </c>
      <c r="C581" s="16">
        <v>1</v>
      </c>
      <c r="D581" s="18">
        <v>1</v>
      </c>
      <c r="E581" s="16">
        <v>423680</v>
      </c>
      <c r="F581" s="13">
        <v>767540</v>
      </c>
      <c r="G581" s="13">
        <v>2384</v>
      </c>
      <c r="H581" s="18">
        <v>2896856</v>
      </c>
      <c r="I581" s="16">
        <v>0</v>
      </c>
      <c r="J581" s="18">
        <v>0</v>
      </c>
      <c r="K581" s="16">
        <v>2834</v>
      </c>
      <c r="L581" s="18">
        <v>41371</v>
      </c>
      <c r="M581" s="16">
        <v>2165</v>
      </c>
      <c r="N581" s="18">
        <v>8593</v>
      </c>
      <c r="O581" s="16">
        <v>38</v>
      </c>
      <c r="P581" s="13">
        <v>11</v>
      </c>
      <c r="Q581" s="13">
        <v>32</v>
      </c>
      <c r="R581" s="13">
        <v>19</v>
      </c>
      <c r="S581" s="18">
        <v>0</v>
      </c>
      <c r="T581" s="21">
        <v>46247.394560185188</v>
      </c>
      <c r="U581" s="55">
        <f t="shared" si="16"/>
        <v>1.5</v>
      </c>
      <c r="V581" s="55">
        <f t="shared" si="16"/>
        <v>0.33333333333333331</v>
      </c>
      <c r="W581" s="56">
        <f t="shared" si="17"/>
        <v>2590.8333333333335</v>
      </c>
    </row>
    <row r="582" spans="1:23" x14ac:dyDescent="0.3">
      <c r="A582" s="13" t="str" cm="1">
        <f t="array" ref="A582:B582">INDEX(BenchmarkResults!$B$1:$D$35,SUMPRODUCT((T582&gt;=BenchmarkResults!$F$2:$F$35)*(mysql_hardware_log!T582&lt;BenchmarkResults!$G$2:$G$35)*ROW(BenchmarkResults!$F$2:$F$35)),{1,3})</f>
        <v>q5_top_customers</v>
      </c>
      <c r="B582" s="13">
        <v>3</v>
      </c>
      <c r="C582" s="16">
        <v>1</v>
      </c>
      <c r="D582" s="18">
        <v>0</v>
      </c>
      <c r="E582" s="16">
        <v>423680</v>
      </c>
      <c r="F582" s="13">
        <v>594716</v>
      </c>
      <c r="G582" s="13">
        <v>2400</v>
      </c>
      <c r="H582" s="18">
        <v>3077824</v>
      </c>
      <c r="I582" s="16">
        <v>0</v>
      </c>
      <c r="J582" s="18">
        <v>0</v>
      </c>
      <c r="K582" s="16">
        <v>17826</v>
      </c>
      <c r="L582" s="18">
        <v>14004</v>
      </c>
      <c r="M582" s="16">
        <v>3224</v>
      </c>
      <c r="N582" s="18">
        <v>5708</v>
      </c>
      <c r="O582" s="16">
        <v>27</v>
      </c>
      <c r="P582" s="13">
        <v>12</v>
      </c>
      <c r="Q582" s="13">
        <v>50</v>
      </c>
      <c r="R582" s="13">
        <v>11</v>
      </c>
      <c r="S582" s="18">
        <v>0</v>
      </c>
      <c r="T582" s="21">
        <v>46247.394675925927</v>
      </c>
      <c r="U582" s="55">
        <f t="shared" si="16"/>
        <v>1.5</v>
      </c>
      <c r="V582" s="55">
        <f t="shared" si="16"/>
        <v>0.33333333333333331</v>
      </c>
      <c r="W582" s="56">
        <f t="shared" si="17"/>
        <v>4995.166666666667</v>
      </c>
    </row>
    <row r="583" spans="1:23" x14ac:dyDescent="0.3">
      <c r="A583" s="13" t="str" cm="1">
        <f t="array" ref="A583:B583">INDEX(BenchmarkResults!$B$1:$D$35,SUMPRODUCT((T583&gt;=BenchmarkResults!$F$2:$F$35)*(mysql_hardware_log!T583&lt;BenchmarkResults!$G$2:$G$35)*ROW(BenchmarkResults!$F$2:$F$35)),{1,3})</f>
        <v>q6_inactive_customers</v>
      </c>
      <c r="B583" s="13">
        <v>1</v>
      </c>
      <c r="C583" s="16">
        <v>1</v>
      </c>
      <c r="D583" s="18">
        <v>0</v>
      </c>
      <c r="E583" s="16">
        <v>423680</v>
      </c>
      <c r="F583" s="13">
        <v>336676</v>
      </c>
      <c r="G583" s="13">
        <v>2416</v>
      </c>
      <c r="H583" s="18">
        <v>3338532</v>
      </c>
      <c r="I583" s="16">
        <v>1</v>
      </c>
      <c r="J583" s="18">
        <v>0</v>
      </c>
      <c r="K583" s="16">
        <v>14826</v>
      </c>
      <c r="L583" s="18">
        <v>6</v>
      </c>
      <c r="M583" s="16">
        <v>1991</v>
      </c>
      <c r="N583" s="18">
        <v>2605</v>
      </c>
      <c r="O583" s="16">
        <v>23</v>
      </c>
      <c r="P583" s="13">
        <v>11</v>
      </c>
      <c r="Q583" s="13">
        <v>62</v>
      </c>
      <c r="R583" s="13">
        <v>4</v>
      </c>
      <c r="S583" s="18">
        <v>0</v>
      </c>
      <c r="T583" s="21">
        <v>46247.394791666666</v>
      </c>
      <c r="U583" s="55">
        <f t="shared" si="16"/>
        <v>1.5</v>
      </c>
      <c r="V583" s="55">
        <f t="shared" si="16"/>
        <v>0.33333333333333331</v>
      </c>
      <c r="W583" s="56">
        <f t="shared" si="17"/>
        <v>7119.833333333333</v>
      </c>
    </row>
    <row r="584" spans="1:23" x14ac:dyDescent="0.3">
      <c r="A584" s="13" t="str" cm="1">
        <f t="array" ref="A584:B584">INDEX(BenchmarkResults!$B$1:$D$35,SUMPRODUCT((T584&gt;=BenchmarkResults!$F$2:$F$35)*(mysql_hardware_log!T584&lt;BenchmarkResults!$G$2:$G$35)*ROW(BenchmarkResults!$F$2:$F$35)),{1,3})</f>
        <v>q6_inactive_customers</v>
      </c>
      <c r="B584" s="13">
        <v>1</v>
      </c>
      <c r="C584" s="16">
        <v>2</v>
      </c>
      <c r="D584" s="18">
        <v>0</v>
      </c>
      <c r="E584" s="16">
        <v>424192</v>
      </c>
      <c r="F584" s="13">
        <v>145324</v>
      </c>
      <c r="G584" s="13">
        <v>2016</v>
      </c>
      <c r="H584" s="18">
        <v>3518768</v>
      </c>
      <c r="I584" s="16">
        <v>0</v>
      </c>
      <c r="J584" s="18">
        <v>49</v>
      </c>
      <c r="K584" s="16">
        <v>6526</v>
      </c>
      <c r="L584" s="18">
        <v>3048</v>
      </c>
      <c r="M584" s="16">
        <v>1034</v>
      </c>
      <c r="N584" s="18">
        <v>637</v>
      </c>
      <c r="O584" s="16">
        <v>23</v>
      </c>
      <c r="P584" s="13">
        <v>10</v>
      </c>
      <c r="Q584" s="13">
        <v>60</v>
      </c>
      <c r="R584" s="13">
        <v>6</v>
      </c>
      <c r="S584" s="18">
        <v>0</v>
      </c>
      <c r="T584" s="21">
        <v>46247.394907407404</v>
      </c>
      <c r="U584" s="55">
        <f t="shared" si="16"/>
        <v>1.6666666666666667</v>
      </c>
      <c r="V584" s="55">
        <f t="shared" si="16"/>
        <v>0.16666666666666666</v>
      </c>
      <c r="W584" s="56">
        <f t="shared" si="17"/>
        <v>7755.333333333333</v>
      </c>
    </row>
    <row r="585" spans="1:23" x14ac:dyDescent="0.3">
      <c r="A585" s="13" t="str" cm="1">
        <f t="array" ref="A585:B585">INDEX(BenchmarkResults!$B$1:$D$35,SUMPRODUCT((T585&gt;=BenchmarkResults!$F$2:$F$35)*(mysql_hardware_log!T585&lt;BenchmarkResults!$G$2:$G$35)*ROW(BenchmarkResults!$F$2:$F$35)),{1,3})</f>
        <v>q6_inactive_customers</v>
      </c>
      <c r="B585" s="13">
        <v>1</v>
      </c>
      <c r="C585" s="16">
        <v>1</v>
      </c>
      <c r="D585" s="18">
        <v>0</v>
      </c>
      <c r="E585" s="16">
        <v>424704</v>
      </c>
      <c r="F585" s="13">
        <v>153592</v>
      </c>
      <c r="G585" s="13">
        <v>624</v>
      </c>
      <c r="H585" s="18">
        <v>3529268</v>
      </c>
      <c r="I585" s="16">
        <v>1</v>
      </c>
      <c r="J585" s="18">
        <v>60</v>
      </c>
      <c r="K585" s="16">
        <v>11495</v>
      </c>
      <c r="L585" s="18">
        <v>44727</v>
      </c>
      <c r="M585" s="16">
        <v>1217</v>
      </c>
      <c r="N585" s="18">
        <v>679</v>
      </c>
      <c r="O585" s="16">
        <v>27</v>
      </c>
      <c r="P585" s="13">
        <v>8</v>
      </c>
      <c r="Q585" s="13">
        <v>45</v>
      </c>
      <c r="R585" s="13">
        <v>19</v>
      </c>
      <c r="S585" s="18">
        <v>0</v>
      </c>
      <c r="T585" s="21">
        <v>46247.39502314815</v>
      </c>
      <c r="U585" s="55">
        <f t="shared" ref="U585:V648" si="18">AVERAGE(C580:C585)</f>
        <v>1.6666666666666667</v>
      </c>
      <c r="V585" s="55">
        <f t="shared" si="18"/>
        <v>0.16666666666666666</v>
      </c>
      <c r="W585" s="56">
        <f t="shared" ref="W585:W648" si="19">AVERAGE(K580:K585)</f>
        <v>9336.8333333333339</v>
      </c>
    </row>
    <row r="586" spans="1:23" x14ac:dyDescent="0.3">
      <c r="A586" s="13" t="str" cm="1">
        <f t="array" ref="A586:B586">INDEX(BenchmarkResults!$B$1:$D$35,SUMPRODUCT((T586&gt;=BenchmarkResults!$F$2:$F$35)*(mysql_hardware_log!T586&lt;BenchmarkResults!$G$2:$G$35)*ROW(BenchmarkResults!$F$2:$F$35)),{1,3})</f>
        <v>q6_inactive_customers</v>
      </c>
      <c r="B586" s="13">
        <v>1</v>
      </c>
      <c r="C586" s="16">
        <v>0</v>
      </c>
      <c r="D586" s="18">
        <v>1</v>
      </c>
      <c r="E586" s="16">
        <v>424704</v>
      </c>
      <c r="F586" s="13">
        <v>179792</v>
      </c>
      <c r="G586" s="13">
        <v>636</v>
      </c>
      <c r="H586" s="18">
        <v>3494208</v>
      </c>
      <c r="I586" s="16">
        <v>0</v>
      </c>
      <c r="J586" s="18">
        <v>6</v>
      </c>
      <c r="K586" s="16">
        <v>2480</v>
      </c>
      <c r="L586" s="18">
        <v>46177</v>
      </c>
      <c r="M586" s="16">
        <v>1070</v>
      </c>
      <c r="N586" s="18">
        <v>427</v>
      </c>
      <c r="O586" s="16">
        <v>25</v>
      </c>
      <c r="P586" s="13">
        <v>12</v>
      </c>
      <c r="Q586" s="13">
        <v>44</v>
      </c>
      <c r="R586" s="13">
        <v>18</v>
      </c>
      <c r="S586" s="18">
        <v>0</v>
      </c>
      <c r="T586" s="21">
        <v>46247.395138888889</v>
      </c>
      <c r="U586" s="55">
        <f t="shared" si="18"/>
        <v>1</v>
      </c>
      <c r="V586" s="55">
        <f t="shared" si="18"/>
        <v>0.33333333333333331</v>
      </c>
      <c r="W586" s="56">
        <f t="shared" si="19"/>
        <v>9331.1666666666661</v>
      </c>
    </row>
    <row r="587" spans="1:23" x14ac:dyDescent="0.3">
      <c r="A587" s="13" t="str" cm="1">
        <f t="array" ref="A587:B587">INDEX(BenchmarkResults!$B$1:$D$35,SUMPRODUCT((T587&gt;=BenchmarkResults!$F$2:$F$35)*(mysql_hardware_log!T587&lt;BenchmarkResults!$G$2:$G$35)*ROW(BenchmarkResults!$F$2:$F$35)),{1,3})</f>
        <v>q6_inactive_customers</v>
      </c>
      <c r="B587" s="13">
        <v>1</v>
      </c>
      <c r="C587" s="16">
        <v>1</v>
      </c>
      <c r="D587" s="18">
        <v>1</v>
      </c>
      <c r="E587" s="16">
        <v>424704</v>
      </c>
      <c r="F587" s="13">
        <v>774596</v>
      </c>
      <c r="G587" s="13">
        <v>708</v>
      </c>
      <c r="H587" s="18">
        <v>2890444</v>
      </c>
      <c r="I587" s="16">
        <v>0</v>
      </c>
      <c r="J587" s="18">
        <v>0</v>
      </c>
      <c r="K587" s="16">
        <v>27810</v>
      </c>
      <c r="L587" s="18">
        <v>179907</v>
      </c>
      <c r="M587" s="16">
        <v>2016</v>
      </c>
      <c r="N587" s="18">
        <v>671</v>
      </c>
      <c r="O587" s="16">
        <v>16</v>
      </c>
      <c r="P587" s="13">
        <v>17</v>
      </c>
      <c r="Q587" s="13">
        <v>8</v>
      </c>
      <c r="R587" s="13">
        <v>59</v>
      </c>
      <c r="S587" s="18">
        <v>1</v>
      </c>
      <c r="T587" s="21">
        <v>46247.395254629628</v>
      </c>
      <c r="U587" s="55">
        <f t="shared" si="18"/>
        <v>1</v>
      </c>
      <c r="V587" s="55">
        <f t="shared" si="18"/>
        <v>0.33333333333333331</v>
      </c>
      <c r="W587" s="56">
        <f t="shared" si="19"/>
        <v>13493.833333333334</v>
      </c>
    </row>
    <row r="588" spans="1:23" x14ac:dyDescent="0.3">
      <c r="A588" s="13" t="str" cm="1">
        <f t="array" ref="A588:B588">INDEX(BenchmarkResults!$B$1:$D$35,SUMPRODUCT((T588&gt;=BenchmarkResults!$F$2:$F$35)*(mysql_hardware_log!T588&lt;BenchmarkResults!$G$2:$G$35)*ROW(BenchmarkResults!$F$2:$F$35)),{1,3})</f>
        <v>q6_inactive_customers</v>
      </c>
      <c r="B588" s="13">
        <v>1</v>
      </c>
      <c r="C588" s="16">
        <v>0</v>
      </c>
      <c r="D588" s="18">
        <v>1</v>
      </c>
      <c r="E588" s="16">
        <v>424704</v>
      </c>
      <c r="F588" s="13">
        <v>1129120</v>
      </c>
      <c r="G588" s="13">
        <v>760</v>
      </c>
      <c r="H588" s="18">
        <v>2537340</v>
      </c>
      <c r="I588" s="16">
        <v>0</v>
      </c>
      <c r="J588" s="18">
        <v>0</v>
      </c>
      <c r="K588" s="16">
        <v>19581</v>
      </c>
      <c r="L588" s="18">
        <v>42845</v>
      </c>
      <c r="M588" s="16">
        <v>3291</v>
      </c>
      <c r="N588" s="18">
        <v>2339</v>
      </c>
      <c r="O588" s="16">
        <v>6</v>
      </c>
      <c r="P588" s="13">
        <v>8</v>
      </c>
      <c r="Q588" s="13">
        <v>39</v>
      </c>
      <c r="R588" s="13">
        <v>46</v>
      </c>
      <c r="S588" s="18">
        <v>0</v>
      </c>
      <c r="T588" s="21">
        <v>46247.395370370374</v>
      </c>
      <c r="U588" s="55">
        <f t="shared" si="18"/>
        <v>0.83333333333333337</v>
      </c>
      <c r="V588" s="55">
        <f t="shared" si="18"/>
        <v>0.5</v>
      </c>
      <c r="W588" s="56">
        <f t="shared" si="19"/>
        <v>13786.333333333334</v>
      </c>
    </row>
    <row r="589" spans="1:23" x14ac:dyDescent="0.3">
      <c r="A589" s="13" t="str" cm="1">
        <f t="array" ref="A589:B589">INDEX(BenchmarkResults!$B$1:$D$35,SUMPRODUCT((T589&gt;=BenchmarkResults!$F$2:$F$35)*(mysql_hardware_log!T589&lt;BenchmarkResults!$G$2:$G$35)*ROW(BenchmarkResults!$F$2:$F$35)),{1,3})</f>
        <v>q6_inactive_customers</v>
      </c>
      <c r="B589" s="13">
        <v>1</v>
      </c>
      <c r="C589" s="16">
        <v>0</v>
      </c>
      <c r="D589" s="18">
        <v>1</v>
      </c>
      <c r="E589" s="16">
        <v>424704</v>
      </c>
      <c r="F589" s="13">
        <v>863304</v>
      </c>
      <c r="G589" s="13">
        <v>768</v>
      </c>
      <c r="H589" s="18">
        <v>2812132</v>
      </c>
      <c r="I589" s="16">
        <v>0</v>
      </c>
      <c r="J589" s="18">
        <v>0</v>
      </c>
      <c r="K589" s="16">
        <v>27482</v>
      </c>
      <c r="L589" s="18">
        <v>18</v>
      </c>
      <c r="M589" s="16">
        <v>3777</v>
      </c>
      <c r="N589" s="18">
        <v>2528</v>
      </c>
      <c r="O589" s="16">
        <v>7</v>
      </c>
      <c r="P589" s="13">
        <v>7</v>
      </c>
      <c r="Q589" s="13">
        <v>49</v>
      </c>
      <c r="R589" s="13">
        <v>37</v>
      </c>
      <c r="S589" s="18">
        <v>0</v>
      </c>
      <c r="T589" s="21">
        <v>46247.395486111112</v>
      </c>
      <c r="U589" s="55">
        <f t="shared" si="18"/>
        <v>0.66666666666666663</v>
      </c>
      <c r="V589" s="55">
        <f t="shared" si="18"/>
        <v>0.66666666666666663</v>
      </c>
      <c r="W589" s="56">
        <f t="shared" si="19"/>
        <v>15895.666666666666</v>
      </c>
    </row>
    <row r="590" spans="1:23" x14ac:dyDescent="0.3">
      <c r="A590" s="13" t="str" cm="1">
        <f t="array" ref="A590:B590">INDEX(BenchmarkResults!$B$1:$D$35,SUMPRODUCT((T590&gt;=BenchmarkResults!$F$2:$F$35)*(mysql_hardware_log!T590&lt;BenchmarkResults!$G$2:$G$35)*ROW(BenchmarkResults!$F$2:$F$35)),{1,3})</f>
        <v>q6_inactive_customers</v>
      </c>
      <c r="B590" s="13">
        <v>1</v>
      </c>
      <c r="C590" s="16">
        <v>1</v>
      </c>
      <c r="D590" s="18">
        <v>0</v>
      </c>
      <c r="E590" s="16">
        <v>424704</v>
      </c>
      <c r="F590" s="13">
        <v>834024</v>
      </c>
      <c r="G590" s="13">
        <v>776</v>
      </c>
      <c r="H590" s="18">
        <v>2850988</v>
      </c>
      <c r="I590" s="16">
        <v>0</v>
      </c>
      <c r="J590" s="18">
        <v>0</v>
      </c>
      <c r="K590" s="16">
        <v>3880</v>
      </c>
      <c r="L590" s="18">
        <v>2</v>
      </c>
      <c r="M590" s="16">
        <v>1935</v>
      </c>
      <c r="N590" s="18">
        <v>747</v>
      </c>
      <c r="O590" s="16">
        <v>30</v>
      </c>
      <c r="P590" s="13">
        <v>15</v>
      </c>
      <c r="Q590" s="13">
        <v>49</v>
      </c>
      <c r="R590" s="13">
        <v>6</v>
      </c>
      <c r="S590" s="18">
        <v>0</v>
      </c>
      <c r="T590" s="21">
        <v>46247.395601851851</v>
      </c>
      <c r="U590" s="55">
        <f t="shared" si="18"/>
        <v>0.5</v>
      </c>
      <c r="V590" s="55">
        <f t="shared" si="18"/>
        <v>0.66666666666666663</v>
      </c>
      <c r="W590" s="56">
        <f t="shared" si="19"/>
        <v>15454.666666666666</v>
      </c>
    </row>
    <row r="591" spans="1:23" x14ac:dyDescent="0.3">
      <c r="A591" s="13" t="str" cm="1">
        <f t="array" ref="A591:B591">INDEX(BenchmarkResults!$B$1:$D$35,SUMPRODUCT((T591&gt;=BenchmarkResults!$F$2:$F$35)*(mysql_hardware_log!T591&lt;BenchmarkResults!$G$2:$G$35)*ROW(BenchmarkResults!$F$2:$F$35)),{1,3})</f>
        <v>q6_inactive_customers</v>
      </c>
      <c r="B591" s="13">
        <v>1</v>
      </c>
      <c r="C591" s="16">
        <v>2</v>
      </c>
      <c r="D591" s="18">
        <v>0</v>
      </c>
      <c r="E591" s="16">
        <v>424704</v>
      </c>
      <c r="F591" s="13">
        <v>833800</v>
      </c>
      <c r="G591" s="13">
        <v>784</v>
      </c>
      <c r="H591" s="18">
        <v>2851004</v>
      </c>
      <c r="I591" s="16">
        <v>0</v>
      </c>
      <c r="J591" s="18">
        <v>0</v>
      </c>
      <c r="K591" s="16">
        <v>2</v>
      </c>
      <c r="L591" s="18">
        <v>2</v>
      </c>
      <c r="M591" s="16">
        <v>845</v>
      </c>
      <c r="N591" s="18">
        <v>299</v>
      </c>
      <c r="O591" s="16">
        <v>24</v>
      </c>
      <c r="P591" s="13">
        <v>11</v>
      </c>
      <c r="Q591" s="13">
        <v>65</v>
      </c>
      <c r="R591" s="13">
        <v>0</v>
      </c>
      <c r="S591" s="18">
        <v>0</v>
      </c>
      <c r="T591" s="21">
        <v>46247.39571759259</v>
      </c>
      <c r="U591" s="55">
        <f t="shared" si="18"/>
        <v>0.66666666666666663</v>
      </c>
      <c r="V591" s="55">
        <f t="shared" si="18"/>
        <v>0.66666666666666663</v>
      </c>
      <c r="W591" s="56">
        <f t="shared" si="19"/>
        <v>13539.166666666666</v>
      </c>
    </row>
    <row r="592" spans="1:23" x14ac:dyDescent="0.3">
      <c r="A592" s="13" t="str" cm="1">
        <f t="array" ref="A592:B592">INDEX(BenchmarkResults!$B$1:$D$35,SUMPRODUCT((T592&gt;=BenchmarkResults!$F$2:$F$35)*(mysql_hardware_log!T592&lt;BenchmarkResults!$G$2:$G$35)*ROW(BenchmarkResults!$F$2:$F$35)),{1,3})</f>
        <v>q6_inactive_customers</v>
      </c>
      <c r="B592" s="13">
        <v>1</v>
      </c>
      <c r="C592" s="16">
        <v>1</v>
      </c>
      <c r="D592" s="18">
        <v>0</v>
      </c>
      <c r="E592" s="16">
        <v>424704</v>
      </c>
      <c r="F592" s="13">
        <v>833576</v>
      </c>
      <c r="G592" s="13">
        <v>792</v>
      </c>
      <c r="H592" s="18">
        <v>2851004</v>
      </c>
      <c r="I592" s="16">
        <v>0</v>
      </c>
      <c r="J592" s="18">
        <v>0</v>
      </c>
      <c r="K592" s="16">
        <v>0</v>
      </c>
      <c r="L592" s="18">
        <v>3</v>
      </c>
      <c r="M592" s="16">
        <v>827</v>
      </c>
      <c r="N592" s="18">
        <v>283</v>
      </c>
      <c r="O592" s="16">
        <v>23</v>
      </c>
      <c r="P592" s="13">
        <v>11</v>
      </c>
      <c r="Q592" s="13">
        <v>65</v>
      </c>
      <c r="R592" s="13">
        <v>0</v>
      </c>
      <c r="S592" s="18">
        <v>0</v>
      </c>
      <c r="T592" s="21">
        <v>46247.395833333336</v>
      </c>
      <c r="U592" s="55">
        <f t="shared" si="18"/>
        <v>0.83333333333333337</v>
      </c>
      <c r="V592" s="55">
        <f t="shared" si="18"/>
        <v>0.5</v>
      </c>
      <c r="W592" s="56">
        <f t="shared" si="19"/>
        <v>13125.833333333334</v>
      </c>
    </row>
    <row r="593" spans="1:23" x14ac:dyDescent="0.3">
      <c r="A593" s="13" t="str" cm="1">
        <f t="array" ref="A593:B593">INDEX(BenchmarkResults!$B$1:$D$35,SUMPRODUCT((T593&gt;=BenchmarkResults!$F$2:$F$35)*(mysql_hardware_log!T593&lt;BenchmarkResults!$G$2:$G$35)*ROW(BenchmarkResults!$F$2:$F$35)),{1,3})</f>
        <v>q6_inactive_customers</v>
      </c>
      <c r="B593" s="13">
        <v>1</v>
      </c>
      <c r="C593" s="16">
        <v>1</v>
      </c>
      <c r="D593" s="18">
        <v>0</v>
      </c>
      <c r="E593" s="16">
        <v>424704</v>
      </c>
      <c r="F593" s="13">
        <v>833128</v>
      </c>
      <c r="G593" s="13">
        <v>800</v>
      </c>
      <c r="H593" s="18">
        <v>2851004</v>
      </c>
      <c r="I593" s="16">
        <v>0</v>
      </c>
      <c r="J593" s="18">
        <v>0</v>
      </c>
      <c r="K593" s="16">
        <v>0</v>
      </c>
      <c r="L593" s="18">
        <v>2</v>
      </c>
      <c r="M593" s="16">
        <v>825</v>
      </c>
      <c r="N593" s="18">
        <v>278</v>
      </c>
      <c r="O593" s="16">
        <v>23</v>
      </c>
      <c r="P593" s="13">
        <v>11</v>
      </c>
      <c r="Q593" s="13">
        <v>65</v>
      </c>
      <c r="R593" s="13">
        <v>0</v>
      </c>
      <c r="S593" s="18">
        <v>1</v>
      </c>
      <c r="T593" s="21">
        <v>46247.395949074074</v>
      </c>
      <c r="U593" s="55">
        <f t="shared" si="18"/>
        <v>0.83333333333333337</v>
      </c>
      <c r="V593" s="55">
        <f t="shared" si="18"/>
        <v>0.33333333333333331</v>
      </c>
      <c r="W593" s="56">
        <f t="shared" si="19"/>
        <v>8490.8333333333339</v>
      </c>
    </row>
    <row r="594" spans="1:23" x14ac:dyDescent="0.3">
      <c r="A594" s="13" t="str" cm="1">
        <f t="array" ref="A594:B594">INDEX(BenchmarkResults!$B$1:$D$35,SUMPRODUCT((T594&gt;=BenchmarkResults!$F$2:$F$35)*(mysql_hardware_log!T594&lt;BenchmarkResults!$G$2:$G$35)*ROW(BenchmarkResults!$F$2:$F$35)),{1,3})</f>
        <v>q6_inactive_customers</v>
      </c>
      <c r="B594" s="13">
        <v>1</v>
      </c>
      <c r="C594" s="16">
        <v>1</v>
      </c>
      <c r="D594" s="18">
        <v>0</v>
      </c>
      <c r="E594" s="16">
        <v>424704</v>
      </c>
      <c r="F594" s="13">
        <v>833128</v>
      </c>
      <c r="G594" s="13">
        <v>808</v>
      </c>
      <c r="H594" s="18">
        <v>2851004</v>
      </c>
      <c r="I594" s="16">
        <v>0</v>
      </c>
      <c r="J594" s="18">
        <v>0</v>
      </c>
      <c r="K594" s="16">
        <v>0</v>
      </c>
      <c r="L594" s="18">
        <v>2</v>
      </c>
      <c r="M594" s="16">
        <v>827</v>
      </c>
      <c r="N594" s="18">
        <v>281</v>
      </c>
      <c r="O594" s="16">
        <v>23</v>
      </c>
      <c r="P594" s="13">
        <v>11</v>
      </c>
      <c r="Q594" s="13">
        <v>65</v>
      </c>
      <c r="R594" s="13">
        <v>0</v>
      </c>
      <c r="S594" s="18">
        <v>0</v>
      </c>
      <c r="T594" s="21">
        <v>46247.396064814813</v>
      </c>
      <c r="U594" s="55">
        <f t="shared" si="18"/>
        <v>1</v>
      </c>
      <c r="V594" s="55">
        <f t="shared" si="18"/>
        <v>0.16666666666666666</v>
      </c>
      <c r="W594" s="56">
        <f t="shared" si="19"/>
        <v>5227.333333333333</v>
      </c>
    </row>
    <row r="595" spans="1:23" x14ac:dyDescent="0.3">
      <c r="A595" s="13" t="str" cm="1">
        <f t="array" ref="A595:B595">INDEX(BenchmarkResults!$B$1:$D$35,SUMPRODUCT((T595&gt;=BenchmarkResults!$F$2:$F$35)*(mysql_hardware_log!T595&lt;BenchmarkResults!$G$2:$G$35)*ROW(BenchmarkResults!$F$2:$F$35)),{1,3})</f>
        <v>q6_inactive_customers</v>
      </c>
      <c r="B595" s="13">
        <v>1</v>
      </c>
      <c r="C595" s="16">
        <v>2</v>
      </c>
      <c r="D595" s="18">
        <v>0</v>
      </c>
      <c r="E595" s="16">
        <v>424704</v>
      </c>
      <c r="F595" s="13">
        <v>832680</v>
      </c>
      <c r="G595" s="13">
        <v>816</v>
      </c>
      <c r="H595" s="18">
        <v>2851004</v>
      </c>
      <c r="I595" s="16">
        <v>0</v>
      </c>
      <c r="J595" s="18">
        <v>0</v>
      </c>
      <c r="K595" s="16">
        <v>0</v>
      </c>
      <c r="L595" s="18">
        <v>2</v>
      </c>
      <c r="M595" s="16">
        <v>833</v>
      </c>
      <c r="N595" s="18">
        <v>285</v>
      </c>
      <c r="O595" s="16">
        <v>23</v>
      </c>
      <c r="P595" s="13">
        <v>11</v>
      </c>
      <c r="Q595" s="13">
        <v>66</v>
      </c>
      <c r="R595" s="13">
        <v>0</v>
      </c>
      <c r="S595" s="18">
        <v>0</v>
      </c>
      <c r="T595" s="21">
        <v>46247.396180555559</v>
      </c>
      <c r="U595" s="55">
        <f t="shared" si="18"/>
        <v>1.3333333333333333</v>
      </c>
      <c r="V595" s="55">
        <f t="shared" si="18"/>
        <v>0</v>
      </c>
      <c r="W595" s="56">
        <f t="shared" si="19"/>
        <v>647</v>
      </c>
    </row>
    <row r="596" spans="1:23" x14ac:dyDescent="0.3">
      <c r="A596" s="13" t="str" cm="1">
        <f t="array" ref="A596:B596">INDEX(BenchmarkResults!$B$1:$D$35,SUMPRODUCT((T596&gt;=BenchmarkResults!$F$2:$F$35)*(mysql_hardware_log!T596&lt;BenchmarkResults!$G$2:$G$35)*ROW(BenchmarkResults!$F$2:$F$35)),{1,3})</f>
        <v>q6_inactive_customers</v>
      </c>
      <c r="B596" s="13">
        <v>1</v>
      </c>
      <c r="C596" s="16">
        <v>1</v>
      </c>
      <c r="D596" s="18">
        <v>0</v>
      </c>
      <c r="E596" s="16">
        <v>424704</v>
      </c>
      <c r="F596" s="13">
        <v>832680</v>
      </c>
      <c r="G596" s="13">
        <v>824</v>
      </c>
      <c r="H596" s="18">
        <v>2851004</v>
      </c>
      <c r="I596" s="16">
        <v>0</v>
      </c>
      <c r="J596" s="18">
        <v>0</v>
      </c>
      <c r="K596" s="16">
        <v>0</v>
      </c>
      <c r="L596" s="18">
        <v>2</v>
      </c>
      <c r="M596" s="16">
        <v>837</v>
      </c>
      <c r="N596" s="18">
        <v>290</v>
      </c>
      <c r="O596" s="16">
        <v>23</v>
      </c>
      <c r="P596" s="13">
        <v>11</v>
      </c>
      <c r="Q596" s="13">
        <v>66</v>
      </c>
      <c r="R596" s="13">
        <v>0</v>
      </c>
      <c r="S596" s="18">
        <v>0</v>
      </c>
      <c r="T596" s="21">
        <v>46247.396296296298</v>
      </c>
      <c r="U596" s="55">
        <f t="shared" si="18"/>
        <v>1.3333333333333333</v>
      </c>
      <c r="V596" s="55">
        <f t="shared" si="18"/>
        <v>0</v>
      </c>
      <c r="W596" s="56">
        <f t="shared" si="19"/>
        <v>0.33333333333333331</v>
      </c>
    </row>
    <row r="597" spans="1:23" x14ac:dyDescent="0.3">
      <c r="A597" s="13" t="str" cm="1">
        <f t="array" ref="A597:B597">INDEX(BenchmarkResults!$B$1:$D$35,SUMPRODUCT((T597&gt;=BenchmarkResults!$F$2:$F$35)*(mysql_hardware_log!T597&lt;BenchmarkResults!$G$2:$G$35)*ROW(BenchmarkResults!$F$2:$F$35)),{1,3})</f>
        <v>q6_inactive_customers</v>
      </c>
      <c r="B597" s="13">
        <v>1</v>
      </c>
      <c r="C597" s="16">
        <v>1</v>
      </c>
      <c r="D597" s="18">
        <v>0</v>
      </c>
      <c r="E597" s="16">
        <v>424704</v>
      </c>
      <c r="F597" s="13">
        <v>832456</v>
      </c>
      <c r="G597" s="13">
        <v>832</v>
      </c>
      <c r="H597" s="18">
        <v>2851004</v>
      </c>
      <c r="I597" s="16">
        <v>0</v>
      </c>
      <c r="J597" s="18">
        <v>0</v>
      </c>
      <c r="K597" s="16">
        <v>0</v>
      </c>
      <c r="L597" s="18">
        <v>2</v>
      </c>
      <c r="M597" s="16">
        <v>833</v>
      </c>
      <c r="N597" s="18">
        <v>290</v>
      </c>
      <c r="O597" s="16">
        <v>23</v>
      </c>
      <c r="P597" s="13">
        <v>11</v>
      </c>
      <c r="Q597" s="13">
        <v>66</v>
      </c>
      <c r="R597" s="13">
        <v>0</v>
      </c>
      <c r="S597" s="18">
        <v>0</v>
      </c>
      <c r="T597" s="21">
        <v>46247.396412037036</v>
      </c>
      <c r="U597" s="55">
        <f t="shared" si="18"/>
        <v>1.1666666666666667</v>
      </c>
      <c r="V597" s="55">
        <f t="shared" si="18"/>
        <v>0</v>
      </c>
      <c r="W597" s="56">
        <f t="shared" si="19"/>
        <v>0</v>
      </c>
    </row>
    <row r="598" spans="1:23" x14ac:dyDescent="0.3">
      <c r="A598" s="13" t="str" cm="1">
        <f t="array" ref="A598:B598">INDEX(BenchmarkResults!$B$1:$D$35,SUMPRODUCT((T598&gt;=BenchmarkResults!$F$2:$F$35)*(mysql_hardware_log!T598&lt;BenchmarkResults!$G$2:$G$35)*ROW(BenchmarkResults!$F$2:$F$35)),{1,3})</f>
        <v>q6_inactive_customers</v>
      </c>
      <c r="B598" s="13">
        <v>1</v>
      </c>
      <c r="C598" s="16">
        <v>1</v>
      </c>
      <c r="D598" s="18">
        <v>0</v>
      </c>
      <c r="E598" s="16">
        <v>424704</v>
      </c>
      <c r="F598" s="13">
        <v>832232</v>
      </c>
      <c r="G598" s="13">
        <v>1124</v>
      </c>
      <c r="H598" s="18">
        <v>2851440</v>
      </c>
      <c r="I598" s="16">
        <v>0</v>
      </c>
      <c r="J598" s="18">
        <v>0</v>
      </c>
      <c r="K598" s="16">
        <v>71</v>
      </c>
      <c r="L598" s="18">
        <v>4</v>
      </c>
      <c r="M598" s="16">
        <v>839</v>
      </c>
      <c r="N598" s="18">
        <v>305</v>
      </c>
      <c r="O598" s="16">
        <v>23</v>
      </c>
      <c r="P598" s="13">
        <v>11</v>
      </c>
      <c r="Q598" s="13">
        <v>64</v>
      </c>
      <c r="R598" s="13">
        <v>1</v>
      </c>
      <c r="S598" s="18">
        <v>0</v>
      </c>
      <c r="T598" s="21">
        <v>46247.396527777775</v>
      </c>
      <c r="U598" s="55">
        <f t="shared" si="18"/>
        <v>1.1666666666666667</v>
      </c>
      <c r="V598" s="55">
        <f t="shared" si="18"/>
        <v>0</v>
      </c>
      <c r="W598" s="56">
        <f t="shared" si="19"/>
        <v>11.833333333333334</v>
      </c>
    </row>
    <row r="599" spans="1:23" x14ac:dyDescent="0.3">
      <c r="A599" s="13" t="str" cm="1">
        <f t="array" ref="A599:B599">INDEX(BenchmarkResults!$B$1:$D$35,SUMPRODUCT((T599&gt;=BenchmarkResults!$F$2:$F$35)*(mysql_hardware_log!T599&lt;BenchmarkResults!$G$2:$G$35)*ROW(BenchmarkResults!$F$2:$F$35)),{1,3})</f>
        <v>q6_inactive_customers</v>
      </c>
      <c r="B599" s="13">
        <v>1</v>
      </c>
      <c r="C599" s="16">
        <v>1</v>
      </c>
      <c r="D599" s="18">
        <v>0</v>
      </c>
      <c r="E599" s="16">
        <v>424704</v>
      </c>
      <c r="F599" s="13">
        <v>832232</v>
      </c>
      <c r="G599" s="13">
        <v>1132</v>
      </c>
      <c r="H599" s="18">
        <v>2851384</v>
      </c>
      <c r="I599" s="16">
        <v>0</v>
      </c>
      <c r="J599" s="18">
        <v>0</v>
      </c>
      <c r="K599" s="16">
        <v>0</v>
      </c>
      <c r="L599" s="18">
        <v>10</v>
      </c>
      <c r="M599" s="16">
        <v>820</v>
      </c>
      <c r="N599" s="18">
        <v>277</v>
      </c>
      <c r="O599" s="16">
        <v>23</v>
      </c>
      <c r="P599" s="13">
        <v>11</v>
      </c>
      <c r="Q599" s="13">
        <v>66</v>
      </c>
      <c r="R599" s="13">
        <v>0</v>
      </c>
      <c r="S599" s="18">
        <v>0</v>
      </c>
      <c r="T599" s="21">
        <v>46247.396643518521</v>
      </c>
      <c r="U599" s="55">
        <f t="shared" si="18"/>
        <v>1.1666666666666667</v>
      </c>
      <c r="V599" s="55">
        <f t="shared" si="18"/>
        <v>0</v>
      </c>
      <c r="W599" s="56">
        <f t="shared" si="19"/>
        <v>11.833333333333334</v>
      </c>
    </row>
    <row r="600" spans="1:23" x14ac:dyDescent="0.3">
      <c r="A600" s="13" t="str" cm="1">
        <f t="array" ref="A600:B600">INDEX(BenchmarkResults!$B$1:$D$35,SUMPRODUCT((T600&gt;=BenchmarkResults!$F$2:$F$35)*(mysql_hardware_log!T600&lt;BenchmarkResults!$G$2:$G$35)*ROW(BenchmarkResults!$F$2:$F$35)),{1,3})</f>
        <v>q6_inactive_customers</v>
      </c>
      <c r="B600" s="13">
        <v>1</v>
      </c>
      <c r="C600" s="16">
        <v>1</v>
      </c>
      <c r="D600" s="18">
        <v>0</v>
      </c>
      <c r="E600" s="16">
        <v>424704</v>
      </c>
      <c r="F600" s="13">
        <v>832008</v>
      </c>
      <c r="G600" s="13">
        <v>1140</v>
      </c>
      <c r="H600" s="18">
        <v>2851384</v>
      </c>
      <c r="I600" s="16">
        <v>0</v>
      </c>
      <c r="J600" s="18">
        <v>0</v>
      </c>
      <c r="K600" s="16">
        <v>0</v>
      </c>
      <c r="L600" s="18">
        <v>2</v>
      </c>
      <c r="M600" s="16">
        <v>816</v>
      </c>
      <c r="N600" s="18">
        <v>276</v>
      </c>
      <c r="O600" s="16">
        <v>23</v>
      </c>
      <c r="P600" s="13">
        <v>11</v>
      </c>
      <c r="Q600" s="13">
        <v>66</v>
      </c>
      <c r="R600" s="13">
        <v>0</v>
      </c>
      <c r="S600" s="18">
        <v>0</v>
      </c>
      <c r="T600" s="21">
        <v>46247.39675925926</v>
      </c>
      <c r="U600" s="55">
        <f t="shared" si="18"/>
        <v>1.1666666666666667</v>
      </c>
      <c r="V600" s="55">
        <f t="shared" si="18"/>
        <v>0</v>
      </c>
      <c r="W600" s="56">
        <f t="shared" si="19"/>
        <v>11.833333333333334</v>
      </c>
    </row>
    <row r="601" spans="1:23" x14ac:dyDescent="0.3">
      <c r="A601" s="13" t="str" cm="1">
        <f t="array" ref="A601:B601">INDEX(BenchmarkResults!$B$1:$D$35,SUMPRODUCT((T601&gt;=BenchmarkResults!$F$2:$F$35)*(mysql_hardware_log!T601&lt;BenchmarkResults!$G$2:$G$35)*ROW(BenchmarkResults!$F$2:$F$35)),{1,3})</f>
        <v>q6_inactive_customers</v>
      </c>
      <c r="B601" s="13">
        <v>1</v>
      </c>
      <c r="C601" s="16">
        <v>1</v>
      </c>
      <c r="D601" s="18">
        <v>0</v>
      </c>
      <c r="E601" s="16">
        <v>424704</v>
      </c>
      <c r="F601" s="13">
        <v>840544</v>
      </c>
      <c r="G601" s="13">
        <v>1148</v>
      </c>
      <c r="H601" s="18">
        <v>2851384</v>
      </c>
      <c r="I601" s="16">
        <v>0</v>
      </c>
      <c r="J601" s="18">
        <v>0</v>
      </c>
      <c r="K601" s="16">
        <v>0</v>
      </c>
      <c r="L601" s="18">
        <v>17</v>
      </c>
      <c r="M601" s="16">
        <v>823</v>
      </c>
      <c r="N601" s="18">
        <v>280</v>
      </c>
      <c r="O601" s="16">
        <v>23</v>
      </c>
      <c r="P601" s="13">
        <v>11</v>
      </c>
      <c r="Q601" s="13">
        <v>66</v>
      </c>
      <c r="R601" s="13">
        <v>0</v>
      </c>
      <c r="S601" s="18">
        <v>0</v>
      </c>
      <c r="T601" s="21">
        <v>46247.396874999999</v>
      </c>
      <c r="U601" s="55">
        <f t="shared" si="18"/>
        <v>1</v>
      </c>
      <c r="V601" s="55">
        <f t="shared" si="18"/>
        <v>0</v>
      </c>
      <c r="W601" s="56">
        <f t="shared" si="19"/>
        <v>11.833333333333334</v>
      </c>
    </row>
    <row r="602" spans="1:23" x14ac:dyDescent="0.3">
      <c r="A602" s="13" t="str" cm="1">
        <f t="array" ref="A602:B602">INDEX(BenchmarkResults!$B$1:$D$35,SUMPRODUCT((T602&gt;=BenchmarkResults!$F$2:$F$35)*(mysql_hardware_log!T602&lt;BenchmarkResults!$G$2:$G$35)*ROW(BenchmarkResults!$F$2:$F$35)),{1,3})</f>
        <v>q6_inactive_customers</v>
      </c>
      <c r="B602" s="13">
        <v>1</v>
      </c>
      <c r="C602" s="16">
        <v>1</v>
      </c>
      <c r="D602" s="18">
        <v>0</v>
      </c>
      <c r="E602" s="16">
        <v>424704</v>
      </c>
      <c r="F602" s="13">
        <v>840608</v>
      </c>
      <c r="G602" s="13">
        <v>1156</v>
      </c>
      <c r="H602" s="18">
        <v>2851716</v>
      </c>
      <c r="I602" s="16">
        <v>1</v>
      </c>
      <c r="J602" s="18">
        <v>0</v>
      </c>
      <c r="K602" s="16">
        <v>34</v>
      </c>
      <c r="L602" s="18">
        <v>2</v>
      </c>
      <c r="M602" s="16">
        <v>841</v>
      </c>
      <c r="N602" s="18">
        <v>294</v>
      </c>
      <c r="O602" s="16">
        <v>23</v>
      </c>
      <c r="P602" s="13">
        <v>11</v>
      </c>
      <c r="Q602" s="13">
        <v>66</v>
      </c>
      <c r="R602" s="13">
        <v>0</v>
      </c>
      <c r="S602" s="18">
        <v>0</v>
      </c>
      <c r="T602" s="21">
        <v>46247.396990740737</v>
      </c>
      <c r="U602" s="55">
        <f t="shared" si="18"/>
        <v>1</v>
      </c>
      <c r="V602" s="55">
        <f t="shared" si="18"/>
        <v>0</v>
      </c>
      <c r="W602" s="56">
        <f t="shared" si="19"/>
        <v>17.5</v>
      </c>
    </row>
    <row r="603" spans="1:23" x14ac:dyDescent="0.3">
      <c r="A603" s="13" t="str" cm="1">
        <f t="array" ref="A603:B603">INDEX(BenchmarkResults!$B$1:$D$35,SUMPRODUCT((T603&gt;=BenchmarkResults!$F$2:$F$35)*(mysql_hardware_log!T603&lt;BenchmarkResults!$G$2:$G$35)*ROW(BenchmarkResults!$F$2:$F$35)),{1,3})</f>
        <v>q6_inactive_customers</v>
      </c>
      <c r="B603" s="13">
        <v>1</v>
      </c>
      <c r="C603" s="16">
        <v>1</v>
      </c>
      <c r="D603" s="18">
        <v>0</v>
      </c>
      <c r="E603" s="16">
        <v>424704</v>
      </c>
      <c r="F603" s="13">
        <v>840608</v>
      </c>
      <c r="G603" s="13">
        <v>1164</v>
      </c>
      <c r="H603" s="18">
        <v>2851716</v>
      </c>
      <c r="I603" s="16">
        <v>0</v>
      </c>
      <c r="J603" s="18">
        <v>0</v>
      </c>
      <c r="K603" s="16">
        <v>0</v>
      </c>
      <c r="L603" s="18">
        <v>2</v>
      </c>
      <c r="M603" s="16">
        <v>842</v>
      </c>
      <c r="N603" s="18">
        <v>297</v>
      </c>
      <c r="O603" s="16">
        <v>24</v>
      </c>
      <c r="P603" s="13">
        <v>11</v>
      </c>
      <c r="Q603" s="13">
        <v>65</v>
      </c>
      <c r="R603" s="13">
        <v>0</v>
      </c>
      <c r="S603" s="18">
        <v>0</v>
      </c>
      <c r="T603" s="21">
        <v>46247.397106481483</v>
      </c>
      <c r="U603" s="55">
        <f t="shared" si="18"/>
        <v>1</v>
      </c>
      <c r="V603" s="55">
        <f t="shared" si="18"/>
        <v>0</v>
      </c>
      <c r="W603" s="56">
        <f t="shared" si="19"/>
        <v>17.5</v>
      </c>
    </row>
    <row r="604" spans="1:23" x14ac:dyDescent="0.3">
      <c r="A604" s="13" t="str" cm="1">
        <f t="array" ref="A604:B604">INDEX(BenchmarkResults!$B$1:$D$35,SUMPRODUCT((T604&gt;=BenchmarkResults!$F$2:$F$35)*(mysql_hardware_log!T604&lt;BenchmarkResults!$G$2:$G$35)*ROW(BenchmarkResults!$F$2:$F$35)),{1,3})</f>
        <v>q6_inactive_customers</v>
      </c>
      <c r="B604" s="13">
        <v>1</v>
      </c>
      <c r="C604" s="16">
        <v>1</v>
      </c>
      <c r="D604" s="18">
        <v>0</v>
      </c>
      <c r="E604" s="16">
        <v>424704</v>
      </c>
      <c r="F604" s="13">
        <v>840608</v>
      </c>
      <c r="G604" s="13">
        <v>1172</v>
      </c>
      <c r="H604" s="18">
        <v>2851716</v>
      </c>
      <c r="I604" s="16">
        <v>0</v>
      </c>
      <c r="J604" s="18">
        <v>0</v>
      </c>
      <c r="K604" s="16">
        <v>0</v>
      </c>
      <c r="L604" s="18">
        <v>2</v>
      </c>
      <c r="M604" s="16">
        <v>837</v>
      </c>
      <c r="N604" s="18">
        <v>289</v>
      </c>
      <c r="O604" s="16">
        <v>23</v>
      </c>
      <c r="P604" s="13">
        <v>11</v>
      </c>
      <c r="Q604" s="13">
        <v>65</v>
      </c>
      <c r="R604" s="13">
        <v>0</v>
      </c>
      <c r="S604" s="18">
        <v>0</v>
      </c>
      <c r="T604" s="21">
        <v>46247.397222222222</v>
      </c>
      <c r="U604" s="55">
        <f t="shared" si="18"/>
        <v>1</v>
      </c>
      <c r="V604" s="55">
        <f t="shared" si="18"/>
        <v>0</v>
      </c>
      <c r="W604" s="56">
        <f t="shared" si="19"/>
        <v>5.666666666666667</v>
      </c>
    </row>
    <row r="605" spans="1:23" x14ac:dyDescent="0.3">
      <c r="A605" s="13" t="str" cm="1">
        <f t="array" ref="A605:B605">INDEX(BenchmarkResults!$B$1:$D$35,SUMPRODUCT((T605&gt;=BenchmarkResults!$F$2:$F$35)*(mysql_hardware_log!T605&lt;BenchmarkResults!$G$2:$G$35)*ROW(BenchmarkResults!$F$2:$F$35)),{1,3})</f>
        <v>q6_inactive_customers</v>
      </c>
      <c r="B605" s="13">
        <v>1</v>
      </c>
      <c r="C605" s="16">
        <v>1</v>
      </c>
      <c r="D605" s="18">
        <v>0</v>
      </c>
      <c r="E605" s="16">
        <v>424704</v>
      </c>
      <c r="F605" s="13">
        <v>840608</v>
      </c>
      <c r="G605" s="13">
        <v>1180</v>
      </c>
      <c r="H605" s="18">
        <v>2851716</v>
      </c>
      <c r="I605" s="16">
        <v>0</v>
      </c>
      <c r="J605" s="18">
        <v>0</v>
      </c>
      <c r="K605" s="16">
        <v>0</v>
      </c>
      <c r="L605" s="18">
        <v>2</v>
      </c>
      <c r="M605" s="16">
        <v>819</v>
      </c>
      <c r="N605" s="18">
        <v>279</v>
      </c>
      <c r="O605" s="16">
        <v>23</v>
      </c>
      <c r="P605" s="13">
        <v>11</v>
      </c>
      <c r="Q605" s="13">
        <v>65</v>
      </c>
      <c r="R605" s="13">
        <v>0</v>
      </c>
      <c r="S605" s="18">
        <v>0</v>
      </c>
      <c r="T605" s="21">
        <v>46247.397337962961</v>
      </c>
      <c r="U605" s="55">
        <f t="shared" si="18"/>
        <v>1</v>
      </c>
      <c r="V605" s="55">
        <f t="shared" si="18"/>
        <v>0</v>
      </c>
      <c r="W605" s="56">
        <f t="shared" si="19"/>
        <v>5.666666666666667</v>
      </c>
    </row>
    <row r="606" spans="1:23" x14ac:dyDescent="0.3">
      <c r="A606" s="13" t="str" cm="1">
        <f t="array" ref="A606:B606">INDEX(BenchmarkResults!$B$1:$D$35,SUMPRODUCT((T606&gt;=BenchmarkResults!$F$2:$F$35)*(mysql_hardware_log!T606&lt;BenchmarkResults!$G$2:$G$35)*ROW(BenchmarkResults!$F$2:$F$35)),{1,3})</f>
        <v>q6_inactive_customers</v>
      </c>
      <c r="B606" s="13">
        <v>1</v>
      </c>
      <c r="C606" s="16">
        <v>1</v>
      </c>
      <c r="D606" s="18">
        <v>0</v>
      </c>
      <c r="E606" s="16">
        <v>424704</v>
      </c>
      <c r="F606" s="13">
        <v>840608</v>
      </c>
      <c r="G606" s="13">
        <v>1188</v>
      </c>
      <c r="H606" s="18">
        <v>2851716</v>
      </c>
      <c r="I606" s="16">
        <v>0</v>
      </c>
      <c r="J606" s="18">
        <v>0</v>
      </c>
      <c r="K606" s="16">
        <v>0</v>
      </c>
      <c r="L606" s="18">
        <v>2</v>
      </c>
      <c r="M606" s="16">
        <v>821</v>
      </c>
      <c r="N606" s="18">
        <v>279</v>
      </c>
      <c r="O606" s="16">
        <v>23</v>
      </c>
      <c r="P606" s="13">
        <v>11</v>
      </c>
      <c r="Q606" s="13">
        <v>66</v>
      </c>
      <c r="R606" s="13">
        <v>0</v>
      </c>
      <c r="S606" s="18">
        <v>0</v>
      </c>
      <c r="T606" s="21">
        <v>46247.397453703707</v>
      </c>
      <c r="U606" s="55">
        <f t="shared" si="18"/>
        <v>1</v>
      </c>
      <c r="V606" s="55">
        <f t="shared" si="18"/>
        <v>0</v>
      </c>
      <c r="W606" s="56">
        <f t="shared" si="19"/>
        <v>5.666666666666667</v>
      </c>
    </row>
    <row r="607" spans="1:23" x14ac:dyDescent="0.3">
      <c r="A607" s="13" t="str" cm="1">
        <f t="array" ref="A607:B607">INDEX(BenchmarkResults!$B$1:$D$35,SUMPRODUCT((T607&gt;=BenchmarkResults!$F$2:$F$35)*(mysql_hardware_log!T607&lt;BenchmarkResults!$G$2:$G$35)*ROW(BenchmarkResults!$F$2:$F$35)),{1,3})</f>
        <v>q6_inactive_customers</v>
      </c>
      <c r="B607" s="13">
        <v>1</v>
      </c>
      <c r="C607" s="16">
        <v>1</v>
      </c>
      <c r="D607" s="18">
        <v>0</v>
      </c>
      <c r="E607" s="16">
        <v>424704</v>
      </c>
      <c r="F607" s="13">
        <v>840608</v>
      </c>
      <c r="G607" s="13">
        <v>1196</v>
      </c>
      <c r="H607" s="18">
        <v>2851716</v>
      </c>
      <c r="I607" s="16">
        <v>0</v>
      </c>
      <c r="J607" s="18">
        <v>0</v>
      </c>
      <c r="K607" s="16">
        <v>0</v>
      </c>
      <c r="L607" s="18">
        <v>2</v>
      </c>
      <c r="M607" s="16">
        <v>816</v>
      </c>
      <c r="N607" s="18">
        <v>278</v>
      </c>
      <c r="O607" s="16">
        <v>23</v>
      </c>
      <c r="P607" s="13">
        <v>11</v>
      </c>
      <c r="Q607" s="13">
        <v>66</v>
      </c>
      <c r="R607" s="13">
        <v>0</v>
      </c>
      <c r="S607" s="18">
        <v>0</v>
      </c>
      <c r="T607" s="21">
        <v>46247.397569444445</v>
      </c>
      <c r="U607" s="55">
        <f t="shared" si="18"/>
        <v>1</v>
      </c>
      <c r="V607" s="55">
        <f t="shared" si="18"/>
        <v>0</v>
      </c>
      <c r="W607" s="56">
        <f t="shared" si="19"/>
        <v>5.666666666666667</v>
      </c>
    </row>
    <row r="608" spans="1:23" x14ac:dyDescent="0.3">
      <c r="A608" s="13" t="str" cm="1">
        <f t="array" ref="A608:B608">INDEX(BenchmarkResults!$B$1:$D$35,SUMPRODUCT((T608&gt;=BenchmarkResults!$F$2:$F$35)*(mysql_hardware_log!T608&lt;BenchmarkResults!$G$2:$G$35)*ROW(BenchmarkResults!$F$2:$F$35)),{1,3})</f>
        <v>q6_inactive_customers</v>
      </c>
      <c r="B608" s="13">
        <v>1</v>
      </c>
      <c r="C608" s="16">
        <v>1</v>
      </c>
      <c r="D608" s="18">
        <v>0</v>
      </c>
      <c r="E608" s="16">
        <v>424704</v>
      </c>
      <c r="F608" s="13">
        <v>840652</v>
      </c>
      <c r="G608" s="13">
        <v>1220</v>
      </c>
      <c r="H608" s="18">
        <v>2852000</v>
      </c>
      <c r="I608" s="16">
        <v>1</v>
      </c>
      <c r="J608" s="18">
        <v>0</v>
      </c>
      <c r="K608" s="16">
        <v>21</v>
      </c>
      <c r="L608" s="18">
        <v>20</v>
      </c>
      <c r="M608" s="16">
        <v>847</v>
      </c>
      <c r="N608" s="18">
        <v>303</v>
      </c>
      <c r="O608" s="16">
        <v>24</v>
      </c>
      <c r="P608" s="13">
        <v>12</v>
      </c>
      <c r="Q608" s="13">
        <v>65</v>
      </c>
      <c r="R608" s="13">
        <v>0</v>
      </c>
      <c r="S608" s="18">
        <v>0</v>
      </c>
      <c r="T608" s="21">
        <v>46247.397685185184</v>
      </c>
      <c r="U608" s="55">
        <f t="shared" si="18"/>
        <v>1</v>
      </c>
      <c r="V608" s="55">
        <f t="shared" si="18"/>
        <v>0</v>
      </c>
      <c r="W608" s="56">
        <f t="shared" si="19"/>
        <v>3.5</v>
      </c>
    </row>
    <row r="609" spans="1:23" x14ac:dyDescent="0.3">
      <c r="A609" s="13" t="str" cm="1">
        <f t="array" ref="A609:B609">INDEX(BenchmarkResults!$B$1:$D$35,SUMPRODUCT((T609&gt;=BenchmarkResults!$F$2:$F$35)*(mysql_hardware_log!T609&lt;BenchmarkResults!$G$2:$G$35)*ROW(BenchmarkResults!$F$2:$F$35)),{1,3})</f>
        <v>q6_inactive_customers</v>
      </c>
      <c r="B609" s="13">
        <v>1</v>
      </c>
      <c r="C609" s="16">
        <v>1</v>
      </c>
      <c r="D609" s="18">
        <v>0</v>
      </c>
      <c r="E609" s="16">
        <v>424704</v>
      </c>
      <c r="F609" s="13">
        <v>840652</v>
      </c>
      <c r="G609" s="13">
        <v>1228</v>
      </c>
      <c r="H609" s="18">
        <v>2852000</v>
      </c>
      <c r="I609" s="16">
        <v>0</v>
      </c>
      <c r="J609" s="18">
        <v>0</v>
      </c>
      <c r="K609" s="16">
        <v>0</v>
      </c>
      <c r="L609" s="18">
        <v>2</v>
      </c>
      <c r="M609" s="16">
        <v>838</v>
      </c>
      <c r="N609" s="18">
        <v>303</v>
      </c>
      <c r="O609" s="16">
        <v>23</v>
      </c>
      <c r="P609" s="13">
        <v>11</v>
      </c>
      <c r="Q609" s="13">
        <v>65</v>
      </c>
      <c r="R609" s="13">
        <v>0</v>
      </c>
      <c r="S609" s="18">
        <v>0</v>
      </c>
      <c r="T609" s="21">
        <v>46247.397800925923</v>
      </c>
      <c r="U609" s="55">
        <f t="shared" si="18"/>
        <v>1</v>
      </c>
      <c r="V609" s="55">
        <f t="shared" si="18"/>
        <v>0</v>
      </c>
      <c r="W609" s="56">
        <f t="shared" si="19"/>
        <v>3.5</v>
      </c>
    </row>
    <row r="610" spans="1:23" x14ac:dyDescent="0.3">
      <c r="A610" s="13" t="str" cm="1">
        <f t="array" ref="A610:B610">INDEX(BenchmarkResults!$B$1:$D$35,SUMPRODUCT((T610&gt;=BenchmarkResults!$F$2:$F$35)*(mysql_hardware_log!T610&lt;BenchmarkResults!$G$2:$G$35)*ROW(BenchmarkResults!$F$2:$F$35)),{1,3})</f>
        <v>q6_inactive_customers</v>
      </c>
      <c r="B610" s="13">
        <v>1</v>
      </c>
      <c r="C610" s="16">
        <v>1</v>
      </c>
      <c r="D610" s="18">
        <v>0</v>
      </c>
      <c r="E610" s="16">
        <v>424704</v>
      </c>
      <c r="F610" s="13">
        <v>840652</v>
      </c>
      <c r="G610" s="13">
        <v>1236</v>
      </c>
      <c r="H610" s="18">
        <v>2852000</v>
      </c>
      <c r="I610" s="16">
        <v>0</v>
      </c>
      <c r="J610" s="18">
        <v>0</v>
      </c>
      <c r="K610" s="16">
        <v>0</v>
      </c>
      <c r="L610" s="18">
        <v>2</v>
      </c>
      <c r="M610" s="16">
        <v>826</v>
      </c>
      <c r="N610" s="18">
        <v>282</v>
      </c>
      <c r="O610" s="16">
        <v>23</v>
      </c>
      <c r="P610" s="13">
        <v>11</v>
      </c>
      <c r="Q610" s="13">
        <v>66</v>
      </c>
      <c r="R610" s="13">
        <v>0</v>
      </c>
      <c r="S610" s="18">
        <v>0</v>
      </c>
      <c r="T610" s="21">
        <v>46247.397916666669</v>
      </c>
      <c r="U610" s="55">
        <f t="shared" si="18"/>
        <v>1</v>
      </c>
      <c r="V610" s="55">
        <f t="shared" si="18"/>
        <v>0</v>
      </c>
      <c r="W610" s="56">
        <f t="shared" si="19"/>
        <v>3.5</v>
      </c>
    </row>
    <row r="611" spans="1:23" x14ac:dyDescent="0.3">
      <c r="A611" s="13" t="str" cm="1">
        <f t="array" ref="A611:B611">INDEX(BenchmarkResults!$B$1:$D$35,SUMPRODUCT((T611&gt;=BenchmarkResults!$F$2:$F$35)*(mysql_hardware_log!T611&lt;BenchmarkResults!$G$2:$G$35)*ROW(BenchmarkResults!$F$2:$F$35)),{1,3})</f>
        <v>q6_inactive_customers</v>
      </c>
      <c r="B611" s="13">
        <v>1</v>
      </c>
      <c r="C611" s="16">
        <v>1</v>
      </c>
      <c r="D611" s="18">
        <v>0</v>
      </c>
      <c r="E611" s="16">
        <v>424704</v>
      </c>
      <c r="F611" s="13">
        <v>840652</v>
      </c>
      <c r="G611" s="13">
        <v>1244</v>
      </c>
      <c r="H611" s="18">
        <v>2852000</v>
      </c>
      <c r="I611" s="16">
        <v>0</v>
      </c>
      <c r="J611" s="18">
        <v>0</v>
      </c>
      <c r="K611" s="16">
        <v>0</v>
      </c>
      <c r="L611" s="18">
        <v>4</v>
      </c>
      <c r="M611" s="16">
        <v>834</v>
      </c>
      <c r="N611" s="18">
        <v>286</v>
      </c>
      <c r="O611" s="16">
        <v>23</v>
      </c>
      <c r="P611" s="13">
        <v>11</v>
      </c>
      <c r="Q611" s="13">
        <v>65</v>
      </c>
      <c r="R611" s="13">
        <v>0</v>
      </c>
      <c r="S611" s="18">
        <v>0</v>
      </c>
      <c r="T611" s="21">
        <v>46247.398032407407</v>
      </c>
      <c r="U611" s="55">
        <f t="shared" si="18"/>
        <v>1</v>
      </c>
      <c r="V611" s="55">
        <f t="shared" si="18"/>
        <v>0</v>
      </c>
      <c r="W611" s="56">
        <f t="shared" si="19"/>
        <v>3.5</v>
      </c>
    </row>
    <row r="612" spans="1:23" x14ac:dyDescent="0.3">
      <c r="A612" s="13" t="str" cm="1">
        <f t="array" ref="A612:B612">INDEX(BenchmarkResults!$B$1:$D$35,SUMPRODUCT((T612&gt;=BenchmarkResults!$F$2:$F$35)*(mysql_hardware_log!T612&lt;BenchmarkResults!$G$2:$G$35)*ROW(BenchmarkResults!$F$2:$F$35)),{1,3})</f>
        <v>q6_inactive_customers</v>
      </c>
      <c r="B612" s="13">
        <v>1</v>
      </c>
      <c r="C612" s="16">
        <v>1</v>
      </c>
      <c r="D612" s="18">
        <v>0</v>
      </c>
      <c r="E612" s="16">
        <v>424704</v>
      </c>
      <c r="F612" s="13">
        <v>840652</v>
      </c>
      <c r="G612" s="13">
        <v>1252</v>
      </c>
      <c r="H612" s="18">
        <v>2852000</v>
      </c>
      <c r="I612" s="16">
        <v>0</v>
      </c>
      <c r="J612" s="18">
        <v>0</v>
      </c>
      <c r="K612" s="16">
        <v>0</v>
      </c>
      <c r="L612" s="18">
        <v>2</v>
      </c>
      <c r="M612" s="16">
        <v>828</v>
      </c>
      <c r="N612" s="18">
        <v>283</v>
      </c>
      <c r="O612" s="16">
        <v>23</v>
      </c>
      <c r="P612" s="13">
        <v>11</v>
      </c>
      <c r="Q612" s="13">
        <v>66</v>
      </c>
      <c r="R612" s="13">
        <v>0</v>
      </c>
      <c r="S612" s="18">
        <v>0</v>
      </c>
      <c r="T612" s="21">
        <v>46247.398148148146</v>
      </c>
      <c r="U612" s="55">
        <f t="shared" si="18"/>
        <v>1</v>
      </c>
      <c r="V612" s="55">
        <f t="shared" si="18"/>
        <v>0</v>
      </c>
      <c r="W612" s="56">
        <f t="shared" si="19"/>
        <v>3.5</v>
      </c>
    </row>
    <row r="613" spans="1:23" x14ac:dyDescent="0.3">
      <c r="A613" s="13" t="str" cm="1">
        <f t="array" ref="A613:B613">INDEX(BenchmarkResults!$B$1:$D$35,SUMPRODUCT((T613&gt;=BenchmarkResults!$F$2:$F$35)*(mysql_hardware_log!T613&lt;BenchmarkResults!$G$2:$G$35)*ROW(BenchmarkResults!$F$2:$F$35)),{1,3})</f>
        <v>q6_inactive_customers</v>
      </c>
      <c r="B613" s="13">
        <v>1</v>
      </c>
      <c r="C613" s="16">
        <v>1</v>
      </c>
      <c r="D613" s="18">
        <v>0</v>
      </c>
      <c r="E613" s="16">
        <v>424704</v>
      </c>
      <c r="F613" s="13">
        <v>840652</v>
      </c>
      <c r="G613" s="13">
        <v>1260</v>
      </c>
      <c r="H613" s="18">
        <v>2852000</v>
      </c>
      <c r="I613" s="16">
        <v>0</v>
      </c>
      <c r="J613" s="18">
        <v>0</v>
      </c>
      <c r="K613" s="16">
        <v>0</v>
      </c>
      <c r="L613" s="18">
        <v>2</v>
      </c>
      <c r="M613" s="16">
        <v>837</v>
      </c>
      <c r="N613" s="18">
        <v>284</v>
      </c>
      <c r="O613" s="16">
        <v>23</v>
      </c>
      <c r="P613" s="13">
        <v>11</v>
      </c>
      <c r="Q613" s="13">
        <v>65</v>
      </c>
      <c r="R613" s="13">
        <v>0</v>
      </c>
      <c r="S613" s="18">
        <v>0</v>
      </c>
      <c r="T613" s="21">
        <v>46247.398263888892</v>
      </c>
      <c r="U613" s="55">
        <f t="shared" si="18"/>
        <v>1</v>
      </c>
      <c r="V613" s="55">
        <f t="shared" si="18"/>
        <v>0</v>
      </c>
      <c r="W613" s="56">
        <f t="shared" si="19"/>
        <v>3.5</v>
      </c>
    </row>
    <row r="614" spans="1:23" x14ac:dyDescent="0.3">
      <c r="A614" s="13" t="str" cm="1">
        <f t="array" ref="A614:B614">INDEX(BenchmarkResults!$B$1:$D$35,SUMPRODUCT((T614&gt;=BenchmarkResults!$F$2:$F$35)*(mysql_hardware_log!T614&lt;BenchmarkResults!$G$2:$G$35)*ROW(BenchmarkResults!$F$2:$F$35)),{1,3})</f>
        <v>q6_inactive_customers</v>
      </c>
      <c r="B614" s="13">
        <v>1</v>
      </c>
      <c r="C614" s="16">
        <v>2</v>
      </c>
      <c r="D614" s="18">
        <v>0</v>
      </c>
      <c r="E614" s="16">
        <v>424704</v>
      </c>
      <c r="F614" s="13">
        <v>840652</v>
      </c>
      <c r="G614" s="13">
        <v>1268</v>
      </c>
      <c r="H614" s="18">
        <v>2852000</v>
      </c>
      <c r="I614" s="16">
        <v>0</v>
      </c>
      <c r="J614" s="18">
        <v>0</v>
      </c>
      <c r="K614" s="16">
        <v>0</v>
      </c>
      <c r="L614" s="18">
        <v>2</v>
      </c>
      <c r="M614" s="16">
        <v>829</v>
      </c>
      <c r="N614" s="18">
        <v>284</v>
      </c>
      <c r="O614" s="16">
        <v>24</v>
      </c>
      <c r="P614" s="13">
        <v>11</v>
      </c>
      <c r="Q614" s="13">
        <v>65</v>
      </c>
      <c r="R614" s="13">
        <v>0</v>
      </c>
      <c r="S614" s="18">
        <v>0</v>
      </c>
      <c r="T614" s="21">
        <v>46247.398379629631</v>
      </c>
      <c r="U614" s="55">
        <f t="shared" si="18"/>
        <v>1.1666666666666667</v>
      </c>
      <c r="V614" s="55">
        <f t="shared" si="18"/>
        <v>0</v>
      </c>
      <c r="W614" s="56">
        <f t="shared" si="19"/>
        <v>0</v>
      </c>
    </row>
    <row r="615" spans="1:23" x14ac:dyDescent="0.3">
      <c r="A615" s="13" t="str" cm="1">
        <f t="array" ref="A615:B615">INDEX(BenchmarkResults!$B$1:$D$35,SUMPRODUCT((T615&gt;=BenchmarkResults!$F$2:$F$35)*(mysql_hardware_log!T615&lt;BenchmarkResults!$G$2:$G$35)*ROW(BenchmarkResults!$F$2:$F$35)),{1,3})</f>
        <v>q6_inactive_customers</v>
      </c>
      <c r="B615" s="13">
        <v>1</v>
      </c>
      <c r="C615" s="16">
        <v>1</v>
      </c>
      <c r="D615" s="18">
        <v>0</v>
      </c>
      <c r="E615" s="16">
        <v>424704</v>
      </c>
      <c r="F615" s="13">
        <v>840652</v>
      </c>
      <c r="G615" s="13">
        <v>1276</v>
      </c>
      <c r="H615" s="18">
        <v>2852000</v>
      </c>
      <c r="I615" s="16">
        <v>0</v>
      </c>
      <c r="J615" s="18">
        <v>0</v>
      </c>
      <c r="K615" s="16">
        <v>0</v>
      </c>
      <c r="L615" s="18">
        <v>2</v>
      </c>
      <c r="M615" s="16">
        <v>823</v>
      </c>
      <c r="N615" s="18">
        <v>293</v>
      </c>
      <c r="O615" s="16">
        <v>23</v>
      </c>
      <c r="P615" s="13">
        <v>11</v>
      </c>
      <c r="Q615" s="13">
        <v>65</v>
      </c>
      <c r="R615" s="13">
        <v>0</v>
      </c>
      <c r="S615" s="18">
        <v>0</v>
      </c>
      <c r="T615" s="21">
        <v>46247.398495370369</v>
      </c>
      <c r="U615" s="55">
        <f t="shared" si="18"/>
        <v>1.1666666666666667</v>
      </c>
      <c r="V615" s="55">
        <f t="shared" si="18"/>
        <v>0</v>
      </c>
      <c r="W615" s="56">
        <f t="shared" si="19"/>
        <v>0</v>
      </c>
    </row>
    <row r="616" spans="1:23" x14ac:dyDescent="0.3">
      <c r="A616" s="13" t="str" cm="1">
        <f t="array" ref="A616:B616">INDEX(BenchmarkResults!$B$1:$D$35,SUMPRODUCT((T616&gt;=BenchmarkResults!$F$2:$F$35)*(mysql_hardware_log!T616&lt;BenchmarkResults!$G$2:$G$35)*ROW(BenchmarkResults!$F$2:$F$35)),{1,3})</f>
        <v>q6_inactive_customers</v>
      </c>
      <c r="B616" s="13">
        <v>1</v>
      </c>
      <c r="C616" s="16">
        <v>1</v>
      </c>
      <c r="D616" s="18">
        <v>0</v>
      </c>
      <c r="E616" s="16">
        <v>424704</v>
      </c>
      <c r="F616" s="13">
        <v>840652</v>
      </c>
      <c r="G616" s="13">
        <v>1284</v>
      </c>
      <c r="H616" s="18">
        <v>2852000</v>
      </c>
      <c r="I616" s="16">
        <v>0</v>
      </c>
      <c r="J616" s="18">
        <v>0</v>
      </c>
      <c r="K616" s="16">
        <v>0</v>
      </c>
      <c r="L616" s="18">
        <v>2</v>
      </c>
      <c r="M616" s="16">
        <v>816</v>
      </c>
      <c r="N616" s="18">
        <v>283</v>
      </c>
      <c r="O616" s="16">
        <v>23</v>
      </c>
      <c r="P616" s="13">
        <v>11</v>
      </c>
      <c r="Q616" s="13">
        <v>66</v>
      </c>
      <c r="R616" s="13">
        <v>0</v>
      </c>
      <c r="S616" s="18">
        <v>0</v>
      </c>
      <c r="T616" s="21">
        <v>46247.398611111108</v>
      </c>
      <c r="U616" s="55">
        <f t="shared" si="18"/>
        <v>1.1666666666666667</v>
      </c>
      <c r="V616" s="55">
        <f t="shared" si="18"/>
        <v>0</v>
      </c>
      <c r="W616" s="56">
        <f t="shared" si="19"/>
        <v>0</v>
      </c>
    </row>
    <row r="617" spans="1:23" x14ac:dyDescent="0.3">
      <c r="A617" s="13" t="str" cm="1">
        <f t="array" ref="A617:B617">INDEX(BenchmarkResults!$B$1:$D$35,SUMPRODUCT((T617&gt;=BenchmarkResults!$F$2:$F$35)*(mysql_hardware_log!T617&lt;BenchmarkResults!$G$2:$G$35)*ROW(BenchmarkResults!$F$2:$F$35)),{1,3})</f>
        <v>q6_inactive_customers</v>
      </c>
      <c r="B617" s="13">
        <v>1</v>
      </c>
      <c r="C617" s="16">
        <v>1</v>
      </c>
      <c r="D617" s="18">
        <v>0</v>
      </c>
      <c r="E617" s="16">
        <v>424704</v>
      </c>
      <c r="F617" s="13">
        <v>840652</v>
      </c>
      <c r="G617" s="13">
        <v>1292</v>
      </c>
      <c r="H617" s="18">
        <v>2852000</v>
      </c>
      <c r="I617" s="16">
        <v>0</v>
      </c>
      <c r="J617" s="18">
        <v>0</v>
      </c>
      <c r="K617" s="16">
        <v>0</v>
      </c>
      <c r="L617" s="18">
        <v>2</v>
      </c>
      <c r="M617" s="16">
        <v>812</v>
      </c>
      <c r="N617" s="18">
        <v>279</v>
      </c>
      <c r="O617" s="16">
        <v>23</v>
      </c>
      <c r="P617" s="13">
        <v>11</v>
      </c>
      <c r="Q617" s="13">
        <v>66</v>
      </c>
      <c r="R617" s="13">
        <v>0</v>
      </c>
      <c r="S617" s="18">
        <v>0</v>
      </c>
      <c r="T617" s="21">
        <v>46247.398726851854</v>
      </c>
      <c r="U617" s="55">
        <f t="shared" si="18"/>
        <v>1.1666666666666667</v>
      </c>
      <c r="V617" s="55">
        <f t="shared" si="18"/>
        <v>0</v>
      </c>
      <c r="W617" s="56">
        <f t="shared" si="19"/>
        <v>0</v>
      </c>
    </row>
    <row r="618" spans="1:23" x14ac:dyDescent="0.3">
      <c r="A618" s="13" t="str" cm="1">
        <f t="array" ref="A618:B618">INDEX(BenchmarkResults!$B$1:$D$35,SUMPRODUCT((T618&gt;=BenchmarkResults!$F$2:$F$35)*(mysql_hardware_log!T618&lt;BenchmarkResults!$G$2:$G$35)*ROW(BenchmarkResults!$F$2:$F$35)),{1,3})</f>
        <v>q6_inactive_customers</v>
      </c>
      <c r="B618" s="13">
        <v>1</v>
      </c>
      <c r="C618" s="16">
        <v>1</v>
      </c>
      <c r="D618" s="18">
        <v>0</v>
      </c>
      <c r="E618" s="16">
        <v>424704</v>
      </c>
      <c r="F618" s="13">
        <v>840652</v>
      </c>
      <c r="G618" s="13">
        <v>1300</v>
      </c>
      <c r="H618" s="18">
        <v>2852000</v>
      </c>
      <c r="I618" s="16">
        <v>0</v>
      </c>
      <c r="J618" s="18">
        <v>0</v>
      </c>
      <c r="K618" s="16">
        <v>0</v>
      </c>
      <c r="L618" s="18">
        <v>2</v>
      </c>
      <c r="M618" s="16">
        <v>809</v>
      </c>
      <c r="N618" s="18">
        <v>275</v>
      </c>
      <c r="O618" s="16">
        <v>23</v>
      </c>
      <c r="P618" s="13">
        <v>11</v>
      </c>
      <c r="Q618" s="13">
        <v>65</v>
      </c>
      <c r="R618" s="13">
        <v>0</v>
      </c>
      <c r="S618" s="18">
        <v>0</v>
      </c>
      <c r="T618" s="21">
        <v>46247.398842592593</v>
      </c>
      <c r="U618" s="55">
        <f t="shared" si="18"/>
        <v>1.1666666666666667</v>
      </c>
      <c r="V618" s="55">
        <f t="shared" si="18"/>
        <v>0</v>
      </c>
      <c r="W618" s="56">
        <f t="shared" si="19"/>
        <v>0</v>
      </c>
    </row>
    <row r="619" spans="1:23" x14ac:dyDescent="0.3">
      <c r="A619" s="13" t="str" cm="1">
        <f t="array" ref="A619:B619">INDEX(BenchmarkResults!$B$1:$D$35,SUMPRODUCT((T619&gt;=BenchmarkResults!$F$2:$F$35)*(mysql_hardware_log!T619&lt;BenchmarkResults!$G$2:$G$35)*ROW(BenchmarkResults!$F$2:$F$35)),{1,3})</f>
        <v>q6_inactive_customers</v>
      </c>
      <c r="B619" s="13">
        <v>1</v>
      </c>
      <c r="C619" s="16">
        <v>1</v>
      </c>
      <c r="D619" s="18">
        <v>0</v>
      </c>
      <c r="E619" s="16">
        <v>424704</v>
      </c>
      <c r="F619" s="13">
        <v>840652</v>
      </c>
      <c r="G619" s="13">
        <v>1308</v>
      </c>
      <c r="H619" s="18">
        <v>2852000</v>
      </c>
      <c r="I619" s="16">
        <v>0</v>
      </c>
      <c r="J619" s="18">
        <v>0</v>
      </c>
      <c r="K619" s="16">
        <v>0</v>
      </c>
      <c r="L619" s="18">
        <v>2</v>
      </c>
      <c r="M619" s="16">
        <v>815</v>
      </c>
      <c r="N619" s="18">
        <v>278</v>
      </c>
      <c r="O619" s="16">
        <v>23</v>
      </c>
      <c r="P619" s="13">
        <v>11</v>
      </c>
      <c r="Q619" s="13">
        <v>66</v>
      </c>
      <c r="R619" s="13">
        <v>0</v>
      </c>
      <c r="S619" s="18">
        <v>0</v>
      </c>
      <c r="T619" s="21">
        <v>46247.398958333331</v>
      </c>
      <c r="U619" s="55">
        <f t="shared" si="18"/>
        <v>1.1666666666666667</v>
      </c>
      <c r="V619" s="55">
        <f t="shared" si="18"/>
        <v>0</v>
      </c>
      <c r="W619" s="56">
        <f t="shared" si="19"/>
        <v>0</v>
      </c>
    </row>
    <row r="620" spans="1:23" x14ac:dyDescent="0.3">
      <c r="A620" s="13" t="str" cm="1">
        <f t="array" ref="A620:B620">INDEX(BenchmarkResults!$B$1:$D$35,SUMPRODUCT((T620&gt;=BenchmarkResults!$F$2:$F$35)*(mysql_hardware_log!T620&lt;BenchmarkResults!$G$2:$G$35)*ROW(BenchmarkResults!$F$2:$F$35)),{1,3})</f>
        <v>q6_inactive_customers</v>
      </c>
      <c r="B620" s="13">
        <v>1</v>
      </c>
      <c r="C620" s="16">
        <v>1</v>
      </c>
      <c r="D620" s="18">
        <v>0</v>
      </c>
      <c r="E620" s="16">
        <v>424704</v>
      </c>
      <c r="F620" s="13">
        <v>840652</v>
      </c>
      <c r="G620" s="13">
        <v>1316</v>
      </c>
      <c r="H620" s="18">
        <v>2852000</v>
      </c>
      <c r="I620" s="16">
        <v>0</v>
      </c>
      <c r="J620" s="18">
        <v>0</v>
      </c>
      <c r="K620" s="16">
        <v>0</v>
      </c>
      <c r="L620" s="18">
        <v>2</v>
      </c>
      <c r="M620" s="16">
        <v>822</v>
      </c>
      <c r="N620" s="18">
        <v>283</v>
      </c>
      <c r="O620" s="16">
        <v>23</v>
      </c>
      <c r="P620" s="13">
        <v>11</v>
      </c>
      <c r="Q620" s="13">
        <v>66</v>
      </c>
      <c r="R620" s="13">
        <v>0</v>
      </c>
      <c r="S620" s="18">
        <v>0</v>
      </c>
      <c r="T620" s="21">
        <v>46247.399074074077</v>
      </c>
      <c r="U620" s="55">
        <f t="shared" si="18"/>
        <v>1</v>
      </c>
      <c r="V620" s="55">
        <f t="shared" si="18"/>
        <v>0</v>
      </c>
      <c r="W620" s="56">
        <f t="shared" si="19"/>
        <v>0</v>
      </c>
    </row>
    <row r="621" spans="1:23" x14ac:dyDescent="0.3">
      <c r="A621" s="13" t="str" cm="1">
        <f t="array" ref="A621:B621">INDEX(BenchmarkResults!$B$1:$D$35,SUMPRODUCT((T621&gt;=BenchmarkResults!$F$2:$F$35)*(mysql_hardware_log!T621&lt;BenchmarkResults!$G$2:$G$35)*ROW(BenchmarkResults!$F$2:$F$35)),{1,3})</f>
        <v>q6_inactive_customers</v>
      </c>
      <c r="B621" s="13">
        <v>1</v>
      </c>
      <c r="C621" s="16">
        <v>1</v>
      </c>
      <c r="D621" s="18">
        <v>0</v>
      </c>
      <c r="E621" s="16">
        <v>424704</v>
      </c>
      <c r="F621" s="13">
        <v>840652</v>
      </c>
      <c r="G621" s="13">
        <v>1324</v>
      </c>
      <c r="H621" s="18">
        <v>2852000</v>
      </c>
      <c r="I621" s="16">
        <v>0</v>
      </c>
      <c r="J621" s="18">
        <v>0</v>
      </c>
      <c r="K621" s="16">
        <v>0</v>
      </c>
      <c r="L621" s="18">
        <v>2</v>
      </c>
      <c r="M621" s="16">
        <v>821</v>
      </c>
      <c r="N621" s="18">
        <v>294</v>
      </c>
      <c r="O621" s="16">
        <v>23</v>
      </c>
      <c r="P621" s="13">
        <v>11</v>
      </c>
      <c r="Q621" s="13">
        <v>65</v>
      </c>
      <c r="R621" s="13">
        <v>0</v>
      </c>
      <c r="S621" s="18">
        <v>0</v>
      </c>
      <c r="T621" s="21">
        <v>46247.399189814816</v>
      </c>
      <c r="U621" s="55">
        <f t="shared" si="18"/>
        <v>1</v>
      </c>
      <c r="V621" s="55">
        <f t="shared" si="18"/>
        <v>0</v>
      </c>
      <c r="W621" s="56">
        <f t="shared" si="19"/>
        <v>0</v>
      </c>
    </row>
    <row r="622" spans="1:23" x14ac:dyDescent="0.3">
      <c r="A622" s="13" t="str" cm="1">
        <f t="array" ref="A622:B622">INDEX(BenchmarkResults!$B$1:$D$35,SUMPRODUCT((T622&gt;=BenchmarkResults!$F$2:$F$35)*(mysql_hardware_log!T622&lt;BenchmarkResults!$G$2:$G$35)*ROW(BenchmarkResults!$F$2:$F$35)),{1,3})</f>
        <v>q6_inactive_customers</v>
      </c>
      <c r="B622" s="13">
        <v>1</v>
      </c>
      <c r="C622" s="16">
        <v>1</v>
      </c>
      <c r="D622" s="18">
        <v>0</v>
      </c>
      <c r="E622" s="16">
        <v>424704</v>
      </c>
      <c r="F622" s="13">
        <v>840652</v>
      </c>
      <c r="G622" s="13">
        <v>1332</v>
      </c>
      <c r="H622" s="18">
        <v>2852000</v>
      </c>
      <c r="I622" s="16">
        <v>0</v>
      </c>
      <c r="J622" s="18">
        <v>0</v>
      </c>
      <c r="K622" s="16">
        <v>0</v>
      </c>
      <c r="L622" s="18">
        <v>2</v>
      </c>
      <c r="M622" s="16">
        <v>840</v>
      </c>
      <c r="N622" s="18">
        <v>279</v>
      </c>
      <c r="O622" s="16">
        <v>23</v>
      </c>
      <c r="P622" s="13">
        <v>11</v>
      </c>
      <c r="Q622" s="13">
        <v>65</v>
      </c>
      <c r="R622" s="13">
        <v>0</v>
      </c>
      <c r="S622" s="18">
        <v>2</v>
      </c>
      <c r="T622" s="21">
        <v>46247.399305555555</v>
      </c>
      <c r="U622" s="55">
        <f t="shared" si="18"/>
        <v>1</v>
      </c>
      <c r="V622" s="55">
        <f t="shared" si="18"/>
        <v>0</v>
      </c>
      <c r="W622" s="56">
        <f t="shared" si="19"/>
        <v>0</v>
      </c>
    </row>
    <row r="623" spans="1:23" x14ac:dyDescent="0.3">
      <c r="A623" s="13" t="str" cm="1">
        <f t="array" ref="A623:B623">INDEX(BenchmarkResults!$B$1:$D$35,SUMPRODUCT((T623&gt;=BenchmarkResults!$F$2:$F$35)*(mysql_hardware_log!T623&lt;BenchmarkResults!$G$2:$G$35)*ROW(BenchmarkResults!$F$2:$F$35)),{1,3})</f>
        <v>q6_inactive_customers</v>
      </c>
      <c r="B623" s="13">
        <v>1</v>
      </c>
      <c r="C623" s="16">
        <v>1</v>
      </c>
      <c r="D623" s="18">
        <v>0</v>
      </c>
      <c r="E623" s="16">
        <v>424704</v>
      </c>
      <c r="F623" s="13">
        <v>840652</v>
      </c>
      <c r="G623" s="13">
        <v>1340</v>
      </c>
      <c r="H623" s="18">
        <v>2852000</v>
      </c>
      <c r="I623" s="16">
        <v>0</v>
      </c>
      <c r="J623" s="18">
        <v>0</v>
      </c>
      <c r="K623" s="16">
        <v>0</v>
      </c>
      <c r="L623" s="18">
        <v>2</v>
      </c>
      <c r="M623" s="16">
        <v>858</v>
      </c>
      <c r="N623" s="18">
        <v>280</v>
      </c>
      <c r="O623" s="16">
        <v>22</v>
      </c>
      <c r="P623" s="13">
        <v>11</v>
      </c>
      <c r="Q623" s="13">
        <v>63</v>
      </c>
      <c r="R623" s="13">
        <v>0</v>
      </c>
      <c r="S623" s="18">
        <v>4</v>
      </c>
      <c r="T623" s="21">
        <v>46247.399421296293</v>
      </c>
      <c r="U623" s="55">
        <f t="shared" si="18"/>
        <v>1</v>
      </c>
      <c r="V623" s="55">
        <f t="shared" si="18"/>
        <v>0</v>
      </c>
      <c r="W623" s="56">
        <f t="shared" si="19"/>
        <v>0</v>
      </c>
    </row>
    <row r="624" spans="1:23" x14ac:dyDescent="0.3">
      <c r="A624" s="13" t="str" cm="1">
        <f t="array" ref="A624:B624">INDEX(BenchmarkResults!$B$1:$D$35,SUMPRODUCT((T624&gt;=BenchmarkResults!$F$2:$F$35)*(mysql_hardware_log!T624&lt;BenchmarkResults!$G$2:$G$35)*ROW(BenchmarkResults!$F$2:$F$35)),{1,3})</f>
        <v>q6_inactive_customers</v>
      </c>
      <c r="B624" s="13">
        <v>1</v>
      </c>
      <c r="C624" s="16">
        <v>1</v>
      </c>
      <c r="D624" s="18">
        <v>0</v>
      </c>
      <c r="E624" s="16">
        <v>424704</v>
      </c>
      <c r="F624" s="13">
        <v>840652</v>
      </c>
      <c r="G624" s="13">
        <v>1348</v>
      </c>
      <c r="H624" s="18">
        <v>2852000</v>
      </c>
      <c r="I624" s="16">
        <v>0</v>
      </c>
      <c r="J624" s="18">
        <v>0</v>
      </c>
      <c r="K624" s="16">
        <v>0</v>
      </c>
      <c r="L624" s="18">
        <v>2</v>
      </c>
      <c r="M624" s="16">
        <v>822</v>
      </c>
      <c r="N624" s="18">
        <v>278</v>
      </c>
      <c r="O624" s="16">
        <v>23</v>
      </c>
      <c r="P624" s="13">
        <v>11</v>
      </c>
      <c r="Q624" s="13">
        <v>66</v>
      </c>
      <c r="R624" s="13">
        <v>0</v>
      </c>
      <c r="S624" s="18">
        <v>0</v>
      </c>
      <c r="T624" s="21">
        <v>46247.399537037039</v>
      </c>
      <c r="U624" s="55">
        <f t="shared" si="18"/>
        <v>1</v>
      </c>
      <c r="V624" s="55">
        <f t="shared" si="18"/>
        <v>0</v>
      </c>
      <c r="W624" s="56">
        <f t="shared" si="19"/>
        <v>0</v>
      </c>
    </row>
    <row r="625" spans="1:23" x14ac:dyDescent="0.3">
      <c r="A625" s="13" t="str" cm="1">
        <f t="array" ref="A625:B625">INDEX(BenchmarkResults!$B$1:$D$35,SUMPRODUCT((T625&gt;=BenchmarkResults!$F$2:$F$35)*(mysql_hardware_log!T625&lt;BenchmarkResults!$G$2:$G$35)*ROW(BenchmarkResults!$F$2:$F$35)),{1,3})</f>
        <v>q6_inactive_customers</v>
      </c>
      <c r="B625" s="13">
        <v>1</v>
      </c>
      <c r="C625" s="16">
        <v>1</v>
      </c>
      <c r="D625" s="18">
        <v>0</v>
      </c>
      <c r="E625" s="16">
        <v>424704</v>
      </c>
      <c r="F625" s="13">
        <v>840652</v>
      </c>
      <c r="G625" s="13">
        <v>1356</v>
      </c>
      <c r="H625" s="18">
        <v>2852004</v>
      </c>
      <c r="I625" s="16">
        <v>0</v>
      </c>
      <c r="J625" s="18">
        <v>0</v>
      </c>
      <c r="K625" s="16">
        <v>0</v>
      </c>
      <c r="L625" s="18">
        <v>3</v>
      </c>
      <c r="M625" s="16">
        <v>827</v>
      </c>
      <c r="N625" s="18">
        <v>282</v>
      </c>
      <c r="O625" s="16">
        <v>23</v>
      </c>
      <c r="P625" s="13">
        <v>11</v>
      </c>
      <c r="Q625" s="13">
        <v>66</v>
      </c>
      <c r="R625" s="13">
        <v>0</v>
      </c>
      <c r="S625" s="18">
        <v>0</v>
      </c>
      <c r="T625" s="21">
        <v>46247.399652777778</v>
      </c>
      <c r="U625" s="55">
        <f t="shared" si="18"/>
        <v>1</v>
      </c>
      <c r="V625" s="55">
        <f t="shared" si="18"/>
        <v>0</v>
      </c>
      <c r="W625" s="56">
        <f t="shared" si="19"/>
        <v>0</v>
      </c>
    </row>
    <row r="626" spans="1:23" x14ac:dyDescent="0.3">
      <c r="A626" s="13" t="str" cm="1">
        <f t="array" ref="A626:B626">INDEX(BenchmarkResults!$B$1:$D$35,SUMPRODUCT((T626&gt;=BenchmarkResults!$F$2:$F$35)*(mysql_hardware_log!T626&lt;BenchmarkResults!$G$2:$G$35)*ROW(BenchmarkResults!$F$2:$F$35)),{1,3})</f>
        <v>q6_inactive_customers</v>
      </c>
      <c r="B626" s="13">
        <v>1</v>
      </c>
      <c r="C626" s="16">
        <v>1</v>
      </c>
      <c r="D626" s="18">
        <v>0</v>
      </c>
      <c r="E626" s="16">
        <v>424704</v>
      </c>
      <c r="F626" s="13">
        <v>840652</v>
      </c>
      <c r="G626" s="13">
        <v>1364</v>
      </c>
      <c r="H626" s="18">
        <v>2852004</v>
      </c>
      <c r="I626" s="16">
        <v>0</v>
      </c>
      <c r="J626" s="18">
        <v>0</v>
      </c>
      <c r="K626" s="16">
        <v>0</v>
      </c>
      <c r="L626" s="18">
        <v>2</v>
      </c>
      <c r="M626" s="16">
        <v>822</v>
      </c>
      <c r="N626" s="18">
        <v>281</v>
      </c>
      <c r="O626" s="16">
        <v>23</v>
      </c>
      <c r="P626" s="13">
        <v>11</v>
      </c>
      <c r="Q626" s="13">
        <v>65</v>
      </c>
      <c r="R626" s="13">
        <v>0</v>
      </c>
      <c r="S626" s="18">
        <v>0</v>
      </c>
      <c r="T626" s="21">
        <v>46247.399768518517</v>
      </c>
      <c r="U626" s="55">
        <f t="shared" si="18"/>
        <v>1</v>
      </c>
      <c r="V626" s="55">
        <f t="shared" si="18"/>
        <v>0</v>
      </c>
      <c r="W626" s="56">
        <f t="shared" si="19"/>
        <v>0</v>
      </c>
    </row>
    <row r="627" spans="1:23" x14ac:dyDescent="0.3">
      <c r="A627" s="13" t="str" cm="1">
        <f t="array" ref="A627:B627">INDEX(BenchmarkResults!$B$1:$D$35,SUMPRODUCT((T627&gt;=BenchmarkResults!$F$2:$F$35)*(mysql_hardware_log!T627&lt;BenchmarkResults!$G$2:$G$35)*ROW(BenchmarkResults!$F$2:$F$35)),{1,3})</f>
        <v>q6_inactive_customers</v>
      </c>
      <c r="B627" s="13">
        <v>1</v>
      </c>
      <c r="C627" s="16">
        <v>1</v>
      </c>
      <c r="D627" s="18">
        <v>0</v>
      </c>
      <c r="E627" s="16">
        <v>424704</v>
      </c>
      <c r="F627" s="13">
        <v>840652</v>
      </c>
      <c r="G627" s="13">
        <v>1372</v>
      </c>
      <c r="H627" s="18">
        <v>2852004</v>
      </c>
      <c r="I627" s="16">
        <v>0</v>
      </c>
      <c r="J627" s="18">
        <v>0</v>
      </c>
      <c r="K627" s="16">
        <v>0</v>
      </c>
      <c r="L627" s="18">
        <v>3</v>
      </c>
      <c r="M627" s="16">
        <v>837</v>
      </c>
      <c r="N627" s="18">
        <v>301</v>
      </c>
      <c r="O627" s="16">
        <v>24</v>
      </c>
      <c r="P627" s="13">
        <v>11</v>
      </c>
      <c r="Q627" s="13">
        <v>65</v>
      </c>
      <c r="R627" s="13">
        <v>0</v>
      </c>
      <c r="S627" s="18">
        <v>0</v>
      </c>
      <c r="T627" s="21">
        <v>46247.399884259263</v>
      </c>
      <c r="U627" s="55">
        <f t="shared" si="18"/>
        <v>1</v>
      </c>
      <c r="V627" s="55">
        <f t="shared" si="18"/>
        <v>0</v>
      </c>
      <c r="W627" s="56">
        <f t="shared" si="19"/>
        <v>0</v>
      </c>
    </row>
    <row r="628" spans="1:23" x14ac:dyDescent="0.3">
      <c r="A628" s="13" t="str" cm="1">
        <f t="array" ref="A628:B628">INDEX(BenchmarkResults!$B$1:$D$35,SUMPRODUCT((T628&gt;=BenchmarkResults!$F$2:$F$35)*(mysql_hardware_log!T628&lt;BenchmarkResults!$G$2:$G$35)*ROW(BenchmarkResults!$F$2:$F$35)),{1,3})</f>
        <v>q6_inactive_customers</v>
      </c>
      <c r="B628" s="13">
        <v>1</v>
      </c>
      <c r="C628" s="16">
        <v>1</v>
      </c>
      <c r="D628" s="18">
        <v>0</v>
      </c>
      <c r="E628" s="16">
        <v>424704</v>
      </c>
      <c r="F628" s="13">
        <v>809660</v>
      </c>
      <c r="G628" s="13">
        <v>1388</v>
      </c>
      <c r="H628" s="18">
        <v>2864828</v>
      </c>
      <c r="I628" s="16">
        <v>1</v>
      </c>
      <c r="J628" s="18">
        <v>0</v>
      </c>
      <c r="K628" s="16">
        <v>1284</v>
      </c>
      <c r="L628" s="18">
        <v>4</v>
      </c>
      <c r="M628" s="16">
        <v>877</v>
      </c>
      <c r="N628" s="18">
        <v>352</v>
      </c>
      <c r="O628" s="16">
        <v>23</v>
      </c>
      <c r="P628" s="13">
        <v>13</v>
      </c>
      <c r="Q628" s="13">
        <v>63</v>
      </c>
      <c r="R628" s="13">
        <v>1</v>
      </c>
      <c r="S628" s="18">
        <v>0</v>
      </c>
      <c r="T628" s="21">
        <v>46247.4</v>
      </c>
      <c r="U628" s="55">
        <f t="shared" si="18"/>
        <v>1</v>
      </c>
      <c r="V628" s="55">
        <f t="shared" si="18"/>
        <v>0</v>
      </c>
      <c r="W628" s="56">
        <f t="shared" si="19"/>
        <v>214</v>
      </c>
    </row>
    <row r="629" spans="1:23" x14ac:dyDescent="0.3">
      <c r="A629" s="13" t="str" cm="1">
        <f t="array" ref="A629:B629">INDEX(BenchmarkResults!$B$1:$D$35,SUMPRODUCT((T629&gt;=BenchmarkResults!$F$2:$F$35)*(mysql_hardware_log!T629&lt;BenchmarkResults!$G$2:$G$35)*ROW(BenchmarkResults!$F$2:$F$35)),{1,3})</f>
        <v>q6_inactive_customers</v>
      </c>
      <c r="B629" s="13">
        <v>2</v>
      </c>
      <c r="C629" s="16">
        <v>1</v>
      </c>
      <c r="D629" s="18">
        <v>0</v>
      </c>
      <c r="E629" s="16">
        <v>424704</v>
      </c>
      <c r="F629" s="13">
        <v>1065660</v>
      </c>
      <c r="G629" s="13">
        <v>1396</v>
      </c>
      <c r="H629" s="18">
        <v>2609136</v>
      </c>
      <c r="I629" s="16">
        <v>0</v>
      </c>
      <c r="J629" s="18">
        <v>0</v>
      </c>
      <c r="K629" s="16">
        <v>4322</v>
      </c>
      <c r="L629" s="18">
        <v>30</v>
      </c>
      <c r="M629" s="16">
        <v>949</v>
      </c>
      <c r="N629" s="18">
        <v>416</v>
      </c>
      <c r="O629" s="16">
        <v>23</v>
      </c>
      <c r="P629" s="13">
        <v>11</v>
      </c>
      <c r="Q629" s="13">
        <v>65</v>
      </c>
      <c r="R629" s="13">
        <v>2</v>
      </c>
      <c r="S629" s="18">
        <v>0</v>
      </c>
      <c r="T629" s="21">
        <v>46247.40011574074</v>
      </c>
      <c r="U629" s="55">
        <f t="shared" si="18"/>
        <v>1</v>
      </c>
      <c r="V629" s="55">
        <f t="shared" si="18"/>
        <v>0</v>
      </c>
      <c r="W629" s="56">
        <f t="shared" si="19"/>
        <v>934.33333333333337</v>
      </c>
    </row>
    <row r="630" spans="1:23" x14ac:dyDescent="0.3">
      <c r="A630" s="13" t="str" cm="1">
        <f t="array" ref="A630:B630">INDEX(BenchmarkResults!$B$1:$D$35,SUMPRODUCT((T630&gt;=BenchmarkResults!$F$2:$F$35)*(mysql_hardware_log!T630&lt;BenchmarkResults!$G$2:$G$35)*ROW(BenchmarkResults!$F$2:$F$35)),{1,3})</f>
        <v>q6_inactive_customers</v>
      </c>
      <c r="B630" s="13">
        <v>2</v>
      </c>
      <c r="C630" s="16">
        <v>1</v>
      </c>
      <c r="D630" s="18">
        <v>1</v>
      </c>
      <c r="E630" s="16">
        <v>424704</v>
      </c>
      <c r="F630" s="13">
        <v>679604</v>
      </c>
      <c r="G630" s="13">
        <v>1428</v>
      </c>
      <c r="H630" s="18">
        <v>2974136</v>
      </c>
      <c r="I630" s="16">
        <v>0</v>
      </c>
      <c r="J630" s="18">
        <v>0</v>
      </c>
      <c r="K630" s="16">
        <v>13314</v>
      </c>
      <c r="L630" s="18">
        <v>11457</v>
      </c>
      <c r="M630" s="16">
        <v>1280</v>
      </c>
      <c r="N630" s="18">
        <v>791</v>
      </c>
      <c r="O630" s="16">
        <v>25</v>
      </c>
      <c r="P630" s="13">
        <v>7</v>
      </c>
      <c r="Q630" s="13">
        <v>56</v>
      </c>
      <c r="R630" s="13">
        <v>11</v>
      </c>
      <c r="S630" s="18">
        <v>0</v>
      </c>
      <c r="T630" s="21">
        <v>46247.400231481479</v>
      </c>
      <c r="U630" s="55">
        <f t="shared" si="18"/>
        <v>1</v>
      </c>
      <c r="V630" s="55">
        <f t="shared" si="18"/>
        <v>0.16666666666666666</v>
      </c>
      <c r="W630" s="56">
        <f t="shared" si="19"/>
        <v>3153.3333333333335</v>
      </c>
    </row>
    <row r="631" spans="1:23" x14ac:dyDescent="0.3">
      <c r="A631" s="13" t="str" cm="1">
        <f t="array" ref="A631:B631">INDEX(BenchmarkResults!$B$1:$D$35,SUMPRODUCT((T631&gt;=BenchmarkResults!$F$2:$F$35)*(mysql_hardware_log!T631&lt;BenchmarkResults!$G$2:$G$35)*ROW(BenchmarkResults!$F$2:$F$35)),{1,3})</f>
        <v>q6_inactive_customers</v>
      </c>
      <c r="B631" s="13">
        <v>2</v>
      </c>
      <c r="C631" s="16">
        <v>1</v>
      </c>
      <c r="D631" s="18">
        <v>0</v>
      </c>
      <c r="E631" s="16">
        <v>424704</v>
      </c>
      <c r="F631" s="13">
        <v>259784</v>
      </c>
      <c r="G631" s="13">
        <v>1456</v>
      </c>
      <c r="H631" s="18">
        <v>3396756</v>
      </c>
      <c r="I631" s="16">
        <v>0</v>
      </c>
      <c r="J631" s="18">
        <v>0</v>
      </c>
      <c r="K631" s="16">
        <v>18646</v>
      </c>
      <c r="L631" s="18">
        <v>17752</v>
      </c>
      <c r="M631" s="16">
        <v>1288</v>
      </c>
      <c r="N631" s="18">
        <v>741</v>
      </c>
      <c r="O631" s="16">
        <v>25</v>
      </c>
      <c r="P631" s="13">
        <v>8</v>
      </c>
      <c r="Q631" s="13">
        <v>55</v>
      </c>
      <c r="R631" s="13">
        <v>12</v>
      </c>
      <c r="S631" s="18">
        <v>0</v>
      </c>
      <c r="T631" s="21">
        <v>46247.400347222225</v>
      </c>
      <c r="U631" s="55">
        <f t="shared" si="18"/>
        <v>1</v>
      </c>
      <c r="V631" s="55">
        <f t="shared" si="18"/>
        <v>0.16666666666666666</v>
      </c>
      <c r="W631" s="56">
        <f t="shared" si="19"/>
        <v>6261</v>
      </c>
    </row>
    <row r="632" spans="1:23" x14ac:dyDescent="0.3">
      <c r="A632" s="13" t="str" cm="1">
        <f t="array" ref="A632:B632">INDEX(BenchmarkResults!$B$1:$D$35,SUMPRODUCT((T632&gt;=BenchmarkResults!$F$2:$F$35)*(mysql_hardware_log!T632&lt;BenchmarkResults!$G$2:$G$35)*ROW(BenchmarkResults!$F$2:$F$35)),{1,3})</f>
        <v>q6_inactive_customers</v>
      </c>
      <c r="B632" s="13">
        <v>2</v>
      </c>
      <c r="C632" s="16">
        <v>1</v>
      </c>
      <c r="D632" s="18">
        <v>0</v>
      </c>
      <c r="E632" s="16">
        <v>424704</v>
      </c>
      <c r="F632" s="13">
        <v>112332</v>
      </c>
      <c r="G632" s="13">
        <v>1480</v>
      </c>
      <c r="H632" s="18">
        <v>3551672</v>
      </c>
      <c r="I632" s="16">
        <v>1</v>
      </c>
      <c r="J632" s="18">
        <v>0</v>
      </c>
      <c r="K632" s="16">
        <v>14464</v>
      </c>
      <c r="L632" s="18">
        <v>8621</v>
      </c>
      <c r="M632" s="16">
        <v>1167</v>
      </c>
      <c r="N632" s="18">
        <v>606</v>
      </c>
      <c r="O632" s="16">
        <v>25</v>
      </c>
      <c r="P632" s="13">
        <v>8</v>
      </c>
      <c r="Q632" s="13">
        <v>58</v>
      </c>
      <c r="R632" s="13">
        <v>9</v>
      </c>
      <c r="S632" s="18">
        <v>0</v>
      </c>
      <c r="T632" s="21">
        <v>46247.400462962964</v>
      </c>
      <c r="U632" s="55">
        <f t="shared" si="18"/>
        <v>1</v>
      </c>
      <c r="V632" s="55">
        <f t="shared" si="18"/>
        <v>0.16666666666666666</v>
      </c>
      <c r="W632" s="56">
        <f t="shared" si="19"/>
        <v>8671.6666666666661</v>
      </c>
    </row>
    <row r="633" spans="1:23" x14ac:dyDescent="0.3">
      <c r="A633" s="13" t="str" cm="1">
        <f t="array" ref="A633:B633">INDEX(BenchmarkResults!$B$1:$D$35,SUMPRODUCT((T633&gt;=BenchmarkResults!$F$2:$F$35)*(mysql_hardware_log!T633&lt;BenchmarkResults!$G$2:$G$35)*ROW(BenchmarkResults!$F$2:$F$35)),{1,3})</f>
        <v>q6_inactive_customers</v>
      </c>
      <c r="B633" s="13">
        <v>2</v>
      </c>
      <c r="C633" s="16">
        <v>1</v>
      </c>
      <c r="D633" s="18">
        <v>0</v>
      </c>
      <c r="E633" s="16">
        <v>424704</v>
      </c>
      <c r="F633" s="13">
        <v>120000</v>
      </c>
      <c r="G633" s="13">
        <v>1608</v>
      </c>
      <c r="H633" s="18">
        <v>2816556</v>
      </c>
      <c r="I633" s="16">
        <v>0</v>
      </c>
      <c r="J633" s="18">
        <v>0</v>
      </c>
      <c r="K633" s="16">
        <v>5011</v>
      </c>
      <c r="L633" s="18">
        <v>112916</v>
      </c>
      <c r="M633" s="16">
        <v>1512</v>
      </c>
      <c r="N633" s="18">
        <v>585</v>
      </c>
      <c r="O633" s="16">
        <v>21</v>
      </c>
      <c r="P633" s="13">
        <v>29</v>
      </c>
      <c r="Q633" s="13">
        <v>16</v>
      </c>
      <c r="R633" s="13">
        <v>34</v>
      </c>
      <c r="S633" s="18">
        <v>0</v>
      </c>
      <c r="T633" s="21">
        <v>46247.400578703702</v>
      </c>
      <c r="U633" s="55">
        <f t="shared" si="18"/>
        <v>1</v>
      </c>
      <c r="V633" s="55">
        <f t="shared" si="18"/>
        <v>0.16666666666666666</v>
      </c>
      <c r="W633" s="56">
        <f t="shared" si="19"/>
        <v>9506.8333333333339</v>
      </c>
    </row>
    <row r="634" spans="1:23" x14ac:dyDescent="0.3">
      <c r="A634" s="13" t="str" cm="1">
        <f t="array" ref="A634:B634">INDEX(BenchmarkResults!$B$1:$D$35,SUMPRODUCT((T634&gt;=BenchmarkResults!$F$2:$F$35)*(mysql_hardware_log!T634&lt;BenchmarkResults!$G$2:$G$35)*ROW(BenchmarkResults!$F$2:$F$35)),{1,3})</f>
        <v>q6_inactive_customers</v>
      </c>
      <c r="B634" s="13">
        <v>2</v>
      </c>
      <c r="C634" s="16">
        <v>1</v>
      </c>
      <c r="D634" s="18">
        <v>0</v>
      </c>
      <c r="E634" s="16">
        <v>424448</v>
      </c>
      <c r="F634" s="13">
        <v>296944</v>
      </c>
      <c r="G634" s="13">
        <v>1624</v>
      </c>
      <c r="H634" s="18">
        <v>3368140</v>
      </c>
      <c r="I634" s="16">
        <v>0</v>
      </c>
      <c r="J634" s="18">
        <v>0</v>
      </c>
      <c r="K634" s="16">
        <v>23156</v>
      </c>
      <c r="L634" s="18">
        <v>60228</v>
      </c>
      <c r="M634" s="16">
        <v>1387</v>
      </c>
      <c r="N634" s="18">
        <v>602</v>
      </c>
      <c r="O634" s="16">
        <v>10</v>
      </c>
      <c r="P634" s="13">
        <v>35</v>
      </c>
      <c r="Q634" s="13">
        <v>27</v>
      </c>
      <c r="R634" s="13">
        <v>28</v>
      </c>
      <c r="S634" s="18">
        <v>1</v>
      </c>
      <c r="T634" s="21">
        <v>46247.400694444441</v>
      </c>
      <c r="U634" s="55">
        <f t="shared" si="18"/>
        <v>1</v>
      </c>
      <c r="V634" s="55">
        <f t="shared" si="18"/>
        <v>0.16666666666666666</v>
      </c>
      <c r="W634" s="56">
        <f t="shared" si="19"/>
        <v>13152.166666666666</v>
      </c>
    </row>
    <row r="635" spans="1:23" x14ac:dyDescent="0.3">
      <c r="A635" s="13" t="str" cm="1">
        <f t="array" ref="A635:B635">INDEX(BenchmarkResults!$B$1:$D$35,SUMPRODUCT((T635&gt;=BenchmarkResults!$F$2:$F$35)*(mysql_hardware_log!T635&lt;BenchmarkResults!$G$2:$G$35)*ROW(BenchmarkResults!$F$2:$F$35)),{1,3})</f>
        <v>q6_inactive_customers</v>
      </c>
      <c r="B635" s="13">
        <v>2</v>
      </c>
      <c r="C635" s="16">
        <v>2</v>
      </c>
      <c r="D635" s="18">
        <v>0</v>
      </c>
      <c r="E635" s="16">
        <v>424448</v>
      </c>
      <c r="F635" s="13">
        <v>1442964</v>
      </c>
      <c r="G635" s="13">
        <v>1672</v>
      </c>
      <c r="H635" s="18">
        <v>2253600</v>
      </c>
      <c r="I635" s="16">
        <v>0</v>
      </c>
      <c r="J635" s="18">
        <v>0</v>
      </c>
      <c r="K635" s="16">
        <v>2</v>
      </c>
      <c r="L635" s="18">
        <v>112410</v>
      </c>
      <c r="M635" s="16">
        <v>1148</v>
      </c>
      <c r="N635" s="18">
        <v>365</v>
      </c>
      <c r="O635" s="16">
        <v>20</v>
      </c>
      <c r="P635" s="13">
        <v>18</v>
      </c>
      <c r="Q635" s="13">
        <v>28</v>
      </c>
      <c r="R635" s="13">
        <v>33</v>
      </c>
      <c r="S635" s="18">
        <v>1</v>
      </c>
      <c r="T635" s="21">
        <v>46247.400810185187</v>
      </c>
      <c r="U635" s="55">
        <f t="shared" si="18"/>
        <v>1.1666666666666667</v>
      </c>
      <c r="V635" s="55">
        <f t="shared" si="18"/>
        <v>0.16666666666666666</v>
      </c>
      <c r="W635" s="56">
        <f t="shared" si="19"/>
        <v>12432.166666666666</v>
      </c>
    </row>
    <row r="636" spans="1:23" x14ac:dyDescent="0.3">
      <c r="A636" s="13" t="str" cm="1">
        <f t="array" ref="A636:B636">INDEX(BenchmarkResults!$B$1:$D$35,SUMPRODUCT((T636&gt;=BenchmarkResults!$F$2:$F$35)*(mysql_hardware_log!T636&lt;BenchmarkResults!$G$2:$G$35)*ROW(BenchmarkResults!$F$2:$F$35)),{1,3})</f>
        <v>q6_inactive_customers</v>
      </c>
      <c r="B636" s="13">
        <v>2</v>
      </c>
      <c r="C636" s="16">
        <v>1</v>
      </c>
      <c r="D636" s="18">
        <v>0</v>
      </c>
      <c r="E636" s="16">
        <v>424448</v>
      </c>
      <c r="F636" s="13">
        <v>1442740</v>
      </c>
      <c r="G636" s="13">
        <v>1680</v>
      </c>
      <c r="H636" s="18">
        <v>2253600</v>
      </c>
      <c r="I636" s="16">
        <v>0</v>
      </c>
      <c r="J636" s="18">
        <v>0</v>
      </c>
      <c r="K636" s="16">
        <v>0</v>
      </c>
      <c r="L636" s="18">
        <v>16</v>
      </c>
      <c r="M636" s="16">
        <v>832</v>
      </c>
      <c r="N636" s="18">
        <v>283</v>
      </c>
      <c r="O636" s="16">
        <v>23</v>
      </c>
      <c r="P636" s="13">
        <v>11</v>
      </c>
      <c r="Q636" s="13">
        <v>66</v>
      </c>
      <c r="R636" s="13">
        <v>0</v>
      </c>
      <c r="S636" s="18">
        <v>0</v>
      </c>
      <c r="T636" s="21">
        <v>46247.400925925926</v>
      </c>
      <c r="U636" s="55">
        <f t="shared" si="18"/>
        <v>1.1666666666666667</v>
      </c>
      <c r="V636" s="55">
        <f t="shared" si="18"/>
        <v>0</v>
      </c>
      <c r="W636" s="56">
        <f t="shared" si="19"/>
        <v>10213.166666666666</v>
      </c>
    </row>
    <row r="637" spans="1:23" x14ac:dyDescent="0.3">
      <c r="A637" s="13" t="str" cm="1">
        <f t="array" ref="A637:B637">INDEX(BenchmarkResults!$B$1:$D$35,SUMPRODUCT((T637&gt;=BenchmarkResults!$F$2:$F$35)*(mysql_hardware_log!T637&lt;BenchmarkResults!$G$2:$G$35)*ROW(BenchmarkResults!$F$2:$F$35)),{1,3})</f>
        <v>q6_inactive_customers</v>
      </c>
      <c r="B637" s="13">
        <v>2</v>
      </c>
      <c r="C637" s="16">
        <v>1</v>
      </c>
      <c r="D637" s="18">
        <v>0</v>
      </c>
      <c r="E637" s="16">
        <v>424448</v>
      </c>
      <c r="F637" s="13">
        <v>1442740</v>
      </c>
      <c r="G637" s="13">
        <v>1688</v>
      </c>
      <c r="H637" s="18">
        <v>2253600</v>
      </c>
      <c r="I637" s="16">
        <v>0</v>
      </c>
      <c r="J637" s="18">
        <v>0</v>
      </c>
      <c r="K637" s="16">
        <v>0</v>
      </c>
      <c r="L637" s="18">
        <v>2</v>
      </c>
      <c r="M637" s="16">
        <v>836</v>
      </c>
      <c r="N637" s="18">
        <v>286</v>
      </c>
      <c r="O637" s="16">
        <v>23</v>
      </c>
      <c r="P637" s="13">
        <v>11</v>
      </c>
      <c r="Q637" s="13">
        <v>66</v>
      </c>
      <c r="R637" s="13">
        <v>0</v>
      </c>
      <c r="S637" s="18">
        <v>0</v>
      </c>
      <c r="T637" s="21">
        <v>46247.401041666664</v>
      </c>
      <c r="U637" s="55">
        <f t="shared" si="18"/>
        <v>1.1666666666666667</v>
      </c>
      <c r="V637" s="55">
        <f t="shared" si="18"/>
        <v>0</v>
      </c>
      <c r="W637" s="56">
        <f t="shared" si="19"/>
        <v>7105.5</v>
      </c>
    </row>
    <row r="638" spans="1:23" x14ac:dyDescent="0.3">
      <c r="A638" s="13" t="str" cm="1">
        <f t="array" ref="A638:B638">INDEX(BenchmarkResults!$B$1:$D$35,SUMPRODUCT((T638&gt;=BenchmarkResults!$F$2:$F$35)*(mysql_hardware_log!T638&lt;BenchmarkResults!$G$2:$G$35)*ROW(BenchmarkResults!$F$2:$F$35)),{1,3})</f>
        <v>q6_inactive_customers</v>
      </c>
      <c r="B638" s="13">
        <v>2</v>
      </c>
      <c r="C638" s="16">
        <v>1</v>
      </c>
      <c r="D638" s="18">
        <v>0</v>
      </c>
      <c r="E638" s="16">
        <v>424448</v>
      </c>
      <c r="F638" s="13">
        <v>1442740</v>
      </c>
      <c r="G638" s="13">
        <v>1696</v>
      </c>
      <c r="H638" s="18">
        <v>2253600</v>
      </c>
      <c r="I638" s="16">
        <v>1</v>
      </c>
      <c r="J638" s="18">
        <v>0</v>
      </c>
      <c r="K638" s="16">
        <v>1</v>
      </c>
      <c r="L638" s="18">
        <v>2</v>
      </c>
      <c r="M638" s="16">
        <v>833</v>
      </c>
      <c r="N638" s="18">
        <v>289</v>
      </c>
      <c r="O638" s="16">
        <v>23</v>
      </c>
      <c r="P638" s="13">
        <v>11</v>
      </c>
      <c r="Q638" s="13">
        <v>65</v>
      </c>
      <c r="R638" s="13">
        <v>0</v>
      </c>
      <c r="S638" s="18">
        <v>0</v>
      </c>
      <c r="T638" s="21">
        <v>46247.40115740741</v>
      </c>
      <c r="U638" s="55">
        <f t="shared" si="18"/>
        <v>1.1666666666666667</v>
      </c>
      <c r="V638" s="55">
        <f t="shared" si="18"/>
        <v>0</v>
      </c>
      <c r="W638" s="56">
        <f t="shared" si="19"/>
        <v>4695</v>
      </c>
    </row>
    <row r="639" spans="1:23" x14ac:dyDescent="0.3">
      <c r="A639" s="13" t="str" cm="1">
        <f t="array" ref="A639:B639">INDEX(BenchmarkResults!$B$1:$D$35,SUMPRODUCT((T639&gt;=BenchmarkResults!$F$2:$F$35)*(mysql_hardware_log!T639&lt;BenchmarkResults!$G$2:$G$35)*ROW(BenchmarkResults!$F$2:$F$35)),{1,3})</f>
        <v>q6_inactive_customers</v>
      </c>
      <c r="B639" s="13">
        <v>2</v>
      </c>
      <c r="C639" s="16">
        <v>1</v>
      </c>
      <c r="D639" s="18">
        <v>0</v>
      </c>
      <c r="E639" s="16">
        <v>424448</v>
      </c>
      <c r="F639" s="13">
        <v>1442740</v>
      </c>
      <c r="G639" s="13">
        <v>1704</v>
      </c>
      <c r="H639" s="18">
        <v>2253600</v>
      </c>
      <c r="I639" s="16">
        <v>0</v>
      </c>
      <c r="J639" s="18">
        <v>0</v>
      </c>
      <c r="K639" s="16">
        <v>0</v>
      </c>
      <c r="L639" s="18">
        <v>2</v>
      </c>
      <c r="M639" s="16">
        <v>837</v>
      </c>
      <c r="N639" s="18">
        <v>297</v>
      </c>
      <c r="O639" s="16">
        <v>24</v>
      </c>
      <c r="P639" s="13">
        <v>11</v>
      </c>
      <c r="Q639" s="13">
        <v>66</v>
      </c>
      <c r="R639" s="13">
        <v>0</v>
      </c>
      <c r="S639" s="18">
        <v>0</v>
      </c>
      <c r="T639" s="21">
        <v>46247.401273148149</v>
      </c>
      <c r="U639" s="55">
        <f t="shared" si="18"/>
        <v>1.1666666666666667</v>
      </c>
      <c r="V639" s="55">
        <f t="shared" si="18"/>
        <v>0</v>
      </c>
      <c r="W639" s="56">
        <f t="shared" si="19"/>
        <v>3859.8333333333335</v>
      </c>
    </row>
    <row r="640" spans="1:23" x14ac:dyDescent="0.3">
      <c r="A640" s="13" t="str" cm="1">
        <f t="array" ref="A640:B640">INDEX(BenchmarkResults!$B$1:$D$35,SUMPRODUCT((T640&gt;=BenchmarkResults!$F$2:$F$35)*(mysql_hardware_log!T640&lt;BenchmarkResults!$G$2:$G$35)*ROW(BenchmarkResults!$F$2:$F$35)),{1,3})</f>
        <v>q6_inactive_customers</v>
      </c>
      <c r="B640" s="13">
        <v>2</v>
      </c>
      <c r="C640" s="16">
        <v>1</v>
      </c>
      <c r="D640" s="18">
        <v>0</v>
      </c>
      <c r="E640" s="16">
        <v>424448</v>
      </c>
      <c r="F640" s="13">
        <v>1442740</v>
      </c>
      <c r="G640" s="13">
        <v>1712</v>
      </c>
      <c r="H640" s="18">
        <v>2253600</v>
      </c>
      <c r="I640" s="16">
        <v>0</v>
      </c>
      <c r="J640" s="18">
        <v>0</v>
      </c>
      <c r="K640" s="16">
        <v>0</v>
      </c>
      <c r="L640" s="18">
        <v>2</v>
      </c>
      <c r="M640" s="16">
        <v>840</v>
      </c>
      <c r="N640" s="18">
        <v>294</v>
      </c>
      <c r="O640" s="16">
        <v>23</v>
      </c>
      <c r="P640" s="13">
        <v>11</v>
      </c>
      <c r="Q640" s="13">
        <v>66</v>
      </c>
      <c r="R640" s="13">
        <v>0</v>
      </c>
      <c r="S640" s="18">
        <v>0</v>
      </c>
      <c r="T640" s="21">
        <v>46247.401388888888</v>
      </c>
      <c r="U640" s="55">
        <f t="shared" si="18"/>
        <v>1.1666666666666667</v>
      </c>
      <c r="V640" s="55">
        <f t="shared" si="18"/>
        <v>0</v>
      </c>
      <c r="W640" s="56">
        <f t="shared" si="19"/>
        <v>0.5</v>
      </c>
    </row>
    <row r="641" spans="1:23" x14ac:dyDescent="0.3">
      <c r="A641" s="13" t="str" cm="1">
        <f t="array" ref="A641:B641">INDEX(BenchmarkResults!$B$1:$D$35,SUMPRODUCT((T641&gt;=BenchmarkResults!$F$2:$F$35)*(mysql_hardware_log!T641&lt;BenchmarkResults!$G$2:$G$35)*ROW(BenchmarkResults!$F$2:$F$35)),{1,3})</f>
        <v>q6_inactive_customers</v>
      </c>
      <c r="B641" s="13">
        <v>2</v>
      </c>
      <c r="C641" s="16">
        <v>1</v>
      </c>
      <c r="D641" s="18">
        <v>0</v>
      </c>
      <c r="E641" s="16">
        <v>424448</v>
      </c>
      <c r="F641" s="13">
        <v>1442740</v>
      </c>
      <c r="G641" s="13">
        <v>1720</v>
      </c>
      <c r="H641" s="18">
        <v>2253600</v>
      </c>
      <c r="I641" s="16">
        <v>0</v>
      </c>
      <c r="J641" s="18">
        <v>0</v>
      </c>
      <c r="K641" s="16">
        <v>0</v>
      </c>
      <c r="L641" s="18">
        <v>2</v>
      </c>
      <c r="M641" s="16">
        <v>840</v>
      </c>
      <c r="N641" s="18">
        <v>292</v>
      </c>
      <c r="O641" s="16">
        <v>23</v>
      </c>
      <c r="P641" s="13">
        <v>11</v>
      </c>
      <c r="Q641" s="13">
        <v>65</v>
      </c>
      <c r="R641" s="13">
        <v>0</v>
      </c>
      <c r="S641" s="18">
        <v>0</v>
      </c>
      <c r="T641" s="21">
        <v>46247.401504629626</v>
      </c>
      <c r="U641" s="55">
        <f t="shared" si="18"/>
        <v>1</v>
      </c>
      <c r="V641" s="55">
        <f t="shared" si="18"/>
        <v>0</v>
      </c>
      <c r="W641" s="56">
        <f t="shared" si="19"/>
        <v>0.16666666666666666</v>
      </c>
    </row>
    <row r="642" spans="1:23" x14ac:dyDescent="0.3">
      <c r="A642" s="13" t="str" cm="1">
        <f t="array" ref="A642:B642">INDEX(BenchmarkResults!$B$1:$D$35,SUMPRODUCT((T642&gt;=BenchmarkResults!$F$2:$F$35)*(mysql_hardware_log!T642&lt;BenchmarkResults!$G$2:$G$35)*ROW(BenchmarkResults!$F$2:$F$35)),{1,3})</f>
        <v>q6_inactive_customers</v>
      </c>
      <c r="B642" s="13">
        <v>2</v>
      </c>
      <c r="C642" s="16">
        <v>1</v>
      </c>
      <c r="D642" s="18">
        <v>0</v>
      </c>
      <c r="E642" s="16">
        <v>424448</v>
      </c>
      <c r="F642" s="13">
        <v>1442740</v>
      </c>
      <c r="G642" s="13">
        <v>1728</v>
      </c>
      <c r="H642" s="18">
        <v>2253600</v>
      </c>
      <c r="I642" s="16">
        <v>0</v>
      </c>
      <c r="J642" s="18">
        <v>0</v>
      </c>
      <c r="K642" s="16">
        <v>0</v>
      </c>
      <c r="L642" s="18">
        <v>2</v>
      </c>
      <c r="M642" s="16">
        <v>824</v>
      </c>
      <c r="N642" s="18">
        <v>278</v>
      </c>
      <c r="O642" s="16">
        <v>23</v>
      </c>
      <c r="P642" s="13">
        <v>11</v>
      </c>
      <c r="Q642" s="13">
        <v>66</v>
      </c>
      <c r="R642" s="13">
        <v>0</v>
      </c>
      <c r="S642" s="18">
        <v>0</v>
      </c>
      <c r="T642" s="21">
        <v>46247.401620370372</v>
      </c>
      <c r="U642" s="55">
        <f t="shared" si="18"/>
        <v>1</v>
      </c>
      <c r="V642" s="55">
        <f t="shared" si="18"/>
        <v>0</v>
      </c>
      <c r="W642" s="56">
        <f t="shared" si="19"/>
        <v>0.16666666666666666</v>
      </c>
    </row>
    <row r="643" spans="1:23" x14ac:dyDescent="0.3">
      <c r="A643" s="13" t="str" cm="1">
        <f t="array" ref="A643:B643">INDEX(BenchmarkResults!$B$1:$D$35,SUMPRODUCT((T643&gt;=BenchmarkResults!$F$2:$F$35)*(mysql_hardware_log!T643&lt;BenchmarkResults!$G$2:$G$35)*ROW(BenchmarkResults!$F$2:$F$35)),{1,3})</f>
        <v>q6_inactive_customers</v>
      </c>
      <c r="B643" s="13">
        <v>2</v>
      </c>
      <c r="C643" s="16">
        <v>1</v>
      </c>
      <c r="D643" s="18">
        <v>0</v>
      </c>
      <c r="E643" s="16">
        <v>424448</v>
      </c>
      <c r="F643" s="13">
        <v>1442740</v>
      </c>
      <c r="G643" s="13">
        <v>1736</v>
      </c>
      <c r="H643" s="18">
        <v>2253600</v>
      </c>
      <c r="I643" s="16">
        <v>0</v>
      </c>
      <c r="J643" s="18">
        <v>0</v>
      </c>
      <c r="K643" s="16">
        <v>0</v>
      </c>
      <c r="L643" s="18">
        <v>2</v>
      </c>
      <c r="M643" s="16">
        <v>828</v>
      </c>
      <c r="N643" s="18">
        <v>283</v>
      </c>
      <c r="O643" s="16">
        <v>23</v>
      </c>
      <c r="P643" s="13">
        <v>11</v>
      </c>
      <c r="Q643" s="13">
        <v>66</v>
      </c>
      <c r="R643" s="13">
        <v>0</v>
      </c>
      <c r="S643" s="18">
        <v>0</v>
      </c>
      <c r="T643" s="21">
        <v>46247.401736111111</v>
      </c>
      <c r="U643" s="55">
        <f t="shared" si="18"/>
        <v>1</v>
      </c>
      <c r="V643" s="55">
        <f t="shared" si="18"/>
        <v>0</v>
      </c>
      <c r="W643" s="56">
        <f t="shared" si="19"/>
        <v>0.16666666666666666</v>
      </c>
    </row>
    <row r="644" spans="1:23" x14ac:dyDescent="0.3">
      <c r="A644" s="13" t="str" cm="1">
        <f t="array" ref="A644:B644">INDEX(BenchmarkResults!$B$1:$D$35,SUMPRODUCT((T644&gt;=BenchmarkResults!$F$2:$F$35)*(mysql_hardware_log!T644&lt;BenchmarkResults!$G$2:$G$35)*ROW(BenchmarkResults!$F$2:$F$35)),{1,3})</f>
        <v>q6_inactive_customers</v>
      </c>
      <c r="B644" s="13">
        <v>2</v>
      </c>
      <c r="C644" s="16">
        <v>1</v>
      </c>
      <c r="D644" s="18">
        <v>0</v>
      </c>
      <c r="E644" s="16">
        <v>424448</v>
      </c>
      <c r="F644" s="13">
        <v>1442740</v>
      </c>
      <c r="G644" s="13">
        <v>1744</v>
      </c>
      <c r="H644" s="18">
        <v>2253600</v>
      </c>
      <c r="I644" s="16">
        <v>0</v>
      </c>
      <c r="J644" s="18">
        <v>0</v>
      </c>
      <c r="K644" s="16">
        <v>0</v>
      </c>
      <c r="L644" s="18">
        <v>2</v>
      </c>
      <c r="M644" s="16">
        <v>829</v>
      </c>
      <c r="N644" s="18">
        <v>282</v>
      </c>
      <c r="O644" s="16">
        <v>23</v>
      </c>
      <c r="P644" s="13">
        <v>11</v>
      </c>
      <c r="Q644" s="13">
        <v>66</v>
      </c>
      <c r="R644" s="13">
        <v>0</v>
      </c>
      <c r="S644" s="18">
        <v>0</v>
      </c>
      <c r="T644" s="21">
        <v>46247.40185185185</v>
      </c>
      <c r="U644" s="55">
        <f t="shared" si="18"/>
        <v>1</v>
      </c>
      <c r="V644" s="55">
        <f t="shared" si="18"/>
        <v>0</v>
      </c>
      <c r="W644" s="56">
        <f t="shared" si="19"/>
        <v>0</v>
      </c>
    </row>
    <row r="645" spans="1:23" x14ac:dyDescent="0.3">
      <c r="A645" s="13" t="str" cm="1">
        <f t="array" ref="A645:B645">INDEX(BenchmarkResults!$B$1:$D$35,SUMPRODUCT((T645&gt;=BenchmarkResults!$F$2:$F$35)*(mysql_hardware_log!T645&lt;BenchmarkResults!$G$2:$G$35)*ROW(BenchmarkResults!$F$2:$F$35)),{1,3})</f>
        <v>q6_inactive_customers</v>
      </c>
      <c r="B645" s="13">
        <v>2</v>
      </c>
      <c r="C645" s="16">
        <v>1</v>
      </c>
      <c r="D645" s="18">
        <v>0</v>
      </c>
      <c r="E645" s="16">
        <v>424448</v>
      </c>
      <c r="F645" s="13">
        <v>1442740</v>
      </c>
      <c r="G645" s="13">
        <v>1752</v>
      </c>
      <c r="H645" s="18">
        <v>2253600</v>
      </c>
      <c r="I645" s="16">
        <v>0</v>
      </c>
      <c r="J645" s="18">
        <v>0</v>
      </c>
      <c r="K645" s="16">
        <v>0</v>
      </c>
      <c r="L645" s="18">
        <v>2</v>
      </c>
      <c r="M645" s="16">
        <v>839</v>
      </c>
      <c r="N645" s="18">
        <v>304</v>
      </c>
      <c r="O645" s="16">
        <v>24</v>
      </c>
      <c r="P645" s="13">
        <v>11</v>
      </c>
      <c r="Q645" s="13">
        <v>65</v>
      </c>
      <c r="R645" s="13">
        <v>0</v>
      </c>
      <c r="S645" s="18">
        <v>0</v>
      </c>
      <c r="T645" s="21">
        <v>46247.401967592596</v>
      </c>
      <c r="U645" s="55">
        <f t="shared" si="18"/>
        <v>1</v>
      </c>
      <c r="V645" s="55">
        <f t="shared" si="18"/>
        <v>0</v>
      </c>
      <c r="W645" s="56">
        <f t="shared" si="19"/>
        <v>0</v>
      </c>
    </row>
    <row r="646" spans="1:23" x14ac:dyDescent="0.3">
      <c r="A646" s="13" t="str" cm="1">
        <f t="array" ref="A646:B646">INDEX(BenchmarkResults!$B$1:$D$35,SUMPRODUCT((T646&gt;=BenchmarkResults!$F$2:$F$35)*(mysql_hardware_log!T646&lt;BenchmarkResults!$G$2:$G$35)*ROW(BenchmarkResults!$F$2:$F$35)),{1,3})</f>
        <v>q6_inactive_customers</v>
      </c>
      <c r="B646" s="13">
        <v>2</v>
      </c>
      <c r="C646" s="16">
        <v>1</v>
      </c>
      <c r="D646" s="18">
        <v>0</v>
      </c>
      <c r="E646" s="16">
        <v>424448</v>
      </c>
      <c r="F646" s="13">
        <v>1442740</v>
      </c>
      <c r="G646" s="13">
        <v>1760</v>
      </c>
      <c r="H646" s="18">
        <v>2253600</v>
      </c>
      <c r="I646" s="16">
        <v>0</v>
      </c>
      <c r="J646" s="18">
        <v>0</v>
      </c>
      <c r="K646" s="16">
        <v>0</v>
      </c>
      <c r="L646" s="18">
        <v>2</v>
      </c>
      <c r="M646" s="16">
        <v>837</v>
      </c>
      <c r="N646" s="18">
        <v>290</v>
      </c>
      <c r="O646" s="16">
        <v>24</v>
      </c>
      <c r="P646" s="13">
        <v>11</v>
      </c>
      <c r="Q646" s="13">
        <v>65</v>
      </c>
      <c r="R646" s="13">
        <v>0</v>
      </c>
      <c r="S646" s="18">
        <v>0</v>
      </c>
      <c r="T646" s="21">
        <v>46247.402083333334</v>
      </c>
      <c r="U646" s="55">
        <f t="shared" si="18"/>
        <v>1</v>
      </c>
      <c r="V646" s="55">
        <f t="shared" si="18"/>
        <v>0</v>
      </c>
      <c r="W646" s="56">
        <f t="shared" si="19"/>
        <v>0</v>
      </c>
    </row>
    <row r="647" spans="1:23" x14ac:dyDescent="0.3">
      <c r="A647" s="13" t="str" cm="1">
        <f t="array" ref="A647:B647">INDEX(BenchmarkResults!$B$1:$D$35,SUMPRODUCT((T647&gt;=BenchmarkResults!$F$2:$F$35)*(mysql_hardware_log!T647&lt;BenchmarkResults!$G$2:$G$35)*ROW(BenchmarkResults!$F$2:$F$35)),{1,3})</f>
        <v>q6_inactive_customers</v>
      </c>
      <c r="B647" s="13">
        <v>2</v>
      </c>
      <c r="C647" s="16">
        <v>1</v>
      </c>
      <c r="D647" s="18">
        <v>0</v>
      </c>
      <c r="E647" s="16">
        <v>424448</v>
      </c>
      <c r="F647" s="13">
        <v>1443032</v>
      </c>
      <c r="G647" s="13">
        <v>1768</v>
      </c>
      <c r="H647" s="18">
        <v>2253600</v>
      </c>
      <c r="I647" s="16">
        <v>0</v>
      </c>
      <c r="J647" s="18">
        <v>0</v>
      </c>
      <c r="K647" s="16">
        <v>0</v>
      </c>
      <c r="L647" s="18">
        <v>2</v>
      </c>
      <c r="M647" s="16">
        <v>827</v>
      </c>
      <c r="N647" s="18">
        <v>286</v>
      </c>
      <c r="O647" s="16">
        <v>23</v>
      </c>
      <c r="P647" s="13">
        <v>11</v>
      </c>
      <c r="Q647" s="13">
        <v>66</v>
      </c>
      <c r="R647" s="13">
        <v>0</v>
      </c>
      <c r="S647" s="18">
        <v>0</v>
      </c>
      <c r="T647" s="21">
        <v>46247.402199074073</v>
      </c>
      <c r="U647" s="55">
        <f t="shared" si="18"/>
        <v>1</v>
      </c>
      <c r="V647" s="55">
        <f t="shared" si="18"/>
        <v>0</v>
      </c>
      <c r="W647" s="56">
        <f t="shared" si="19"/>
        <v>0</v>
      </c>
    </row>
    <row r="648" spans="1:23" x14ac:dyDescent="0.3">
      <c r="A648" s="13" t="str" cm="1">
        <f t="array" ref="A648:B648">INDEX(BenchmarkResults!$B$1:$D$35,SUMPRODUCT((T648&gt;=BenchmarkResults!$F$2:$F$35)*(mysql_hardware_log!T648&lt;BenchmarkResults!$G$2:$G$35)*ROW(BenchmarkResults!$F$2:$F$35)),{1,3})</f>
        <v>q6_inactive_customers</v>
      </c>
      <c r="B648" s="13">
        <v>2</v>
      </c>
      <c r="C648" s="16">
        <v>1</v>
      </c>
      <c r="D648" s="18">
        <v>0</v>
      </c>
      <c r="E648" s="16">
        <v>424448</v>
      </c>
      <c r="F648" s="13">
        <v>1442808</v>
      </c>
      <c r="G648" s="13">
        <v>1776</v>
      </c>
      <c r="H648" s="18">
        <v>2253600</v>
      </c>
      <c r="I648" s="16">
        <v>0</v>
      </c>
      <c r="J648" s="18">
        <v>0</v>
      </c>
      <c r="K648" s="16">
        <v>0</v>
      </c>
      <c r="L648" s="18">
        <v>2</v>
      </c>
      <c r="M648" s="16">
        <v>828</v>
      </c>
      <c r="N648" s="18">
        <v>284</v>
      </c>
      <c r="O648" s="16">
        <v>23</v>
      </c>
      <c r="P648" s="13">
        <v>11</v>
      </c>
      <c r="Q648" s="13">
        <v>66</v>
      </c>
      <c r="R648" s="13">
        <v>0</v>
      </c>
      <c r="S648" s="18">
        <v>0</v>
      </c>
      <c r="T648" s="21">
        <v>46247.402314814812</v>
      </c>
      <c r="U648" s="55">
        <f t="shared" si="18"/>
        <v>1</v>
      </c>
      <c r="V648" s="55">
        <f t="shared" si="18"/>
        <v>0</v>
      </c>
      <c r="W648" s="56">
        <f t="shared" si="19"/>
        <v>0</v>
      </c>
    </row>
    <row r="649" spans="1:23" x14ac:dyDescent="0.3">
      <c r="A649" s="13" t="str" cm="1">
        <f t="array" ref="A649:B649">INDEX(BenchmarkResults!$B$1:$D$35,SUMPRODUCT((T649&gt;=BenchmarkResults!$F$2:$F$35)*(mysql_hardware_log!T649&lt;BenchmarkResults!$G$2:$G$35)*ROW(BenchmarkResults!$F$2:$F$35)),{1,3})</f>
        <v>q6_inactive_customers</v>
      </c>
      <c r="B649" s="13">
        <v>2</v>
      </c>
      <c r="C649" s="16">
        <v>1</v>
      </c>
      <c r="D649" s="18">
        <v>0</v>
      </c>
      <c r="E649" s="16">
        <v>424448</v>
      </c>
      <c r="F649" s="13">
        <v>1442808</v>
      </c>
      <c r="G649" s="13">
        <v>1784</v>
      </c>
      <c r="H649" s="18">
        <v>2253600</v>
      </c>
      <c r="I649" s="16">
        <v>0</v>
      </c>
      <c r="J649" s="18">
        <v>0</v>
      </c>
      <c r="K649" s="16">
        <v>0</v>
      </c>
      <c r="L649" s="18">
        <v>2</v>
      </c>
      <c r="M649" s="16">
        <v>825</v>
      </c>
      <c r="N649" s="18">
        <v>283</v>
      </c>
      <c r="O649" s="16">
        <v>23</v>
      </c>
      <c r="P649" s="13">
        <v>11</v>
      </c>
      <c r="Q649" s="13">
        <v>66</v>
      </c>
      <c r="R649" s="13">
        <v>0</v>
      </c>
      <c r="S649" s="18">
        <v>0</v>
      </c>
      <c r="T649" s="21">
        <v>46247.402430555558</v>
      </c>
      <c r="U649" s="55">
        <f t="shared" ref="U649:V712" si="20">AVERAGE(C644:C649)</f>
        <v>1</v>
      </c>
      <c r="V649" s="55">
        <f t="shared" si="20"/>
        <v>0</v>
      </c>
      <c r="W649" s="56">
        <f t="shared" ref="W649:W712" si="21">AVERAGE(K644:K649)</f>
        <v>0</v>
      </c>
    </row>
    <row r="650" spans="1:23" x14ac:dyDescent="0.3">
      <c r="A650" s="13" t="str" cm="1">
        <f t="array" ref="A650:B650">INDEX(BenchmarkResults!$B$1:$D$35,SUMPRODUCT((T650&gt;=BenchmarkResults!$F$2:$F$35)*(mysql_hardware_log!T650&lt;BenchmarkResults!$G$2:$G$35)*ROW(BenchmarkResults!$F$2:$F$35)),{1,3})</f>
        <v>q6_inactive_customers</v>
      </c>
      <c r="B650" s="13">
        <v>2</v>
      </c>
      <c r="C650" s="16">
        <v>1</v>
      </c>
      <c r="D650" s="18">
        <v>0</v>
      </c>
      <c r="E650" s="16">
        <v>424448</v>
      </c>
      <c r="F650" s="13">
        <v>1442808</v>
      </c>
      <c r="G650" s="13">
        <v>1792</v>
      </c>
      <c r="H650" s="18">
        <v>2253600</v>
      </c>
      <c r="I650" s="16">
        <v>0</v>
      </c>
      <c r="J650" s="18">
        <v>0</v>
      </c>
      <c r="K650" s="16">
        <v>0</v>
      </c>
      <c r="L650" s="18">
        <v>2</v>
      </c>
      <c r="M650" s="16">
        <v>828</v>
      </c>
      <c r="N650" s="18">
        <v>283</v>
      </c>
      <c r="O650" s="16">
        <v>23</v>
      </c>
      <c r="P650" s="13">
        <v>11</v>
      </c>
      <c r="Q650" s="13">
        <v>66</v>
      </c>
      <c r="R650" s="13">
        <v>0</v>
      </c>
      <c r="S650" s="18">
        <v>0</v>
      </c>
      <c r="T650" s="21">
        <v>46247.402546296296</v>
      </c>
      <c r="U650" s="55">
        <f t="shared" si="20"/>
        <v>1</v>
      </c>
      <c r="V650" s="55">
        <f t="shared" si="20"/>
        <v>0</v>
      </c>
      <c r="W650" s="56">
        <f t="shared" si="21"/>
        <v>0</v>
      </c>
    </row>
    <row r="651" spans="1:23" x14ac:dyDescent="0.3">
      <c r="A651" s="13" t="str" cm="1">
        <f t="array" ref="A651:B651">INDEX(BenchmarkResults!$B$1:$D$35,SUMPRODUCT((T651&gt;=BenchmarkResults!$F$2:$F$35)*(mysql_hardware_log!T651&lt;BenchmarkResults!$G$2:$G$35)*ROW(BenchmarkResults!$F$2:$F$35)),{1,3})</f>
        <v>q6_inactive_customers</v>
      </c>
      <c r="B651" s="13">
        <v>2</v>
      </c>
      <c r="C651" s="16">
        <v>1</v>
      </c>
      <c r="D651" s="18">
        <v>0</v>
      </c>
      <c r="E651" s="16">
        <v>424448</v>
      </c>
      <c r="F651" s="13">
        <v>1442808</v>
      </c>
      <c r="G651" s="13">
        <v>1800</v>
      </c>
      <c r="H651" s="18">
        <v>2253600</v>
      </c>
      <c r="I651" s="16">
        <v>0</v>
      </c>
      <c r="J651" s="18">
        <v>0</v>
      </c>
      <c r="K651" s="16">
        <v>0</v>
      </c>
      <c r="L651" s="18">
        <v>2</v>
      </c>
      <c r="M651" s="16">
        <v>826</v>
      </c>
      <c r="N651" s="18">
        <v>297</v>
      </c>
      <c r="O651" s="16">
        <v>23</v>
      </c>
      <c r="P651" s="13">
        <v>11</v>
      </c>
      <c r="Q651" s="13">
        <v>66</v>
      </c>
      <c r="R651" s="13">
        <v>0</v>
      </c>
      <c r="S651" s="18">
        <v>0</v>
      </c>
      <c r="T651" s="21">
        <v>46247.402662037035</v>
      </c>
      <c r="U651" s="55">
        <f t="shared" si="20"/>
        <v>1</v>
      </c>
      <c r="V651" s="55">
        <f t="shared" si="20"/>
        <v>0</v>
      </c>
      <c r="W651" s="56">
        <f t="shared" si="21"/>
        <v>0</v>
      </c>
    </row>
    <row r="652" spans="1:23" x14ac:dyDescent="0.3">
      <c r="A652" s="13" t="str" cm="1">
        <f t="array" ref="A652:B652">INDEX(BenchmarkResults!$B$1:$D$35,SUMPRODUCT((T652&gt;=BenchmarkResults!$F$2:$F$35)*(mysql_hardware_log!T652&lt;BenchmarkResults!$G$2:$G$35)*ROW(BenchmarkResults!$F$2:$F$35)),{1,3})</f>
        <v>q6_inactive_customers</v>
      </c>
      <c r="B652" s="13">
        <v>2</v>
      </c>
      <c r="C652" s="16">
        <v>1</v>
      </c>
      <c r="D652" s="18">
        <v>0</v>
      </c>
      <c r="E652" s="16">
        <v>424448</v>
      </c>
      <c r="F652" s="13">
        <v>1442808</v>
      </c>
      <c r="G652" s="13">
        <v>1808</v>
      </c>
      <c r="H652" s="18">
        <v>2253600</v>
      </c>
      <c r="I652" s="16">
        <v>9</v>
      </c>
      <c r="J652" s="18">
        <v>0</v>
      </c>
      <c r="K652" s="16">
        <v>9</v>
      </c>
      <c r="L652" s="18">
        <v>2</v>
      </c>
      <c r="M652" s="16">
        <v>832</v>
      </c>
      <c r="N652" s="18">
        <v>286</v>
      </c>
      <c r="O652" s="16">
        <v>23</v>
      </c>
      <c r="P652" s="13">
        <v>11</v>
      </c>
      <c r="Q652" s="13">
        <v>65</v>
      </c>
      <c r="R652" s="13">
        <v>0</v>
      </c>
      <c r="S652" s="18">
        <v>0</v>
      </c>
      <c r="T652" s="21">
        <v>46247.402777777781</v>
      </c>
      <c r="U652" s="55">
        <f t="shared" si="20"/>
        <v>1</v>
      </c>
      <c r="V652" s="55">
        <f t="shared" si="20"/>
        <v>0</v>
      </c>
      <c r="W652" s="56">
        <f t="shared" si="21"/>
        <v>1.5</v>
      </c>
    </row>
    <row r="653" spans="1:23" x14ac:dyDescent="0.3">
      <c r="A653" s="13" t="str" cm="1">
        <f t="array" ref="A653:B653">INDEX(BenchmarkResults!$B$1:$D$35,SUMPRODUCT((T653&gt;=BenchmarkResults!$F$2:$F$35)*(mysql_hardware_log!T653&lt;BenchmarkResults!$G$2:$G$35)*ROW(BenchmarkResults!$F$2:$F$35)),{1,3})</f>
        <v>q6_inactive_customers</v>
      </c>
      <c r="B653" s="13">
        <v>2</v>
      </c>
      <c r="C653" s="16">
        <v>1</v>
      </c>
      <c r="D653" s="18">
        <v>0</v>
      </c>
      <c r="E653" s="16">
        <v>424448</v>
      </c>
      <c r="F653" s="13">
        <v>1442808</v>
      </c>
      <c r="G653" s="13">
        <v>1816</v>
      </c>
      <c r="H653" s="18">
        <v>2253600</v>
      </c>
      <c r="I653" s="16">
        <v>0</v>
      </c>
      <c r="J653" s="18">
        <v>0</v>
      </c>
      <c r="K653" s="16">
        <v>0</v>
      </c>
      <c r="L653" s="18">
        <v>2</v>
      </c>
      <c r="M653" s="16">
        <v>839</v>
      </c>
      <c r="N653" s="18">
        <v>281</v>
      </c>
      <c r="O653" s="16">
        <v>24</v>
      </c>
      <c r="P653" s="13">
        <v>11</v>
      </c>
      <c r="Q653" s="13">
        <v>65</v>
      </c>
      <c r="R653" s="13">
        <v>0</v>
      </c>
      <c r="S653" s="18">
        <v>1</v>
      </c>
      <c r="T653" s="21">
        <v>46247.40289351852</v>
      </c>
      <c r="U653" s="55">
        <f t="shared" si="20"/>
        <v>1</v>
      </c>
      <c r="V653" s="55">
        <f t="shared" si="20"/>
        <v>0</v>
      </c>
      <c r="W653" s="56">
        <f t="shared" si="21"/>
        <v>1.5</v>
      </c>
    </row>
    <row r="654" spans="1:23" x14ac:dyDescent="0.3">
      <c r="A654" s="13" t="str" cm="1">
        <f t="array" ref="A654:B654">INDEX(BenchmarkResults!$B$1:$D$35,SUMPRODUCT((T654&gt;=BenchmarkResults!$F$2:$F$35)*(mysql_hardware_log!T654&lt;BenchmarkResults!$G$2:$G$35)*ROW(BenchmarkResults!$F$2:$F$35)),{1,3})</f>
        <v>q6_inactive_customers</v>
      </c>
      <c r="B654" s="13">
        <v>2</v>
      </c>
      <c r="C654" s="16">
        <v>1</v>
      </c>
      <c r="D654" s="18">
        <v>0</v>
      </c>
      <c r="E654" s="16">
        <v>424448</v>
      </c>
      <c r="F654" s="13">
        <v>1442808</v>
      </c>
      <c r="G654" s="13">
        <v>1824</v>
      </c>
      <c r="H654" s="18">
        <v>2253600</v>
      </c>
      <c r="I654" s="16">
        <v>0</v>
      </c>
      <c r="J654" s="18">
        <v>0</v>
      </c>
      <c r="K654" s="16">
        <v>0</v>
      </c>
      <c r="L654" s="18">
        <v>2</v>
      </c>
      <c r="M654" s="16">
        <v>824</v>
      </c>
      <c r="N654" s="18">
        <v>281</v>
      </c>
      <c r="O654" s="16">
        <v>24</v>
      </c>
      <c r="P654" s="13">
        <v>11</v>
      </c>
      <c r="Q654" s="13">
        <v>65</v>
      </c>
      <c r="R654" s="13">
        <v>0</v>
      </c>
      <c r="S654" s="18">
        <v>0</v>
      </c>
      <c r="T654" s="21">
        <v>46247.403009259258</v>
      </c>
      <c r="U654" s="55">
        <f t="shared" si="20"/>
        <v>1</v>
      </c>
      <c r="V654" s="55">
        <f t="shared" si="20"/>
        <v>0</v>
      </c>
      <c r="W654" s="56">
        <f t="shared" si="21"/>
        <v>1.5</v>
      </c>
    </row>
    <row r="655" spans="1:23" x14ac:dyDescent="0.3">
      <c r="A655" s="13" t="str" cm="1">
        <f t="array" ref="A655:B655">INDEX(BenchmarkResults!$B$1:$D$35,SUMPRODUCT((T655&gt;=BenchmarkResults!$F$2:$F$35)*(mysql_hardware_log!T655&lt;BenchmarkResults!$G$2:$G$35)*ROW(BenchmarkResults!$F$2:$F$35)),{1,3})</f>
        <v>q6_inactive_customers</v>
      </c>
      <c r="B655" s="13">
        <v>2</v>
      </c>
      <c r="C655" s="16">
        <v>1</v>
      </c>
      <c r="D655" s="18">
        <v>0</v>
      </c>
      <c r="E655" s="16">
        <v>424448</v>
      </c>
      <c r="F655" s="13">
        <v>1442808</v>
      </c>
      <c r="G655" s="13">
        <v>1832</v>
      </c>
      <c r="H655" s="18">
        <v>2253600</v>
      </c>
      <c r="I655" s="16">
        <v>0</v>
      </c>
      <c r="J655" s="18">
        <v>0</v>
      </c>
      <c r="K655" s="16">
        <v>0</v>
      </c>
      <c r="L655" s="18">
        <v>2</v>
      </c>
      <c r="M655" s="16">
        <v>824</v>
      </c>
      <c r="N655" s="18">
        <v>282</v>
      </c>
      <c r="O655" s="16">
        <v>23</v>
      </c>
      <c r="P655" s="13">
        <v>11</v>
      </c>
      <c r="Q655" s="13">
        <v>66</v>
      </c>
      <c r="R655" s="13">
        <v>0</v>
      </c>
      <c r="S655" s="18">
        <v>0</v>
      </c>
      <c r="T655" s="21">
        <v>46247.403124999997</v>
      </c>
      <c r="U655" s="55">
        <f t="shared" si="20"/>
        <v>1</v>
      </c>
      <c r="V655" s="55">
        <f t="shared" si="20"/>
        <v>0</v>
      </c>
      <c r="W655" s="56">
        <f t="shared" si="21"/>
        <v>1.5</v>
      </c>
    </row>
    <row r="656" spans="1:23" x14ac:dyDescent="0.3">
      <c r="A656" s="13" t="str" cm="1">
        <f t="array" ref="A656:B656">INDEX(BenchmarkResults!$B$1:$D$35,SUMPRODUCT((T656&gt;=BenchmarkResults!$F$2:$F$35)*(mysql_hardware_log!T656&lt;BenchmarkResults!$G$2:$G$35)*ROW(BenchmarkResults!$F$2:$F$35)),{1,3})</f>
        <v>q6_inactive_customers</v>
      </c>
      <c r="B656" s="13">
        <v>2</v>
      </c>
      <c r="C656" s="16">
        <v>1</v>
      </c>
      <c r="D656" s="18">
        <v>0</v>
      </c>
      <c r="E656" s="16">
        <v>424448</v>
      </c>
      <c r="F656" s="13">
        <v>1442808</v>
      </c>
      <c r="G656" s="13">
        <v>1840</v>
      </c>
      <c r="H656" s="18">
        <v>2253600</v>
      </c>
      <c r="I656" s="16">
        <v>0</v>
      </c>
      <c r="J656" s="18">
        <v>0</v>
      </c>
      <c r="K656" s="16">
        <v>0</v>
      </c>
      <c r="L656" s="18">
        <v>2</v>
      </c>
      <c r="M656" s="16">
        <v>825</v>
      </c>
      <c r="N656" s="18">
        <v>283</v>
      </c>
      <c r="O656" s="16">
        <v>23</v>
      </c>
      <c r="P656" s="13">
        <v>11</v>
      </c>
      <c r="Q656" s="13">
        <v>66</v>
      </c>
      <c r="R656" s="13">
        <v>0</v>
      </c>
      <c r="S656" s="18">
        <v>0</v>
      </c>
      <c r="T656" s="21">
        <v>46247.403240740743</v>
      </c>
      <c r="U656" s="55">
        <f t="shared" si="20"/>
        <v>1</v>
      </c>
      <c r="V656" s="55">
        <f t="shared" si="20"/>
        <v>0</v>
      </c>
      <c r="W656" s="56">
        <f t="shared" si="21"/>
        <v>1.5</v>
      </c>
    </row>
    <row r="657" spans="1:23" x14ac:dyDescent="0.3">
      <c r="A657" s="13" t="str" cm="1">
        <f t="array" ref="A657:B657">INDEX(BenchmarkResults!$B$1:$D$35,SUMPRODUCT((T657&gt;=BenchmarkResults!$F$2:$F$35)*(mysql_hardware_log!T657&lt;BenchmarkResults!$G$2:$G$35)*ROW(BenchmarkResults!$F$2:$F$35)),{1,3})</f>
        <v>q6_inactive_customers</v>
      </c>
      <c r="B657" s="13">
        <v>2</v>
      </c>
      <c r="C657" s="16">
        <v>1</v>
      </c>
      <c r="D657" s="18">
        <v>0</v>
      </c>
      <c r="E657" s="16">
        <v>424448</v>
      </c>
      <c r="F657" s="13">
        <v>1442808</v>
      </c>
      <c r="G657" s="13">
        <v>1848</v>
      </c>
      <c r="H657" s="18">
        <v>2253600</v>
      </c>
      <c r="I657" s="16">
        <v>0</v>
      </c>
      <c r="J657" s="18">
        <v>0</v>
      </c>
      <c r="K657" s="16">
        <v>0</v>
      </c>
      <c r="L657" s="18">
        <v>2</v>
      </c>
      <c r="M657" s="16">
        <v>828</v>
      </c>
      <c r="N657" s="18">
        <v>294</v>
      </c>
      <c r="O657" s="16">
        <v>23</v>
      </c>
      <c r="P657" s="13">
        <v>11</v>
      </c>
      <c r="Q657" s="13">
        <v>66</v>
      </c>
      <c r="R657" s="13">
        <v>0</v>
      </c>
      <c r="S657" s="18">
        <v>0</v>
      </c>
      <c r="T657" s="21">
        <v>46247.403356481482</v>
      </c>
      <c r="U657" s="55">
        <f t="shared" si="20"/>
        <v>1</v>
      </c>
      <c r="V657" s="55">
        <f t="shared" si="20"/>
        <v>0</v>
      </c>
      <c r="W657" s="56">
        <f t="shared" si="21"/>
        <v>1.5</v>
      </c>
    </row>
    <row r="658" spans="1:23" x14ac:dyDescent="0.3">
      <c r="A658" s="13" t="str" cm="1">
        <f t="array" ref="A658:B658">INDEX(BenchmarkResults!$B$1:$D$35,SUMPRODUCT((T658&gt;=BenchmarkResults!$F$2:$F$35)*(mysql_hardware_log!T658&lt;BenchmarkResults!$G$2:$G$35)*ROW(BenchmarkResults!$F$2:$F$35)),{1,3})</f>
        <v>q6_inactive_customers</v>
      </c>
      <c r="B658" s="13">
        <v>2</v>
      </c>
      <c r="C658" s="16">
        <v>1</v>
      </c>
      <c r="D658" s="18">
        <v>0</v>
      </c>
      <c r="E658" s="16">
        <v>424448</v>
      </c>
      <c r="F658" s="13">
        <v>1442808</v>
      </c>
      <c r="G658" s="13">
        <v>1864</v>
      </c>
      <c r="H658" s="18">
        <v>2253600</v>
      </c>
      <c r="I658" s="16">
        <v>0</v>
      </c>
      <c r="J658" s="18">
        <v>0</v>
      </c>
      <c r="K658" s="16">
        <v>0</v>
      </c>
      <c r="L658" s="18">
        <v>3</v>
      </c>
      <c r="M658" s="16">
        <v>825</v>
      </c>
      <c r="N658" s="18">
        <v>294</v>
      </c>
      <c r="O658" s="16">
        <v>23</v>
      </c>
      <c r="P658" s="13">
        <v>11</v>
      </c>
      <c r="Q658" s="13">
        <v>65</v>
      </c>
      <c r="R658" s="13">
        <v>0</v>
      </c>
      <c r="S658" s="18">
        <v>0</v>
      </c>
      <c r="T658" s="21">
        <v>46247.40347222222</v>
      </c>
      <c r="U658" s="55">
        <f t="shared" si="20"/>
        <v>1</v>
      </c>
      <c r="V658" s="55">
        <f t="shared" si="20"/>
        <v>0</v>
      </c>
      <c r="W658" s="56">
        <f t="shared" si="21"/>
        <v>0</v>
      </c>
    </row>
    <row r="659" spans="1:23" x14ac:dyDescent="0.3">
      <c r="A659" s="13" t="str" cm="1">
        <f t="array" ref="A659:B659">INDEX(BenchmarkResults!$B$1:$D$35,SUMPRODUCT((T659&gt;=BenchmarkResults!$F$2:$F$35)*(mysql_hardware_log!T659&lt;BenchmarkResults!$G$2:$G$35)*ROW(BenchmarkResults!$F$2:$F$35)),{1,3})</f>
        <v>q6_inactive_customers</v>
      </c>
      <c r="B659" s="13">
        <v>2</v>
      </c>
      <c r="C659" s="16">
        <v>1</v>
      </c>
      <c r="D659" s="18">
        <v>0</v>
      </c>
      <c r="E659" s="16">
        <v>424448</v>
      </c>
      <c r="F659" s="13">
        <v>1442808</v>
      </c>
      <c r="G659" s="13">
        <v>1872</v>
      </c>
      <c r="H659" s="18">
        <v>2253600</v>
      </c>
      <c r="I659" s="16">
        <v>0</v>
      </c>
      <c r="J659" s="18">
        <v>0</v>
      </c>
      <c r="K659" s="16">
        <v>0</v>
      </c>
      <c r="L659" s="18">
        <v>2</v>
      </c>
      <c r="M659" s="16">
        <v>828</v>
      </c>
      <c r="N659" s="18">
        <v>284</v>
      </c>
      <c r="O659" s="16">
        <v>23</v>
      </c>
      <c r="P659" s="13">
        <v>11</v>
      </c>
      <c r="Q659" s="13">
        <v>65</v>
      </c>
      <c r="R659" s="13">
        <v>0</v>
      </c>
      <c r="S659" s="18">
        <v>0</v>
      </c>
      <c r="T659" s="21">
        <v>46247.403587962966</v>
      </c>
      <c r="U659" s="55">
        <f t="shared" si="20"/>
        <v>1</v>
      </c>
      <c r="V659" s="55">
        <f t="shared" si="20"/>
        <v>0</v>
      </c>
      <c r="W659" s="56">
        <f t="shared" si="21"/>
        <v>0</v>
      </c>
    </row>
    <row r="660" spans="1:23" x14ac:dyDescent="0.3">
      <c r="A660" s="13" t="str" cm="1">
        <f t="array" ref="A660:B660">INDEX(BenchmarkResults!$B$1:$D$35,SUMPRODUCT((T660&gt;=BenchmarkResults!$F$2:$F$35)*(mysql_hardware_log!T660&lt;BenchmarkResults!$G$2:$G$35)*ROW(BenchmarkResults!$F$2:$F$35)),{1,3})</f>
        <v>q6_inactive_customers</v>
      </c>
      <c r="B660" s="13">
        <v>2</v>
      </c>
      <c r="C660" s="16">
        <v>1</v>
      </c>
      <c r="D660" s="18">
        <v>0</v>
      </c>
      <c r="E660" s="16">
        <v>424448</v>
      </c>
      <c r="F660" s="13">
        <v>1442808</v>
      </c>
      <c r="G660" s="13">
        <v>1880</v>
      </c>
      <c r="H660" s="18">
        <v>2253600</v>
      </c>
      <c r="I660" s="16">
        <v>0</v>
      </c>
      <c r="J660" s="18">
        <v>0</v>
      </c>
      <c r="K660" s="16">
        <v>0</v>
      </c>
      <c r="L660" s="18">
        <v>2</v>
      </c>
      <c r="M660" s="16">
        <v>827</v>
      </c>
      <c r="N660" s="18">
        <v>285</v>
      </c>
      <c r="O660" s="16">
        <v>23</v>
      </c>
      <c r="P660" s="13">
        <v>11</v>
      </c>
      <c r="Q660" s="13">
        <v>65</v>
      </c>
      <c r="R660" s="13">
        <v>0</v>
      </c>
      <c r="S660" s="18">
        <v>0</v>
      </c>
      <c r="T660" s="21">
        <v>46247.403703703705</v>
      </c>
      <c r="U660" s="55">
        <f t="shared" si="20"/>
        <v>1</v>
      </c>
      <c r="V660" s="55">
        <f t="shared" si="20"/>
        <v>0</v>
      </c>
      <c r="W660" s="56">
        <f t="shared" si="21"/>
        <v>0</v>
      </c>
    </row>
    <row r="661" spans="1:23" x14ac:dyDescent="0.3">
      <c r="A661" s="13" t="str" cm="1">
        <f t="array" ref="A661:B661">INDEX(BenchmarkResults!$B$1:$D$35,SUMPRODUCT((T661&gt;=BenchmarkResults!$F$2:$F$35)*(mysql_hardware_log!T661&lt;BenchmarkResults!$G$2:$G$35)*ROW(BenchmarkResults!$F$2:$F$35)),{1,3})</f>
        <v>q6_inactive_customers</v>
      </c>
      <c r="B661" s="13">
        <v>2</v>
      </c>
      <c r="C661" s="16">
        <v>1</v>
      </c>
      <c r="D661" s="18">
        <v>0</v>
      </c>
      <c r="E661" s="16">
        <v>424448</v>
      </c>
      <c r="F661" s="13">
        <v>1442808</v>
      </c>
      <c r="G661" s="13">
        <v>1888</v>
      </c>
      <c r="H661" s="18">
        <v>2253604</v>
      </c>
      <c r="I661" s="16">
        <v>0</v>
      </c>
      <c r="J661" s="18">
        <v>0</v>
      </c>
      <c r="K661" s="16">
        <v>0</v>
      </c>
      <c r="L661" s="18">
        <v>3</v>
      </c>
      <c r="M661" s="16">
        <v>824</v>
      </c>
      <c r="N661" s="18">
        <v>280</v>
      </c>
      <c r="O661" s="16">
        <v>23</v>
      </c>
      <c r="P661" s="13">
        <v>11</v>
      </c>
      <c r="Q661" s="13">
        <v>66</v>
      </c>
      <c r="R661" s="13">
        <v>0</v>
      </c>
      <c r="S661" s="18">
        <v>0</v>
      </c>
      <c r="T661" s="21">
        <v>46247.403819444444</v>
      </c>
      <c r="U661" s="55">
        <f t="shared" si="20"/>
        <v>1</v>
      </c>
      <c r="V661" s="55">
        <f t="shared" si="20"/>
        <v>0</v>
      </c>
      <c r="W661" s="56">
        <f t="shared" si="21"/>
        <v>0</v>
      </c>
    </row>
    <row r="662" spans="1:23" x14ac:dyDescent="0.3">
      <c r="A662" s="13" t="str" cm="1">
        <f t="array" ref="A662:B662">INDEX(BenchmarkResults!$B$1:$D$35,SUMPRODUCT((T662&gt;=BenchmarkResults!$F$2:$F$35)*(mysql_hardware_log!T662&lt;BenchmarkResults!$G$2:$G$35)*ROW(BenchmarkResults!$F$2:$F$35)),{1,3})</f>
        <v>q6_inactive_customers</v>
      </c>
      <c r="B662" s="13">
        <v>2</v>
      </c>
      <c r="C662" s="16">
        <v>1</v>
      </c>
      <c r="D662" s="18">
        <v>0</v>
      </c>
      <c r="E662" s="16">
        <v>424448</v>
      </c>
      <c r="F662" s="13">
        <v>1442556</v>
      </c>
      <c r="G662" s="13">
        <v>1896</v>
      </c>
      <c r="H662" s="18">
        <v>2253756</v>
      </c>
      <c r="I662" s="16">
        <v>0</v>
      </c>
      <c r="J662" s="18">
        <v>0</v>
      </c>
      <c r="K662" s="16">
        <v>15</v>
      </c>
      <c r="L662" s="18">
        <v>4</v>
      </c>
      <c r="M662" s="16">
        <v>824</v>
      </c>
      <c r="N662" s="18">
        <v>281</v>
      </c>
      <c r="O662" s="16">
        <v>23</v>
      </c>
      <c r="P662" s="13">
        <v>11</v>
      </c>
      <c r="Q662" s="13">
        <v>66</v>
      </c>
      <c r="R662" s="13">
        <v>0</v>
      </c>
      <c r="S662" s="18">
        <v>0</v>
      </c>
      <c r="T662" s="21">
        <v>46247.403935185182</v>
      </c>
      <c r="U662" s="55">
        <f t="shared" si="20"/>
        <v>1</v>
      </c>
      <c r="V662" s="55">
        <f t="shared" si="20"/>
        <v>0</v>
      </c>
      <c r="W662" s="56">
        <f t="shared" si="21"/>
        <v>2.5</v>
      </c>
    </row>
    <row r="663" spans="1:23" x14ac:dyDescent="0.3">
      <c r="A663" s="13" t="str" cm="1">
        <f t="array" ref="A663:B663">INDEX(BenchmarkResults!$B$1:$D$35,SUMPRODUCT((T663&gt;=BenchmarkResults!$F$2:$F$35)*(mysql_hardware_log!T663&lt;BenchmarkResults!$G$2:$G$35)*ROW(BenchmarkResults!$F$2:$F$35)),{1,3})</f>
        <v>q6_inactive_customers</v>
      </c>
      <c r="B663" s="13">
        <v>2</v>
      </c>
      <c r="C663" s="16">
        <v>1</v>
      </c>
      <c r="D663" s="18">
        <v>0</v>
      </c>
      <c r="E663" s="16">
        <v>424448</v>
      </c>
      <c r="F663" s="13">
        <v>1442556</v>
      </c>
      <c r="G663" s="13">
        <v>1904</v>
      </c>
      <c r="H663" s="18">
        <v>2253756</v>
      </c>
      <c r="I663" s="16">
        <v>0</v>
      </c>
      <c r="J663" s="18">
        <v>0</v>
      </c>
      <c r="K663" s="16">
        <v>0</v>
      </c>
      <c r="L663" s="18">
        <v>2</v>
      </c>
      <c r="M663" s="16">
        <v>838</v>
      </c>
      <c r="N663" s="18">
        <v>302</v>
      </c>
      <c r="O663" s="16">
        <v>23</v>
      </c>
      <c r="P663" s="13">
        <v>11</v>
      </c>
      <c r="Q663" s="13">
        <v>66</v>
      </c>
      <c r="R663" s="13">
        <v>0</v>
      </c>
      <c r="S663" s="18">
        <v>0</v>
      </c>
      <c r="T663" s="21">
        <v>46247.404050925928</v>
      </c>
      <c r="U663" s="55">
        <f t="shared" si="20"/>
        <v>1</v>
      </c>
      <c r="V663" s="55">
        <f t="shared" si="20"/>
        <v>0</v>
      </c>
      <c r="W663" s="56">
        <f t="shared" si="21"/>
        <v>2.5</v>
      </c>
    </row>
    <row r="664" spans="1:23" x14ac:dyDescent="0.3">
      <c r="A664" s="13" t="str" cm="1">
        <f t="array" ref="A664:B664">INDEX(BenchmarkResults!$B$1:$D$35,SUMPRODUCT((T664&gt;=BenchmarkResults!$F$2:$F$35)*(mysql_hardware_log!T664&lt;BenchmarkResults!$G$2:$G$35)*ROW(BenchmarkResults!$F$2:$F$35)),{1,3})</f>
        <v>q6_inactive_customers</v>
      </c>
      <c r="B664" s="13">
        <v>2</v>
      </c>
      <c r="C664" s="16">
        <v>1</v>
      </c>
      <c r="D664" s="18">
        <v>0</v>
      </c>
      <c r="E664" s="16">
        <v>424448</v>
      </c>
      <c r="F664" s="13">
        <v>1442812</v>
      </c>
      <c r="G664" s="13">
        <v>1912</v>
      </c>
      <c r="H664" s="18">
        <v>2253708</v>
      </c>
      <c r="I664" s="16">
        <v>0</v>
      </c>
      <c r="J664" s="18">
        <v>0</v>
      </c>
      <c r="K664" s="16">
        <v>0</v>
      </c>
      <c r="L664" s="18">
        <v>2</v>
      </c>
      <c r="M664" s="16">
        <v>824</v>
      </c>
      <c r="N664" s="18">
        <v>285</v>
      </c>
      <c r="O664" s="16">
        <v>23</v>
      </c>
      <c r="P664" s="13">
        <v>11</v>
      </c>
      <c r="Q664" s="13">
        <v>66</v>
      </c>
      <c r="R664" s="13">
        <v>0</v>
      </c>
      <c r="S664" s="18">
        <v>0</v>
      </c>
      <c r="T664" s="21">
        <v>46247.404166666667</v>
      </c>
      <c r="U664" s="55">
        <f t="shared" si="20"/>
        <v>1</v>
      </c>
      <c r="V664" s="55">
        <f t="shared" si="20"/>
        <v>0</v>
      </c>
      <c r="W664" s="56">
        <f t="shared" si="21"/>
        <v>2.5</v>
      </c>
    </row>
    <row r="665" spans="1:23" x14ac:dyDescent="0.3">
      <c r="A665" s="13" t="str" cm="1">
        <f t="array" ref="A665:B665">INDEX(BenchmarkResults!$B$1:$D$35,SUMPRODUCT((T665&gt;=BenchmarkResults!$F$2:$F$35)*(mysql_hardware_log!T665&lt;BenchmarkResults!$G$2:$G$35)*ROW(BenchmarkResults!$F$2:$F$35)),{1,3})</f>
        <v>q6_inactive_customers</v>
      </c>
      <c r="B665" s="13">
        <v>2</v>
      </c>
      <c r="C665" s="16">
        <v>1</v>
      </c>
      <c r="D665" s="18">
        <v>0</v>
      </c>
      <c r="E665" s="16">
        <v>424448</v>
      </c>
      <c r="F665" s="13">
        <v>1442812</v>
      </c>
      <c r="G665" s="13">
        <v>1920</v>
      </c>
      <c r="H665" s="18">
        <v>2253708</v>
      </c>
      <c r="I665" s="16">
        <v>0</v>
      </c>
      <c r="J665" s="18">
        <v>0</v>
      </c>
      <c r="K665" s="16">
        <v>0</v>
      </c>
      <c r="L665" s="18">
        <v>2</v>
      </c>
      <c r="M665" s="16">
        <v>892</v>
      </c>
      <c r="N665" s="18">
        <v>286</v>
      </c>
      <c r="O665" s="16">
        <v>21</v>
      </c>
      <c r="P665" s="13">
        <v>10</v>
      </c>
      <c r="Q665" s="13">
        <v>59</v>
      </c>
      <c r="R665" s="13">
        <v>0</v>
      </c>
      <c r="S665" s="18">
        <v>10</v>
      </c>
      <c r="T665" s="21">
        <v>46247.404282407406</v>
      </c>
      <c r="U665" s="55">
        <f t="shared" si="20"/>
        <v>1</v>
      </c>
      <c r="V665" s="55">
        <f t="shared" si="20"/>
        <v>0</v>
      </c>
      <c r="W665" s="56">
        <f t="shared" si="21"/>
        <v>2.5</v>
      </c>
    </row>
    <row r="666" spans="1:23" x14ac:dyDescent="0.3">
      <c r="A666" s="13" t="str" cm="1">
        <f t="array" ref="A666:B666">INDEX(BenchmarkResults!$B$1:$D$35,SUMPRODUCT((T666&gt;=BenchmarkResults!$F$2:$F$35)*(mysql_hardware_log!T666&lt;BenchmarkResults!$G$2:$G$35)*ROW(BenchmarkResults!$F$2:$F$35)),{1,3})</f>
        <v>q6_inactive_customers</v>
      </c>
      <c r="B666" s="13">
        <v>2</v>
      </c>
      <c r="C666" s="16">
        <v>1</v>
      </c>
      <c r="D666" s="18">
        <v>0</v>
      </c>
      <c r="E666" s="16">
        <v>424448</v>
      </c>
      <c r="F666" s="13">
        <v>1442812</v>
      </c>
      <c r="G666" s="13">
        <v>1928</v>
      </c>
      <c r="H666" s="18">
        <v>2253708</v>
      </c>
      <c r="I666" s="16">
        <v>0</v>
      </c>
      <c r="J666" s="18">
        <v>0</v>
      </c>
      <c r="K666" s="16">
        <v>0</v>
      </c>
      <c r="L666" s="18">
        <v>2</v>
      </c>
      <c r="M666" s="16">
        <v>822</v>
      </c>
      <c r="N666" s="18">
        <v>280</v>
      </c>
      <c r="O666" s="16">
        <v>23</v>
      </c>
      <c r="P666" s="13">
        <v>11</v>
      </c>
      <c r="Q666" s="13">
        <v>65</v>
      </c>
      <c r="R666" s="13">
        <v>0</v>
      </c>
      <c r="S666" s="18">
        <v>0</v>
      </c>
      <c r="T666" s="21">
        <v>46247.404398148145</v>
      </c>
      <c r="U666" s="55">
        <f t="shared" si="20"/>
        <v>1</v>
      </c>
      <c r="V666" s="55">
        <f t="shared" si="20"/>
        <v>0</v>
      </c>
      <c r="W666" s="56">
        <f t="shared" si="21"/>
        <v>2.5</v>
      </c>
    </row>
    <row r="667" spans="1:23" x14ac:dyDescent="0.3">
      <c r="A667" s="13" t="str" cm="1">
        <f t="array" ref="A667:B667">INDEX(BenchmarkResults!$B$1:$D$35,SUMPRODUCT((T667&gt;=BenchmarkResults!$F$2:$F$35)*(mysql_hardware_log!T667&lt;BenchmarkResults!$G$2:$G$35)*ROW(BenchmarkResults!$F$2:$F$35)),{1,3})</f>
        <v>q6_inactive_customers</v>
      </c>
      <c r="B667" s="13">
        <v>2</v>
      </c>
      <c r="C667" s="16">
        <v>1</v>
      </c>
      <c r="D667" s="18">
        <v>0</v>
      </c>
      <c r="E667" s="16">
        <v>424448</v>
      </c>
      <c r="F667" s="13">
        <v>1442812</v>
      </c>
      <c r="G667" s="13">
        <v>1936</v>
      </c>
      <c r="H667" s="18">
        <v>2253708</v>
      </c>
      <c r="I667" s="16">
        <v>0</v>
      </c>
      <c r="J667" s="18">
        <v>0</v>
      </c>
      <c r="K667" s="16">
        <v>0</v>
      </c>
      <c r="L667" s="18">
        <v>1</v>
      </c>
      <c r="M667" s="16">
        <v>814</v>
      </c>
      <c r="N667" s="18">
        <v>274</v>
      </c>
      <c r="O667" s="16">
        <v>23</v>
      </c>
      <c r="P667" s="13">
        <v>11</v>
      </c>
      <c r="Q667" s="13">
        <v>66</v>
      </c>
      <c r="R667" s="13">
        <v>0</v>
      </c>
      <c r="S667" s="18">
        <v>0</v>
      </c>
      <c r="T667" s="21">
        <v>46247.404513888891</v>
      </c>
      <c r="U667" s="55">
        <f t="shared" si="20"/>
        <v>1</v>
      </c>
      <c r="V667" s="55">
        <f t="shared" si="20"/>
        <v>0</v>
      </c>
      <c r="W667" s="56">
        <f t="shared" si="21"/>
        <v>2.5</v>
      </c>
    </row>
    <row r="668" spans="1:23" x14ac:dyDescent="0.3">
      <c r="A668" s="13" t="str" cm="1">
        <f t="array" ref="A668:B668">INDEX(BenchmarkResults!$B$1:$D$35,SUMPRODUCT((T668&gt;=BenchmarkResults!$F$2:$F$35)*(mysql_hardware_log!T668&lt;BenchmarkResults!$G$2:$G$35)*ROW(BenchmarkResults!$F$2:$F$35)),{1,3})</f>
        <v>q6_inactive_customers</v>
      </c>
      <c r="B668" s="13">
        <v>2</v>
      </c>
      <c r="C668" s="16">
        <v>1</v>
      </c>
      <c r="D668" s="18">
        <v>0</v>
      </c>
      <c r="E668" s="16">
        <v>424448</v>
      </c>
      <c r="F668" s="13">
        <v>1442812</v>
      </c>
      <c r="G668" s="13">
        <v>1944</v>
      </c>
      <c r="H668" s="18">
        <v>2253708</v>
      </c>
      <c r="I668" s="16">
        <v>1</v>
      </c>
      <c r="J668" s="18">
        <v>0</v>
      </c>
      <c r="K668" s="16">
        <v>1</v>
      </c>
      <c r="L668" s="18">
        <v>1</v>
      </c>
      <c r="M668" s="16">
        <v>833</v>
      </c>
      <c r="N668" s="18">
        <v>288</v>
      </c>
      <c r="O668" s="16">
        <v>24</v>
      </c>
      <c r="P668" s="13">
        <v>11</v>
      </c>
      <c r="Q668" s="13">
        <v>65</v>
      </c>
      <c r="R668" s="13">
        <v>0</v>
      </c>
      <c r="S668" s="18">
        <v>0</v>
      </c>
      <c r="T668" s="21">
        <v>46247.404629629629</v>
      </c>
      <c r="U668" s="55">
        <f t="shared" si="20"/>
        <v>1</v>
      </c>
      <c r="V668" s="55">
        <f t="shared" si="20"/>
        <v>0</v>
      </c>
      <c r="W668" s="56">
        <f t="shared" si="21"/>
        <v>0.16666666666666666</v>
      </c>
    </row>
    <row r="669" spans="1:23" x14ac:dyDescent="0.3">
      <c r="A669" s="13" t="str" cm="1">
        <f t="array" ref="A669:B669">INDEX(BenchmarkResults!$B$1:$D$35,SUMPRODUCT((T669&gt;=BenchmarkResults!$F$2:$F$35)*(mysql_hardware_log!T669&lt;BenchmarkResults!$G$2:$G$35)*ROW(BenchmarkResults!$F$2:$F$35)),{1,3})</f>
        <v>q6_inactive_customers</v>
      </c>
      <c r="B669" s="13">
        <v>2</v>
      </c>
      <c r="C669" s="16">
        <v>1</v>
      </c>
      <c r="D669" s="18">
        <v>0</v>
      </c>
      <c r="E669" s="16">
        <v>424448</v>
      </c>
      <c r="F669" s="13">
        <v>1442812</v>
      </c>
      <c r="G669" s="13">
        <v>1952</v>
      </c>
      <c r="H669" s="18">
        <v>2253708</v>
      </c>
      <c r="I669" s="16">
        <v>0</v>
      </c>
      <c r="J669" s="18">
        <v>0</v>
      </c>
      <c r="K669" s="16">
        <v>0</v>
      </c>
      <c r="L669" s="18">
        <v>1</v>
      </c>
      <c r="M669" s="16">
        <v>834</v>
      </c>
      <c r="N669" s="18">
        <v>294</v>
      </c>
      <c r="O669" s="16">
        <v>23</v>
      </c>
      <c r="P669" s="13">
        <v>11</v>
      </c>
      <c r="Q669" s="13">
        <v>65</v>
      </c>
      <c r="R669" s="13">
        <v>0</v>
      </c>
      <c r="S669" s="18">
        <v>0</v>
      </c>
      <c r="T669" s="21">
        <v>46247.404745370368</v>
      </c>
      <c r="U669" s="55">
        <f t="shared" si="20"/>
        <v>1</v>
      </c>
      <c r="V669" s="55">
        <f t="shared" si="20"/>
        <v>0</v>
      </c>
      <c r="W669" s="56">
        <f t="shared" si="21"/>
        <v>0.16666666666666666</v>
      </c>
    </row>
    <row r="670" spans="1:23" x14ac:dyDescent="0.3">
      <c r="A670" s="13" t="str" cm="1">
        <f t="array" ref="A670:B670">INDEX(BenchmarkResults!$B$1:$D$35,SUMPRODUCT((T670&gt;=BenchmarkResults!$F$2:$F$35)*(mysql_hardware_log!T670&lt;BenchmarkResults!$G$2:$G$35)*ROW(BenchmarkResults!$F$2:$F$35)),{1,3})</f>
        <v>q6_inactive_customers</v>
      </c>
      <c r="B670" s="13">
        <v>2</v>
      </c>
      <c r="C670" s="16">
        <v>1</v>
      </c>
      <c r="D670" s="18">
        <v>0</v>
      </c>
      <c r="E670" s="16">
        <v>424448</v>
      </c>
      <c r="F670" s="13">
        <v>1442812</v>
      </c>
      <c r="G670" s="13">
        <v>1960</v>
      </c>
      <c r="H670" s="18">
        <v>2253708</v>
      </c>
      <c r="I670" s="16">
        <v>0</v>
      </c>
      <c r="J670" s="18">
        <v>0</v>
      </c>
      <c r="K670" s="16">
        <v>0</v>
      </c>
      <c r="L670" s="18">
        <v>2</v>
      </c>
      <c r="M670" s="16">
        <v>838</v>
      </c>
      <c r="N670" s="18">
        <v>290</v>
      </c>
      <c r="O670" s="16">
        <v>23</v>
      </c>
      <c r="P670" s="13">
        <v>11</v>
      </c>
      <c r="Q670" s="13">
        <v>65</v>
      </c>
      <c r="R670" s="13">
        <v>0</v>
      </c>
      <c r="S670" s="18">
        <v>1</v>
      </c>
      <c r="T670" s="21">
        <v>46247.404861111114</v>
      </c>
      <c r="U670" s="55">
        <f t="shared" si="20"/>
        <v>1</v>
      </c>
      <c r="V670" s="55">
        <f t="shared" si="20"/>
        <v>0</v>
      </c>
      <c r="W670" s="56">
        <f t="shared" si="21"/>
        <v>0.16666666666666666</v>
      </c>
    </row>
    <row r="671" spans="1:23" x14ac:dyDescent="0.3">
      <c r="A671" s="13" t="str" cm="1">
        <f t="array" ref="A671:B671">INDEX(BenchmarkResults!$B$1:$D$35,SUMPRODUCT((T671&gt;=BenchmarkResults!$F$2:$F$35)*(mysql_hardware_log!T671&lt;BenchmarkResults!$G$2:$G$35)*ROW(BenchmarkResults!$F$2:$F$35)),{1,3})</f>
        <v>q6_inactive_customers</v>
      </c>
      <c r="B671" s="13">
        <v>2</v>
      </c>
      <c r="C671" s="16">
        <v>1</v>
      </c>
      <c r="D671" s="18">
        <v>0</v>
      </c>
      <c r="E671" s="16">
        <v>424448</v>
      </c>
      <c r="F671" s="13">
        <v>1442812</v>
      </c>
      <c r="G671" s="13">
        <v>1968</v>
      </c>
      <c r="H671" s="18">
        <v>2253708</v>
      </c>
      <c r="I671" s="16">
        <v>0</v>
      </c>
      <c r="J671" s="18">
        <v>0</v>
      </c>
      <c r="K671" s="16">
        <v>0</v>
      </c>
      <c r="L671" s="18">
        <v>1</v>
      </c>
      <c r="M671" s="16">
        <v>829</v>
      </c>
      <c r="N671" s="18">
        <v>283</v>
      </c>
      <c r="O671" s="16">
        <v>23</v>
      </c>
      <c r="P671" s="13">
        <v>11</v>
      </c>
      <c r="Q671" s="13">
        <v>65</v>
      </c>
      <c r="R671" s="13">
        <v>0</v>
      </c>
      <c r="S671" s="18">
        <v>0</v>
      </c>
      <c r="T671" s="21">
        <v>46247.404976851853</v>
      </c>
      <c r="U671" s="55">
        <f t="shared" si="20"/>
        <v>1</v>
      </c>
      <c r="V671" s="55">
        <f t="shared" si="20"/>
        <v>0</v>
      </c>
      <c r="W671" s="56">
        <f t="shared" si="21"/>
        <v>0.16666666666666666</v>
      </c>
    </row>
    <row r="672" spans="1:23" x14ac:dyDescent="0.3">
      <c r="A672" s="13" t="str" cm="1">
        <f t="array" ref="A672:B672">INDEX(BenchmarkResults!$B$1:$D$35,SUMPRODUCT((T672&gt;=BenchmarkResults!$F$2:$F$35)*(mysql_hardware_log!T672&lt;BenchmarkResults!$G$2:$G$35)*ROW(BenchmarkResults!$F$2:$F$35)),{1,3})</f>
        <v>q6_inactive_customers</v>
      </c>
      <c r="B672" s="13">
        <v>2</v>
      </c>
      <c r="C672" s="16">
        <v>1</v>
      </c>
      <c r="D672" s="18">
        <v>0</v>
      </c>
      <c r="E672" s="16">
        <v>424448</v>
      </c>
      <c r="F672" s="13">
        <v>1442812</v>
      </c>
      <c r="G672" s="13">
        <v>1976</v>
      </c>
      <c r="H672" s="18">
        <v>2253708</v>
      </c>
      <c r="I672" s="16">
        <v>0</v>
      </c>
      <c r="J672" s="18">
        <v>0</v>
      </c>
      <c r="K672" s="16">
        <v>0</v>
      </c>
      <c r="L672" s="18">
        <v>1</v>
      </c>
      <c r="M672" s="16">
        <v>823</v>
      </c>
      <c r="N672" s="18">
        <v>281</v>
      </c>
      <c r="O672" s="16">
        <v>23</v>
      </c>
      <c r="P672" s="13">
        <v>11</v>
      </c>
      <c r="Q672" s="13">
        <v>66</v>
      </c>
      <c r="R672" s="13">
        <v>0</v>
      </c>
      <c r="S672" s="18">
        <v>0</v>
      </c>
      <c r="T672" s="21">
        <v>46247.405092592591</v>
      </c>
      <c r="U672" s="55">
        <f t="shared" si="20"/>
        <v>1</v>
      </c>
      <c r="V672" s="55">
        <f t="shared" si="20"/>
        <v>0</v>
      </c>
      <c r="W672" s="56">
        <f t="shared" si="21"/>
        <v>0.16666666666666666</v>
      </c>
    </row>
    <row r="673" spans="1:23" x14ac:dyDescent="0.3">
      <c r="A673" s="13" t="str" cm="1">
        <f t="array" ref="A673:B673">INDEX(BenchmarkResults!$B$1:$D$35,SUMPRODUCT((T673&gt;=BenchmarkResults!$F$2:$F$35)*(mysql_hardware_log!T673&lt;BenchmarkResults!$G$2:$G$35)*ROW(BenchmarkResults!$F$2:$F$35)),{1,3})</f>
        <v>q6_inactive_customers</v>
      </c>
      <c r="B673" s="13">
        <v>2</v>
      </c>
      <c r="C673" s="16">
        <v>1</v>
      </c>
      <c r="D673" s="18">
        <v>0</v>
      </c>
      <c r="E673" s="16">
        <v>424448</v>
      </c>
      <c r="F673" s="13">
        <v>1442812</v>
      </c>
      <c r="G673" s="13">
        <v>1984</v>
      </c>
      <c r="H673" s="18">
        <v>2253708</v>
      </c>
      <c r="I673" s="16">
        <v>0</v>
      </c>
      <c r="J673" s="18">
        <v>0</v>
      </c>
      <c r="K673" s="16">
        <v>0</v>
      </c>
      <c r="L673" s="18">
        <v>1</v>
      </c>
      <c r="M673" s="16">
        <v>834</v>
      </c>
      <c r="N673" s="18">
        <v>286</v>
      </c>
      <c r="O673" s="16">
        <v>24</v>
      </c>
      <c r="P673" s="13">
        <v>11</v>
      </c>
      <c r="Q673" s="13">
        <v>66</v>
      </c>
      <c r="R673" s="13">
        <v>0</v>
      </c>
      <c r="S673" s="18">
        <v>0</v>
      </c>
      <c r="T673" s="21">
        <v>46247.40520833333</v>
      </c>
      <c r="U673" s="55">
        <f t="shared" si="20"/>
        <v>1</v>
      </c>
      <c r="V673" s="55">
        <f t="shared" si="20"/>
        <v>0</v>
      </c>
      <c r="W673" s="56">
        <f t="shared" si="21"/>
        <v>0.16666666666666666</v>
      </c>
    </row>
    <row r="674" spans="1:23" x14ac:dyDescent="0.3">
      <c r="A674" s="13" t="str" cm="1">
        <f t="array" ref="A674:B674">INDEX(BenchmarkResults!$B$1:$D$35,SUMPRODUCT((T674&gt;=BenchmarkResults!$F$2:$F$35)*(mysql_hardware_log!T674&lt;BenchmarkResults!$G$2:$G$35)*ROW(BenchmarkResults!$F$2:$F$35)),{1,3})</f>
        <v>q6_inactive_customers</v>
      </c>
      <c r="B674" s="13">
        <v>2</v>
      </c>
      <c r="C674" s="16">
        <v>2</v>
      </c>
      <c r="D674" s="18">
        <v>0</v>
      </c>
      <c r="E674" s="16">
        <v>424448</v>
      </c>
      <c r="F674" s="13">
        <v>1442560</v>
      </c>
      <c r="G674" s="13">
        <v>1992</v>
      </c>
      <c r="H674" s="18">
        <v>2253708</v>
      </c>
      <c r="I674" s="16">
        <v>0</v>
      </c>
      <c r="J674" s="18">
        <v>0</v>
      </c>
      <c r="K674" s="16">
        <v>0</v>
      </c>
      <c r="L674" s="18">
        <v>2</v>
      </c>
      <c r="M674" s="16">
        <v>825</v>
      </c>
      <c r="N674" s="18">
        <v>284</v>
      </c>
      <c r="O674" s="16">
        <v>23</v>
      </c>
      <c r="P674" s="13">
        <v>12</v>
      </c>
      <c r="Q674" s="13">
        <v>66</v>
      </c>
      <c r="R674" s="13">
        <v>0</v>
      </c>
      <c r="S674" s="18">
        <v>0</v>
      </c>
      <c r="T674" s="21">
        <v>46247.405324074076</v>
      </c>
      <c r="U674" s="55">
        <f t="shared" si="20"/>
        <v>1.1666666666666667</v>
      </c>
      <c r="V674" s="55">
        <f t="shared" si="20"/>
        <v>0</v>
      </c>
      <c r="W674" s="56">
        <f t="shared" si="21"/>
        <v>0</v>
      </c>
    </row>
    <row r="675" spans="1:23" x14ac:dyDescent="0.3">
      <c r="A675" s="13" t="str" cm="1">
        <f t="array" ref="A675:B675">INDEX(BenchmarkResults!$B$1:$D$35,SUMPRODUCT((T675&gt;=BenchmarkResults!$F$2:$F$35)*(mysql_hardware_log!T675&lt;BenchmarkResults!$G$2:$G$35)*ROW(BenchmarkResults!$F$2:$F$35)),{1,3})</f>
        <v>q6_inactive_customers</v>
      </c>
      <c r="B675" s="13">
        <v>3</v>
      </c>
      <c r="C675" s="16">
        <v>1</v>
      </c>
      <c r="D675" s="18">
        <v>0</v>
      </c>
      <c r="E675" s="16">
        <v>424448</v>
      </c>
      <c r="F675" s="13">
        <v>1671076</v>
      </c>
      <c r="G675" s="13">
        <v>2000</v>
      </c>
      <c r="H675" s="18">
        <v>2012832</v>
      </c>
      <c r="I675" s="16">
        <v>0</v>
      </c>
      <c r="J675" s="18">
        <v>0</v>
      </c>
      <c r="K675" s="16">
        <v>5422</v>
      </c>
      <c r="L675" s="18">
        <v>2</v>
      </c>
      <c r="M675" s="16">
        <v>978</v>
      </c>
      <c r="N675" s="18">
        <v>441</v>
      </c>
      <c r="O675" s="16">
        <v>23</v>
      </c>
      <c r="P675" s="13">
        <v>10</v>
      </c>
      <c r="Q675" s="13">
        <v>64</v>
      </c>
      <c r="R675" s="13">
        <v>2</v>
      </c>
      <c r="S675" s="18">
        <v>0</v>
      </c>
      <c r="T675" s="21">
        <v>46247.405439814815</v>
      </c>
      <c r="U675" s="55">
        <f t="shared" si="20"/>
        <v>1.1666666666666667</v>
      </c>
      <c r="V675" s="55">
        <f t="shared" si="20"/>
        <v>0</v>
      </c>
      <c r="W675" s="56">
        <f t="shared" si="21"/>
        <v>903.66666666666663</v>
      </c>
    </row>
    <row r="676" spans="1:23" x14ac:dyDescent="0.3">
      <c r="A676" s="13" t="str" cm="1">
        <f t="array" ref="A676:B676">INDEX(BenchmarkResults!$B$1:$D$35,SUMPRODUCT((T676&gt;=BenchmarkResults!$F$2:$F$35)*(mysql_hardware_log!T676&lt;BenchmarkResults!$G$2:$G$35)*ROW(BenchmarkResults!$F$2:$F$35)),{1,3})</f>
        <v>q6_inactive_customers</v>
      </c>
      <c r="B676" s="13">
        <v>3</v>
      </c>
      <c r="C676" s="16">
        <v>1</v>
      </c>
      <c r="D676" s="18">
        <v>1</v>
      </c>
      <c r="E676" s="16">
        <v>424448</v>
      </c>
      <c r="F676" s="13">
        <v>1062256</v>
      </c>
      <c r="G676" s="13">
        <v>2028</v>
      </c>
      <c r="H676" s="18">
        <v>2600388</v>
      </c>
      <c r="I676" s="16">
        <v>0</v>
      </c>
      <c r="J676" s="18">
        <v>0</v>
      </c>
      <c r="K676" s="16">
        <v>35140</v>
      </c>
      <c r="L676" s="18">
        <v>12101</v>
      </c>
      <c r="M676" s="16">
        <v>1655</v>
      </c>
      <c r="N676" s="18">
        <v>993</v>
      </c>
      <c r="O676" s="16">
        <v>25</v>
      </c>
      <c r="P676" s="13">
        <v>6</v>
      </c>
      <c r="Q676" s="13">
        <v>53</v>
      </c>
      <c r="R676" s="13">
        <v>15</v>
      </c>
      <c r="S676" s="18">
        <v>0</v>
      </c>
      <c r="T676" s="21">
        <v>46247.405555555553</v>
      </c>
      <c r="U676" s="55">
        <f t="shared" si="20"/>
        <v>1.1666666666666667</v>
      </c>
      <c r="V676" s="55">
        <f t="shared" si="20"/>
        <v>0.16666666666666666</v>
      </c>
      <c r="W676" s="56">
        <f t="shared" si="21"/>
        <v>6760.333333333333</v>
      </c>
    </row>
    <row r="677" spans="1:23" x14ac:dyDescent="0.3">
      <c r="A677" s="13" t="str" cm="1">
        <f t="array" ref="A677:B677">INDEX(BenchmarkResults!$B$1:$D$35,SUMPRODUCT((T677&gt;=BenchmarkResults!$F$2:$F$35)*(mysql_hardware_log!T677&lt;BenchmarkResults!$G$2:$G$35)*ROW(BenchmarkResults!$F$2:$F$35)),{1,3})</f>
        <v>q6_inactive_customers</v>
      </c>
      <c r="B677" s="13">
        <v>3</v>
      </c>
      <c r="C677" s="16">
        <v>1</v>
      </c>
      <c r="D677" s="18">
        <v>0</v>
      </c>
      <c r="E677" s="16">
        <v>424448</v>
      </c>
      <c r="F677" s="13">
        <v>505600</v>
      </c>
      <c r="G677" s="13">
        <v>2048</v>
      </c>
      <c r="H677" s="18">
        <v>3158432</v>
      </c>
      <c r="I677" s="16">
        <v>0</v>
      </c>
      <c r="J677" s="18">
        <v>0</v>
      </c>
      <c r="K677" s="16">
        <v>31682</v>
      </c>
      <c r="L677" s="18">
        <v>17355</v>
      </c>
      <c r="M677" s="16">
        <v>1592</v>
      </c>
      <c r="N677" s="18">
        <v>953</v>
      </c>
      <c r="O677" s="16">
        <v>25</v>
      </c>
      <c r="P677" s="13">
        <v>7</v>
      </c>
      <c r="Q677" s="13">
        <v>56</v>
      </c>
      <c r="R677" s="13">
        <v>13</v>
      </c>
      <c r="S677" s="18">
        <v>0</v>
      </c>
      <c r="T677" s="21">
        <v>46247.405671296299</v>
      </c>
      <c r="U677" s="55">
        <f t="shared" si="20"/>
        <v>1.1666666666666667</v>
      </c>
      <c r="V677" s="55">
        <f t="shared" si="20"/>
        <v>0.16666666666666666</v>
      </c>
      <c r="W677" s="56">
        <f t="shared" si="21"/>
        <v>12040.666666666666</v>
      </c>
    </row>
    <row r="678" spans="1:23" x14ac:dyDescent="0.3">
      <c r="A678" s="13" t="str" cm="1">
        <f t="array" ref="A678:B678">INDEX(BenchmarkResults!$B$1:$D$35,SUMPRODUCT((T678&gt;=BenchmarkResults!$F$2:$F$35)*(mysql_hardware_log!T678&lt;BenchmarkResults!$G$2:$G$35)*ROW(BenchmarkResults!$F$2:$F$35)),{1,3})</f>
        <v>q6_inactive_customers</v>
      </c>
      <c r="B678" s="13">
        <v>3</v>
      </c>
      <c r="C678" s="16">
        <v>2</v>
      </c>
      <c r="D678" s="18">
        <v>1</v>
      </c>
      <c r="E678" s="16">
        <v>424448</v>
      </c>
      <c r="F678" s="13">
        <v>107372</v>
      </c>
      <c r="G678" s="13">
        <v>2064</v>
      </c>
      <c r="H678" s="18">
        <v>3570176</v>
      </c>
      <c r="I678" s="16">
        <v>1</v>
      </c>
      <c r="J678" s="18">
        <v>0</v>
      </c>
      <c r="K678" s="16">
        <v>30715</v>
      </c>
      <c r="L678" s="18">
        <v>21382</v>
      </c>
      <c r="M678" s="16">
        <v>1414</v>
      </c>
      <c r="N678" s="18">
        <v>730</v>
      </c>
      <c r="O678" s="16">
        <v>24</v>
      </c>
      <c r="P678" s="13">
        <v>8</v>
      </c>
      <c r="Q678" s="13">
        <v>51</v>
      </c>
      <c r="R678" s="13">
        <v>17</v>
      </c>
      <c r="S678" s="18">
        <v>0</v>
      </c>
      <c r="T678" s="21">
        <v>46247.405787037038</v>
      </c>
      <c r="U678" s="55">
        <f t="shared" si="20"/>
        <v>1.3333333333333333</v>
      </c>
      <c r="V678" s="55">
        <f t="shared" si="20"/>
        <v>0.33333333333333331</v>
      </c>
      <c r="W678" s="56">
        <f t="shared" si="21"/>
        <v>17159.833333333332</v>
      </c>
    </row>
    <row r="679" spans="1:23" x14ac:dyDescent="0.3">
      <c r="A679" s="13" t="str" cm="1">
        <f t="array" ref="A679:B679">INDEX(BenchmarkResults!$B$1:$D$35,SUMPRODUCT((T679&gt;=BenchmarkResults!$F$2:$F$35)*(mysql_hardware_log!T679&lt;BenchmarkResults!$G$2:$G$35)*ROW(BenchmarkResults!$F$2:$F$35)),{1,3})</f>
        <v>q6_inactive_customers</v>
      </c>
      <c r="B679" s="13">
        <v>3</v>
      </c>
      <c r="C679" s="16">
        <v>1</v>
      </c>
      <c r="D679" s="18">
        <v>1</v>
      </c>
      <c r="E679" s="16">
        <v>424448</v>
      </c>
      <c r="F679" s="13">
        <v>156192</v>
      </c>
      <c r="G679" s="13">
        <v>2080</v>
      </c>
      <c r="H679" s="18">
        <v>3523912</v>
      </c>
      <c r="I679" s="16">
        <v>3</v>
      </c>
      <c r="J679" s="18">
        <v>0</v>
      </c>
      <c r="K679" s="16">
        <v>89756</v>
      </c>
      <c r="L679" s="18">
        <v>81507</v>
      </c>
      <c r="M679" s="16">
        <v>3681</v>
      </c>
      <c r="N679" s="18">
        <v>2146</v>
      </c>
      <c r="O679" s="16">
        <v>9</v>
      </c>
      <c r="P679" s="13">
        <v>16</v>
      </c>
      <c r="Q679" s="13">
        <v>30</v>
      </c>
      <c r="R679" s="13">
        <v>45</v>
      </c>
      <c r="S679" s="18">
        <v>0</v>
      </c>
      <c r="T679" s="21">
        <v>46247.405902777777</v>
      </c>
      <c r="U679" s="55">
        <f t="shared" si="20"/>
        <v>1.3333333333333333</v>
      </c>
      <c r="V679" s="55">
        <f t="shared" si="20"/>
        <v>0.5</v>
      </c>
      <c r="W679" s="56">
        <f t="shared" si="21"/>
        <v>32119.166666666668</v>
      </c>
    </row>
    <row r="680" spans="1:23" x14ac:dyDescent="0.3">
      <c r="A680" s="13" t="str" cm="1">
        <f t="array" ref="A680:B680">INDEX(BenchmarkResults!$B$1:$D$35,SUMPRODUCT((T680&gt;=BenchmarkResults!$F$2:$F$35)*(mysql_hardware_log!T680&lt;BenchmarkResults!$G$2:$G$35)*ROW(BenchmarkResults!$F$2:$F$35)),{1,3})</f>
        <v>q6_inactive_customers</v>
      </c>
      <c r="B680" s="13">
        <v>3</v>
      </c>
      <c r="C680" s="16">
        <v>1</v>
      </c>
      <c r="D680" s="18">
        <v>1</v>
      </c>
      <c r="E680" s="16">
        <v>424448</v>
      </c>
      <c r="F680" s="13">
        <v>488860</v>
      </c>
      <c r="G680" s="13">
        <v>2100</v>
      </c>
      <c r="H680" s="18">
        <v>3190856</v>
      </c>
      <c r="I680" s="16">
        <v>0</v>
      </c>
      <c r="J680" s="18">
        <v>0</v>
      </c>
      <c r="K680" s="16">
        <v>139670</v>
      </c>
      <c r="L680" s="18">
        <v>145368</v>
      </c>
      <c r="M680" s="16">
        <v>2589</v>
      </c>
      <c r="N680" s="18">
        <v>717</v>
      </c>
      <c r="O680" s="16">
        <v>15</v>
      </c>
      <c r="P680" s="13">
        <v>25</v>
      </c>
      <c r="Q680" s="13">
        <v>7</v>
      </c>
      <c r="R680" s="13">
        <v>52</v>
      </c>
      <c r="S680" s="18">
        <v>0</v>
      </c>
      <c r="T680" s="21">
        <v>46247.406018518515</v>
      </c>
      <c r="U680" s="55">
        <f t="shared" si="20"/>
        <v>1.1666666666666667</v>
      </c>
      <c r="V680" s="55">
        <f t="shared" si="20"/>
        <v>0.66666666666666663</v>
      </c>
      <c r="W680" s="56">
        <f t="shared" si="21"/>
        <v>55397.5</v>
      </c>
    </row>
    <row r="681" spans="1:23" x14ac:dyDescent="0.3">
      <c r="A681" s="13" t="str" cm="1">
        <f t="array" ref="A681:B681">INDEX(BenchmarkResults!$B$1:$D$35,SUMPRODUCT((T681&gt;=BenchmarkResults!$F$2:$F$35)*(mysql_hardware_log!T681&lt;BenchmarkResults!$G$2:$G$35)*ROW(BenchmarkResults!$F$2:$F$35)),{1,3})</f>
        <v>q6_inactive_customers</v>
      </c>
      <c r="B681" s="13">
        <v>3</v>
      </c>
      <c r="C681" s="16">
        <v>1</v>
      </c>
      <c r="D681" s="18">
        <v>0</v>
      </c>
      <c r="E681" s="16">
        <v>424448</v>
      </c>
      <c r="F681" s="13">
        <v>873216</v>
      </c>
      <c r="G681" s="13">
        <v>2112</v>
      </c>
      <c r="H681" s="18">
        <v>2786504</v>
      </c>
      <c r="I681" s="16">
        <v>0</v>
      </c>
      <c r="J681" s="18">
        <v>0</v>
      </c>
      <c r="K681" s="16">
        <v>12295</v>
      </c>
      <c r="L681" s="18">
        <v>42405</v>
      </c>
      <c r="M681" s="16">
        <v>1134</v>
      </c>
      <c r="N681" s="18">
        <v>415</v>
      </c>
      <c r="O681" s="16">
        <v>22</v>
      </c>
      <c r="P681" s="13">
        <v>15</v>
      </c>
      <c r="Q681" s="13">
        <v>46</v>
      </c>
      <c r="R681" s="13">
        <v>16</v>
      </c>
      <c r="S681" s="18">
        <v>0</v>
      </c>
      <c r="T681" s="21">
        <v>46247.406134259261</v>
      </c>
      <c r="U681" s="55">
        <f t="shared" si="20"/>
        <v>1.1666666666666667</v>
      </c>
      <c r="V681" s="55">
        <f t="shared" si="20"/>
        <v>0.66666666666666663</v>
      </c>
      <c r="W681" s="56">
        <f t="shared" si="21"/>
        <v>56543</v>
      </c>
    </row>
    <row r="682" spans="1:23" x14ac:dyDescent="0.3">
      <c r="A682" s="13" t="str" cm="1">
        <f t="array" ref="A682:B682">INDEX(BenchmarkResults!$B$1:$D$35,SUMPRODUCT((T682&gt;=BenchmarkResults!$F$2:$F$35)*(mysql_hardware_log!T682&lt;BenchmarkResults!$G$2:$G$35)*ROW(BenchmarkResults!$F$2:$F$35)),{1,3})</f>
        <v>q6_inactive_customers</v>
      </c>
      <c r="B682" s="13">
        <v>3</v>
      </c>
      <c r="C682" s="16">
        <v>1</v>
      </c>
      <c r="D682" s="18">
        <v>0</v>
      </c>
      <c r="E682" s="16">
        <v>424448</v>
      </c>
      <c r="F682" s="13">
        <v>873216</v>
      </c>
      <c r="G682" s="13">
        <v>2120</v>
      </c>
      <c r="H682" s="18">
        <v>2786504</v>
      </c>
      <c r="I682" s="16">
        <v>0</v>
      </c>
      <c r="J682" s="18">
        <v>0</v>
      </c>
      <c r="K682" s="16">
        <v>0</v>
      </c>
      <c r="L682" s="18">
        <v>2</v>
      </c>
      <c r="M682" s="16">
        <v>825</v>
      </c>
      <c r="N682" s="18">
        <v>287</v>
      </c>
      <c r="O682" s="16">
        <v>23</v>
      </c>
      <c r="P682" s="13">
        <v>12</v>
      </c>
      <c r="Q682" s="13">
        <v>65</v>
      </c>
      <c r="R682" s="13">
        <v>0</v>
      </c>
      <c r="S682" s="18">
        <v>0</v>
      </c>
      <c r="T682" s="21">
        <v>46247.40625</v>
      </c>
      <c r="U682" s="55">
        <f t="shared" si="20"/>
        <v>1.1666666666666667</v>
      </c>
      <c r="V682" s="55">
        <f t="shared" si="20"/>
        <v>0.5</v>
      </c>
      <c r="W682" s="56">
        <f t="shared" si="21"/>
        <v>50686.333333333336</v>
      </c>
    </row>
    <row r="683" spans="1:23" x14ac:dyDescent="0.3">
      <c r="A683" s="13" t="str" cm="1">
        <f t="array" ref="A683:B683">INDEX(BenchmarkResults!$B$1:$D$35,SUMPRODUCT((T683&gt;=BenchmarkResults!$F$2:$F$35)*(mysql_hardware_log!T683&lt;BenchmarkResults!$G$2:$G$35)*ROW(BenchmarkResults!$F$2:$F$35)),{1,3})</f>
        <v>q6_inactive_customers</v>
      </c>
      <c r="B683" s="13">
        <v>3</v>
      </c>
      <c r="C683" s="16">
        <v>1</v>
      </c>
      <c r="D683" s="18">
        <v>0</v>
      </c>
      <c r="E683" s="16">
        <v>424448</v>
      </c>
      <c r="F683" s="13">
        <v>873216</v>
      </c>
      <c r="G683" s="13">
        <v>2128</v>
      </c>
      <c r="H683" s="18">
        <v>2786504</v>
      </c>
      <c r="I683" s="16">
        <v>0</v>
      </c>
      <c r="J683" s="18">
        <v>0</v>
      </c>
      <c r="K683" s="16">
        <v>0</v>
      </c>
      <c r="L683" s="18">
        <v>2</v>
      </c>
      <c r="M683" s="16">
        <v>844</v>
      </c>
      <c r="N683" s="18">
        <v>291</v>
      </c>
      <c r="O683" s="16">
        <v>23</v>
      </c>
      <c r="P683" s="13">
        <v>11</v>
      </c>
      <c r="Q683" s="13">
        <v>66</v>
      </c>
      <c r="R683" s="13">
        <v>0</v>
      </c>
      <c r="S683" s="18">
        <v>0</v>
      </c>
      <c r="T683" s="21">
        <v>46247.406365740739</v>
      </c>
      <c r="U683" s="55">
        <f t="shared" si="20"/>
        <v>1.1666666666666667</v>
      </c>
      <c r="V683" s="55">
        <f t="shared" si="20"/>
        <v>0.5</v>
      </c>
      <c r="W683" s="56">
        <f t="shared" si="21"/>
        <v>45406</v>
      </c>
    </row>
    <row r="684" spans="1:23" x14ac:dyDescent="0.3">
      <c r="A684" s="13" t="str" cm="1">
        <f t="array" ref="A684:B684">INDEX(BenchmarkResults!$B$1:$D$35,SUMPRODUCT((T684&gt;=BenchmarkResults!$F$2:$F$35)*(mysql_hardware_log!T684&lt;BenchmarkResults!$G$2:$G$35)*ROW(BenchmarkResults!$F$2:$F$35)),{1,3})</f>
        <v>q6_inactive_customers</v>
      </c>
      <c r="B684" s="13">
        <v>3</v>
      </c>
      <c r="C684" s="16">
        <v>1</v>
      </c>
      <c r="D684" s="18">
        <v>0</v>
      </c>
      <c r="E684" s="16">
        <v>424448</v>
      </c>
      <c r="F684" s="13">
        <v>873216</v>
      </c>
      <c r="G684" s="13">
        <v>2136</v>
      </c>
      <c r="H684" s="18">
        <v>2786504</v>
      </c>
      <c r="I684" s="16">
        <v>0</v>
      </c>
      <c r="J684" s="18">
        <v>0</v>
      </c>
      <c r="K684" s="16">
        <v>0</v>
      </c>
      <c r="L684" s="18">
        <v>2</v>
      </c>
      <c r="M684" s="16">
        <v>831</v>
      </c>
      <c r="N684" s="18">
        <v>285</v>
      </c>
      <c r="O684" s="16">
        <v>23</v>
      </c>
      <c r="P684" s="13">
        <v>11</v>
      </c>
      <c r="Q684" s="13">
        <v>65</v>
      </c>
      <c r="R684" s="13">
        <v>0</v>
      </c>
      <c r="S684" s="18">
        <v>0</v>
      </c>
      <c r="T684" s="21">
        <v>46247.406481481485</v>
      </c>
      <c r="U684" s="55">
        <f t="shared" si="20"/>
        <v>1</v>
      </c>
      <c r="V684" s="55">
        <f t="shared" si="20"/>
        <v>0.33333333333333331</v>
      </c>
      <c r="W684" s="56">
        <f t="shared" si="21"/>
        <v>40286.833333333336</v>
      </c>
    </row>
    <row r="685" spans="1:23" x14ac:dyDescent="0.3">
      <c r="A685" s="13" t="str" cm="1">
        <f t="array" ref="A685:B685">INDEX(BenchmarkResults!$B$1:$D$35,SUMPRODUCT((T685&gt;=BenchmarkResults!$F$2:$F$35)*(mysql_hardware_log!T685&lt;BenchmarkResults!$G$2:$G$35)*ROW(BenchmarkResults!$F$2:$F$35)),{1,3})</f>
        <v>q6_inactive_customers</v>
      </c>
      <c r="B685" s="13">
        <v>3</v>
      </c>
      <c r="C685" s="16">
        <v>1</v>
      </c>
      <c r="D685" s="18">
        <v>0</v>
      </c>
      <c r="E685" s="16">
        <v>424448</v>
      </c>
      <c r="F685" s="13">
        <v>872992</v>
      </c>
      <c r="G685" s="13">
        <v>2144</v>
      </c>
      <c r="H685" s="18">
        <v>2786504</v>
      </c>
      <c r="I685" s="16">
        <v>0</v>
      </c>
      <c r="J685" s="18">
        <v>0</v>
      </c>
      <c r="K685" s="16">
        <v>0</v>
      </c>
      <c r="L685" s="18">
        <v>2</v>
      </c>
      <c r="M685" s="16">
        <v>840</v>
      </c>
      <c r="N685" s="18">
        <v>286</v>
      </c>
      <c r="O685" s="16">
        <v>23</v>
      </c>
      <c r="P685" s="13">
        <v>11</v>
      </c>
      <c r="Q685" s="13">
        <v>66</v>
      </c>
      <c r="R685" s="13">
        <v>0</v>
      </c>
      <c r="S685" s="18">
        <v>0</v>
      </c>
      <c r="T685" s="21">
        <v>46247.406597222223</v>
      </c>
      <c r="U685" s="55">
        <f t="shared" si="20"/>
        <v>1</v>
      </c>
      <c r="V685" s="55">
        <f t="shared" si="20"/>
        <v>0.16666666666666666</v>
      </c>
      <c r="W685" s="56">
        <f t="shared" si="21"/>
        <v>25327.5</v>
      </c>
    </row>
    <row r="686" spans="1:23" x14ac:dyDescent="0.3">
      <c r="A686" s="13" t="str" cm="1">
        <f t="array" ref="A686:B686">INDEX(BenchmarkResults!$B$1:$D$35,SUMPRODUCT((T686&gt;=BenchmarkResults!$F$2:$F$35)*(mysql_hardware_log!T686&lt;BenchmarkResults!$G$2:$G$35)*ROW(BenchmarkResults!$F$2:$F$35)),{1,3})</f>
        <v>q6_inactive_customers</v>
      </c>
      <c r="B686" s="13">
        <v>3</v>
      </c>
      <c r="C686" s="16">
        <v>1</v>
      </c>
      <c r="D686" s="18">
        <v>0</v>
      </c>
      <c r="E686" s="16">
        <v>424448</v>
      </c>
      <c r="F686" s="13">
        <v>872992</v>
      </c>
      <c r="G686" s="13">
        <v>2152</v>
      </c>
      <c r="H686" s="18">
        <v>2786504</v>
      </c>
      <c r="I686" s="16">
        <v>0</v>
      </c>
      <c r="J686" s="18">
        <v>0</v>
      </c>
      <c r="K686" s="16">
        <v>0</v>
      </c>
      <c r="L686" s="18">
        <v>2</v>
      </c>
      <c r="M686" s="16">
        <v>835</v>
      </c>
      <c r="N686" s="18">
        <v>287</v>
      </c>
      <c r="O686" s="16">
        <v>23</v>
      </c>
      <c r="P686" s="13">
        <v>11</v>
      </c>
      <c r="Q686" s="13">
        <v>66</v>
      </c>
      <c r="R686" s="13">
        <v>0</v>
      </c>
      <c r="S686" s="18">
        <v>0</v>
      </c>
      <c r="T686" s="21">
        <v>46247.406712962962</v>
      </c>
      <c r="U686" s="55">
        <f t="shared" si="20"/>
        <v>1</v>
      </c>
      <c r="V686" s="55">
        <f t="shared" si="20"/>
        <v>0</v>
      </c>
      <c r="W686" s="56">
        <f t="shared" si="21"/>
        <v>2049.1666666666665</v>
      </c>
    </row>
    <row r="687" spans="1:23" x14ac:dyDescent="0.3">
      <c r="A687" s="13" t="str" cm="1">
        <f t="array" ref="A687:B687">INDEX(BenchmarkResults!$B$1:$D$35,SUMPRODUCT((T687&gt;=BenchmarkResults!$F$2:$F$35)*(mysql_hardware_log!T687&lt;BenchmarkResults!$G$2:$G$35)*ROW(BenchmarkResults!$F$2:$F$35)),{1,3})</f>
        <v>q6_inactive_customers</v>
      </c>
      <c r="B687" s="13">
        <v>3</v>
      </c>
      <c r="C687" s="16">
        <v>1</v>
      </c>
      <c r="D687" s="18">
        <v>0</v>
      </c>
      <c r="E687" s="16">
        <v>424448</v>
      </c>
      <c r="F687" s="13">
        <v>872992</v>
      </c>
      <c r="G687" s="13">
        <v>2160</v>
      </c>
      <c r="H687" s="18">
        <v>2786504</v>
      </c>
      <c r="I687" s="16">
        <v>0</v>
      </c>
      <c r="J687" s="18">
        <v>0</v>
      </c>
      <c r="K687" s="16">
        <v>0</v>
      </c>
      <c r="L687" s="18">
        <v>2</v>
      </c>
      <c r="M687" s="16">
        <v>832</v>
      </c>
      <c r="N687" s="18">
        <v>293</v>
      </c>
      <c r="O687" s="16">
        <v>24</v>
      </c>
      <c r="P687" s="13">
        <v>11</v>
      </c>
      <c r="Q687" s="13">
        <v>65</v>
      </c>
      <c r="R687" s="13">
        <v>0</v>
      </c>
      <c r="S687" s="18">
        <v>0</v>
      </c>
      <c r="T687" s="21">
        <v>46247.406828703701</v>
      </c>
      <c r="U687" s="55">
        <f t="shared" si="20"/>
        <v>1</v>
      </c>
      <c r="V687" s="55">
        <f t="shared" si="20"/>
        <v>0</v>
      </c>
      <c r="W687" s="56">
        <f t="shared" si="21"/>
        <v>0</v>
      </c>
    </row>
    <row r="688" spans="1:23" x14ac:dyDescent="0.3">
      <c r="A688" s="13" t="str" cm="1">
        <f t="array" ref="A688:B688">INDEX(BenchmarkResults!$B$1:$D$35,SUMPRODUCT((T688&gt;=BenchmarkResults!$F$2:$F$35)*(mysql_hardware_log!T688&lt;BenchmarkResults!$G$2:$G$35)*ROW(BenchmarkResults!$F$2:$F$35)),{1,3})</f>
        <v>q6_inactive_customers</v>
      </c>
      <c r="B688" s="13">
        <v>3</v>
      </c>
      <c r="C688" s="16">
        <v>2</v>
      </c>
      <c r="D688" s="18">
        <v>0</v>
      </c>
      <c r="E688" s="16">
        <v>424448</v>
      </c>
      <c r="F688" s="13">
        <v>872488</v>
      </c>
      <c r="G688" s="13">
        <v>2176</v>
      </c>
      <c r="H688" s="18">
        <v>2786496</v>
      </c>
      <c r="I688" s="16">
        <v>0</v>
      </c>
      <c r="J688" s="18">
        <v>0</v>
      </c>
      <c r="K688" s="16">
        <v>7</v>
      </c>
      <c r="L688" s="18">
        <v>4</v>
      </c>
      <c r="M688" s="16">
        <v>839</v>
      </c>
      <c r="N688" s="18">
        <v>314</v>
      </c>
      <c r="O688" s="16">
        <v>24</v>
      </c>
      <c r="P688" s="13">
        <v>11</v>
      </c>
      <c r="Q688" s="13">
        <v>65</v>
      </c>
      <c r="R688" s="13">
        <v>0</v>
      </c>
      <c r="S688" s="18">
        <v>0</v>
      </c>
      <c r="T688" s="21">
        <v>46247.406944444447</v>
      </c>
      <c r="U688" s="55">
        <f t="shared" si="20"/>
        <v>1.1666666666666667</v>
      </c>
      <c r="V688" s="55">
        <f t="shared" si="20"/>
        <v>0</v>
      </c>
      <c r="W688" s="56">
        <f t="shared" si="21"/>
        <v>1.1666666666666667</v>
      </c>
    </row>
    <row r="689" spans="1:23" x14ac:dyDescent="0.3">
      <c r="A689" s="13" t="str" cm="1">
        <f t="array" ref="A689:B689">INDEX(BenchmarkResults!$B$1:$D$35,SUMPRODUCT((T689&gt;=BenchmarkResults!$F$2:$F$35)*(mysql_hardware_log!T689&lt;BenchmarkResults!$G$2:$G$35)*ROW(BenchmarkResults!$F$2:$F$35)),{1,3})</f>
        <v>q6_inactive_customers</v>
      </c>
      <c r="B689" s="13">
        <v>3</v>
      </c>
      <c r="C689" s="16">
        <v>1</v>
      </c>
      <c r="D689" s="18">
        <v>0</v>
      </c>
      <c r="E689" s="16">
        <v>424448</v>
      </c>
      <c r="F689" s="13">
        <v>872488</v>
      </c>
      <c r="G689" s="13">
        <v>2184</v>
      </c>
      <c r="H689" s="18">
        <v>2786664</v>
      </c>
      <c r="I689" s="16">
        <v>0</v>
      </c>
      <c r="J689" s="18">
        <v>0</v>
      </c>
      <c r="K689" s="16">
        <v>8</v>
      </c>
      <c r="L689" s="18">
        <v>5</v>
      </c>
      <c r="M689" s="16">
        <v>836</v>
      </c>
      <c r="N689" s="18">
        <v>292</v>
      </c>
      <c r="O689" s="16">
        <v>23</v>
      </c>
      <c r="P689" s="13">
        <v>11</v>
      </c>
      <c r="Q689" s="13">
        <v>66</v>
      </c>
      <c r="R689" s="13">
        <v>0</v>
      </c>
      <c r="S689" s="18">
        <v>0</v>
      </c>
      <c r="T689" s="21">
        <v>46247.407060185185</v>
      </c>
      <c r="U689" s="55">
        <f t="shared" si="20"/>
        <v>1.1666666666666667</v>
      </c>
      <c r="V689" s="55">
        <f t="shared" si="20"/>
        <v>0</v>
      </c>
      <c r="W689" s="56">
        <f t="shared" si="21"/>
        <v>2.5</v>
      </c>
    </row>
    <row r="690" spans="1:23" x14ac:dyDescent="0.3">
      <c r="A690" s="13" t="str" cm="1">
        <f t="array" ref="A690:B690">INDEX(BenchmarkResults!$B$1:$D$35,SUMPRODUCT((T690&gt;=BenchmarkResults!$F$2:$F$35)*(mysql_hardware_log!T690&lt;BenchmarkResults!$G$2:$G$35)*ROW(BenchmarkResults!$F$2:$F$35)),{1,3})</f>
        <v>q6_inactive_customers</v>
      </c>
      <c r="B690" s="13">
        <v>3</v>
      </c>
      <c r="C690" s="16">
        <v>1</v>
      </c>
      <c r="D690" s="18">
        <v>0</v>
      </c>
      <c r="E690" s="16">
        <v>424448</v>
      </c>
      <c r="F690" s="13">
        <v>872488</v>
      </c>
      <c r="G690" s="13">
        <v>2192</v>
      </c>
      <c r="H690" s="18">
        <v>2786664</v>
      </c>
      <c r="I690" s="16">
        <v>0</v>
      </c>
      <c r="J690" s="18">
        <v>0</v>
      </c>
      <c r="K690" s="16">
        <v>0</v>
      </c>
      <c r="L690" s="18">
        <v>2</v>
      </c>
      <c r="M690" s="16">
        <v>829</v>
      </c>
      <c r="N690" s="18">
        <v>285</v>
      </c>
      <c r="O690" s="16">
        <v>24</v>
      </c>
      <c r="P690" s="13">
        <v>11</v>
      </c>
      <c r="Q690" s="13">
        <v>65</v>
      </c>
      <c r="R690" s="13">
        <v>0</v>
      </c>
      <c r="S690" s="18">
        <v>0</v>
      </c>
      <c r="T690" s="21">
        <v>46247.407175925924</v>
      </c>
      <c r="U690" s="55">
        <f t="shared" si="20"/>
        <v>1.1666666666666667</v>
      </c>
      <c r="V690" s="55">
        <f t="shared" si="20"/>
        <v>0</v>
      </c>
      <c r="W690" s="56">
        <f t="shared" si="21"/>
        <v>2.5</v>
      </c>
    </row>
    <row r="691" spans="1:23" x14ac:dyDescent="0.3">
      <c r="A691" s="13" t="str" cm="1">
        <f t="array" ref="A691:B691">INDEX(BenchmarkResults!$B$1:$D$35,SUMPRODUCT((T691&gt;=BenchmarkResults!$F$2:$F$35)*(mysql_hardware_log!T691&lt;BenchmarkResults!$G$2:$G$35)*ROW(BenchmarkResults!$F$2:$F$35)),{1,3})</f>
        <v>q6_inactive_customers</v>
      </c>
      <c r="B691" s="13">
        <v>3</v>
      </c>
      <c r="C691" s="16">
        <v>1</v>
      </c>
      <c r="D691" s="18">
        <v>0</v>
      </c>
      <c r="E691" s="16">
        <v>424448</v>
      </c>
      <c r="F691" s="13">
        <v>872488</v>
      </c>
      <c r="G691" s="13">
        <v>2200</v>
      </c>
      <c r="H691" s="18">
        <v>2786664</v>
      </c>
      <c r="I691" s="16">
        <v>0</v>
      </c>
      <c r="J691" s="18">
        <v>0</v>
      </c>
      <c r="K691" s="16">
        <v>0</v>
      </c>
      <c r="L691" s="18">
        <v>2</v>
      </c>
      <c r="M691" s="16">
        <v>822</v>
      </c>
      <c r="N691" s="18">
        <v>280</v>
      </c>
      <c r="O691" s="16">
        <v>24</v>
      </c>
      <c r="P691" s="13">
        <v>11</v>
      </c>
      <c r="Q691" s="13">
        <v>65</v>
      </c>
      <c r="R691" s="13">
        <v>0</v>
      </c>
      <c r="S691" s="18">
        <v>0</v>
      </c>
      <c r="T691" s="21">
        <v>46247.40729166667</v>
      </c>
      <c r="U691" s="55">
        <f t="shared" si="20"/>
        <v>1.1666666666666667</v>
      </c>
      <c r="V691" s="55">
        <f t="shared" si="20"/>
        <v>0</v>
      </c>
      <c r="W691" s="56">
        <f t="shared" si="21"/>
        <v>2.5</v>
      </c>
    </row>
    <row r="692" spans="1:23" x14ac:dyDescent="0.3">
      <c r="A692" s="13" t="str" cm="1">
        <f t="array" ref="A692:B692">INDEX(BenchmarkResults!$B$1:$D$35,SUMPRODUCT((T692&gt;=BenchmarkResults!$F$2:$F$35)*(mysql_hardware_log!T692&lt;BenchmarkResults!$G$2:$G$35)*ROW(BenchmarkResults!$F$2:$F$35)),{1,3})</f>
        <v>q6_inactive_customers</v>
      </c>
      <c r="B692" s="13">
        <v>3</v>
      </c>
      <c r="C692" s="16">
        <v>1</v>
      </c>
      <c r="D692" s="18">
        <v>0</v>
      </c>
      <c r="E692" s="16">
        <v>424448</v>
      </c>
      <c r="F692" s="13">
        <v>872488</v>
      </c>
      <c r="G692" s="13">
        <v>2208</v>
      </c>
      <c r="H692" s="18">
        <v>2786664</v>
      </c>
      <c r="I692" s="16">
        <v>0</v>
      </c>
      <c r="J692" s="18">
        <v>0</v>
      </c>
      <c r="K692" s="16">
        <v>0</v>
      </c>
      <c r="L692" s="18">
        <v>29</v>
      </c>
      <c r="M692" s="16">
        <v>835</v>
      </c>
      <c r="N692" s="18">
        <v>291</v>
      </c>
      <c r="O692" s="16">
        <v>23</v>
      </c>
      <c r="P692" s="13">
        <v>11</v>
      </c>
      <c r="Q692" s="13">
        <v>66</v>
      </c>
      <c r="R692" s="13">
        <v>0</v>
      </c>
      <c r="S692" s="18">
        <v>0</v>
      </c>
      <c r="T692" s="21">
        <v>46247.407407407409</v>
      </c>
      <c r="U692" s="55">
        <f t="shared" si="20"/>
        <v>1.1666666666666667</v>
      </c>
      <c r="V692" s="55">
        <f t="shared" si="20"/>
        <v>0</v>
      </c>
      <c r="W692" s="56">
        <f t="shared" si="21"/>
        <v>2.5</v>
      </c>
    </row>
    <row r="693" spans="1:23" x14ac:dyDescent="0.3">
      <c r="A693" s="13" t="str" cm="1">
        <f t="array" ref="A693:B693">INDEX(BenchmarkResults!$B$1:$D$35,SUMPRODUCT((T693&gt;=BenchmarkResults!$F$2:$F$35)*(mysql_hardware_log!T693&lt;BenchmarkResults!$G$2:$G$35)*ROW(BenchmarkResults!$F$2:$F$35)),{1,3})</f>
        <v>q6_inactive_customers</v>
      </c>
      <c r="B693" s="13">
        <v>3</v>
      </c>
      <c r="C693" s="16">
        <v>1</v>
      </c>
      <c r="D693" s="18">
        <v>0</v>
      </c>
      <c r="E693" s="16">
        <v>424448</v>
      </c>
      <c r="F693" s="13">
        <v>872488</v>
      </c>
      <c r="G693" s="13">
        <v>2216</v>
      </c>
      <c r="H693" s="18">
        <v>2786664</v>
      </c>
      <c r="I693" s="16">
        <v>0</v>
      </c>
      <c r="J693" s="18">
        <v>0</v>
      </c>
      <c r="K693" s="16">
        <v>0</v>
      </c>
      <c r="L693" s="18">
        <v>3</v>
      </c>
      <c r="M693" s="16">
        <v>832</v>
      </c>
      <c r="N693" s="18">
        <v>290</v>
      </c>
      <c r="O693" s="16">
        <v>23</v>
      </c>
      <c r="P693" s="13">
        <v>11</v>
      </c>
      <c r="Q693" s="13">
        <v>65</v>
      </c>
      <c r="R693" s="13">
        <v>0</v>
      </c>
      <c r="S693" s="18">
        <v>0</v>
      </c>
      <c r="T693" s="21">
        <v>46247.407523148147</v>
      </c>
      <c r="U693" s="55">
        <f t="shared" si="20"/>
        <v>1.1666666666666667</v>
      </c>
      <c r="V693" s="55">
        <f t="shared" si="20"/>
        <v>0</v>
      </c>
      <c r="W693" s="56">
        <f t="shared" si="21"/>
        <v>2.5</v>
      </c>
    </row>
    <row r="694" spans="1:23" x14ac:dyDescent="0.3">
      <c r="A694" s="13" t="str" cm="1">
        <f t="array" ref="A694:B694">INDEX(BenchmarkResults!$B$1:$D$35,SUMPRODUCT((T694&gt;=BenchmarkResults!$F$2:$F$35)*(mysql_hardware_log!T694&lt;BenchmarkResults!$G$2:$G$35)*ROW(BenchmarkResults!$F$2:$F$35)),{1,3})</f>
        <v>q6_inactive_customers</v>
      </c>
      <c r="B694" s="13">
        <v>3</v>
      </c>
      <c r="C694" s="16">
        <v>2</v>
      </c>
      <c r="D694" s="18">
        <v>0</v>
      </c>
      <c r="E694" s="16">
        <v>424448</v>
      </c>
      <c r="F694" s="13">
        <v>167576</v>
      </c>
      <c r="G694" s="13">
        <v>2224</v>
      </c>
      <c r="H694" s="18">
        <v>2683324</v>
      </c>
      <c r="I694" s="16">
        <v>0</v>
      </c>
      <c r="J694" s="18">
        <v>0</v>
      </c>
      <c r="K694" s="16">
        <v>0</v>
      </c>
      <c r="L694" s="18">
        <v>2</v>
      </c>
      <c r="M694" s="16">
        <v>1007</v>
      </c>
      <c r="N694" s="18">
        <v>433</v>
      </c>
      <c r="O694" s="16">
        <v>26</v>
      </c>
      <c r="P694" s="13">
        <v>14</v>
      </c>
      <c r="Q694" s="13">
        <v>59</v>
      </c>
      <c r="R694" s="13">
        <v>0</v>
      </c>
      <c r="S694" s="18">
        <v>0</v>
      </c>
      <c r="T694" s="21">
        <v>46247.407638888886</v>
      </c>
      <c r="U694" s="55">
        <f t="shared" si="20"/>
        <v>1.1666666666666667</v>
      </c>
      <c r="V694" s="55">
        <f t="shared" si="20"/>
        <v>0</v>
      </c>
      <c r="W694" s="56">
        <f t="shared" si="21"/>
        <v>1.3333333333333333</v>
      </c>
    </row>
    <row r="695" spans="1:23" x14ac:dyDescent="0.3">
      <c r="A695" s="13" t="str" cm="1">
        <f t="array" ref="A695:B695">INDEX(BenchmarkResults!$B$1:$D$35,SUMPRODUCT((T695&gt;=BenchmarkResults!$F$2:$F$35)*(mysql_hardware_log!T695&lt;BenchmarkResults!$G$2:$G$35)*ROW(BenchmarkResults!$F$2:$F$35)),{1,3})</f>
        <v>q6_inactive_customers</v>
      </c>
      <c r="B695" s="13">
        <v>3</v>
      </c>
      <c r="C695" s="16">
        <v>1</v>
      </c>
      <c r="D695" s="18">
        <v>0</v>
      </c>
      <c r="E695" s="16">
        <v>428800</v>
      </c>
      <c r="F695" s="13">
        <v>1601192</v>
      </c>
      <c r="G695" s="13">
        <v>928</v>
      </c>
      <c r="H695" s="18">
        <v>2068844</v>
      </c>
      <c r="I695" s="16">
        <v>0</v>
      </c>
      <c r="J695" s="18">
        <v>648</v>
      </c>
      <c r="K695" s="16">
        <v>533</v>
      </c>
      <c r="L695" s="18">
        <v>649</v>
      </c>
      <c r="M695" s="16">
        <v>1273</v>
      </c>
      <c r="N695" s="18">
        <v>688</v>
      </c>
      <c r="O695" s="16">
        <v>28</v>
      </c>
      <c r="P695" s="13">
        <v>22</v>
      </c>
      <c r="Q695" s="13">
        <v>49</v>
      </c>
      <c r="R695" s="13">
        <v>0</v>
      </c>
      <c r="S695" s="18">
        <v>0</v>
      </c>
      <c r="T695" s="21">
        <v>46247.407754629632</v>
      </c>
      <c r="U695" s="55">
        <f t="shared" si="20"/>
        <v>1.1666666666666667</v>
      </c>
      <c r="V695" s="55">
        <f t="shared" si="20"/>
        <v>0</v>
      </c>
      <c r="W695" s="56">
        <f t="shared" si="21"/>
        <v>88.833333333333329</v>
      </c>
    </row>
    <row r="696" spans="1:23" x14ac:dyDescent="0.3">
      <c r="A696" s="13" t="str" cm="1">
        <f t="array" ref="A696:B696">INDEX(BenchmarkResults!$B$1:$D$35,SUMPRODUCT((T696&gt;=BenchmarkResults!$F$2:$F$35)*(mysql_hardware_log!T696&lt;BenchmarkResults!$G$2:$G$35)*ROW(BenchmarkResults!$F$2:$F$35)),{1,3})</f>
        <v>q6_inactive_customers</v>
      </c>
      <c r="B696" s="13">
        <v>3</v>
      </c>
      <c r="C696" s="16">
        <v>2</v>
      </c>
      <c r="D696" s="18">
        <v>0</v>
      </c>
      <c r="E696" s="16">
        <v>428800</v>
      </c>
      <c r="F696" s="13">
        <v>1593128</v>
      </c>
      <c r="G696" s="13">
        <v>936</v>
      </c>
      <c r="H696" s="18">
        <v>2076880</v>
      </c>
      <c r="I696" s="16">
        <v>0</v>
      </c>
      <c r="J696" s="18">
        <v>0</v>
      </c>
      <c r="K696" s="16">
        <v>806</v>
      </c>
      <c r="L696" s="18">
        <v>2</v>
      </c>
      <c r="M696" s="16">
        <v>830</v>
      </c>
      <c r="N696" s="18">
        <v>281</v>
      </c>
      <c r="O696" s="16">
        <v>23</v>
      </c>
      <c r="P696" s="13">
        <v>12</v>
      </c>
      <c r="Q696" s="13">
        <v>65</v>
      </c>
      <c r="R696" s="13">
        <v>0</v>
      </c>
      <c r="S696" s="18">
        <v>0</v>
      </c>
      <c r="T696" s="21">
        <v>46247.407870370371</v>
      </c>
      <c r="U696" s="55">
        <f t="shared" si="20"/>
        <v>1.3333333333333333</v>
      </c>
      <c r="V696" s="55">
        <f t="shared" si="20"/>
        <v>0</v>
      </c>
      <c r="W696" s="56">
        <f t="shared" si="21"/>
        <v>223.16666666666666</v>
      </c>
    </row>
    <row r="697" spans="1:23" x14ac:dyDescent="0.3">
      <c r="A697" s="13" t="str" cm="1">
        <f t="array" ref="A697:B697">INDEX(BenchmarkResults!$B$1:$D$35,SUMPRODUCT((T697&gt;=BenchmarkResults!$F$2:$F$35)*(mysql_hardware_log!T697&lt;BenchmarkResults!$G$2:$G$35)*ROW(BenchmarkResults!$F$2:$F$35)),{1,3})</f>
        <v>q6_inactive_customers</v>
      </c>
      <c r="B697" s="13">
        <v>3</v>
      </c>
      <c r="C697" s="16">
        <v>1</v>
      </c>
      <c r="D697" s="18">
        <v>0</v>
      </c>
      <c r="E697" s="16">
        <v>428800</v>
      </c>
      <c r="F697" s="13">
        <v>1591364</v>
      </c>
      <c r="G697" s="13">
        <v>944</v>
      </c>
      <c r="H697" s="18">
        <v>2084820</v>
      </c>
      <c r="I697" s="16">
        <v>0</v>
      </c>
      <c r="J697" s="18">
        <v>0</v>
      </c>
      <c r="K697" s="16">
        <v>794</v>
      </c>
      <c r="L697" s="18">
        <v>4</v>
      </c>
      <c r="M697" s="16">
        <v>843</v>
      </c>
      <c r="N697" s="18">
        <v>284</v>
      </c>
      <c r="O697" s="16">
        <v>23</v>
      </c>
      <c r="P697" s="13">
        <v>11</v>
      </c>
      <c r="Q697" s="13">
        <v>65</v>
      </c>
      <c r="R697" s="13">
        <v>0</v>
      </c>
      <c r="S697" s="18">
        <v>0</v>
      </c>
      <c r="T697" s="21">
        <v>46247.407986111109</v>
      </c>
      <c r="U697" s="55">
        <f t="shared" si="20"/>
        <v>1.3333333333333333</v>
      </c>
      <c r="V697" s="55">
        <f t="shared" si="20"/>
        <v>0</v>
      </c>
      <c r="W697" s="56">
        <f t="shared" si="21"/>
        <v>355.5</v>
      </c>
    </row>
    <row r="698" spans="1:23" x14ac:dyDescent="0.3">
      <c r="A698" s="13" t="str" cm="1">
        <f t="array" ref="A698:B698">INDEX(BenchmarkResults!$B$1:$D$35,SUMPRODUCT((T698&gt;=BenchmarkResults!$F$2:$F$35)*(mysql_hardware_log!T698&lt;BenchmarkResults!$G$2:$G$35)*ROW(BenchmarkResults!$F$2:$F$35)),{1,3})</f>
        <v>q6_inactive_customers</v>
      </c>
      <c r="B698" s="13">
        <v>3</v>
      </c>
      <c r="C698" s="16">
        <v>1</v>
      </c>
      <c r="D698" s="18">
        <v>0</v>
      </c>
      <c r="E698" s="16">
        <v>428800</v>
      </c>
      <c r="F698" s="13">
        <v>1587080</v>
      </c>
      <c r="G698" s="13">
        <v>952</v>
      </c>
      <c r="H698" s="18">
        <v>2092656</v>
      </c>
      <c r="I698" s="16">
        <v>0</v>
      </c>
      <c r="J698" s="18">
        <v>0</v>
      </c>
      <c r="K698" s="16">
        <v>781</v>
      </c>
      <c r="L698" s="18">
        <v>2</v>
      </c>
      <c r="M698" s="16">
        <v>830</v>
      </c>
      <c r="N698" s="18">
        <v>284</v>
      </c>
      <c r="O698" s="16">
        <v>23</v>
      </c>
      <c r="P698" s="13">
        <v>11</v>
      </c>
      <c r="Q698" s="13">
        <v>66</v>
      </c>
      <c r="R698" s="13">
        <v>0</v>
      </c>
      <c r="S698" s="18">
        <v>0</v>
      </c>
      <c r="T698" s="21">
        <v>46247.408101851855</v>
      </c>
      <c r="U698" s="55">
        <f t="shared" si="20"/>
        <v>1.3333333333333333</v>
      </c>
      <c r="V698" s="55">
        <f t="shared" si="20"/>
        <v>0</v>
      </c>
      <c r="W698" s="56">
        <f t="shared" si="21"/>
        <v>485.66666666666669</v>
      </c>
    </row>
    <row r="699" spans="1:23" x14ac:dyDescent="0.3">
      <c r="A699" s="13" t="str" cm="1">
        <f t="array" ref="A699:B699">INDEX(BenchmarkResults!$B$1:$D$35,SUMPRODUCT((T699&gt;=BenchmarkResults!$F$2:$F$35)*(mysql_hardware_log!T699&lt;BenchmarkResults!$G$2:$G$35)*ROW(BenchmarkResults!$F$2:$F$35)),{1,3})</f>
        <v>q6_inactive_customers</v>
      </c>
      <c r="B699" s="13">
        <v>3</v>
      </c>
      <c r="C699" s="16">
        <v>1</v>
      </c>
      <c r="D699" s="18">
        <v>0</v>
      </c>
      <c r="E699" s="16">
        <v>428800</v>
      </c>
      <c r="F699" s="13">
        <v>1579016</v>
      </c>
      <c r="G699" s="13">
        <v>960</v>
      </c>
      <c r="H699" s="18">
        <v>2100436</v>
      </c>
      <c r="I699" s="16">
        <v>0</v>
      </c>
      <c r="J699" s="18">
        <v>0</v>
      </c>
      <c r="K699" s="16">
        <v>781</v>
      </c>
      <c r="L699" s="18">
        <v>1</v>
      </c>
      <c r="M699" s="16">
        <v>843</v>
      </c>
      <c r="N699" s="18">
        <v>299</v>
      </c>
      <c r="O699" s="16">
        <v>23</v>
      </c>
      <c r="P699" s="13">
        <v>11</v>
      </c>
      <c r="Q699" s="13">
        <v>66</v>
      </c>
      <c r="R699" s="13">
        <v>0</v>
      </c>
      <c r="S699" s="18">
        <v>0</v>
      </c>
      <c r="T699" s="21">
        <v>46247.408217592594</v>
      </c>
      <c r="U699" s="55">
        <f t="shared" si="20"/>
        <v>1.3333333333333333</v>
      </c>
      <c r="V699" s="55">
        <f t="shared" si="20"/>
        <v>0</v>
      </c>
      <c r="W699" s="56">
        <f t="shared" si="21"/>
        <v>615.83333333333337</v>
      </c>
    </row>
    <row r="700" spans="1:23" x14ac:dyDescent="0.3">
      <c r="A700" s="13" t="str" cm="1">
        <f t="array" ref="A700:B700">INDEX(BenchmarkResults!$B$1:$D$35,SUMPRODUCT((T700&gt;=BenchmarkResults!$F$2:$F$35)*(mysql_hardware_log!T700&lt;BenchmarkResults!$G$2:$G$35)*ROW(BenchmarkResults!$F$2:$F$35)),{1,3})</f>
        <v>q6_inactive_customers</v>
      </c>
      <c r="B700" s="13">
        <v>3</v>
      </c>
      <c r="C700" s="16">
        <v>1</v>
      </c>
      <c r="D700" s="18">
        <v>0</v>
      </c>
      <c r="E700" s="16">
        <v>428800</v>
      </c>
      <c r="F700" s="13">
        <v>1571456</v>
      </c>
      <c r="G700" s="13">
        <v>968</v>
      </c>
      <c r="H700" s="18">
        <v>2108300</v>
      </c>
      <c r="I700" s="16">
        <v>0</v>
      </c>
      <c r="J700" s="18">
        <v>0</v>
      </c>
      <c r="K700" s="16">
        <v>781</v>
      </c>
      <c r="L700" s="18">
        <v>1</v>
      </c>
      <c r="M700" s="16">
        <v>833</v>
      </c>
      <c r="N700" s="18">
        <v>284</v>
      </c>
      <c r="O700" s="16">
        <v>23</v>
      </c>
      <c r="P700" s="13">
        <v>12</v>
      </c>
      <c r="Q700" s="13">
        <v>66</v>
      </c>
      <c r="R700" s="13">
        <v>0</v>
      </c>
      <c r="S700" s="18">
        <v>0</v>
      </c>
      <c r="T700" s="21">
        <v>46247.408333333333</v>
      </c>
      <c r="U700" s="55">
        <f t="shared" si="20"/>
        <v>1.1666666666666667</v>
      </c>
      <c r="V700" s="55">
        <f t="shared" si="20"/>
        <v>0</v>
      </c>
      <c r="W700" s="56">
        <f t="shared" si="21"/>
        <v>746</v>
      </c>
    </row>
    <row r="701" spans="1:23" x14ac:dyDescent="0.3">
      <c r="A701" s="13" t="str" cm="1">
        <f t="array" ref="A701:B701">INDEX(BenchmarkResults!$B$1:$D$35,SUMPRODUCT((T701&gt;=BenchmarkResults!$F$2:$F$35)*(mysql_hardware_log!T701&lt;BenchmarkResults!$G$2:$G$35)*ROW(BenchmarkResults!$F$2:$F$35)),{1,3})</f>
        <v>q6_inactive_customers</v>
      </c>
      <c r="B701" s="13">
        <v>3</v>
      </c>
      <c r="C701" s="16">
        <v>1</v>
      </c>
      <c r="D701" s="18">
        <v>0</v>
      </c>
      <c r="E701" s="16">
        <v>428800</v>
      </c>
      <c r="F701" s="13">
        <v>1563896</v>
      </c>
      <c r="G701" s="13">
        <v>976</v>
      </c>
      <c r="H701" s="18">
        <v>2115696</v>
      </c>
      <c r="I701" s="16">
        <v>0</v>
      </c>
      <c r="J701" s="18">
        <v>0</v>
      </c>
      <c r="K701" s="16">
        <v>742</v>
      </c>
      <c r="L701" s="18">
        <v>2</v>
      </c>
      <c r="M701" s="16">
        <v>844</v>
      </c>
      <c r="N701" s="18">
        <v>287</v>
      </c>
      <c r="O701" s="16">
        <v>23</v>
      </c>
      <c r="P701" s="13">
        <v>11</v>
      </c>
      <c r="Q701" s="13">
        <v>65</v>
      </c>
      <c r="R701" s="13">
        <v>0</v>
      </c>
      <c r="S701" s="18">
        <v>0</v>
      </c>
      <c r="T701" s="21">
        <v>46247.408449074072</v>
      </c>
      <c r="U701" s="55">
        <f t="shared" si="20"/>
        <v>1.1666666666666667</v>
      </c>
      <c r="V701" s="55">
        <f t="shared" si="20"/>
        <v>0</v>
      </c>
      <c r="W701" s="56">
        <f t="shared" si="21"/>
        <v>780.83333333333337</v>
      </c>
    </row>
    <row r="702" spans="1:23" x14ac:dyDescent="0.3">
      <c r="A702" s="13" t="str" cm="1">
        <f t="array" ref="A702:B702">INDEX(BenchmarkResults!$B$1:$D$35,SUMPRODUCT((T702&gt;=BenchmarkResults!$F$2:$F$35)*(mysql_hardware_log!T702&lt;BenchmarkResults!$G$2:$G$35)*ROW(BenchmarkResults!$F$2:$F$35)),{1,3})</f>
        <v>q6_inactive_customers</v>
      </c>
      <c r="B702" s="13">
        <v>3</v>
      </c>
      <c r="C702" s="16">
        <v>1</v>
      </c>
      <c r="D702" s="18">
        <v>0</v>
      </c>
      <c r="E702" s="16">
        <v>428800</v>
      </c>
      <c r="F702" s="13">
        <v>1555580</v>
      </c>
      <c r="G702" s="13">
        <v>984</v>
      </c>
      <c r="H702" s="18">
        <v>2123604</v>
      </c>
      <c r="I702" s="16">
        <v>0</v>
      </c>
      <c r="J702" s="18">
        <v>0</v>
      </c>
      <c r="K702" s="16">
        <v>794</v>
      </c>
      <c r="L702" s="18">
        <v>1</v>
      </c>
      <c r="M702" s="16">
        <v>832</v>
      </c>
      <c r="N702" s="18">
        <v>284</v>
      </c>
      <c r="O702" s="16">
        <v>23</v>
      </c>
      <c r="P702" s="13">
        <v>11</v>
      </c>
      <c r="Q702" s="13">
        <v>66</v>
      </c>
      <c r="R702" s="13">
        <v>0</v>
      </c>
      <c r="S702" s="18">
        <v>0</v>
      </c>
      <c r="T702" s="21">
        <v>46247.408564814818</v>
      </c>
      <c r="U702" s="55">
        <f t="shared" si="20"/>
        <v>1</v>
      </c>
      <c r="V702" s="55">
        <f t="shared" si="20"/>
        <v>0</v>
      </c>
      <c r="W702" s="56">
        <f t="shared" si="21"/>
        <v>778.83333333333337</v>
      </c>
    </row>
    <row r="703" spans="1:23" x14ac:dyDescent="0.3">
      <c r="A703" s="13" t="str" cm="1">
        <f t="array" ref="A703:B703">INDEX(BenchmarkResults!$B$1:$D$35,SUMPRODUCT((T703&gt;=BenchmarkResults!$F$2:$F$35)*(mysql_hardware_log!T703&lt;BenchmarkResults!$G$2:$G$35)*ROW(BenchmarkResults!$F$2:$F$35)),{1,3})</f>
        <v>q6_inactive_customers</v>
      </c>
      <c r="B703" s="13">
        <v>3</v>
      </c>
      <c r="C703" s="16">
        <v>1</v>
      </c>
      <c r="D703" s="18">
        <v>0</v>
      </c>
      <c r="E703" s="16">
        <v>428800</v>
      </c>
      <c r="F703" s="13">
        <v>1547768</v>
      </c>
      <c r="G703" s="13">
        <v>992</v>
      </c>
      <c r="H703" s="18">
        <v>2131540</v>
      </c>
      <c r="I703" s="16">
        <v>0</v>
      </c>
      <c r="J703" s="18">
        <v>0</v>
      </c>
      <c r="K703" s="16">
        <v>794</v>
      </c>
      <c r="L703" s="18">
        <v>1</v>
      </c>
      <c r="M703" s="16">
        <v>831</v>
      </c>
      <c r="N703" s="18">
        <v>282</v>
      </c>
      <c r="O703" s="16">
        <v>23</v>
      </c>
      <c r="P703" s="13">
        <v>11</v>
      </c>
      <c r="Q703" s="13">
        <v>66</v>
      </c>
      <c r="R703" s="13">
        <v>0</v>
      </c>
      <c r="S703" s="18">
        <v>0</v>
      </c>
      <c r="T703" s="21">
        <v>46247.408680555556</v>
      </c>
      <c r="U703" s="55">
        <f t="shared" si="20"/>
        <v>1</v>
      </c>
      <c r="V703" s="55">
        <f t="shared" si="20"/>
        <v>0</v>
      </c>
      <c r="W703" s="56">
        <f t="shared" si="21"/>
        <v>778.83333333333337</v>
      </c>
    </row>
    <row r="704" spans="1:23" x14ac:dyDescent="0.3">
      <c r="A704" s="13" t="str" cm="1">
        <f t="array" ref="A704:B704">INDEX(BenchmarkResults!$B$1:$D$35,SUMPRODUCT((T704&gt;=BenchmarkResults!$F$2:$F$35)*(mysql_hardware_log!T704&lt;BenchmarkResults!$G$2:$G$35)*ROW(BenchmarkResults!$F$2:$F$35)),{1,3})</f>
        <v>q6_inactive_customers</v>
      </c>
      <c r="B704" s="13">
        <v>3</v>
      </c>
      <c r="C704" s="16">
        <v>1</v>
      </c>
      <c r="D704" s="18">
        <v>0</v>
      </c>
      <c r="E704" s="16">
        <v>428800</v>
      </c>
      <c r="F704" s="13">
        <v>1539956</v>
      </c>
      <c r="G704" s="13">
        <v>1000</v>
      </c>
      <c r="H704" s="18">
        <v>2139320</v>
      </c>
      <c r="I704" s="16">
        <v>1</v>
      </c>
      <c r="J704" s="18">
        <v>0</v>
      </c>
      <c r="K704" s="16">
        <v>782</v>
      </c>
      <c r="L704" s="18">
        <v>2</v>
      </c>
      <c r="M704" s="16">
        <v>836</v>
      </c>
      <c r="N704" s="18">
        <v>292</v>
      </c>
      <c r="O704" s="16">
        <v>23</v>
      </c>
      <c r="P704" s="13">
        <v>11</v>
      </c>
      <c r="Q704" s="13">
        <v>66</v>
      </c>
      <c r="R704" s="13">
        <v>0</v>
      </c>
      <c r="S704" s="18">
        <v>0</v>
      </c>
      <c r="T704" s="21">
        <v>46247.408796296295</v>
      </c>
      <c r="U704" s="55">
        <f t="shared" si="20"/>
        <v>1</v>
      </c>
      <c r="V704" s="55">
        <f t="shared" si="20"/>
        <v>0</v>
      </c>
      <c r="W704" s="56">
        <f t="shared" si="21"/>
        <v>779</v>
      </c>
    </row>
    <row r="705" spans="1:23" x14ac:dyDescent="0.3">
      <c r="A705" s="13" t="str" cm="1">
        <f t="array" ref="A705:B705">INDEX(BenchmarkResults!$B$1:$D$35,SUMPRODUCT((T705&gt;=BenchmarkResults!$F$2:$F$35)*(mysql_hardware_log!T705&lt;BenchmarkResults!$G$2:$G$35)*ROW(BenchmarkResults!$F$2:$F$35)),{1,3})</f>
        <v>q6_inactive_customers</v>
      </c>
      <c r="B705" s="13">
        <v>3</v>
      </c>
      <c r="C705" s="16">
        <v>1</v>
      </c>
      <c r="D705" s="18">
        <v>0</v>
      </c>
      <c r="E705" s="16">
        <v>428800</v>
      </c>
      <c r="F705" s="13">
        <v>1531892</v>
      </c>
      <c r="G705" s="13">
        <v>1008</v>
      </c>
      <c r="H705" s="18">
        <v>2147256</v>
      </c>
      <c r="I705" s="16">
        <v>0</v>
      </c>
      <c r="J705" s="18">
        <v>0</v>
      </c>
      <c r="K705" s="16">
        <v>794</v>
      </c>
      <c r="L705" s="18">
        <v>2</v>
      </c>
      <c r="M705" s="16">
        <v>834</v>
      </c>
      <c r="N705" s="18">
        <v>290</v>
      </c>
      <c r="O705" s="16">
        <v>23</v>
      </c>
      <c r="P705" s="13">
        <v>12</v>
      </c>
      <c r="Q705" s="13">
        <v>65</v>
      </c>
      <c r="R705" s="13">
        <v>0</v>
      </c>
      <c r="S705" s="18">
        <v>0</v>
      </c>
      <c r="T705" s="21">
        <v>46247.408912037034</v>
      </c>
      <c r="U705" s="55">
        <f t="shared" si="20"/>
        <v>1</v>
      </c>
      <c r="V705" s="55">
        <f t="shared" si="20"/>
        <v>0</v>
      </c>
      <c r="W705" s="56">
        <f t="shared" si="21"/>
        <v>781.16666666666663</v>
      </c>
    </row>
    <row r="706" spans="1:23" x14ac:dyDescent="0.3">
      <c r="A706" s="13" t="str" cm="1">
        <f t="array" ref="A706:B706">INDEX(BenchmarkResults!$B$1:$D$35,SUMPRODUCT((T706&gt;=BenchmarkResults!$F$2:$F$35)*(mysql_hardware_log!T706&lt;BenchmarkResults!$G$2:$G$35)*ROW(BenchmarkResults!$F$2:$F$35)),{1,3})</f>
        <v>q6_inactive_customers</v>
      </c>
      <c r="B706" s="13">
        <v>3</v>
      </c>
      <c r="C706" s="16">
        <v>1</v>
      </c>
      <c r="D706" s="18">
        <v>0</v>
      </c>
      <c r="E706" s="16">
        <v>428800</v>
      </c>
      <c r="F706" s="13">
        <v>1524080</v>
      </c>
      <c r="G706" s="13">
        <v>1016</v>
      </c>
      <c r="H706" s="18">
        <v>2155092</v>
      </c>
      <c r="I706" s="16">
        <v>0</v>
      </c>
      <c r="J706" s="18">
        <v>0</v>
      </c>
      <c r="K706" s="16">
        <v>781</v>
      </c>
      <c r="L706" s="18">
        <v>2</v>
      </c>
      <c r="M706" s="16">
        <v>830</v>
      </c>
      <c r="N706" s="18">
        <v>283</v>
      </c>
      <c r="O706" s="16">
        <v>23</v>
      </c>
      <c r="P706" s="13">
        <v>11</v>
      </c>
      <c r="Q706" s="13">
        <v>65</v>
      </c>
      <c r="R706" s="13">
        <v>0</v>
      </c>
      <c r="S706" s="18">
        <v>0</v>
      </c>
      <c r="T706" s="21">
        <v>46247.40902777778</v>
      </c>
      <c r="U706" s="55">
        <f t="shared" si="20"/>
        <v>1</v>
      </c>
      <c r="V706" s="55">
        <f t="shared" si="20"/>
        <v>0</v>
      </c>
      <c r="W706" s="56">
        <f t="shared" si="21"/>
        <v>781.16666666666663</v>
      </c>
    </row>
    <row r="707" spans="1:23" x14ac:dyDescent="0.3">
      <c r="A707" s="13" t="str" cm="1">
        <f t="array" ref="A707:B707">INDEX(BenchmarkResults!$B$1:$D$35,SUMPRODUCT((T707&gt;=BenchmarkResults!$F$2:$F$35)*(mysql_hardware_log!T707&lt;BenchmarkResults!$G$2:$G$35)*ROW(BenchmarkResults!$F$2:$F$35)),{1,3})</f>
        <v>q6_inactive_customers</v>
      </c>
      <c r="B707" s="13">
        <v>3</v>
      </c>
      <c r="C707" s="16">
        <v>1</v>
      </c>
      <c r="D707" s="18">
        <v>0</v>
      </c>
      <c r="E707" s="16">
        <v>428800</v>
      </c>
      <c r="F707" s="13">
        <v>1516520</v>
      </c>
      <c r="G707" s="13">
        <v>1024</v>
      </c>
      <c r="H707" s="18">
        <v>2162516</v>
      </c>
      <c r="I707" s="16">
        <v>0</v>
      </c>
      <c r="J707" s="18">
        <v>0</v>
      </c>
      <c r="K707" s="16">
        <v>742</v>
      </c>
      <c r="L707" s="18">
        <v>2</v>
      </c>
      <c r="M707" s="16">
        <v>823</v>
      </c>
      <c r="N707" s="18">
        <v>276</v>
      </c>
      <c r="O707" s="16">
        <v>23</v>
      </c>
      <c r="P707" s="13">
        <v>11</v>
      </c>
      <c r="Q707" s="13">
        <v>65</v>
      </c>
      <c r="R707" s="13">
        <v>0</v>
      </c>
      <c r="S707" s="18">
        <v>1</v>
      </c>
      <c r="T707" s="21">
        <v>46247.409143518518</v>
      </c>
      <c r="U707" s="55">
        <f t="shared" si="20"/>
        <v>1</v>
      </c>
      <c r="V707" s="55">
        <f t="shared" si="20"/>
        <v>0</v>
      </c>
      <c r="W707" s="56">
        <f t="shared" si="21"/>
        <v>781.16666666666663</v>
      </c>
    </row>
    <row r="708" spans="1:23" x14ac:dyDescent="0.3">
      <c r="A708" s="13" t="str" cm="1">
        <f t="array" ref="A708:B708">INDEX(BenchmarkResults!$B$1:$D$35,SUMPRODUCT((T708&gt;=BenchmarkResults!$F$2:$F$35)*(mysql_hardware_log!T708&lt;BenchmarkResults!$G$2:$G$35)*ROW(BenchmarkResults!$F$2:$F$35)),{1,3})</f>
        <v>q6_inactive_customers</v>
      </c>
      <c r="B708" s="13">
        <v>3</v>
      </c>
      <c r="C708" s="16">
        <v>1</v>
      </c>
      <c r="D708" s="18">
        <v>0</v>
      </c>
      <c r="E708" s="16">
        <v>428800</v>
      </c>
      <c r="F708" s="13">
        <v>1516960</v>
      </c>
      <c r="G708" s="13">
        <v>1032</v>
      </c>
      <c r="H708" s="18">
        <v>2170324</v>
      </c>
      <c r="I708" s="16">
        <v>0</v>
      </c>
      <c r="J708" s="18">
        <v>0</v>
      </c>
      <c r="K708" s="16">
        <v>781</v>
      </c>
      <c r="L708" s="18">
        <v>2</v>
      </c>
      <c r="M708" s="16">
        <v>830</v>
      </c>
      <c r="N708" s="18">
        <v>288</v>
      </c>
      <c r="O708" s="16">
        <v>23</v>
      </c>
      <c r="P708" s="13">
        <v>12</v>
      </c>
      <c r="Q708" s="13">
        <v>65</v>
      </c>
      <c r="R708" s="13">
        <v>0</v>
      </c>
      <c r="S708" s="18">
        <v>0</v>
      </c>
      <c r="T708" s="21">
        <v>46247.409259259257</v>
      </c>
      <c r="U708" s="55">
        <f t="shared" si="20"/>
        <v>1</v>
      </c>
      <c r="V708" s="55">
        <f t="shared" si="20"/>
        <v>0</v>
      </c>
      <c r="W708" s="56">
        <f t="shared" si="21"/>
        <v>779</v>
      </c>
    </row>
    <row r="709" spans="1:23" x14ac:dyDescent="0.3">
      <c r="A709" s="13" t="str" cm="1">
        <f t="array" ref="A709:B709">INDEX(BenchmarkResults!$B$1:$D$35,SUMPRODUCT((T709&gt;=BenchmarkResults!$F$2:$F$35)*(mysql_hardware_log!T709&lt;BenchmarkResults!$G$2:$G$35)*ROW(BenchmarkResults!$F$2:$F$35)),{1,3})</f>
        <v>q6_inactive_customers</v>
      </c>
      <c r="B709" s="13">
        <v>3</v>
      </c>
      <c r="C709" s="16">
        <v>1</v>
      </c>
      <c r="D709" s="18">
        <v>0</v>
      </c>
      <c r="E709" s="16">
        <v>428800</v>
      </c>
      <c r="F709" s="13">
        <v>1517276</v>
      </c>
      <c r="G709" s="13">
        <v>1040</v>
      </c>
      <c r="H709" s="18">
        <v>2178104</v>
      </c>
      <c r="I709" s="16">
        <v>0</v>
      </c>
      <c r="J709" s="18">
        <v>0</v>
      </c>
      <c r="K709" s="16">
        <v>781</v>
      </c>
      <c r="L709" s="18">
        <v>2</v>
      </c>
      <c r="M709" s="16">
        <v>825</v>
      </c>
      <c r="N709" s="18">
        <v>280</v>
      </c>
      <c r="O709" s="16">
        <v>23</v>
      </c>
      <c r="P709" s="13">
        <v>11</v>
      </c>
      <c r="Q709" s="13">
        <v>66</v>
      </c>
      <c r="R709" s="13">
        <v>0</v>
      </c>
      <c r="S709" s="18">
        <v>0</v>
      </c>
      <c r="T709" s="21">
        <v>46247.409375000003</v>
      </c>
      <c r="U709" s="55">
        <f t="shared" si="20"/>
        <v>1</v>
      </c>
      <c r="V709" s="55">
        <f t="shared" si="20"/>
        <v>0</v>
      </c>
      <c r="W709" s="56">
        <f t="shared" si="21"/>
        <v>776.83333333333337</v>
      </c>
    </row>
    <row r="710" spans="1:23" x14ac:dyDescent="0.3">
      <c r="A710" s="13" t="str" cm="1">
        <f t="array" ref="A710:B710">INDEX(BenchmarkResults!$B$1:$D$35,SUMPRODUCT((T710&gt;=BenchmarkResults!$F$2:$F$35)*(mysql_hardware_log!T710&lt;BenchmarkResults!$G$2:$G$35)*ROW(BenchmarkResults!$F$2:$F$35)),{1,3})</f>
        <v>q6_inactive_customers</v>
      </c>
      <c r="B710" s="13">
        <v>3</v>
      </c>
      <c r="C710" s="16">
        <v>1</v>
      </c>
      <c r="D710" s="18">
        <v>0</v>
      </c>
      <c r="E710" s="16">
        <v>428800</v>
      </c>
      <c r="F710" s="13">
        <v>1509464</v>
      </c>
      <c r="G710" s="13">
        <v>1048</v>
      </c>
      <c r="H710" s="18">
        <v>2185812</v>
      </c>
      <c r="I710" s="16">
        <v>0</v>
      </c>
      <c r="J710" s="18">
        <v>0</v>
      </c>
      <c r="K710" s="16">
        <v>768</v>
      </c>
      <c r="L710" s="18">
        <v>2</v>
      </c>
      <c r="M710" s="16">
        <v>821</v>
      </c>
      <c r="N710" s="18">
        <v>277</v>
      </c>
      <c r="O710" s="16">
        <v>23</v>
      </c>
      <c r="P710" s="13">
        <v>11</v>
      </c>
      <c r="Q710" s="13">
        <v>65</v>
      </c>
      <c r="R710" s="13">
        <v>0</v>
      </c>
      <c r="S710" s="18">
        <v>0</v>
      </c>
      <c r="T710" s="21">
        <v>46247.409490740742</v>
      </c>
      <c r="U710" s="55">
        <f t="shared" si="20"/>
        <v>1</v>
      </c>
      <c r="V710" s="55">
        <f t="shared" si="20"/>
        <v>0</v>
      </c>
      <c r="W710" s="56">
        <f t="shared" si="21"/>
        <v>774.5</v>
      </c>
    </row>
    <row r="711" spans="1:23" x14ac:dyDescent="0.3">
      <c r="A711" s="13" t="str" cm="1">
        <f t="array" ref="A711:B711">INDEX(BenchmarkResults!$B$1:$D$35,SUMPRODUCT((T711&gt;=BenchmarkResults!$F$2:$F$35)*(mysql_hardware_log!T711&lt;BenchmarkResults!$G$2:$G$35)*ROW(BenchmarkResults!$F$2:$F$35)),{1,3})</f>
        <v>q6_inactive_customers</v>
      </c>
      <c r="B711" s="13">
        <v>3</v>
      </c>
      <c r="C711" s="16">
        <v>2</v>
      </c>
      <c r="D711" s="18">
        <v>0</v>
      </c>
      <c r="E711" s="16">
        <v>428800</v>
      </c>
      <c r="F711" s="13">
        <v>1500396</v>
      </c>
      <c r="G711" s="13">
        <v>1192</v>
      </c>
      <c r="H711" s="18">
        <v>2194068</v>
      </c>
      <c r="I711" s="16">
        <v>0</v>
      </c>
      <c r="J711" s="18">
        <v>0</v>
      </c>
      <c r="K711" s="16">
        <v>832</v>
      </c>
      <c r="L711" s="18">
        <v>2</v>
      </c>
      <c r="M711" s="16">
        <v>849</v>
      </c>
      <c r="N711" s="18">
        <v>303</v>
      </c>
      <c r="O711" s="16">
        <v>23</v>
      </c>
      <c r="P711" s="13">
        <v>11</v>
      </c>
      <c r="Q711" s="13">
        <v>65</v>
      </c>
      <c r="R711" s="13">
        <v>0</v>
      </c>
      <c r="S711" s="18">
        <v>0</v>
      </c>
      <c r="T711" s="21">
        <v>46247.40960648148</v>
      </c>
      <c r="U711" s="55">
        <f t="shared" si="20"/>
        <v>1.1666666666666667</v>
      </c>
      <c r="V711" s="55">
        <f t="shared" si="20"/>
        <v>0</v>
      </c>
      <c r="W711" s="56">
        <f t="shared" si="21"/>
        <v>780.83333333333337</v>
      </c>
    </row>
    <row r="712" spans="1:23" x14ac:dyDescent="0.3">
      <c r="A712" s="13" t="str" cm="1">
        <f t="array" ref="A712:B712">INDEX(BenchmarkResults!$B$1:$D$35,SUMPRODUCT((T712&gt;=BenchmarkResults!$F$2:$F$35)*(mysql_hardware_log!T712&lt;BenchmarkResults!$G$2:$G$35)*ROW(BenchmarkResults!$F$2:$F$35)),{1,3})</f>
        <v>q6_inactive_customers</v>
      </c>
      <c r="B712" s="13">
        <v>3</v>
      </c>
      <c r="C712" s="16">
        <v>1</v>
      </c>
      <c r="D712" s="18">
        <v>0</v>
      </c>
      <c r="E712" s="16">
        <v>428800</v>
      </c>
      <c r="F712" s="13">
        <v>1493592</v>
      </c>
      <c r="G712" s="13">
        <v>1200</v>
      </c>
      <c r="H712" s="18">
        <v>2201492</v>
      </c>
      <c r="I712" s="16">
        <v>0</v>
      </c>
      <c r="J712" s="18">
        <v>0</v>
      </c>
      <c r="K712" s="16">
        <v>742</v>
      </c>
      <c r="L712" s="18">
        <v>5</v>
      </c>
      <c r="M712" s="16">
        <v>834</v>
      </c>
      <c r="N712" s="18">
        <v>288</v>
      </c>
      <c r="O712" s="16">
        <v>23</v>
      </c>
      <c r="P712" s="13">
        <v>12</v>
      </c>
      <c r="Q712" s="13">
        <v>65</v>
      </c>
      <c r="R712" s="13">
        <v>0</v>
      </c>
      <c r="S712" s="18">
        <v>0</v>
      </c>
      <c r="T712" s="21">
        <v>46247.409722222219</v>
      </c>
      <c r="U712" s="55">
        <f t="shared" si="20"/>
        <v>1.1666666666666667</v>
      </c>
      <c r="V712" s="55">
        <f t="shared" si="20"/>
        <v>0</v>
      </c>
      <c r="W712" s="56">
        <f t="shared" si="21"/>
        <v>774.33333333333337</v>
      </c>
    </row>
    <row r="713" spans="1:23" x14ac:dyDescent="0.3">
      <c r="A713" s="13" t="str" cm="1">
        <f t="array" ref="A713:B713">INDEX(BenchmarkResults!$B$1:$D$35,SUMPRODUCT((T713&gt;=BenchmarkResults!$F$2:$F$35)*(mysql_hardware_log!T713&lt;BenchmarkResults!$G$2:$G$35)*ROW(BenchmarkResults!$F$2:$F$35)),{1,3})</f>
        <v>q6_inactive_customers</v>
      </c>
      <c r="B713" s="13">
        <v>3</v>
      </c>
      <c r="C713" s="16">
        <v>1</v>
      </c>
      <c r="D713" s="18">
        <v>0</v>
      </c>
      <c r="E713" s="16">
        <v>428800</v>
      </c>
      <c r="F713" s="13">
        <v>1484524</v>
      </c>
      <c r="G713" s="13">
        <v>1208</v>
      </c>
      <c r="H713" s="18">
        <v>2208872</v>
      </c>
      <c r="I713" s="16">
        <v>0</v>
      </c>
      <c r="J713" s="18">
        <v>0</v>
      </c>
      <c r="K713" s="16">
        <v>738</v>
      </c>
      <c r="L713" s="18">
        <v>2</v>
      </c>
      <c r="M713" s="16">
        <v>840</v>
      </c>
      <c r="N713" s="18">
        <v>285</v>
      </c>
      <c r="O713" s="16">
        <v>23</v>
      </c>
      <c r="P713" s="13">
        <v>11</v>
      </c>
      <c r="Q713" s="13">
        <v>64</v>
      </c>
      <c r="R713" s="13">
        <v>0</v>
      </c>
      <c r="S713" s="18">
        <v>1</v>
      </c>
      <c r="T713" s="21">
        <v>46247.409837962965</v>
      </c>
      <c r="U713" s="55">
        <f t="shared" ref="U713:V722" si="22">AVERAGE(C708:C713)</f>
        <v>1.1666666666666667</v>
      </c>
      <c r="V713" s="55">
        <f t="shared" si="22"/>
        <v>0</v>
      </c>
      <c r="W713" s="56">
        <f t="shared" ref="W713:W722" si="23">AVERAGE(K708:K713)</f>
        <v>773.66666666666663</v>
      </c>
    </row>
    <row r="714" spans="1:23" x14ac:dyDescent="0.3">
      <c r="A714" s="13" t="str" cm="1">
        <f t="array" ref="A714:B714">INDEX(BenchmarkResults!$B$1:$D$35,SUMPRODUCT((T714&gt;=BenchmarkResults!$F$2:$F$35)*(mysql_hardware_log!T714&lt;BenchmarkResults!$G$2:$G$35)*ROW(BenchmarkResults!$F$2:$F$35)),{1,3})</f>
        <v>q6_inactive_customers</v>
      </c>
      <c r="B714" s="13">
        <v>3</v>
      </c>
      <c r="C714" s="16">
        <v>1</v>
      </c>
      <c r="D714" s="18">
        <v>0</v>
      </c>
      <c r="E714" s="16">
        <v>428800</v>
      </c>
      <c r="F714" s="13">
        <v>1478980</v>
      </c>
      <c r="G714" s="13">
        <v>1216</v>
      </c>
      <c r="H714" s="18">
        <v>2215912</v>
      </c>
      <c r="I714" s="16">
        <v>0</v>
      </c>
      <c r="J714" s="18">
        <v>0</v>
      </c>
      <c r="K714" s="16">
        <v>704</v>
      </c>
      <c r="L714" s="18">
        <v>20</v>
      </c>
      <c r="M714" s="16">
        <v>831</v>
      </c>
      <c r="N714" s="18">
        <v>281</v>
      </c>
      <c r="O714" s="16">
        <v>22</v>
      </c>
      <c r="P714" s="13">
        <v>11</v>
      </c>
      <c r="Q714" s="13">
        <v>66</v>
      </c>
      <c r="R714" s="13">
        <v>0</v>
      </c>
      <c r="S714" s="18">
        <v>1</v>
      </c>
      <c r="T714" s="21">
        <v>46247.409953703704</v>
      </c>
      <c r="U714" s="55">
        <f t="shared" si="22"/>
        <v>1.1666666666666667</v>
      </c>
      <c r="V714" s="55">
        <f t="shared" si="22"/>
        <v>0</v>
      </c>
      <c r="W714" s="56">
        <f t="shared" si="23"/>
        <v>760.83333333333337</v>
      </c>
    </row>
    <row r="715" spans="1:23" x14ac:dyDescent="0.3">
      <c r="A715" s="13" t="str" cm="1">
        <f t="array" ref="A715:B715">INDEX(BenchmarkResults!$B$1:$D$35,SUMPRODUCT((T715&gt;=BenchmarkResults!$F$2:$F$35)*(mysql_hardware_log!T715&lt;BenchmarkResults!$G$2:$G$35)*ROW(BenchmarkResults!$F$2:$F$35)),{1,3})</f>
        <v>q6_inactive_customers</v>
      </c>
      <c r="B715" s="13">
        <v>3</v>
      </c>
      <c r="C715" s="16">
        <v>5</v>
      </c>
      <c r="D715" s="18">
        <v>0</v>
      </c>
      <c r="E715" s="16">
        <v>428800</v>
      </c>
      <c r="F715" s="13">
        <v>1471168</v>
      </c>
      <c r="G715" s="13">
        <v>1224</v>
      </c>
      <c r="H715" s="18">
        <v>2223592</v>
      </c>
      <c r="I715" s="16">
        <v>0</v>
      </c>
      <c r="J715" s="18">
        <v>0</v>
      </c>
      <c r="K715" s="16">
        <v>768</v>
      </c>
      <c r="L715" s="18">
        <v>2</v>
      </c>
      <c r="M715" s="16">
        <v>838</v>
      </c>
      <c r="N715" s="18">
        <v>283</v>
      </c>
      <c r="O715" s="16">
        <v>23</v>
      </c>
      <c r="P715" s="13">
        <v>11</v>
      </c>
      <c r="Q715" s="13">
        <v>66</v>
      </c>
      <c r="R715" s="13">
        <v>0</v>
      </c>
      <c r="S715" s="18">
        <v>0</v>
      </c>
      <c r="T715" s="21">
        <v>46247.410069444442</v>
      </c>
      <c r="U715" s="55">
        <f t="shared" si="22"/>
        <v>1.8333333333333333</v>
      </c>
      <c r="V715" s="55">
        <f t="shared" si="22"/>
        <v>0</v>
      </c>
      <c r="W715" s="56">
        <f t="shared" si="23"/>
        <v>758.66666666666663</v>
      </c>
    </row>
    <row r="716" spans="1:23" x14ac:dyDescent="0.3">
      <c r="A716" s="13" t="str" cm="1">
        <f t="array" ref="A716:B716">INDEX(BenchmarkResults!$B$1:$D$35,SUMPRODUCT((T716&gt;=BenchmarkResults!$F$2:$F$35)*(mysql_hardware_log!T716&lt;BenchmarkResults!$G$2:$G$35)*ROW(BenchmarkResults!$F$2:$F$35)),{1,3})</f>
        <v>q6_inactive_customers</v>
      </c>
      <c r="B716" s="13">
        <v>3</v>
      </c>
      <c r="C716" s="16">
        <v>1</v>
      </c>
      <c r="D716" s="18">
        <v>0</v>
      </c>
      <c r="E716" s="16">
        <v>428800</v>
      </c>
      <c r="F716" s="13">
        <v>1463356</v>
      </c>
      <c r="G716" s="13">
        <v>1232</v>
      </c>
      <c r="H716" s="18">
        <v>2231400</v>
      </c>
      <c r="I716" s="16">
        <v>0</v>
      </c>
      <c r="J716" s="18">
        <v>0</v>
      </c>
      <c r="K716" s="16">
        <v>781</v>
      </c>
      <c r="L716" s="18">
        <v>4</v>
      </c>
      <c r="M716" s="16">
        <v>845</v>
      </c>
      <c r="N716" s="18">
        <v>290</v>
      </c>
      <c r="O716" s="16">
        <v>23</v>
      </c>
      <c r="P716" s="13">
        <v>11</v>
      </c>
      <c r="Q716" s="13">
        <v>65</v>
      </c>
      <c r="R716" s="13">
        <v>0</v>
      </c>
      <c r="S716" s="18">
        <v>0</v>
      </c>
      <c r="T716" s="21">
        <v>46247.410185185188</v>
      </c>
      <c r="U716" s="55">
        <f t="shared" si="22"/>
        <v>1.8333333333333333</v>
      </c>
      <c r="V716" s="55">
        <f t="shared" si="22"/>
        <v>0</v>
      </c>
      <c r="W716" s="56">
        <f t="shared" si="23"/>
        <v>760.83333333333337</v>
      </c>
    </row>
    <row r="717" spans="1:23" x14ac:dyDescent="0.3">
      <c r="A717" s="13" t="str" cm="1">
        <f t="array" ref="A717:B717">INDEX(BenchmarkResults!$B$1:$D$35,SUMPRODUCT((T717&gt;=BenchmarkResults!$F$2:$F$35)*(mysql_hardware_log!T717&lt;BenchmarkResults!$G$2:$G$35)*ROW(BenchmarkResults!$F$2:$F$35)),{1,3})</f>
        <v>q6_inactive_customers</v>
      </c>
      <c r="B717" s="13">
        <v>3</v>
      </c>
      <c r="C717" s="16">
        <v>1</v>
      </c>
      <c r="D717" s="18">
        <v>0</v>
      </c>
      <c r="E717" s="16">
        <v>428800</v>
      </c>
      <c r="F717" s="13">
        <v>1455544</v>
      </c>
      <c r="G717" s="13">
        <v>1240</v>
      </c>
      <c r="H717" s="18">
        <v>2239208</v>
      </c>
      <c r="I717" s="16">
        <v>0</v>
      </c>
      <c r="J717" s="18">
        <v>0</v>
      </c>
      <c r="K717" s="16">
        <v>781</v>
      </c>
      <c r="L717" s="18">
        <v>2</v>
      </c>
      <c r="M717" s="16">
        <v>840</v>
      </c>
      <c r="N717" s="18">
        <v>290</v>
      </c>
      <c r="O717" s="16">
        <v>23</v>
      </c>
      <c r="P717" s="13">
        <v>11</v>
      </c>
      <c r="Q717" s="13">
        <v>65</v>
      </c>
      <c r="R717" s="13">
        <v>0</v>
      </c>
      <c r="S717" s="18">
        <v>1</v>
      </c>
      <c r="T717" s="21">
        <v>46247.410300925927</v>
      </c>
      <c r="U717" s="55">
        <f t="shared" si="22"/>
        <v>1.6666666666666667</v>
      </c>
      <c r="V717" s="55">
        <f t="shared" si="22"/>
        <v>0</v>
      </c>
      <c r="W717" s="56">
        <f t="shared" si="23"/>
        <v>752.33333333333337</v>
      </c>
    </row>
    <row r="718" spans="1:23" x14ac:dyDescent="0.3">
      <c r="A718" s="13" t="str" cm="1">
        <f t="array" ref="A718:B718">INDEX(BenchmarkResults!$B$1:$D$35,SUMPRODUCT((T718&gt;=BenchmarkResults!$F$2:$F$35)*(mysql_hardware_log!T718&lt;BenchmarkResults!$G$2:$G$35)*ROW(BenchmarkResults!$F$2:$F$35)),{1,3})</f>
        <v>q6_inactive_customers</v>
      </c>
      <c r="B718" s="13">
        <v>3</v>
      </c>
      <c r="C718" s="16">
        <v>1</v>
      </c>
      <c r="D718" s="18">
        <v>0</v>
      </c>
      <c r="E718" s="16">
        <v>428800</v>
      </c>
      <c r="F718" s="13">
        <v>1447732</v>
      </c>
      <c r="G718" s="13">
        <v>1256</v>
      </c>
      <c r="H718" s="18">
        <v>2247136</v>
      </c>
      <c r="I718" s="16">
        <v>0</v>
      </c>
      <c r="J718" s="18">
        <v>0</v>
      </c>
      <c r="K718" s="16">
        <v>794</v>
      </c>
      <c r="L718" s="18">
        <v>3</v>
      </c>
      <c r="M718" s="16">
        <v>848</v>
      </c>
      <c r="N718" s="18">
        <v>301</v>
      </c>
      <c r="O718" s="16">
        <v>23</v>
      </c>
      <c r="P718" s="13">
        <v>11</v>
      </c>
      <c r="Q718" s="13">
        <v>66</v>
      </c>
      <c r="R718" s="13">
        <v>0</v>
      </c>
      <c r="S718" s="18">
        <v>0</v>
      </c>
      <c r="T718" s="21">
        <v>46247.410416666666</v>
      </c>
      <c r="U718" s="55">
        <f t="shared" si="22"/>
        <v>1.6666666666666667</v>
      </c>
      <c r="V718" s="55">
        <f t="shared" si="22"/>
        <v>0</v>
      </c>
      <c r="W718" s="56">
        <f t="shared" si="23"/>
        <v>761</v>
      </c>
    </row>
    <row r="719" spans="1:23" x14ac:dyDescent="0.3">
      <c r="A719" s="13" t="str" cm="1">
        <f t="array" ref="A719:B719">INDEX(BenchmarkResults!$B$1:$D$35,SUMPRODUCT((T719&gt;=BenchmarkResults!$F$2:$F$35)*(mysql_hardware_log!T719&lt;BenchmarkResults!$G$2:$G$35)*ROW(BenchmarkResults!$F$2:$F$35)),{1,3})</f>
        <v>q6_inactive_customers</v>
      </c>
      <c r="B719" s="13">
        <v>3</v>
      </c>
      <c r="C719" s="16">
        <v>1</v>
      </c>
      <c r="D719" s="18">
        <v>0</v>
      </c>
      <c r="E719" s="16">
        <v>428800</v>
      </c>
      <c r="F719" s="13">
        <v>1440172</v>
      </c>
      <c r="G719" s="13">
        <v>1264</v>
      </c>
      <c r="H719" s="18">
        <v>2254668</v>
      </c>
      <c r="I719" s="16">
        <v>0</v>
      </c>
      <c r="J719" s="18">
        <v>0</v>
      </c>
      <c r="K719" s="16">
        <v>755</v>
      </c>
      <c r="L719" s="18">
        <v>2</v>
      </c>
      <c r="M719" s="16">
        <v>833</v>
      </c>
      <c r="N719" s="18">
        <v>283</v>
      </c>
      <c r="O719" s="16">
        <v>23</v>
      </c>
      <c r="P719" s="13">
        <v>11</v>
      </c>
      <c r="Q719" s="13">
        <v>65</v>
      </c>
      <c r="R719" s="13">
        <v>0</v>
      </c>
      <c r="S719" s="18">
        <v>0</v>
      </c>
      <c r="T719" s="21">
        <v>46247.410532407404</v>
      </c>
      <c r="U719" s="55">
        <f t="shared" si="22"/>
        <v>1.6666666666666667</v>
      </c>
      <c r="V719" s="55">
        <f t="shared" si="22"/>
        <v>0</v>
      </c>
      <c r="W719" s="56">
        <f t="shared" si="23"/>
        <v>763.83333333333337</v>
      </c>
    </row>
    <row r="720" spans="1:23" x14ac:dyDescent="0.3">
      <c r="A720" s="13" t="str" cm="1">
        <f t="array" ref="A720:B720">INDEX(BenchmarkResults!$B$1:$D$35,SUMPRODUCT((T720&gt;=BenchmarkResults!$F$2:$F$35)*(mysql_hardware_log!T720&lt;BenchmarkResults!$G$2:$G$35)*ROW(BenchmarkResults!$F$2:$F$35)),{1,3})</f>
        <v>q6_inactive_customers</v>
      </c>
      <c r="B720" s="13">
        <v>3</v>
      </c>
      <c r="C720" s="16">
        <v>1</v>
      </c>
      <c r="D720" s="18">
        <v>0</v>
      </c>
      <c r="E720" s="16">
        <v>428800</v>
      </c>
      <c r="F720" s="13">
        <v>1432108</v>
      </c>
      <c r="G720" s="13">
        <v>1272</v>
      </c>
      <c r="H720" s="18">
        <v>2262632</v>
      </c>
      <c r="I720" s="16">
        <v>0</v>
      </c>
      <c r="J720" s="18">
        <v>0</v>
      </c>
      <c r="K720" s="16">
        <v>794</v>
      </c>
      <c r="L720" s="18">
        <v>2</v>
      </c>
      <c r="M720" s="16">
        <v>838</v>
      </c>
      <c r="N720" s="18">
        <v>286</v>
      </c>
      <c r="O720" s="16">
        <v>23</v>
      </c>
      <c r="P720" s="13">
        <v>11</v>
      </c>
      <c r="Q720" s="13">
        <v>65</v>
      </c>
      <c r="R720" s="13">
        <v>0</v>
      </c>
      <c r="S720" s="18">
        <v>0</v>
      </c>
      <c r="T720" s="21">
        <v>46247.41064814815</v>
      </c>
      <c r="U720" s="55">
        <f t="shared" si="22"/>
        <v>1.6666666666666667</v>
      </c>
      <c r="V720" s="55">
        <f t="shared" si="22"/>
        <v>0</v>
      </c>
      <c r="W720" s="56">
        <f t="shared" si="23"/>
        <v>778.83333333333337</v>
      </c>
    </row>
    <row r="721" spans="1:23" x14ac:dyDescent="0.3">
      <c r="A721" s="13" t="str" cm="1">
        <f t="array" ref="A721:B721">INDEX(BenchmarkResults!$B$1:$D$35,SUMPRODUCT((T721&gt;=BenchmarkResults!$F$2:$F$35)*(mysql_hardware_log!T721&lt;BenchmarkResults!$G$2:$G$35)*ROW(BenchmarkResults!$F$2:$F$35)),{1,3})</f>
        <v>q6_inactive_customers</v>
      </c>
      <c r="B721" s="13">
        <v>3</v>
      </c>
      <c r="C721" s="16">
        <v>1</v>
      </c>
      <c r="D721" s="18">
        <v>0</v>
      </c>
      <c r="E721" s="16">
        <v>428800</v>
      </c>
      <c r="F721" s="13">
        <v>1423540</v>
      </c>
      <c r="G721" s="13">
        <v>1280</v>
      </c>
      <c r="H721" s="18">
        <v>2271080</v>
      </c>
      <c r="I721" s="16">
        <v>0</v>
      </c>
      <c r="J721" s="18">
        <v>0</v>
      </c>
      <c r="K721" s="16">
        <v>845</v>
      </c>
      <c r="L721" s="18">
        <v>2</v>
      </c>
      <c r="M721" s="16">
        <v>838</v>
      </c>
      <c r="N721" s="18">
        <v>286</v>
      </c>
      <c r="O721" s="16">
        <v>23</v>
      </c>
      <c r="P721" s="13">
        <v>11</v>
      </c>
      <c r="Q721" s="13">
        <v>65</v>
      </c>
      <c r="R721" s="13">
        <v>0</v>
      </c>
      <c r="S721" s="18">
        <v>0</v>
      </c>
      <c r="T721" s="21">
        <v>46247.410763888889</v>
      </c>
      <c r="U721" s="55">
        <f t="shared" si="22"/>
        <v>1</v>
      </c>
      <c r="V721" s="55">
        <f t="shared" si="22"/>
        <v>0</v>
      </c>
      <c r="W721" s="56">
        <f t="shared" si="23"/>
        <v>791.66666666666663</v>
      </c>
    </row>
    <row r="722" spans="1:23" x14ac:dyDescent="0.3">
      <c r="A722" s="13" t="str" cm="1">
        <f t="array" ref="A722:B722">INDEX(BenchmarkResults!$B$1:$D$35,SUMPRODUCT((T722&gt;=BenchmarkResults!$F$2:$F$35)*(mysql_hardware_log!T722&lt;BenchmarkResults!$G$2:$G$35)*ROW(BenchmarkResults!$F$2:$F$35)),{1,3})</f>
        <v>q6_inactive_customers</v>
      </c>
      <c r="B722" s="13">
        <v>3</v>
      </c>
      <c r="C722" s="16">
        <v>1</v>
      </c>
      <c r="D722" s="18">
        <v>0</v>
      </c>
      <c r="E722" s="16">
        <v>428800</v>
      </c>
      <c r="F722" s="13">
        <v>1415980</v>
      </c>
      <c r="G722" s="13">
        <v>1288</v>
      </c>
      <c r="H722" s="18">
        <v>2278632</v>
      </c>
      <c r="I722" s="16">
        <v>0</v>
      </c>
      <c r="J722" s="18">
        <v>0</v>
      </c>
      <c r="K722" s="16">
        <v>755</v>
      </c>
      <c r="L722" s="18">
        <v>2</v>
      </c>
      <c r="M722" s="16">
        <v>815</v>
      </c>
      <c r="N722" s="18">
        <v>277</v>
      </c>
      <c r="O722" s="16">
        <v>23</v>
      </c>
      <c r="P722" s="13">
        <v>11</v>
      </c>
      <c r="Q722" s="13">
        <v>65</v>
      </c>
      <c r="R722" s="13">
        <v>0</v>
      </c>
      <c r="S722" s="18">
        <v>0</v>
      </c>
      <c r="T722" s="21">
        <v>46247.410879629628</v>
      </c>
      <c r="U722" s="55">
        <f t="shared" si="22"/>
        <v>1</v>
      </c>
      <c r="V722" s="55">
        <f t="shared" si="22"/>
        <v>0</v>
      </c>
      <c r="W722" s="56">
        <f t="shared" si="23"/>
        <v>787.33333333333337</v>
      </c>
    </row>
  </sheetData>
  <sortState xmlns:xlrd2="http://schemas.microsoft.com/office/spreadsheetml/2017/richdata2" ref="C3:T722">
    <sortCondition ref="T3:T722"/>
  </sortState>
  <mergeCells count="8">
    <mergeCell ref="M1:N1"/>
    <mergeCell ref="O1:S1"/>
    <mergeCell ref="U1:W1"/>
    <mergeCell ref="A1:B1"/>
    <mergeCell ref="C1:D1"/>
    <mergeCell ref="E1:H1"/>
    <mergeCell ref="I1:J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F3D0-B097-415E-B4CE-A211DF018AB2}">
  <dimension ref="A1:W3476"/>
  <sheetViews>
    <sheetView topLeftCell="B1" workbookViewId="0">
      <pane ySplit="2" topLeftCell="A3" activePane="bottomLeft" state="frozen"/>
      <selection pane="bottomLeft" activeCell="V4" sqref="V4"/>
    </sheetView>
  </sheetViews>
  <sheetFormatPr defaultRowHeight="14.4" x14ac:dyDescent="0.3"/>
  <cols>
    <col min="1" max="1" width="22.109375" bestFit="1" customWidth="1"/>
    <col min="3" max="19" width="8.88671875" style="13"/>
    <col min="20" max="20" width="18" style="13" bestFit="1" customWidth="1"/>
    <col min="21" max="21" width="9.6640625" style="13" bestFit="1" customWidth="1"/>
    <col min="22" max="22" width="9.6640625" style="13" customWidth="1"/>
    <col min="23" max="23" width="8.88671875" style="40"/>
  </cols>
  <sheetData>
    <row r="1" spans="1:23" x14ac:dyDescent="0.3">
      <c r="A1" s="84" t="s">
        <v>46</v>
      </c>
      <c r="B1" s="86"/>
      <c r="C1" s="84" t="s">
        <v>45</v>
      </c>
      <c r="D1" s="85"/>
      <c r="E1" s="84" t="s">
        <v>44</v>
      </c>
      <c r="F1" s="86"/>
      <c r="G1" s="86"/>
      <c r="H1" s="85"/>
      <c r="I1" s="84" t="s">
        <v>43</v>
      </c>
      <c r="J1" s="85"/>
      <c r="K1" s="84" t="s">
        <v>42</v>
      </c>
      <c r="L1" s="85"/>
      <c r="M1" s="84" t="s">
        <v>8</v>
      </c>
      <c r="N1" s="85"/>
      <c r="O1" s="84" t="s">
        <v>41</v>
      </c>
      <c r="P1" s="86"/>
      <c r="Q1" s="86"/>
      <c r="R1" s="86"/>
      <c r="S1" s="85"/>
      <c r="T1" s="22" t="s">
        <v>40</v>
      </c>
      <c r="U1" s="84" t="s">
        <v>65</v>
      </c>
      <c r="V1" s="86"/>
      <c r="W1" s="85"/>
    </row>
    <row r="2" spans="1:23" ht="15" thickBot="1" x14ac:dyDescent="0.35">
      <c r="A2" s="14" t="s">
        <v>20</v>
      </c>
      <c r="B2" s="14" t="s">
        <v>11</v>
      </c>
      <c r="C2" s="15" t="s">
        <v>22</v>
      </c>
      <c r="D2" s="17" t="s">
        <v>23</v>
      </c>
      <c r="E2" s="15" t="s">
        <v>24</v>
      </c>
      <c r="F2" s="14" t="s">
        <v>25</v>
      </c>
      <c r="G2" s="14" t="s">
        <v>26</v>
      </c>
      <c r="H2" s="17" t="s">
        <v>27</v>
      </c>
      <c r="I2" s="15" t="s">
        <v>28</v>
      </c>
      <c r="J2" s="17" t="s">
        <v>29</v>
      </c>
      <c r="K2" s="15" t="s">
        <v>30</v>
      </c>
      <c r="L2" s="17" t="s">
        <v>31</v>
      </c>
      <c r="M2" s="15" t="s">
        <v>32</v>
      </c>
      <c r="N2" s="17" t="s">
        <v>33</v>
      </c>
      <c r="O2" s="15" t="s">
        <v>34</v>
      </c>
      <c r="P2" s="14" t="s">
        <v>35</v>
      </c>
      <c r="Q2" s="14" t="s">
        <v>36</v>
      </c>
      <c r="R2" s="14" t="s">
        <v>37</v>
      </c>
      <c r="S2" s="17" t="s">
        <v>38</v>
      </c>
      <c r="T2" s="20" t="s">
        <v>39</v>
      </c>
      <c r="U2" s="57" t="s">
        <v>66</v>
      </c>
      <c r="V2" s="58" t="s">
        <v>69</v>
      </c>
      <c r="W2" s="59" t="s">
        <v>68</v>
      </c>
    </row>
    <row r="3" spans="1:23" x14ac:dyDescent="0.3">
      <c r="A3" s="13" t="s">
        <v>0</v>
      </c>
      <c r="B3">
        <v>1</v>
      </c>
      <c r="C3" s="13">
        <v>1</v>
      </c>
      <c r="D3" s="13">
        <v>0</v>
      </c>
      <c r="E3" s="13">
        <v>54528</v>
      </c>
      <c r="F3" s="13">
        <v>180664</v>
      </c>
      <c r="G3" s="13">
        <v>2048</v>
      </c>
      <c r="H3" s="13">
        <v>2351504</v>
      </c>
      <c r="I3" s="13">
        <v>0</v>
      </c>
      <c r="J3" s="13">
        <v>0</v>
      </c>
      <c r="K3" s="13">
        <v>13744</v>
      </c>
      <c r="L3" s="13">
        <v>33</v>
      </c>
      <c r="M3" s="13">
        <v>2720</v>
      </c>
      <c r="N3" s="13">
        <v>1584</v>
      </c>
      <c r="O3" s="13">
        <v>18</v>
      </c>
      <c r="P3" s="13">
        <v>14</v>
      </c>
      <c r="Q3" s="13">
        <v>47</v>
      </c>
      <c r="R3" s="13">
        <v>21</v>
      </c>
      <c r="S3" s="13">
        <v>0</v>
      </c>
      <c r="T3" s="23">
        <v>46247.4844212963</v>
      </c>
      <c r="U3" s="55"/>
      <c r="V3" s="55"/>
    </row>
    <row r="4" spans="1:23" x14ac:dyDescent="0.3">
      <c r="A4" s="13" t="s">
        <v>0</v>
      </c>
      <c r="B4">
        <v>1</v>
      </c>
      <c r="C4" s="13">
        <v>1</v>
      </c>
      <c r="D4" s="13">
        <v>0</v>
      </c>
      <c r="E4" s="13">
        <v>54528</v>
      </c>
      <c r="F4" s="13">
        <v>171640</v>
      </c>
      <c r="G4" s="13">
        <v>1756</v>
      </c>
      <c r="H4" s="13">
        <v>2336992</v>
      </c>
      <c r="I4" s="13">
        <v>0</v>
      </c>
      <c r="J4" s="13">
        <v>0</v>
      </c>
      <c r="K4" s="13">
        <v>18805</v>
      </c>
      <c r="L4" s="13">
        <v>14</v>
      </c>
      <c r="M4" s="13">
        <v>3072</v>
      </c>
      <c r="N4" s="13">
        <v>1968</v>
      </c>
      <c r="O4" s="13">
        <v>20</v>
      </c>
      <c r="P4" s="13">
        <v>7</v>
      </c>
      <c r="Q4" s="13">
        <v>47</v>
      </c>
      <c r="R4" s="13">
        <v>25</v>
      </c>
      <c r="S4" s="13">
        <v>0</v>
      </c>
      <c r="T4" s="23">
        <v>46247.484537037039</v>
      </c>
      <c r="U4" s="55"/>
      <c r="V4" s="55"/>
    </row>
    <row r="5" spans="1:23" x14ac:dyDescent="0.3">
      <c r="A5" s="13" t="s">
        <v>0</v>
      </c>
      <c r="B5">
        <v>1</v>
      </c>
      <c r="C5" s="13">
        <v>0</v>
      </c>
      <c r="D5" s="13">
        <v>0</v>
      </c>
      <c r="E5" s="13">
        <v>54528</v>
      </c>
      <c r="F5" s="13">
        <v>178604</v>
      </c>
      <c r="G5" s="13">
        <v>1764</v>
      </c>
      <c r="H5" s="13">
        <v>2257536</v>
      </c>
      <c r="I5" s="13">
        <v>0</v>
      </c>
      <c r="J5" s="13">
        <v>0</v>
      </c>
      <c r="K5" s="13">
        <v>22474</v>
      </c>
      <c r="L5" s="13">
        <v>43</v>
      </c>
      <c r="M5" s="13">
        <v>2931</v>
      </c>
      <c r="N5" s="13">
        <v>1814</v>
      </c>
      <c r="O5" s="13">
        <v>18</v>
      </c>
      <c r="P5" s="13">
        <v>7</v>
      </c>
      <c r="Q5" s="13">
        <v>47</v>
      </c>
      <c r="R5" s="13">
        <v>27</v>
      </c>
      <c r="S5" s="13">
        <v>0</v>
      </c>
      <c r="T5" s="23">
        <v>46247.484652777777</v>
      </c>
      <c r="U5" s="55"/>
      <c r="V5" s="55"/>
    </row>
    <row r="6" spans="1:23" x14ac:dyDescent="0.3">
      <c r="A6" s="13" t="s">
        <v>0</v>
      </c>
      <c r="B6">
        <v>1</v>
      </c>
      <c r="C6" s="13">
        <v>1</v>
      </c>
      <c r="D6" s="13">
        <v>0</v>
      </c>
      <c r="E6" s="13">
        <v>54528</v>
      </c>
      <c r="F6" s="13">
        <v>111656</v>
      </c>
      <c r="G6" s="13">
        <v>1812</v>
      </c>
      <c r="H6" s="13">
        <v>2281708</v>
      </c>
      <c r="I6" s="13">
        <v>0</v>
      </c>
      <c r="J6" s="13">
        <v>0</v>
      </c>
      <c r="K6" s="13">
        <v>22691</v>
      </c>
      <c r="L6" s="13">
        <v>47</v>
      </c>
      <c r="M6" s="13">
        <v>2947</v>
      </c>
      <c r="N6" s="13">
        <v>1856</v>
      </c>
      <c r="O6" s="13">
        <v>19</v>
      </c>
      <c r="P6" s="13">
        <v>6</v>
      </c>
      <c r="Q6" s="13">
        <v>47</v>
      </c>
      <c r="R6" s="13">
        <v>27</v>
      </c>
      <c r="S6" s="13">
        <v>0</v>
      </c>
      <c r="T6" s="23">
        <v>46247.484768518516</v>
      </c>
      <c r="U6" s="55"/>
      <c r="V6" s="55"/>
    </row>
    <row r="7" spans="1:23" x14ac:dyDescent="0.3">
      <c r="A7" s="13" t="s">
        <v>0</v>
      </c>
      <c r="B7">
        <v>1</v>
      </c>
      <c r="C7" s="13">
        <v>0</v>
      </c>
      <c r="D7" s="13">
        <v>1</v>
      </c>
      <c r="E7" s="13">
        <v>54528</v>
      </c>
      <c r="F7" s="13">
        <v>119072</v>
      </c>
      <c r="G7" s="13">
        <v>1820</v>
      </c>
      <c r="H7" s="13">
        <v>2281844</v>
      </c>
      <c r="I7" s="13">
        <v>0</v>
      </c>
      <c r="J7" s="13">
        <v>0</v>
      </c>
      <c r="K7" s="13">
        <v>20289</v>
      </c>
      <c r="L7" s="13">
        <v>17</v>
      </c>
      <c r="M7" s="13">
        <v>2823</v>
      </c>
      <c r="N7" s="13">
        <v>1718</v>
      </c>
      <c r="O7" s="13">
        <v>20</v>
      </c>
      <c r="P7" s="13">
        <v>6</v>
      </c>
      <c r="Q7" s="13">
        <v>47</v>
      </c>
      <c r="R7" s="13">
        <v>26</v>
      </c>
      <c r="S7" s="13">
        <v>0</v>
      </c>
      <c r="T7" s="23">
        <v>46247.484884259262</v>
      </c>
      <c r="U7" s="55"/>
      <c r="V7" s="55"/>
    </row>
    <row r="8" spans="1:23" x14ac:dyDescent="0.3">
      <c r="A8" s="13" t="s">
        <v>0</v>
      </c>
      <c r="B8">
        <v>1</v>
      </c>
      <c r="C8" s="13">
        <v>1</v>
      </c>
      <c r="D8" s="13">
        <v>0</v>
      </c>
      <c r="E8" s="13">
        <v>54528</v>
      </c>
      <c r="F8" s="13">
        <v>189092</v>
      </c>
      <c r="G8" s="13">
        <v>1828</v>
      </c>
      <c r="H8" s="13">
        <v>2178180</v>
      </c>
      <c r="I8" s="13">
        <v>0</v>
      </c>
      <c r="J8" s="13">
        <v>0</v>
      </c>
      <c r="K8" s="13">
        <v>20046</v>
      </c>
      <c r="L8" s="13">
        <v>10</v>
      </c>
      <c r="M8" s="13">
        <v>3195</v>
      </c>
      <c r="N8" s="13">
        <v>2266</v>
      </c>
      <c r="O8" s="13">
        <v>19</v>
      </c>
      <c r="P8" s="13">
        <v>9</v>
      </c>
      <c r="Q8" s="13">
        <v>46</v>
      </c>
      <c r="R8" s="13">
        <v>26</v>
      </c>
      <c r="S8" s="13">
        <v>0</v>
      </c>
      <c r="T8" s="23">
        <v>46247.485000000001</v>
      </c>
      <c r="U8" s="55">
        <f>AVERAGE(C3:C8)</f>
        <v>0.66666666666666663</v>
      </c>
      <c r="V8" s="55">
        <f>AVERAGE(D3:D8)</f>
        <v>0.16666666666666666</v>
      </c>
      <c r="W8" s="56">
        <f>AVERAGE(K3:K8)</f>
        <v>19674.833333333332</v>
      </c>
    </row>
    <row r="9" spans="1:23" x14ac:dyDescent="0.3">
      <c r="A9" s="13" t="s">
        <v>0</v>
      </c>
      <c r="B9">
        <v>1</v>
      </c>
      <c r="C9" s="13">
        <v>1</v>
      </c>
      <c r="D9" s="13">
        <v>0</v>
      </c>
      <c r="E9" s="13">
        <v>54528</v>
      </c>
      <c r="F9" s="13">
        <v>141284</v>
      </c>
      <c r="G9" s="13">
        <v>1808</v>
      </c>
      <c r="H9" s="13">
        <v>2237812</v>
      </c>
      <c r="I9" s="13">
        <v>0</v>
      </c>
      <c r="J9" s="13">
        <v>0</v>
      </c>
      <c r="K9" s="13">
        <v>19798</v>
      </c>
      <c r="L9" s="13">
        <v>44</v>
      </c>
      <c r="M9" s="13">
        <v>3120</v>
      </c>
      <c r="N9" s="13">
        <v>1886</v>
      </c>
      <c r="O9" s="13">
        <v>20</v>
      </c>
      <c r="P9" s="13">
        <v>7</v>
      </c>
      <c r="Q9" s="13">
        <v>47</v>
      </c>
      <c r="R9" s="13">
        <v>26</v>
      </c>
      <c r="S9" s="13">
        <v>0</v>
      </c>
      <c r="T9" s="23">
        <v>46247.485115740739</v>
      </c>
      <c r="U9" s="55">
        <f t="shared" ref="U9:U72" si="0">AVERAGE(C4:C9)</f>
        <v>0.66666666666666663</v>
      </c>
      <c r="V9" s="55">
        <f t="shared" ref="V9:V72" si="1">AVERAGE(D4:D9)</f>
        <v>0.16666666666666666</v>
      </c>
      <c r="W9" s="56">
        <f t="shared" ref="W9:W72" si="2">AVERAGE(K4:K9)</f>
        <v>20683.833333333332</v>
      </c>
    </row>
    <row r="10" spans="1:23" x14ac:dyDescent="0.3">
      <c r="A10" s="13" t="s">
        <v>0</v>
      </c>
      <c r="B10">
        <v>1</v>
      </c>
      <c r="C10" s="13">
        <v>0</v>
      </c>
      <c r="D10" s="13">
        <v>1</v>
      </c>
      <c r="E10" s="13">
        <v>54528</v>
      </c>
      <c r="F10" s="13">
        <v>112796</v>
      </c>
      <c r="G10" s="13">
        <v>1804</v>
      </c>
      <c r="H10" s="13">
        <v>2256136</v>
      </c>
      <c r="I10" s="13">
        <v>0</v>
      </c>
      <c r="J10" s="13">
        <v>0</v>
      </c>
      <c r="K10" s="13">
        <v>22110</v>
      </c>
      <c r="L10" s="13">
        <v>12</v>
      </c>
      <c r="M10" s="13">
        <v>3131</v>
      </c>
      <c r="N10" s="13">
        <v>1944</v>
      </c>
      <c r="O10" s="13">
        <v>18</v>
      </c>
      <c r="P10" s="13">
        <v>6</v>
      </c>
      <c r="Q10" s="13">
        <v>48</v>
      </c>
      <c r="R10" s="13">
        <v>28</v>
      </c>
      <c r="S10" s="13">
        <v>0</v>
      </c>
      <c r="T10" s="23">
        <v>46247.485231481478</v>
      </c>
      <c r="U10" s="55">
        <f t="shared" si="0"/>
        <v>0.5</v>
      </c>
      <c r="V10" s="55">
        <f t="shared" si="1"/>
        <v>0.33333333333333331</v>
      </c>
      <c r="W10" s="56">
        <f t="shared" si="2"/>
        <v>21234.666666666668</v>
      </c>
    </row>
    <row r="11" spans="1:23" x14ac:dyDescent="0.3">
      <c r="A11" s="13" t="s">
        <v>0</v>
      </c>
      <c r="B11">
        <v>1</v>
      </c>
      <c r="C11" s="13">
        <v>2</v>
      </c>
      <c r="D11" s="13">
        <v>0</v>
      </c>
      <c r="E11" s="13">
        <v>54528</v>
      </c>
      <c r="F11" s="13">
        <v>181628</v>
      </c>
      <c r="G11" s="13">
        <v>1264</v>
      </c>
      <c r="H11" s="13">
        <v>2173144</v>
      </c>
      <c r="I11" s="13">
        <v>0</v>
      </c>
      <c r="J11" s="13">
        <v>8</v>
      </c>
      <c r="K11" s="13">
        <v>22801</v>
      </c>
      <c r="L11" s="13">
        <v>52</v>
      </c>
      <c r="M11" s="13">
        <v>3070</v>
      </c>
      <c r="N11" s="13">
        <v>1934</v>
      </c>
      <c r="O11" s="13">
        <v>19</v>
      </c>
      <c r="P11" s="13">
        <v>6</v>
      </c>
      <c r="Q11" s="13">
        <v>47</v>
      </c>
      <c r="R11" s="13">
        <v>27</v>
      </c>
      <c r="S11" s="13">
        <v>0</v>
      </c>
      <c r="T11" s="23">
        <v>46247.485347222224</v>
      </c>
      <c r="U11" s="55">
        <f t="shared" si="0"/>
        <v>0.83333333333333337</v>
      </c>
      <c r="V11" s="55">
        <f t="shared" si="1"/>
        <v>0.33333333333333331</v>
      </c>
      <c r="W11" s="56">
        <f t="shared" si="2"/>
        <v>21289.166666666668</v>
      </c>
    </row>
    <row r="12" spans="1:23" x14ac:dyDescent="0.3">
      <c r="A12" s="13" t="s">
        <v>0</v>
      </c>
      <c r="B12">
        <v>1</v>
      </c>
      <c r="C12" s="13">
        <v>2</v>
      </c>
      <c r="D12" s="13">
        <v>0</v>
      </c>
      <c r="E12" s="13">
        <v>54528</v>
      </c>
      <c r="F12" s="13">
        <v>162008</v>
      </c>
      <c r="G12" s="13">
        <v>1048</v>
      </c>
      <c r="H12" s="13">
        <v>2199720</v>
      </c>
      <c r="I12" s="13">
        <v>0</v>
      </c>
      <c r="J12" s="13">
        <v>6</v>
      </c>
      <c r="K12" s="13">
        <v>19075</v>
      </c>
      <c r="L12" s="13">
        <v>54</v>
      </c>
      <c r="M12" s="13">
        <v>2964</v>
      </c>
      <c r="N12" s="13">
        <v>1756</v>
      </c>
      <c r="O12" s="13">
        <v>20</v>
      </c>
      <c r="P12" s="13">
        <v>7</v>
      </c>
      <c r="Q12" s="13">
        <v>47</v>
      </c>
      <c r="R12" s="13">
        <v>26</v>
      </c>
      <c r="S12" s="13">
        <v>0</v>
      </c>
      <c r="T12" s="23">
        <v>46247.485462962963</v>
      </c>
      <c r="U12" s="55">
        <f t="shared" si="0"/>
        <v>1</v>
      </c>
      <c r="V12" s="55">
        <f t="shared" si="1"/>
        <v>0.33333333333333331</v>
      </c>
      <c r="W12" s="56">
        <f t="shared" si="2"/>
        <v>20686.5</v>
      </c>
    </row>
    <row r="13" spans="1:23" x14ac:dyDescent="0.3">
      <c r="A13" s="13" t="s">
        <v>0</v>
      </c>
      <c r="B13">
        <v>1</v>
      </c>
      <c r="C13" s="13">
        <v>0</v>
      </c>
      <c r="D13" s="13">
        <v>1</v>
      </c>
      <c r="E13" s="13">
        <v>54528</v>
      </c>
      <c r="F13" s="13">
        <v>136624</v>
      </c>
      <c r="G13" s="13">
        <v>632</v>
      </c>
      <c r="H13" s="13">
        <v>2217256</v>
      </c>
      <c r="I13" s="13">
        <v>0</v>
      </c>
      <c r="J13" s="13">
        <v>0</v>
      </c>
      <c r="K13" s="13">
        <v>27483</v>
      </c>
      <c r="L13" s="13">
        <v>5</v>
      </c>
      <c r="M13" s="13">
        <v>3046</v>
      </c>
      <c r="N13" s="13">
        <v>1949</v>
      </c>
      <c r="O13" s="13">
        <v>14</v>
      </c>
      <c r="P13" s="13">
        <v>7</v>
      </c>
      <c r="Q13" s="13">
        <v>47</v>
      </c>
      <c r="R13" s="13">
        <v>31</v>
      </c>
      <c r="S13" s="13">
        <v>0</v>
      </c>
      <c r="T13" s="23">
        <v>46247.485578703701</v>
      </c>
      <c r="U13" s="55">
        <f t="shared" si="0"/>
        <v>1</v>
      </c>
      <c r="V13" s="55">
        <f t="shared" si="1"/>
        <v>0.33333333333333331</v>
      </c>
      <c r="W13" s="56">
        <f t="shared" si="2"/>
        <v>21885.5</v>
      </c>
    </row>
    <row r="14" spans="1:23" x14ac:dyDescent="0.3">
      <c r="A14" s="13" t="s">
        <v>0</v>
      </c>
      <c r="B14">
        <v>1</v>
      </c>
      <c r="C14" s="13">
        <v>0</v>
      </c>
      <c r="D14" s="13">
        <v>1</v>
      </c>
      <c r="E14" s="13">
        <v>54528</v>
      </c>
      <c r="F14" s="13">
        <v>163896</v>
      </c>
      <c r="G14" s="13">
        <v>776</v>
      </c>
      <c r="H14" s="13">
        <v>2200616</v>
      </c>
      <c r="I14" s="13">
        <v>0</v>
      </c>
      <c r="J14" s="13">
        <v>0</v>
      </c>
      <c r="K14" s="13">
        <v>20585</v>
      </c>
      <c r="L14" s="13">
        <v>16</v>
      </c>
      <c r="M14" s="13">
        <v>2954</v>
      </c>
      <c r="N14" s="13">
        <v>1807</v>
      </c>
      <c r="O14" s="13">
        <v>20</v>
      </c>
      <c r="P14" s="13">
        <v>6</v>
      </c>
      <c r="Q14" s="13">
        <v>47</v>
      </c>
      <c r="R14" s="13">
        <v>26</v>
      </c>
      <c r="S14" s="13">
        <v>0</v>
      </c>
      <c r="T14" s="23">
        <v>46247.485694444447</v>
      </c>
      <c r="U14" s="55">
        <f t="shared" si="0"/>
        <v>0.83333333333333337</v>
      </c>
      <c r="V14" s="55">
        <f t="shared" si="1"/>
        <v>0.5</v>
      </c>
      <c r="W14" s="56">
        <f t="shared" si="2"/>
        <v>21975.333333333332</v>
      </c>
    </row>
    <row r="15" spans="1:23" x14ac:dyDescent="0.3">
      <c r="A15" s="13" t="s">
        <v>0</v>
      </c>
      <c r="B15">
        <v>1</v>
      </c>
      <c r="C15" s="13">
        <v>1</v>
      </c>
      <c r="D15" s="13">
        <v>0</v>
      </c>
      <c r="E15" s="13">
        <v>54528</v>
      </c>
      <c r="F15" s="13">
        <v>108892</v>
      </c>
      <c r="G15" s="13">
        <v>784</v>
      </c>
      <c r="H15" s="13">
        <v>2250088</v>
      </c>
      <c r="I15" s="13">
        <v>0</v>
      </c>
      <c r="J15" s="13">
        <v>0</v>
      </c>
      <c r="K15" s="13">
        <v>21581</v>
      </c>
      <c r="L15" s="13">
        <v>11</v>
      </c>
      <c r="M15" s="13">
        <v>2697</v>
      </c>
      <c r="N15" s="13">
        <v>1752</v>
      </c>
      <c r="O15" s="13">
        <v>20</v>
      </c>
      <c r="P15" s="13">
        <v>6</v>
      </c>
      <c r="Q15" s="13">
        <v>48</v>
      </c>
      <c r="R15" s="13">
        <v>26</v>
      </c>
      <c r="S15" s="13">
        <v>0</v>
      </c>
      <c r="T15" s="23">
        <v>46247.485810185186</v>
      </c>
      <c r="U15" s="55">
        <f t="shared" si="0"/>
        <v>0.83333333333333337</v>
      </c>
      <c r="V15" s="55">
        <f t="shared" si="1"/>
        <v>0.5</v>
      </c>
      <c r="W15" s="56">
        <f t="shared" si="2"/>
        <v>22272.5</v>
      </c>
    </row>
    <row r="16" spans="1:23" x14ac:dyDescent="0.3">
      <c r="A16" s="13" t="s">
        <v>0</v>
      </c>
      <c r="B16">
        <v>1</v>
      </c>
      <c r="C16" s="13">
        <v>1</v>
      </c>
      <c r="D16" s="13">
        <v>0</v>
      </c>
      <c r="E16" s="13">
        <v>54528</v>
      </c>
      <c r="F16" s="13">
        <v>137972</v>
      </c>
      <c r="G16" s="13">
        <v>680</v>
      </c>
      <c r="H16" s="13">
        <v>2230324</v>
      </c>
      <c r="I16" s="13">
        <v>0</v>
      </c>
      <c r="J16" s="13">
        <v>0</v>
      </c>
      <c r="K16" s="13">
        <v>25400</v>
      </c>
      <c r="L16" s="13">
        <v>31</v>
      </c>
      <c r="M16" s="13">
        <v>3154</v>
      </c>
      <c r="N16" s="13">
        <v>2113</v>
      </c>
      <c r="O16" s="13">
        <v>17</v>
      </c>
      <c r="P16" s="13">
        <v>7</v>
      </c>
      <c r="Q16" s="13">
        <v>47</v>
      </c>
      <c r="R16" s="13">
        <v>29</v>
      </c>
      <c r="S16" s="13">
        <v>0</v>
      </c>
      <c r="T16" s="23">
        <v>46247.485925925925</v>
      </c>
      <c r="U16" s="55">
        <f t="shared" si="0"/>
        <v>1</v>
      </c>
      <c r="V16" s="55">
        <f t="shared" si="1"/>
        <v>0.33333333333333331</v>
      </c>
      <c r="W16" s="56">
        <f t="shared" si="2"/>
        <v>22820.833333333332</v>
      </c>
    </row>
    <row r="17" spans="1:23" x14ac:dyDescent="0.3">
      <c r="A17" s="13" t="s">
        <v>0</v>
      </c>
      <c r="B17">
        <v>1</v>
      </c>
      <c r="C17" s="13">
        <v>1</v>
      </c>
      <c r="D17" s="13">
        <v>0</v>
      </c>
      <c r="E17" s="13">
        <v>54528</v>
      </c>
      <c r="F17" s="13">
        <v>110860</v>
      </c>
      <c r="G17" s="13">
        <v>688</v>
      </c>
      <c r="H17" s="13">
        <v>2247820</v>
      </c>
      <c r="I17" s="13">
        <v>0</v>
      </c>
      <c r="J17" s="13">
        <v>0</v>
      </c>
      <c r="K17" s="13">
        <v>17959</v>
      </c>
      <c r="L17" s="13">
        <v>10</v>
      </c>
      <c r="M17" s="13">
        <v>2624</v>
      </c>
      <c r="N17" s="13">
        <v>1579</v>
      </c>
      <c r="O17" s="13">
        <v>20</v>
      </c>
      <c r="P17" s="13">
        <v>6</v>
      </c>
      <c r="Q17" s="13">
        <v>48</v>
      </c>
      <c r="R17" s="13">
        <v>25</v>
      </c>
      <c r="S17" s="13">
        <v>0</v>
      </c>
      <c r="T17" s="23">
        <v>46247.486041666663</v>
      </c>
      <c r="U17" s="55">
        <f t="shared" si="0"/>
        <v>0.83333333333333337</v>
      </c>
      <c r="V17" s="55">
        <f t="shared" si="1"/>
        <v>0.33333333333333331</v>
      </c>
      <c r="W17" s="56">
        <f t="shared" si="2"/>
        <v>22013.833333333332</v>
      </c>
    </row>
    <row r="18" spans="1:23" x14ac:dyDescent="0.3">
      <c r="A18" s="13" t="s">
        <v>0</v>
      </c>
      <c r="B18">
        <v>1</v>
      </c>
      <c r="C18" s="13">
        <v>1</v>
      </c>
      <c r="D18" s="13">
        <v>0</v>
      </c>
      <c r="E18" s="13">
        <v>54528</v>
      </c>
      <c r="F18" s="13">
        <v>146204</v>
      </c>
      <c r="G18" s="13">
        <v>728</v>
      </c>
      <c r="H18" s="13">
        <v>2213440</v>
      </c>
      <c r="I18" s="13">
        <v>0</v>
      </c>
      <c r="J18" s="13">
        <v>0</v>
      </c>
      <c r="K18" s="13">
        <v>18437</v>
      </c>
      <c r="L18" s="13">
        <v>38</v>
      </c>
      <c r="M18" s="13">
        <v>2774</v>
      </c>
      <c r="N18" s="13">
        <v>1687</v>
      </c>
      <c r="O18" s="13">
        <v>15</v>
      </c>
      <c r="P18" s="13">
        <v>6</v>
      </c>
      <c r="Q18" s="13">
        <v>47</v>
      </c>
      <c r="R18" s="13">
        <v>30</v>
      </c>
      <c r="S18" s="13">
        <v>1</v>
      </c>
      <c r="T18" s="23">
        <v>46247.486157407409</v>
      </c>
      <c r="U18" s="55">
        <f t="shared" si="0"/>
        <v>0.66666666666666663</v>
      </c>
      <c r="V18" s="55">
        <f t="shared" si="1"/>
        <v>0.33333333333333331</v>
      </c>
      <c r="W18" s="56">
        <f t="shared" si="2"/>
        <v>21907.5</v>
      </c>
    </row>
    <row r="19" spans="1:23" x14ac:dyDescent="0.3">
      <c r="A19" s="13" t="s">
        <v>0</v>
      </c>
      <c r="B19">
        <v>1</v>
      </c>
      <c r="C19" s="13">
        <v>1</v>
      </c>
      <c r="D19" s="13">
        <v>0</v>
      </c>
      <c r="E19" s="13">
        <v>54528</v>
      </c>
      <c r="F19" s="13">
        <v>157244</v>
      </c>
      <c r="G19" s="13">
        <v>736</v>
      </c>
      <c r="H19" s="13">
        <v>2202744</v>
      </c>
      <c r="I19" s="13">
        <v>0</v>
      </c>
      <c r="J19" s="13">
        <v>0</v>
      </c>
      <c r="K19" s="13">
        <v>20383</v>
      </c>
      <c r="L19" s="13">
        <v>10</v>
      </c>
      <c r="M19" s="13">
        <v>2924</v>
      </c>
      <c r="N19" s="13">
        <v>1919</v>
      </c>
      <c r="O19" s="13">
        <v>16</v>
      </c>
      <c r="P19" s="13">
        <v>7</v>
      </c>
      <c r="Q19" s="13">
        <v>47</v>
      </c>
      <c r="R19" s="13">
        <v>29</v>
      </c>
      <c r="S19" s="13">
        <v>1</v>
      </c>
      <c r="T19" s="23">
        <v>46247.486273148148</v>
      </c>
      <c r="U19" s="55">
        <f t="shared" si="0"/>
        <v>0.83333333333333337</v>
      </c>
      <c r="V19" s="55">
        <f t="shared" si="1"/>
        <v>0.16666666666666666</v>
      </c>
      <c r="W19" s="56">
        <f t="shared" si="2"/>
        <v>20724.166666666668</v>
      </c>
    </row>
    <row r="20" spans="1:23" x14ac:dyDescent="0.3">
      <c r="A20" s="13" t="s">
        <v>0</v>
      </c>
      <c r="B20">
        <v>1</v>
      </c>
      <c r="C20" s="13">
        <v>1</v>
      </c>
      <c r="D20" s="13">
        <v>0</v>
      </c>
      <c r="E20" s="13">
        <v>54528</v>
      </c>
      <c r="F20" s="13">
        <v>114888</v>
      </c>
      <c r="G20" s="13">
        <v>744</v>
      </c>
      <c r="H20" s="13">
        <v>2231836</v>
      </c>
      <c r="I20" s="13">
        <v>0</v>
      </c>
      <c r="J20" s="13">
        <v>0</v>
      </c>
      <c r="K20" s="13">
        <v>18985</v>
      </c>
      <c r="L20" s="13">
        <v>10</v>
      </c>
      <c r="M20" s="13">
        <v>2778</v>
      </c>
      <c r="N20" s="13">
        <v>1661</v>
      </c>
      <c r="O20" s="13">
        <v>21</v>
      </c>
      <c r="P20" s="13">
        <v>6</v>
      </c>
      <c r="Q20" s="13">
        <v>48</v>
      </c>
      <c r="R20" s="13">
        <v>25</v>
      </c>
      <c r="S20" s="13">
        <v>0</v>
      </c>
      <c r="T20" s="23">
        <v>46247.486388888887</v>
      </c>
      <c r="U20" s="55">
        <f t="shared" si="0"/>
        <v>1</v>
      </c>
      <c r="V20" s="55">
        <f t="shared" si="1"/>
        <v>0</v>
      </c>
      <c r="W20" s="56">
        <f t="shared" si="2"/>
        <v>20457.5</v>
      </c>
    </row>
    <row r="21" spans="1:23" x14ac:dyDescent="0.3">
      <c r="A21" s="13" t="s">
        <v>0</v>
      </c>
      <c r="B21">
        <v>1</v>
      </c>
      <c r="C21" s="13">
        <v>0</v>
      </c>
      <c r="D21" s="13">
        <v>1</v>
      </c>
      <c r="E21" s="13">
        <v>54528</v>
      </c>
      <c r="F21" s="13">
        <v>130264</v>
      </c>
      <c r="G21" s="13">
        <v>768</v>
      </c>
      <c r="H21" s="13">
        <v>2220196</v>
      </c>
      <c r="I21" s="13">
        <v>1</v>
      </c>
      <c r="J21" s="13">
        <v>0</v>
      </c>
      <c r="K21" s="13">
        <v>26207</v>
      </c>
      <c r="L21" s="13">
        <v>24</v>
      </c>
      <c r="M21" s="13">
        <v>3132</v>
      </c>
      <c r="N21" s="13">
        <v>1955</v>
      </c>
      <c r="O21" s="13">
        <v>17</v>
      </c>
      <c r="P21" s="13">
        <v>6</v>
      </c>
      <c r="Q21" s="13">
        <v>48</v>
      </c>
      <c r="R21" s="13">
        <v>29</v>
      </c>
      <c r="S21" s="13">
        <v>0</v>
      </c>
      <c r="T21" s="23">
        <v>46247.486504629633</v>
      </c>
      <c r="U21" s="55">
        <f t="shared" si="0"/>
        <v>0.83333333333333337</v>
      </c>
      <c r="V21" s="55">
        <f t="shared" si="1"/>
        <v>0.16666666666666666</v>
      </c>
      <c r="W21" s="56">
        <f t="shared" si="2"/>
        <v>21228.5</v>
      </c>
    </row>
    <row r="22" spans="1:23" x14ac:dyDescent="0.3">
      <c r="A22" s="13" t="s">
        <v>0</v>
      </c>
      <c r="B22">
        <v>1</v>
      </c>
      <c r="C22" s="13">
        <v>1</v>
      </c>
      <c r="D22" s="13">
        <v>0</v>
      </c>
      <c r="E22" s="13">
        <v>54528</v>
      </c>
      <c r="F22" s="13">
        <v>141708</v>
      </c>
      <c r="G22" s="13">
        <v>776</v>
      </c>
      <c r="H22" s="13">
        <v>2208840</v>
      </c>
      <c r="I22" s="13">
        <v>1</v>
      </c>
      <c r="J22" s="13">
        <v>0</v>
      </c>
      <c r="K22" s="13">
        <v>19676</v>
      </c>
      <c r="L22" s="13">
        <v>11</v>
      </c>
      <c r="M22" s="13">
        <v>2950</v>
      </c>
      <c r="N22" s="13">
        <v>1721</v>
      </c>
      <c r="O22" s="13">
        <v>20</v>
      </c>
      <c r="P22" s="13">
        <v>6</v>
      </c>
      <c r="Q22" s="13">
        <v>48</v>
      </c>
      <c r="R22" s="13">
        <v>26</v>
      </c>
      <c r="S22" s="13">
        <v>0</v>
      </c>
      <c r="T22" s="23">
        <v>46247.486620370371</v>
      </c>
      <c r="U22" s="55">
        <f t="shared" si="0"/>
        <v>0.83333333333333337</v>
      </c>
      <c r="V22" s="55">
        <f t="shared" si="1"/>
        <v>0.16666666666666666</v>
      </c>
      <c r="W22" s="56">
        <f t="shared" si="2"/>
        <v>20274.5</v>
      </c>
    </row>
    <row r="23" spans="1:23" x14ac:dyDescent="0.3">
      <c r="A23" s="13" t="s">
        <v>0</v>
      </c>
      <c r="B23">
        <v>1</v>
      </c>
      <c r="C23" s="13">
        <v>0</v>
      </c>
      <c r="D23" s="13">
        <v>1</v>
      </c>
      <c r="E23" s="13">
        <v>54528</v>
      </c>
      <c r="F23" s="13">
        <v>134468</v>
      </c>
      <c r="G23" s="13">
        <v>792</v>
      </c>
      <c r="H23" s="13">
        <v>2217700</v>
      </c>
      <c r="I23" s="13">
        <v>4</v>
      </c>
      <c r="J23" s="13">
        <v>0</v>
      </c>
      <c r="K23" s="13">
        <v>22674</v>
      </c>
      <c r="L23" s="13">
        <v>25</v>
      </c>
      <c r="M23" s="13">
        <v>2959</v>
      </c>
      <c r="N23" s="13">
        <v>1836</v>
      </c>
      <c r="O23" s="13">
        <v>20</v>
      </c>
      <c r="P23" s="13">
        <v>6</v>
      </c>
      <c r="Q23" s="13">
        <v>47</v>
      </c>
      <c r="R23" s="13">
        <v>27</v>
      </c>
      <c r="S23" s="13">
        <v>0</v>
      </c>
      <c r="T23" s="23">
        <v>46247.48673611111</v>
      </c>
      <c r="U23" s="55">
        <f t="shared" si="0"/>
        <v>0.66666666666666663</v>
      </c>
      <c r="V23" s="55">
        <f t="shared" si="1"/>
        <v>0.33333333333333331</v>
      </c>
      <c r="W23" s="56">
        <f t="shared" si="2"/>
        <v>21060.333333333332</v>
      </c>
    </row>
    <row r="24" spans="1:23" x14ac:dyDescent="0.3">
      <c r="A24" s="13" t="s">
        <v>0</v>
      </c>
      <c r="B24">
        <v>1</v>
      </c>
      <c r="C24" s="13">
        <v>1</v>
      </c>
      <c r="D24" s="13">
        <v>0</v>
      </c>
      <c r="E24" s="13">
        <v>54528</v>
      </c>
      <c r="F24" s="13">
        <v>116916</v>
      </c>
      <c r="G24" s="13">
        <v>832</v>
      </c>
      <c r="H24" s="13">
        <v>2232504</v>
      </c>
      <c r="I24" s="13">
        <v>0</v>
      </c>
      <c r="J24" s="13">
        <v>0</v>
      </c>
      <c r="K24" s="13">
        <v>22469</v>
      </c>
      <c r="L24" s="13">
        <v>31</v>
      </c>
      <c r="M24" s="13">
        <v>2942</v>
      </c>
      <c r="N24" s="13">
        <v>1868</v>
      </c>
      <c r="O24" s="13">
        <v>19</v>
      </c>
      <c r="P24" s="13">
        <v>6</v>
      </c>
      <c r="Q24" s="13">
        <v>48</v>
      </c>
      <c r="R24" s="13">
        <v>28</v>
      </c>
      <c r="S24" s="13">
        <v>0</v>
      </c>
      <c r="T24" s="23">
        <v>46247.486851851849</v>
      </c>
      <c r="U24" s="55">
        <f t="shared" si="0"/>
        <v>0.66666666666666663</v>
      </c>
      <c r="V24" s="55">
        <f t="shared" si="1"/>
        <v>0.33333333333333331</v>
      </c>
      <c r="W24" s="56">
        <f t="shared" si="2"/>
        <v>21732.333333333332</v>
      </c>
    </row>
    <row r="25" spans="1:23" x14ac:dyDescent="0.3">
      <c r="A25" s="13" t="s">
        <v>0</v>
      </c>
      <c r="B25">
        <v>1</v>
      </c>
      <c r="C25" s="13">
        <v>0</v>
      </c>
      <c r="D25" s="13">
        <v>1</v>
      </c>
      <c r="E25" s="13">
        <v>54528</v>
      </c>
      <c r="F25" s="13">
        <v>148768</v>
      </c>
      <c r="G25" s="13">
        <v>840</v>
      </c>
      <c r="H25" s="13">
        <v>2195184</v>
      </c>
      <c r="I25" s="13">
        <v>0</v>
      </c>
      <c r="J25" s="13">
        <v>0</v>
      </c>
      <c r="K25" s="13">
        <v>17719</v>
      </c>
      <c r="L25" s="13">
        <v>15</v>
      </c>
      <c r="M25" s="13">
        <v>2790</v>
      </c>
      <c r="N25" s="13">
        <v>1593</v>
      </c>
      <c r="O25" s="13">
        <v>21</v>
      </c>
      <c r="P25" s="13">
        <v>6</v>
      </c>
      <c r="Q25" s="13">
        <v>48</v>
      </c>
      <c r="R25" s="13">
        <v>25</v>
      </c>
      <c r="S25" s="13">
        <v>1</v>
      </c>
      <c r="T25" s="23">
        <v>46247.486967592595</v>
      </c>
      <c r="U25" s="55">
        <f t="shared" si="0"/>
        <v>0.5</v>
      </c>
      <c r="V25" s="55">
        <f t="shared" si="1"/>
        <v>0.5</v>
      </c>
      <c r="W25" s="56">
        <f t="shared" si="2"/>
        <v>21288.333333333332</v>
      </c>
    </row>
    <row r="26" spans="1:23" x14ac:dyDescent="0.3">
      <c r="A26" s="13" t="s">
        <v>0</v>
      </c>
      <c r="B26">
        <v>1</v>
      </c>
      <c r="C26" s="13">
        <v>1</v>
      </c>
      <c r="D26" s="13">
        <v>0</v>
      </c>
      <c r="E26" s="13">
        <v>54528</v>
      </c>
      <c r="F26" s="13">
        <v>109500</v>
      </c>
      <c r="G26" s="13">
        <v>848</v>
      </c>
      <c r="H26" s="13">
        <v>2229556</v>
      </c>
      <c r="I26" s="13">
        <v>0</v>
      </c>
      <c r="J26" s="13">
        <v>0</v>
      </c>
      <c r="K26" s="13">
        <v>24988</v>
      </c>
      <c r="L26" s="13">
        <v>11</v>
      </c>
      <c r="M26" s="13">
        <v>3162</v>
      </c>
      <c r="N26" s="13">
        <v>2136</v>
      </c>
      <c r="O26" s="13">
        <v>17</v>
      </c>
      <c r="P26" s="13">
        <v>7</v>
      </c>
      <c r="Q26" s="13">
        <v>47</v>
      </c>
      <c r="R26" s="13">
        <v>29</v>
      </c>
      <c r="S26" s="13">
        <v>0</v>
      </c>
      <c r="T26" s="23">
        <v>46247.487083333333</v>
      </c>
      <c r="U26" s="55">
        <f t="shared" si="0"/>
        <v>0.5</v>
      </c>
      <c r="V26" s="55">
        <f t="shared" si="1"/>
        <v>0.5</v>
      </c>
      <c r="W26" s="56">
        <f t="shared" si="2"/>
        <v>22288.833333333332</v>
      </c>
    </row>
    <row r="27" spans="1:23" x14ac:dyDescent="0.3">
      <c r="A27" s="13" t="s">
        <v>0</v>
      </c>
      <c r="B27">
        <v>1</v>
      </c>
      <c r="C27" s="13">
        <v>1</v>
      </c>
      <c r="D27" s="13">
        <v>0</v>
      </c>
      <c r="E27" s="13">
        <v>54528</v>
      </c>
      <c r="F27" s="13">
        <v>129016</v>
      </c>
      <c r="G27" s="13">
        <v>864</v>
      </c>
      <c r="H27" s="13">
        <v>2213416</v>
      </c>
      <c r="I27" s="13">
        <v>0</v>
      </c>
      <c r="J27" s="13">
        <v>0</v>
      </c>
      <c r="K27" s="13">
        <v>19471</v>
      </c>
      <c r="L27" s="13">
        <v>32</v>
      </c>
      <c r="M27" s="13">
        <v>2922</v>
      </c>
      <c r="N27" s="13">
        <v>1755</v>
      </c>
      <c r="O27" s="13">
        <v>21</v>
      </c>
      <c r="P27" s="13">
        <v>6</v>
      </c>
      <c r="Q27" s="13">
        <v>48</v>
      </c>
      <c r="R27" s="13">
        <v>25</v>
      </c>
      <c r="S27" s="13">
        <v>0</v>
      </c>
      <c r="T27" s="23">
        <v>46247.487199074072</v>
      </c>
      <c r="U27" s="55">
        <f t="shared" si="0"/>
        <v>0.66666666666666663</v>
      </c>
      <c r="V27" s="55">
        <f t="shared" si="1"/>
        <v>0.33333333333333331</v>
      </c>
      <c r="W27" s="56">
        <f t="shared" si="2"/>
        <v>21166.166666666668</v>
      </c>
    </row>
    <row r="28" spans="1:23" x14ac:dyDescent="0.3">
      <c r="A28" s="13" t="s">
        <v>0</v>
      </c>
      <c r="B28">
        <v>1</v>
      </c>
      <c r="C28" s="13">
        <v>1</v>
      </c>
      <c r="D28" s="13">
        <v>0</v>
      </c>
      <c r="E28" s="13">
        <v>54528</v>
      </c>
      <c r="F28" s="13">
        <v>624576</v>
      </c>
      <c r="G28" s="13">
        <v>880</v>
      </c>
      <c r="H28" s="13">
        <v>1706400</v>
      </c>
      <c r="I28" s="13">
        <v>0</v>
      </c>
      <c r="J28" s="13">
        <v>0</v>
      </c>
      <c r="K28" s="13">
        <v>19693</v>
      </c>
      <c r="L28" s="13">
        <v>23</v>
      </c>
      <c r="M28" s="13">
        <v>2928</v>
      </c>
      <c r="N28" s="13">
        <v>1916</v>
      </c>
      <c r="O28" s="13">
        <v>21</v>
      </c>
      <c r="P28" s="13">
        <v>14</v>
      </c>
      <c r="Q28" s="13">
        <v>41</v>
      </c>
      <c r="R28" s="13">
        <v>24</v>
      </c>
      <c r="S28" s="13">
        <v>0</v>
      </c>
      <c r="T28" s="23">
        <v>46247.487314814818</v>
      </c>
      <c r="U28" s="55">
        <f t="shared" si="0"/>
        <v>0.66666666666666663</v>
      </c>
      <c r="V28" s="55">
        <f t="shared" si="1"/>
        <v>0.33333333333333331</v>
      </c>
      <c r="W28" s="56">
        <f t="shared" si="2"/>
        <v>21169</v>
      </c>
    </row>
    <row r="29" spans="1:23" x14ac:dyDescent="0.3">
      <c r="A29" s="13" t="s">
        <v>0</v>
      </c>
      <c r="B29">
        <v>1</v>
      </c>
      <c r="C29" s="13">
        <v>1</v>
      </c>
      <c r="D29" s="13">
        <v>0</v>
      </c>
      <c r="E29" s="13">
        <v>54528</v>
      </c>
      <c r="F29" s="13">
        <v>447700</v>
      </c>
      <c r="G29" s="13">
        <v>888</v>
      </c>
      <c r="H29" s="13">
        <v>1899912</v>
      </c>
      <c r="I29" s="13">
        <v>0</v>
      </c>
      <c r="J29" s="13">
        <v>0</v>
      </c>
      <c r="K29" s="13">
        <v>19351</v>
      </c>
      <c r="L29" s="13">
        <v>12</v>
      </c>
      <c r="M29" s="13">
        <v>2801</v>
      </c>
      <c r="N29" s="13">
        <v>1776</v>
      </c>
      <c r="O29" s="13">
        <v>15</v>
      </c>
      <c r="P29" s="13">
        <v>8</v>
      </c>
      <c r="Q29" s="13">
        <v>48</v>
      </c>
      <c r="R29" s="13">
        <v>29</v>
      </c>
      <c r="S29" s="13">
        <v>1</v>
      </c>
      <c r="T29" s="23">
        <v>46247.487430555557</v>
      </c>
      <c r="U29" s="55">
        <f t="shared" si="0"/>
        <v>0.83333333333333337</v>
      </c>
      <c r="V29" s="55">
        <f t="shared" si="1"/>
        <v>0.16666666666666666</v>
      </c>
      <c r="W29" s="56">
        <f t="shared" si="2"/>
        <v>20615.166666666668</v>
      </c>
    </row>
    <row r="30" spans="1:23" x14ac:dyDescent="0.3">
      <c r="A30" s="13" t="s">
        <v>0</v>
      </c>
      <c r="B30">
        <v>1</v>
      </c>
      <c r="C30" s="13">
        <v>0</v>
      </c>
      <c r="D30" s="13">
        <v>1</v>
      </c>
      <c r="E30" s="13">
        <v>54528</v>
      </c>
      <c r="F30" s="13">
        <v>290704</v>
      </c>
      <c r="G30" s="13">
        <v>912</v>
      </c>
      <c r="H30" s="13">
        <v>2054912</v>
      </c>
      <c r="I30" s="13">
        <v>0</v>
      </c>
      <c r="J30" s="13">
        <v>0</v>
      </c>
      <c r="K30" s="13">
        <v>15497</v>
      </c>
      <c r="L30" s="13">
        <v>26</v>
      </c>
      <c r="M30" s="13">
        <v>2580</v>
      </c>
      <c r="N30" s="13">
        <v>1434</v>
      </c>
      <c r="O30" s="13">
        <v>18</v>
      </c>
      <c r="P30" s="13">
        <v>8</v>
      </c>
      <c r="Q30" s="13">
        <v>48</v>
      </c>
      <c r="R30" s="13">
        <v>24</v>
      </c>
      <c r="S30" s="13">
        <v>1</v>
      </c>
      <c r="T30" s="23">
        <v>46247.487546296295</v>
      </c>
      <c r="U30" s="55">
        <f t="shared" si="0"/>
        <v>0.66666666666666663</v>
      </c>
      <c r="V30" s="55">
        <f t="shared" si="1"/>
        <v>0.33333333333333331</v>
      </c>
      <c r="W30" s="56">
        <f t="shared" si="2"/>
        <v>19453.166666666668</v>
      </c>
    </row>
    <row r="31" spans="1:23" x14ac:dyDescent="0.3">
      <c r="A31" s="13" t="s">
        <v>0</v>
      </c>
      <c r="B31">
        <v>1</v>
      </c>
      <c r="C31" s="13">
        <v>0</v>
      </c>
      <c r="D31" s="13">
        <v>1</v>
      </c>
      <c r="E31" s="13">
        <v>54528</v>
      </c>
      <c r="F31" s="13">
        <v>152612</v>
      </c>
      <c r="G31" s="13">
        <v>928</v>
      </c>
      <c r="H31" s="13">
        <v>2201032</v>
      </c>
      <c r="I31" s="13">
        <v>0</v>
      </c>
      <c r="J31" s="13">
        <v>0</v>
      </c>
      <c r="K31" s="13">
        <v>14612</v>
      </c>
      <c r="L31" s="13">
        <v>37</v>
      </c>
      <c r="M31" s="13">
        <v>2363</v>
      </c>
      <c r="N31" s="13">
        <v>1364</v>
      </c>
      <c r="O31" s="13">
        <v>19</v>
      </c>
      <c r="P31" s="13">
        <v>8</v>
      </c>
      <c r="Q31" s="13">
        <v>48</v>
      </c>
      <c r="R31" s="13">
        <v>24</v>
      </c>
      <c r="S31" s="13">
        <v>1</v>
      </c>
      <c r="T31" s="23">
        <v>46247.487662037034</v>
      </c>
      <c r="U31" s="55">
        <f t="shared" si="0"/>
        <v>0.66666666666666663</v>
      </c>
      <c r="V31" s="55">
        <f t="shared" si="1"/>
        <v>0.33333333333333331</v>
      </c>
      <c r="W31" s="56">
        <f t="shared" si="2"/>
        <v>18935.333333333332</v>
      </c>
    </row>
    <row r="32" spans="1:23" x14ac:dyDescent="0.3">
      <c r="A32" s="13" t="s">
        <v>0</v>
      </c>
      <c r="B32">
        <v>1</v>
      </c>
      <c r="C32" s="13">
        <v>1</v>
      </c>
      <c r="D32" s="13">
        <v>0</v>
      </c>
      <c r="E32" s="13">
        <v>54528</v>
      </c>
      <c r="F32" s="13">
        <v>135244</v>
      </c>
      <c r="G32" s="13">
        <v>936</v>
      </c>
      <c r="H32" s="13">
        <v>2220300</v>
      </c>
      <c r="I32" s="13">
        <v>0</v>
      </c>
      <c r="J32" s="13">
        <v>0</v>
      </c>
      <c r="K32" s="13">
        <v>15877</v>
      </c>
      <c r="L32" s="13">
        <v>15</v>
      </c>
      <c r="M32" s="13">
        <v>2587</v>
      </c>
      <c r="N32" s="13">
        <v>1552</v>
      </c>
      <c r="O32" s="13">
        <v>17</v>
      </c>
      <c r="P32" s="13">
        <v>6</v>
      </c>
      <c r="Q32" s="13">
        <v>47</v>
      </c>
      <c r="R32" s="13">
        <v>29</v>
      </c>
      <c r="S32" s="13">
        <v>1</v>
      </c>
      <c r="T32" s="23">
        <v>46247.48777777778</v>
      </c>
      <c r="U32" s="55">
        <f t="shared" si="0"/>
        <v>0.66666666666666663</v>
      </c>
      <c r="V32" s="55">
        <f t="shared" si="1"/>
        <v>0.33333333333333331</v>
      </c>
      <c r="W32" s="56">
        <f t="shared" si="2"/>
        <v>17416.833333333332</v>
      </c>
    </row>
    <row r="33" spans="1:23" x14ac:dyDescent="0.3">
      <c r="A33" s="13" t="s">
        <v>0</v>
      </c>
      <c r="B33">
        <v>1</v>
      </c>
      <c r="C33" s="13">
        <v>1</v>
      </c>
      <c r="D33" s="13">
        <v>0</v>
      </c>
      <c r="E33" s="13">
        <v>54528</v>
      </c>
      <c r="F33" s="13">
        <v>135964</v>
      </c>
      <c r="G33" s="13">
        <v>944</v>
      </c>
      <c r="H33" s="13">
        <v>2221400</v>
      </c>
      <c r="I33" s="13">
        <v>0</v>
      </c>
      <c r="J33" s="13">
        <v>0</v>
      </c>
      <c r="K33" s="13">
        <v>14388</v>
      </c>
      <c r="L33" s="13">
        <v>20</v>
      </c>
      <c r="M33" s="13">
        <v>2459</v>
      </c>
      <c r="N33" s="13">
        <v>1361</v>
      </c>
      <c r="O33" s="13">
        <v>20</v>
      </c>
      <c r="P33" s="13">
        <v>5</v>
      </c>
      <c r="Q33" s="13">
        <v>48</v>
      </c>
      <c r="R33" s="13">
        <v>25</v>
      </c>
      <c r="S33" s="13">
        <v>1</v>
      </c>
      <c r="T33" s="23">
        <v>46247.487893518519</v>
      </c>
      <c r="U33" s="55">
        <f t="shared" si="0"/>
        <v>0.66666666666666663</v>
      </c>
      <c r="V33" s="55">
        <f t="shared" si="1"/>
        <v>0.33333333333333331</v>
      </c>
      <c r="W33" s="56">
        <f t="shared" si="2"/>
        <v>16569.666666666668</v>
      </c>
    </row>
    <row r="34" spans="1:23" x14ac:dyDescent="0.3">
      <c r="A34" s="13" t="s">
        <v>0</v>
      </c>
      <c r="B34">
        <v>1</v>
      </c>
      <c r="C34" s="13">
        <v>0</v>
      </c>
      <c r="D34" s="13">
        <v>1</v>
      </c>
      <c r="E34" s="13">
        <v>54528</v>
      </c>
      <c r="F34" s="13">
        <v>143144</v>
      </c>
      <c r="G34" s="13">
        <v>952</v>
      </c>
      <c r="H34" s="13">
        <v>2213780</v>
      </c>
      <c r="I34" s="13">
        <v>0</v>
      </c>
      <c r="J34" s="13">
        <v>0</v>
      </c>
      <c r="K34" s="13">
        <v>18672</v>
      </c>
      <c r="L34" s="13">
        <v>12</v>
      </c>
      <c r="M34" s="13">
        <v>2837</v>
      </c>
      <c r="N34" s="13">
        <v>1695</v>
      </c>
      <c r="O34" s="13">
        <v>20</v>
      </c>
      <c r="P34" s="13">
        <v>6</v>
      </c>
      <c r="Q34" s="13">
        <v>48</v>
      </c>
      <c r="R34" s="13">
        <v>26</v>
      </c>
      <c r="S34" s="13">
        <v>0</v>
      </c>
      <c r="T34" s="23">
        <v>46247.488009259258</v>
      </c>
      <c r="U34" s="55">
        <f t="shared" si="0"/>
        <v>0.5</v>
      </c>
      <c r="V34" s="55">
        <f t="shared" si="1"/>
        <v>0.5</v>
      </c>
      <c r="W34" s="56">
        <f t="shared" si="2"/>
        <v>16399.5</v>
      </c>
    </row>
    <row r="35" spans="1:23" x14ac:dyDescent="0.3">
      <c r="A35" s="13" t="s">
        <v>0</v>
      </c>
      <c r="B35">
        <v>1</v>
      </c>
      <c r="C35" s="13">
        <v>1</v>
      </c>
      <c r="D35" s="13">
        <v>0</v>
      </c>
      <c r="E35" s="13">
        <v>54528</v>
      </c>
      <c r="F35" s="13">
        <v>120860</v>
      </c>
      <c r="G35" s="13">
        <v>960</v>
      </c>
      <c r="H35" s="13">
        <v>2224848</v>
      </c>
      <c r="I35" s="13">
        <v>0</v>
      </c>
      <c r="J35" s="13">
        <v>0</v>
      </c>
      <c r="K35" s="13">
        <v>18037</v>
      </c>
      <c r="L35" s="13">
        <v>26</v>
      </c>
      <c r="M35" s="13">
        <v>2920</v>
      </c>
      <c r="N35" s="13">
        <v>1916</v>
      </c>
      <c r="O35" s="13">
        <v>20</v>
      </c>
      <c r="P35" s="13">
        <v>8</v>
      </c>
      <c r="Q35" s="13">
        <v>47</v>
      </c>
      <c r="R35" s="13">
        <v>26</v>
      </c>
      <c r="S35" s="13">
        <v>1</v>
      </c>
      <c r="T35" s="23">
        <v>46247.488125000003</v>
      </c>
      <c r="U35" s="55">
        <f t="shared" si="0"/>
        <v>0.5</v>
      </c>
      <c r="V35" s="55">
        <f t="shared" si="1"/>
        <v>0.5</v>
      </c>
      <c r="W35" s="56">
        <f t="shared" si="2"/>
        <v>16180.5</v>
      </c>
    </row>
    <row r="36" spans="1:23" x14ac:dyDescent="0.3">
      <c r="A36" s="13" t="s">
        <v>0</v>
      </c>
      <c r="B36">
        <v>1</v>
      </c>
      <c r="C36" s="13">
        <v>0</v>
      </c>
      <c r="D36" s="13">
        <v>1</v>
      </c>
      <c r="E36" s="13">
        <v>54528</v>
      </c>
      <c r="F36" s="13">
        <v>106560</v>
      </c>
      <c r="G36" s="13">
        <v>1000</v>
      </c>
      <c r="H36" s="13">
        <v>2222776</v>
      </c>
      <c r="I36" s="13">
        <v>0</v>
      </c>
      <c r="J36" s="13">
        <v>0</v>
      </c>
      <c r="K36" s="13">
        <v>14795</v>
      </c>
      <c r="L36" s="13">
        <v>46</v>
      </c>
      <c r="M36" s="13">
        <v>2621</v>
      </c>
      <c r="N36" s="13">
        <v>1596</v>
      </c>
      <c r="O36" s="13">
        <v>20</v>
      </c>
      <c r="P36" s="13">
        <v>6</v>
      </c>
      <c r="Q36" s="13">
        <v>47</v>
      </c>
      <c r="R36" s="13">
        <v>25</v>
      </c>
      <c r="S36" s="13">
        <v>1</v>
      </c>
      <c r="T36" s="23">
        <v>46247.488240740742</v>
      </c>
      <c r="U36" s="55">
        <f t="shared" si="0"/>
        <v>0.5</v>
      </c>
      <c r="V36" s="55">
        <f t="shared" si="1"/>
        <v>0.5</v>
      </c>
      <c r="W36" s="56">
        <f t="shared" si="2"/>
        <v>16063.5</v>
      </c>
    </row>
    <row r="37" spans="1:23" x14ac:dyDescent="0.3">
      <c r="A37" s="13" t="s">
        <v>0</v>
      </c>
      <c r="B37">
        <v>1</v>
      </c>
      <c r="C37" s="13">
        <v>1</v>
      </c>
      <c r="D37" s="13">
        <v>0</v>
      </c>
      <c r="E37" s="13">
        <v>54528</v>
      </c>
      <c r="F37" s="13">
        <v>104240</v>
      </c>
      <c r="G37" s="13">
        <v>1016</v>
      </c>
      <c r="H37" s="13">
        <v>2242112</v>
      </c>
      <c r="I37" s="13">
        <v>0</v>
      </c>
      <c r="J37" s="13">
        <v>0</v>
      </c>
      <c r="K37" s="13">
        <v>15954</v>
      </c>
      <c r="L37" s="13">
        <v>28</v>
      </c>
      <c r="M37" s="13">
        <v>2541</v>
      </c>
      <c r="N37" s="13">
        <v>1587</v>
      </c>
      <c r="O37" s="13">
        <v>17</v>
      </c>
      <c r="P37" s="13">
        <v>6</v>
      </c>
      <c r="Q37" s="13">
        <v>48</v>
      </c>
      <c r="R37" s="13">
        <v>28</v>
      </c>
      <c r="S37" s="13">
        <v>1</v>
      </c>
      <c r="T37" s="23">
        <v>46247.488356481481</v>
      </c>
      <c r="U37" s="55">
        <f t="shared" si="0"/>
        <v>0.66666666666666663</v>
      </c>
      <c r="V37" s="55">
        <f t="shared" si="1"/>
        <v>0.33333333333333331</v>
      </c>
      <c r="W37" s="56">
        <f t="shared" si="2"/>
        <v>16287.166666666666</v>
      </c>
    </row>
    <row r="38" spans="1:23" x14ac:dyDescent="0.3">
      <c r="A38" s="13" t="s">
        <v>0</v>
      </c>
      <c r="B38">
        <v>1</v>
      </c>
      <c r="C38" s="13">
        <v>0</v>
      </c>
      <c r="D38" s="13">
        <v>1</v>
      </c>
      <c r="E38" s="13">
        <v>55296</v>
      </c>
      <c r="F38" s="13">
        <v>123100</v>
      </c>
      <c r="G38" s="13">
        <v>256</v>
      </c>
      <c r="H38" s="13">
        <v>2227584</v>
      </c>
      <c r="I38" s="13">
        <v>0</v>
      </c>
      <c r="J38" s="13">
        <v>107</v>
      </c>
      <c r="K38" s="13">
        <v>15418</v>
      </c>
      <c r="L38" s="13">
        <v>116</v>
      </c>
      <c r="M38" s="13">
        <v>2719</v>
      </c>
      <c r="N38" s="13">
        <v>1657</v>
      </c>
      <c r="O38" s="13">
        <v>20</v>
      </c>
      <c r="P38" s="13">
        <v>7</v>
      </c>
      <c r="Q38" s="13">
        <v>47</v>
      </c>
      <c r="R38" s="13">
        <v>25</v>
      </c>
      <c r="S38" s="13">
        <v>1</v>
      </c>
      <c r="T38" s="23">
        <v>46247.48847222222</v>
      </c>
      <c r="U38" s="55">
        <f t="shared" si="0"/>
        <v>0.5</v>
      </c>
      <c r="V38" s="55">
        <f t="shared" si="1"/>
        <v>0.5</v>
      </c>
      <c r="W38" s="56">
        <f t="shared" si="2"/>
        <v>16210.666666666666</v>
      </c>
    </row>
    <row r="39" spans="1:23" x14ac:dyDescent="0.3">
      <c r="A39" s="13" t="s">
        <v>0</v>
      </c>
      <c r="B39">
        <v>1</v>
      </c>
      <c r="C39" s="13">
        <v>1</v>
      </c>
      <c r="D39" s="13">
        <v>1</v>
      </c>
      <c r="E39" s="13">
        <v>55552</v>
      </c>
      <c r="F39" s="13">
        <v>120208</v>
      </c>
      <c r="G39" s="13">
        <v>264</v>
      </c>
      <c r="H39" s="13">
        <v>2230584</v>
      </c>
      <c r="I39" s="13">
        <v>10</v>
      </c>
      <c r="J39" s="13">
        <v>47</v>
      </c>
      <c r="K39" s="13">
        <v>16226</v>
      </c>
      <c r="L39" s="13">
        <v>60</v>
      </c>
      <c r="M39" s="13">
        <v>2632</v>
      </c>
      <c r="N39" s="13">
        <v>1527</v>
      </c>
      <c r="O39" s="13">
        <v>20</v>
      </c>
      <c r="P39" s="13">
        <v>6</v>
      </c>
      <c r="Q39" s="13">
        <v>48</v>
      </c>
      <c r="R39" s="13">
        <v>26</v>
      </c>
      <c r="S39" s="13">
        <v>1</v>
      </c>
      <c r="T39" s="23">
        <v>46247.488587962966</v>
      </c>
      <c r="U39" s="55">
        <f t="shared" si="0"/>
        <v>0.5</v>
      </c>
      <c r="V39" s="55">
        <f t="shared" si="1"/>
        <v>0.66666666666666663</v>
      </c>
      <c r="W39" s="56">
        <f t="shared" si="2"/>
        <v>16517</v>
      </c>
    </row>
    <row r="40" spans="1:23" x14ac:dyDescent="0.3">
      <c r="A40" s="13" t="s">
        <v>0</v>
      </c>
      <c r="B40">
        <v>1</v>
      </c>
      <c r="C40" s="13">
        <v>2</v>
      </c>
      <c r="D40" s="13">
        <v>0</v>
      </c>
      <c r="E40" s="13">
        <v>55552</v>
      </c>
      <c r="F40" s="13">
        <v>120352</v>
      </c>
      <c r="G40" s="13">
        <v>288</v>
      </c>
      <c r="H40" s="13">
        <v>2230428</v>
      </c>
      <c r="I40" s="13">
        <v>0</v>
      </c>
      <c r="J40" s="13">
        <v>0</v>
      </c>
      <c r="K40" s="13">
        <v>16415</v>
      </c>
      <c r="L40" s="13">
        <v>25</v>
      </c>
      <c r="M40" s="13">
        <v>2838</v>
      </c>
      <c r="N40" s="13">
        <v>1791</v>
      </c>
      <c r="O40" s="13">
        <v>19</v>
      </c>
      <c r="P40" s="13">
        <v>7</v>
      </c>
      <c r="Q40" s="13">
        <v>47</v>
      </c>
      <c r="R40" s="13">
        <v>26</v>
      </c>
      <c r="S40" s="13">
        <v>1</v>
      </c>
      <c r="T40" s="23">
        <v>46247.488703703704</v>
      </c>
      <c r="U40" s="55">
        <f t="shared" si="0"/>
        <v>0.83333333333333337</v>
      </c>
      <c r="V40" s="55">
        <f t="shared" si="1"/>
        <v>0.5</v>
      </c>
      <c r="W40" s="56">
        <f t="shared" si="2"/>
        <v>16140.833333333334</v>
      </c>
    </row>
    <row r="41" spans="1:23" x14ac:dyDescent="0.3">
      <c r="A41" s="13" t="s">
        <v>0</v>
      </c>
      <c r="B41">
        <v>1</v>
      </c>
      <c r="C41" s="13">
        <v>1</v>
      </c>
      <c r="D41" s="13">
        <v>0</v>
      </c>
      <c r="E41" s="13">
        <v>56832</v>
      </c>
      <c r="F41" s="13">
        <v>150284</v>
      </c>
      <c r="G41" s="13">
        <v>296</v>
      </c>
      <c r="H41" s="13">
        <v>2199840</v>
      </c>
      <c r="I41" s="13">
        <v>0</v>
      </c>
      <c r="J41" s="13">
        <v>128</v>
      </c>
      <c r="K41" s="13">
        <v>15948</v>
      </c>
      <c r="L41" s="13">
        <v>144</v>
      </c>
      <c r="M41" s="13">
        <v>2673</v>
      </c>
      <c r="N41" s="13">
        <v>1626</v>
      </c>
      <c r="O41" s="13">
        <v>20</v>
      </c>
      <c r="P41" s="13">
        <v>7</v>
      </c>
      <c r="Q41" s="13">
        <v>47</v>
      </c>
      <c r="R41" s="13">
        <v>25</v>
      </c>
      <c r="S41" s="13">
        <v>1</v>
      </c>
      <c r="T41" s="23">
        <v>46247.488819444443</v>
      </c>
      <c r="U41" s="55">
        <f t="shared" si="0"/>
        <v>0.83333333333333337</v>
      </c>
      <c r="V41" s="55">
        <f t="shared" si="1"/>
        <v>0.5</v>
      </c>
      <c r="W41" s="56">
        <f t="shared" si="2"/>
        <v>15792.666666666666</v>
      </c>
    </row>
    <row r="42" spans="1:23" x14ac:dyDescent="0.3">
      <c r="A42" s="13" t="s">
        <v>0</v>
      </c>
      <c r="B42">
        <v>1</v>
      </c>
      <c r="C42" s="13">
        <v>1</v>
      </c>
      <c r="D42" s="13">
        <v>0</v>
      </c>
      <c r="E42" s="13">
        <v>112128</v>
      </c>
      <c r="F42" s="13">
        <v>112872</v>
      </c>
      <c r="G42" s="13">
        <v>464</v>
      </c>
      <c r="H42" s="13">
        <v>2276436</v>
      </c>
      <c r="I42" s="13">
        <v>6</v>
      </c>
      <c r="J42" s="13">
        <v>5527</v>
      </c>
      <c r="K42" s="13">
        <v>17781</v>
      </c>
      <c r="L42" s="13">
        <v>5563</v>
      </c>
      <c r="M42" s="13">
        <v>3567</v>
      </c>
      <c r="N42" s="13">
        <v>1924</v>
      </c>
      <c r="O42" s="13">
        <v>19</v>
      </c>
      <c r="P42" s="13">
        <v>8</v>
      </c>
      <c r="Q42" s="13">
        <v>45</v>
      </c>
      <c r="R42" s="13">
        <v>28</v>
      </c>
      <c r="S42" s="13">
        <v>1</v>
      </c>
      <c r="T42" s="23">
        <v>46247.488935185182</v>
      </c>
      <c r="U42" s="55">
        <f t="shared" si="0"/>
        <v>1</v>
      </c>
      <c r="V42" s="55">
        <f t="shared" si="1"/>
        <v>0.33333333333333331</v>
      </c>
      <c r="W42" s="56">
        <f t="shared" si="2"/>
        <v>16290.333333333334</v>
      </c>
    </row>
    <row r="43" spans="1:23" x14ac:dyDescent="0.3">
      <c r="A43" s="13" t="s">
        <v>0</v>
      </c>
      <c r="B43">
        <v>1</v>
      </c>
      <c r="C43" s="13">
        <v>0</v>
      </c>
      <c r="D43" s="13">
        <v>1</v>
      </c>
      <c r="E43" s="13">
        <v>112128</v>
      </c>
      <c r="F43" s="13">
        <v>138440</v>
      </c>
      <c r="G43" s="13">
        <v>464</v>
      </c>
      <c r="H43" s="13">
        <v>2261768</v>
      </c>
      <c r="I43" s="13">
        <v>0</v>
      </c>
      <c r="J43" s="13">
        <v>0</v>
      </c>
      <c r="K43" s="13">
        <v>18396</v>
      </c>
      <c r="L43" s="13">
        <v>19</v>
      </c>
      <c r="M43" s="13">
        <v>3030</v>
      </c>
      <c r="N43" s="13">
        <v>2019</v>
      </c>
      <c r="O43" s="13">
        <v>21</v>
      </c>
      <c r="P43" s="13">
        <v>8</v>
      </c>
      <c r="Q43" s="13">
        <v>46</v>
      </c>
      <c r="R43" s="13">
        <v>24</v>
      </c>
      <c r="S43" s="13">
        <v>0</v>
      </c>
      <c r="T43" s="23">
        <v>46247.489050925928</v>
      </c>
      <c r="U43" s="55">
        <f t="shared" si="0"/>
        <v>0.83333333333333337</v>
      </c>
      <c r="V43" s="55">
        <f t="shared" si="1"/>
        <v>0.5</v>
      </c>
      <c r="W43" s="56">
        <f t="shared" si="2"/>
        <v>16697.333333333332</v>
      </c>
    </row>
    <row r="44" spans="1:23" x14ac:dyDescent="0.3">
      <c r="A44" s="13" t="s">
        <v>0</v>
      </c>
      <c r="B44">
        <v>1</v>
      </c>
      <c r="C44" s="13">
        <v>2</v>
      </c>
      <c r="D44" s="13">
        <v>0</v>
      </c>
      <c r="E44" s="13">
        <v>112128</v>
      </c>
      <c r="F44" s="13">
        <v>161868</v>
      </c>
      <c r="G44" s="13">
        <v>360</v>
      </c>
      <c r="H44" s="13">
        <v>2241428</v>
      </c>
      <c r="I44" s="13">
        <v>1</v>
      </c>
      <c r="J44" s="13">
        <v>0</v>
      </c>
      <c r="K44" s="13">
        <v>20032</v>
      </c>
      <c r="L44" s="13">
        <v>7</v>
      </c>
      <c r="M44" s="13">
        <v>2681</v>
      </c>
      <c r="N44" s="13">
        <v>1801</v>
      </c>
      <c r="O44" s="13">
        <v>21</v>
      </c>
      <c r="P44" s="13">
        <v>6</v>
      </c>
      <c r="Q44" s="13">
        <v>47</v>
      </c>
      <c r="R44" s="13">
        <v>25</v>
      </c>
      <c r="S44" s="13">
        <v>0</v>
      </c>
      <c r="T44" s="23">
        <v>46247.489166666666</v>
      </c>
      <c r="U44" s="55">
        <f t="shared" si="0"/>
        <v>1.1666666666666667</v>
      </c>
      <c r="V44" s="55">
        <f t="shared" si="1"/>
        <v>0.33333333333333331</v>
      </c>
      <c r="W44" s="56">
        <f t="shared" si="2"/>
        <v>17466.333333333332</v>
      </c>
    </row>
    <row r="45" spans="1:23" x14ac:dyDescent="0.3">
      <c r="A45" s="13" t="s">
        <v>0</v>
      </c>
      <c r="B45">
        <v>1</v>
      </c>
      <c r="C45" s="13">
        <v>1</v>
      </c>
      <c r="D45" s="13">
        <v>0</v>
      </c>
      <c r="E45" s="13">
        <v>112128</v>
      </c>
      <c r="F45" s="13">
        <v>132620</v>
      </c>
      <c r="G45" s="13">
        <v>376</v>
      </c>
      <c r="H45" s="13">
        <v>2265948</v>
      </c>
      <c r="I45" s="13">
        <v>1</v>
      </c>
      <c r="J45" s="13">
        <v>0</v>
      </c>
      <c r="K45" s="13">
        <v>18632</v>
      </c>
      <c r="L45" s="13">
        <v>26</v>
      </c>
      <c r="M45" s="13">
        <v>3016</v>
      </c>
      <c r="N45" s="13">
        <v>2000</v>
      </c>
      <c r="O45" s="13">
        <v>20</v>
      </c>
      <c r="P45" s="13">
        <v>7</v>
      </c>
      <c r="Q45" s="13">
        <v>47</v>
      </c>
      <c r="R45" s="13">
        <v>25</v>
      </c>
      <c r="S45" s="13">
        <v>0</v>
      </c>
      <c r="T45" s="23">
        <v>46247.489282407405</v>
      </c>
      <c r="U45" s="55">
        <f t="shared" si="0"/>
        <v>1.1666666666666667</v>
      </c>
      <c r="V45" s="55">
        <f t="shared" si="1"/>
        <v>0.16666666666666666</v>
      </c>
      <c r="W45" s="56">
        <f t="shared" si="2"/>
        <v>17867.333333333332</v>
      </c>
    </row>
    <row r="46" spans="1:23" x14ac:dyDescent="0.3">
      <c r="A46" s="13" t="s">
        <v>0</v>
      </c>
      <c r="B46">
        <v>1</v>
      </c>
      <c r="C46" s="13">
        <v>1</v>
      </c>
      <c r="D46" s="13">
        <v>0</v>
      </c>
      <c r="E46" s="13">
        <v>112128</v>
      </c>
      <c r="F46" s="13">
        <v>112812</v>
      </c>
      <c r="G46" s="13">
        <v>384</v>
      </c>
      <c r="H46" s="13">
        <v>2288844</v>
      </c>
      <c r="I46" s="13">
        <v>0</v>
      </c>
      <c r="J46" s="13">
        <v>0</v>
      </c>
      <c r="K46" s="13">
        <v>18109</v>
      </c>
      <c r="L46" s="13">
        <v>10</v>
      </c>
      <c r="M46" s="13">
        <v>2786</v>
      </c>
      <c r="N46" s="13">
        <v>1739</v>
      </c>
      <c r="O46" s="13">
        <v>22</v>
      </c>
      <c r="P46" s="13">
        <v>6</v>
      </c>
      <c r="Q46" s="13">
        <v>48</v>
      </c>
      <c r="R46" s="13">
        <v>24</v>
      </c>
      <c r="S46" s="13">
        <v>0</v>
      </c>
      <c r="T46" s="23">
        <v>46247.489398148151</v>
      </c>
      <c r="U46" s="55">
        <f t="shared" si="0"/>
        <v>1</v>
      </c>
      <c r="V46" s="55">
        <f t="shared" si="1"/>
        <v>0.16666666666666666</v>
      </c>
      <c r="W46" s="56">
        <f t="shared" si="2"/>
        <v>18149.666666666668</v>
      </c>
    </row>
    <row r="47" spans="1:23" x14ac:dyDescent="0.3">
      <c r="A47" s="13" t="s">
        <v>0</v>
      </c>
      <c r="B47">
        <v>1</v>
      </c>
      <c r="C47" s="13">
        <v>0</v>
      </c>
      <c r="D47" s="13">
        <v>1</v>
      </c>
      <c r="E47" s="13">
        <v>112128</v>
      </c>
      <c r="F47" s="13">
        <v>140224</v>
      </c>
      <c r="G47" s="13">
        <v>392</v>
      </c>
      <c r="H47" s="13">
        <v>2256820</v>
      </c>
      <c r="I47" s="13">
        <v>0</v>
      </c>
      <c r="J47" s="13">
        <v>0</v>
      </c>
      <c r="K47" s="13">
        <v>18586</v>
      </c>
      <c r="L47" s="13">
        <v>35</v>
      </c>
      <c r="M47" s="13">
        <v>3396</v>
      </c>
      <c r="N47" s="13">
        <v>2278</v>
      </c>
      <c r="O47" s="13">
        <v>21</v>
      </c>
      <c r="P47" s="13">
        <v>8</v>
      </c>
      <c r="Q47" s="13">
        <v>46</v>
      </c>
      <c r="R47" s="13">
        <v>25</v>
      </c>
      <c r="S47" s="13">
        <v>0</v>
      </c>
      <c r="T47" s="23">
        <v>46247.48951388889</v>
      </c>
      <c r="U47" s="55">
        <f t="shared" si="0"/>
        <v>0.83333333333333337</v>
      </c>
      <c r="V47" s="55">
        <f t="shared" si="1"/>
        <v>0.33333333333333331</v>
      </c>
      <c r="W47" s="56">
        <f t="shared" si="2"/>
        <v>18589.333333333332</v>
      </c>
    </row>
    <row r="48" spans="1:23" x14ac:dyDescent="0.3">
      <c r="A48" s="13" t="s">
        <v>0</v>
      </c>
      <c r="B48">
        <v>1</v>
      </c>
      <c r="C48" s="13">
        <v>1</v>
      </c>
      <c r="D48" s="13">
        <v>0</v>
      </c>
      <c r="E48" s="13">
        <v>112128</v>
      </c>
      <c r="F48" s="13">
        <v>118872</v>
      </c>
      <c r="G48" s="13">
        <v>432</v>
      </c>
      <c r="H48" s="13">
        <v>2271632</v>
      </c>
      <c r="I48" s="13">
        <v>0</v>
      </c>
      <c r="J48" s="13">
        <v>0</v>
      </c>
      <c r="K48" s="13">
        <v>17439</v>
      </c>
      <c r="L48" s="13">
        <v>33</v>
      </c>
      <c r="M48" s="13">
        <v>2895</v>
      </c>
      <c r="N48" s="13">
        <v>1700</v>
      </c>
      <c r="O48" s="13">
        <v>22</v>
      </c>
      <c r="P48" s="13">
        <v>6</v>
      </c>
      <c r="Q48" s="13">
        <v>47</v>
      </c>
      <c r="R48" s="13">
        <v>25</v>
      </c>
      <c r="S48" s="13">
        <v>0</v>
      </c>
      <c r="T48" s="23">
        <v>46247.489629629628</v>
      </c>
      <c r="U48" s="55">
        <f t="shared" si="0"/>
        <v>0.83333333333333337</v>
      </c>
      <c r="V48" s="55">
        <f t="shared" si="1"/>
        <v>0.33333333333333331</v>
      </c>
      <c r="W48" s="56">
        <f t="shared" si="2"/>
        <v>18532.333333333332</v>
      </c>
    </row>
    <row r="49" spans="1:23" x14ac:dyDescent="0.3">
      <c r="A49" s="13" t="s">
        <v>0</v>
      </c>
      <c r="B49">
        <v>1</v>
      </c>
      <c r="C49" s="13">
        <v>0</v>
      </c>
      <c r="D49" s="13">
        <v>1</v>
      </c>
      <c r="E49" s="13">
        <v>112128</v>
      </c>
      <c r="F49" s="13">
        <v>132596</v>
      </c>
      <c r="G49" s="13">
        <v>440</v>
      </c>
      <c r="H49" s="13">
        <v>2255028</v>
      </c>
      <c r="I49" s="13">
        <v>0</v>
      </c>
      <c r="J49" s="13">
        <v>0</v>
      </c>
      <c r="K49" s="13">
        <v>14746</v>
      </c>
      <c r="L49" s="13">
        <v>14</v>
      </c>
      <c r="M49" s="13">
        <v>2763</v>
      </c>
      <c r="N49" s="13">
        <v>1786</v>
      </c>
      <c r="O49" s="13">
        <v>17</v>
      </c>
      <c r="P49" s="13">
        <v>7</v>
      </c>
      <c r="Q49" s="13">
        <v>47</v>
      </c>
      <c r="R49" s="13">
        <v>28</v>
      </c>
      <c r="S49" s="13">
        <v>1</v>
      </c>
      <c r="T49" s="23">
        <v>46247.489745370367</v>
      </c>
      <c r="U49" s="55">
        <f t="shared" si="0"/>
        <v>0.83333333333333337</v>
      </c>
      <c r="V49" s="55">
        <f t="shared" si="1"/>
        <v>0.33333333333333331</v>
      </c>
      <c r="W49" s="56">
        <f t="shared" si="2"/>
        <v>17924</v>
      </c>
    </row>
    <row r="50" spans="1:23" x14ac:dyDescent="0.3">
      <c r="A50" s="13" t="s">
        <v>0</v>
      </c>
      <c r="B50">
        <v>1</v>
      </c>
      <c r="C50" s="13">
        <v>1</v>
      </c>
      <c r="D50" s="13">
        <v>0</v>
      </c>
      <c r="E50" s="13">
        <v>112128</v>
      </c>
      <c r="F50" s="13">
        <v>156336</v>
      </c>
      <c r="G50" s="13">
        <v>448</v>
      </c>
      <c r="H50" s="13">
        <v>2238016</v>
      </c>
      <c r="I50" s="13">
        <v>0</v>
      </c>
      <c r="J50" s="13">
        <v>0</v>
      </c>
      <c r="K50" s="13">
        <v>14202</v>
      </c>
      <c r="L50" s="13">
        <v>22</v>
      </c>
      <c r="M50" s="13">
        <v>2457</v>
      </c>
      <c r="N50" s="13">
        <v>1386</v>
      </c>
      <c r="O50" s="13">
        <v>20</v>
      </c>
      <c r="P50" s="13">
        <v>6</v>
      </c>
      <c r="Q50" s="13">
        <v>48</v>
      </c>
      <c r="R50" s="13">
        <v>26</v>
      </c>
      <c r="S50" s="13">
        <v>1</v>
      </c>
      <c r="T50" s="23">
        <v>46247.489861111113</v>
      </c>
      <c r="U50" s="55">
        <f t="shared" si="0"/>
        <v>0.66666666666666663</v>
      </c>
      <c r="V50" s="55">
        <f t="shared" si="1"/>
        <v>0.33333333333333331</v>
      </c>
      <c r="W50" s="56">
        <f t="shared" si="2"/>
        <v>16952.333333333332</v>
      </c>
    </row>
    <row r="51" spans="1:23" x14ac:dyDescent="0.3">
      <c r="A51" s="13" t="s">
        <v>0</v>
      </c>
      <c r="B51">
        <v>1</v>
      </c>
      <c r="C51" s="13">
        <v>0</v>
      </c>
      <c r="D51" s="13">
        <v>1</v>
      </c>
      <c r="E51" s="13">
        <v>112128</v>
      </c>
      <c r="F51" s="13">
        <v>156272</v>
      </c>
      <c r="G51" s="13">
        <v>456</v>
      </c>
      <c r="H51" s="13">
        <v>2233904</v>
      </c>
      <c r="I51" s="13">
        <v>0</v>
      </c>
      <c r="J51" s="13">
        <v>0</v>
      </c>
      <c r="K51" s="13">
        <v>15963</v>
      </c>
      <c r="L51" s="13">
        <v>12</v>
      </c>
      <c r="M51" s="13">
        <v>2991</v>
      </c>
      <c r="N51" s="13">
        <v>2026</v>
      </c>
      <c r="O51" s="13">
        <v>20</v>
      </c>
      <c r="P51" s="13">
        <v>8</v>
      </c>
      <c r="Q51" s="13">
        <v>46</v>
      </c>
      <c r="R51" s="13">
        <v>25</v>
      </c>
      <c r="S51" s="13">
        <v>1</v>
      </c>
      <c r="T51" s="23">
        <v>46247.489976851852</v>
      </c>
      <c r="U51" s="55">
        <f t="shared" si="0"/>
        <v>0.5</v>
      </c>
      <c r="V51" s="55">
        <f t="shared" si="1"/>
        <v>0.5</v>
      </c>
      <c r="W51" s="56">
        <f t="shared" si="2"/>
        <v>16507.5</v>
      </c>
    </row>
    <row r="52" spans="1:23" x14ac:dyDescent="0.3">
      <c r="A52" s="13" t="s">
        <v>0</v>
      </c>
      <c r="B52">
        <v>1</v>
      </c>
      <c r="C52" s="13">
        <v>1</v>
      </c>
      <c r="D52" s="13">
        <v>0</v>
      </c>
      <c r="E52" s="13">
        <v>112128</v>
      </c>
      <c r="F52" s="13">
        <v>143348</v>
      </c>
      <c r="G52" s="13">
        <v>464</v>
      </c>
      <c r="H52" s="13">
        <v>2246472</v>
      </c>
      <c r="I52" s="13">
        <v>0</v>
      </c>
      <c r="J52" s="13">
        <v>0</v>
      </c>
      <c r="K52" s="13">
        <v>17256</v>
      </c>
      <c r="L52" s="13">
        <v>9</v>
      </c>
      <c r="M52" s="13">
        <v>2974</v>
      </c>
      <c r="N52" s="13">
        <v>1894</v>
      </c>
      <c r="O52" s="13">
        <v>21</v>
      </c>
      <c r="P52" s="13">
        <v>7</v>
      </c>
      <c r="Q52" s="13">
        <v>47</v>
      </c>
      <c r="R52" s="13">
        <v>25</v>
      </c>
      <c r="S52" s="13">
        <v>0</v>
      </c>
      <c r="T52" s="23">
        <v>46247.49009259259</v>
      </c>
      <c r="U52" s="55">
        <f t="shared" si="0"/>
        <v>0.5</v>
      </c>
      <c r="V52" s="55">
        <f t="shared" si="1"/>
        <v>0.5</v>
      </c>
      <c r="W52" s="56">
        <f t="shared" si="2"/>
        <v>16365.333333333334</v>
      </c>
    </row>
    <row r="53" spans="1:23" x14ac:dyDescent="0.3">
      <c r="A53" s="13" t="s">
        <v>0</v>
      </c>
      <c r="B53">
        <v>1</v>
      </c>
      <c r="C53" s="13">
        <v>2</v>
      </c>
      <c r="D53" s="13">
        <v>0</v>
      </c>
      <c r="E53" s="13">
        <v>112128</v>
      </c>
      <c r="F53" s="13">
        <v>126964</v>
      </c>
      <c r="G53" s="13">
        <v>488</v>
      </c>
      <c r="H53" s="13">
        <v>2257792</v>
      </c>
      <c r="I53" s="13">
        <v>0</v>
      </c>
      <c r="J53" s="13">
        <v>0</v>
      </c>
      <c r="K53" s="13">
        <v>17393</v>
      </c>
      <c r="L53" s="13">
        <v>18</v>
      </c>
      <c r="M53" s="13">
        <v>2734</v>
      </c>
      <c r="N53" s="13">
        <v>1658</v>
      </c>
      <c r="O53" s="13">
        <v>22</v>
      </c>
      <c r="P53" s="13">
        <v>6</v>
      </c>
      <c r="Q53" s="13">
        <v>47</v>
      </c>
      <c r="R53" s="13">
        <v>24</v>
      </c>
      <c r="S53" s="13">
        <v>0</v>
      </c>
      <c r="T53" s="23">
        <v>46247.490208333336</v>
      </c>
      <c r="U53" s="55">
        <f t="shared" si="0"/>
        <v>0.83333333333333337</v>
      </c>
      <c r="V53" s="55">
        <f t="shared" si="1"/>
        <v>0.33333333333333331</v>
      </c>
      <c r="W53" s="56">
        <f t="shared" si="2"/>
        <v>16166.5</v>
      </c>
    </row>
    <row r="54" spans="1:23" x14ac:dyDescent="0.3">
      <c r="A54" s="13" t="s">
        <v>0</v>
      </c>
      <c r="B54">
        <v>1</v>
      </c>
      <c r="C54" s="13">
        <v>1</v>
      </c>
      <c r="D54" s="13">
        <v>0</v>
      </c>
      <c r="E54" s="13">
        <v>112128</v>
      </c>
      <c r="F54" s="13">
        <v>143468</v>
      </c>
      <c r="G54" s="13">
        <v>520</v>
      </c>
      <c r="H54" s="13">
        <v>2248680</v>
      </c>
      <c r="I54" s="13">
        <v>0</v>
      </c>
      <c r="J54" s="13">
        <v>0</v>
      </c>
      <c r="K54" s="13">
        <v>15364</v>
      </c>
      <c r="L54" s="13">
        <v>56</v>
      </c>
      <c r="M54" s="13">
        <v>2921</v>
      </c>
      <c r="N54" s="13">
        <v>1850</v>
      </c>
      <c r="O54" s="13">
        <v>19</v>
      </c>
      <c r="P54" s="13">
        <v>7</v>
      </c>
      <c r="Q54" s="13">
        <v>47</v>
      </c>
      <c r="R54" s="13">
        <v>27</v>
      </c>
      <c r="S54" s="13">
        <v>1</v>
      </c>
      <c r="T54" s="23">
        <v>46247.490324074075</v>
      </c>
      <c r="U54" s="55">
        <f t="shared" si="0"/>
        <v>0.83333333333333337</v>
      </c>
      <c r="V54" s="55">
        <f t="shared" si="1"/>
        <v>0.33333333333333331</v>
      </c>
      <c r="W54" s="56">
        <f t="shared" si="2"/>
        <v>15820.666666666666</v>
      </c>
    </row>
    <row r="55" spans="1:23" x14ac:dyDescent="0.3">
      <c r="A55" s="13" t="s">
        <v>0</v>
      </c>
      <c r="B55">
        <v>1</v>
      </c>
      <c r="C55" s="13">
        <v>0</v>
      </c>
      <c r="D55" s="13">
        <v>1</v>
      </c>
      <c r="E55" s="13">
        <v>112128</v>
      </c>
      <c r="F55" s="13">
        <v>112696</v>
      </c>
      <c r="G55" s="13">
        <v>528</v>
      </c>
      <c r="H55" s="13">
        <v>2276368</v>
      </c>
      <c r="I55" s="13">
        <v>0</v>
      </c>
      <c r="J55" s="13">
        <v>0</v>
      </c>
      <c r="K55" s="13">
        <v>13387</v>
      </c>
      <c r="L55" s="13">
        <v>11</v>
      </c>
      <c r="M55" s="13">
        <v>2364</v>
      </c>
      <c r="N55" s="13">
        <v>1287</v>
      </c>
      <c r="O55" s="13">
        <v>20</v>
      </c>
      <c r="P55" s="13">
        <v>5</v>
      </c>
      <c r="Q55" s="13">
        <v>48</v>
      </c>
      <c r="R55" s="13">
        <v>26</v>
      </c>
      <c r="S55" s="13">
        <v>1</v>
      </c>
      <c r="T55" s="23">
        <v>46247.490439814814</v>
      </c>
      <c r="U55" s="55">
        <f t="shared" si="0"/>
        <v>0.83333333333333337</v>
      </c>
      <c r="V55" s="55">
        <f t="shared" si="1"/>
        <v>0.33333333333333331</v>
      </c>
      <c r="W55" s="56">
        <f t="shared" si="2"/>
        <v>15594.166666666666</v>
      </c>
    </row>
    <row r="56" spans="1:23" x14ac:dyDescent="0.3">
      <c r="A56" s="13" t="s">
        <v>0</v>
      </c>
      <c r="B56">
        <v>1</v>
      </c>
      <c r="C56" s="13">
        <v>2</v>
      </c>
      <c r="D56" s="13">
        <v>0</v>
      </c>
      <c r="E56" s="13">
        <v>112128</v>
      </c>
      <c r="F56" s="13">
        <v>117352</v>
      </c>
      <c r="G56" s="13">
        <v>536</v>
      </c>
      <c r="H56" s="13">
        <v>2267856</v>
      </c>
      <c r="I56" s="13">
        <v>0</v>
      </c>
      <c r="J56" s="13">
        <v>0</v>
      </c>
      <c r="K56" s="13">
        <v>15638</v>
      </c>
      <c r="L56" s="13">
        <v>10</v>
      </c>
      <c r="M56" s="13">
        <v>2828</v>
      </c>
      <c r="N56" s="13">
        <v>1828</v>
      </c>
      <c r="O56" s="13">
        <v>20</v>
      </c>
      <c r="P56" s="13">
        <v>7</v>
      </c>
      <c r="Q56" s="13">
        <v>47</v>
      </c>
      <c r="R56" s="13">
        <v>26</v>
      </c>
      <c r="S56" s="13">
        <v>1</v>
      </c>
      <c r="T56" s="23">
        <v>46247.490555555552</v>
      </c>
      <c r="U56" s="55">
        <f t="shared" si="0"/>
        <v>1</v>
      </c>
      <c r="V56" s="55">
        <f t="shared" si="1"/>
        <v>0.33333333333333331</v>
      </c>
      <c r="W56" s="56">
        <f t="shared" si="2"/>
        <v>15833.5</v>
      </c>
    </row>
    <row r="57" spans="1:23" x14ac:dyDescent="0.3">
      <c r="A57" s="13" t="s">
        <v>0</v>
      </c>
      <c r="B57">
        <v>1</v>
      </c>
      <c r="C57" s="13">
        <v>1</v>
      </c>
      <c r="D57" s="13">
        <v>0</v>
      </c>
      <c r="E57" s="13">
        <v>112128</v>
      </c>
      <c r="F57" s="13">
        <v>117864</v>
      </c>
      <c r="G57" s="13">
        <v>544</v>
      </c>
      <c r="H57" s="13">
        <v>2268088</v>
      </c>
      <c r="I57" s="13">
        <v>0</v>
      </c>
      <c r="J57" s="13">
        <v>0</v>
      </c>
      <c r="K57" s="13">
        <v>16162</v>
      </c>
      <c r="L57" s="13">
        <v>15</v>
      </c>
      <c r="M57" s="13">
        <v>3074</v>
      </c>
      <c r="N57" s="13">
        <v>2062</v>
      </c>
      <c r="O57" s="13">
        <v>21</v>
      </c>
      <c r="P57" s="13">
        <v>8</v>
      </c>
      <c r="Q57" s="13">
        <v>46</v>
      </c>
      <c r="R57" s="13">
        <v>24</v>
      </c>
      <c r="S57" s="13">
        <v>1</v>
      </c>
      <c r="T57" s="23">
        <v>46247.490671296298</v>
      </c>
      <c r="U57" s="55">
        <f t="shared" si="0"/>
        <v>1.1666666666666667</v>
      </c>
      <c r="V57" s="55">
        <f t="shared" si="1"/>
        <v>0.16666666666666666</v>
      </c>
      <c r="W57" s="56">
        <f t="shared" si="2"/>
        <v>15866.666666666666</v>
      </c>
    </row>
    <row r="58" spans="1:23" x14ac:dyDescent="0.3">
      <c r="A58" s="13" t="s">
        <v>0</v>
      </c>
      <c r="B58">
        <v>1</v>
      </c>
      <c r="C58" s="13">
        <v>2</v>
      </c>
      <c r="D58" s="13">
        <v>0</v>
      </c>
      <c r="E58" s="13">
        <v>112128</v>
      </c>
      <c r="F58" s="13">
        <v>120892</v>
      </c>
      <c r="G58" s="13">
        <v>564</v>
      </c>
      <c r="H58" s="13">
        <v>2273468</v>
      </c>
      <c r="I58" s="13">
        <v>0</v>
      </c>
      <c r="J58" s="13">
        <v>0</v>
      </c>
      <c r="K58" s="13">
        <v>16994</v>
      </c>
      <c r="L58" s="13">
        <v>12</v>
      </c>
      <c r="M58" s="13">
        <v>2896</v>
      </c>
      <c r="N58" s="13">
        <v>1827</v>
      </c>
      <c r="O58" s="13">
        <v>21</v>
      </c>
      <c r="P58" s="13">
        <v>7</v>
      </c>
      <c r="Q58" s="13">
        <v>47</v>
      </c>
      <c r="R58" s="13">
        <v>25</v>
      </c>
      <c r="S58" s="13">
        <v>0</v>
      </c>
      <c r="T58" s="23">
        <v>46247.490787037037</v>
      </c>
      <c r="U58" s="55">
        <f t="shared" si="0"/>
        <v>1.3333333333333333</v>
      </c>
      <c r="V58" s="55">
        <f t="shared" si="1"/>
        <v>0.16666666666666666</v>
      </c>
      <c r="W58" s="56">
        <f t="shared" si="2"/>
        <v>15823</v>
      </c>
    </row>
    <row r="59" spans="1:23" x14ac:dyDescent="0.3">
      <c r="A59" s="13" t="s">
        <v>0</v>
      </c>
      <c r="B59">
        <v>1</v>
      </c>
      <c r="C59" s="13">
        <v>0</v>
      </c>
      <c r="D59" s="13">
        <v>1</v>
      </c>
      <c r="E59" s="13">
        <v>112128</v>
      </c>
      <c r="F59" s="13">
        <v>107320</v>
      </c>
      <c r="G59" s="13">
        <v>580</v>
      </c>
      <c r="H59" s="13">
        <v>2278008</v>
      </c>
      <c r="I59" s="13">
        <v>0</v>
      </c>
      <c r="J59" s="13">
        <v>0</v>
      </c>
      <c r="K59" s="13">
        <v>16448</v>
      </c>
      <c r="L59" s="13">
        <v>14</v>
      </c>
      <c r="M59" s="13">
        <v>2991</v>
      </c>
      <c r="N59" s="13">
        <v>1916</v>
      </c>
      <c r="O59" s="13">
        <v>21</v>
      </c>
      <c r="P59" s="13">
        <v>7</v>
      </c>
      <c r="Q59" s="13">
        <v>47</v>
      </c>
      <c r="R59" s="13">
        <v>25</v>
      </c>
      <c r="S59" s="13">
        <v>0</v>
      </c>
      <c r="T59" s="23">
        <v>46247.490902777776</v>
      </c>
      <c r="U59" s="55">
        <f t="shared" si="0"/>
        <v>1</v>
      </c>
      <c r="V59" s="55">
        <f t="shared" si="1"/>
        <v>0.33333333333333331</v>
      </c>
      <c r="W59" s="56">
        <f t="shared" si="2"/>
        <v>15665.5</v>
      </c>
    </row>
    <row r="60" spans="1:23" x14ac:dyDescent="0.3">
      <c r="A60" s="13" t="s">
        <v>0</v>
      </c>
      <c r="B60">
        <v>1</v>
      </c>
      <c r="C60" s="13">
        <v>0</v>
      </c>
      <c r="D60" s="13">
        <v>1</v>
      </c>
      <c r="E60" s="13">
        <v>112128</v>
      </c>
      <c r="F60" s="13">
        <v>121344</v>
      </c>
      <c r="G60" s="13">
        <v>604</v>
      </c>
      <c r="H60" s="13">
        <v>2270756</v>
      </c>
      <c r="I60" s="13">
        <v>0</v>
      </c>
      <c r="J60" s="13">
        <v>0</v>
      </c>
      <c r="K60" s="13">
        <v>15625</v>
      </c>
      <c r="L60" s="13">
        <v>30</v>
      </c>
      <c r="M60" s="13">
        <v>2508</v>
      </c>
      <c r="N60" s="13">
        <v>1505</v>
      </c>
      <c r="O60" s="13">
        <v>21</v>
      </c>
      <c r="P60" s="13">
        <v>6</v>
      </c>
      <c r="Q60" s="13">
        <v>48</v>
      </c>
      <c r="R60" s="13">
        <v>25</v>
      </c>
      <c r="S60" s="13">
        <v>1</v>
      </c>
      <c r="T60" s="23">
        <v>46247.491018518522</v>
      </c>
      <c r="U60" s="55">
        <f t="shared" si="0"/>
        <v>0.83333333333333337</v>
      </c>
      <c r="V60" s="55">
        <f t="shared" si="1"/>
        <v>0.5</v>
      </c>
      <c r="W60" s="56">
        <f t="shared" si="2"/>
        <v>15709</v>
      </c>
    </row>
    <row r="61" spans="1:23" x14ac:dyDescent="0.3">
      <c r="A61" s="13" t="s">
        <v>0</v>
      </c>
      <c r="B61">
        <v>1</v>
      </c>
      <c r="C61" s="13">
        <v>0</v>
      </c>
      <c r="D61" s="13">
        <v>1</v>
      </c>
      <c r="E61" s="13">
        <v>112128</v>
      </c>
      <c r="F61" s="13">
        <v>125292</v>
      </c>
      <c r="G61" s="13">
        <v>612</v>
      </c>
      <c r="H61" s="13">
        <v>2259916</v>
      </c>
      <c r="I61" s="13">
        <v>0</v>
      </c>
      <c r="J61" s="13">
        <v>0</v>
      </c>
      <c r="K61" s="13">
        <v>15162</v>
      </c>
      <c r="L61" s="13">
        <v>18</v>
      </c>
      <c r="M61" s="13">
        <v>3187</v>
      </c>
      <c r="N61" s="13">
        <v>2060</v>
      </c>
      <c r="O61" s="13">
        <v>19</v>
      </c>
      <c r="P61" s="13">
        <v>8</v>
      </c>
      <c r="Q61" s="13">
        <v>46</v>
      </c>
      <c r="R61" s="13">
        <v>26</v>
      </c>
      <c r="S61" s="13">
        <v>1</v>
      </c>
      <c r="T61" s="23">
        <v>46247.49113425926</v>
      </c>
      <c r="U61" s="55">
        <f t="shared" si="0"/>
        <v>0.83333333333333337</v>
      </c>
      <c r="V61" s="55">
        <f t="shared" si="1"/>
        <v>0.5</v>
      </c>
      <c r="W61" s="56">
        <f t="shared" si="2"/>
        <v>16004.833333333334</v>
      </c>
    </row>
    <row r="62" spans="1:23" x14ac:dyDescent="0.3">
      <c r="A62" s="13" t="s">
        <v>0</v>
      </c>
      <c r="B62">
        <v>1</v>
      </c>
      <c r="C62" s="13">
        <v>0</v>
      </c>
      <c r="D62" s="13">
        <v>1</v>
      </c>
      <c r="E62" s="13">
        <v>112128</v>
      </c>
      <c r="F62" s="13">
        <v>135380</v>
      </c>
      <c r="G62" s="13">
        <v>620</v>
      </c>
      <c r="H62" s="13">
        <v>2252436</v>
      </c>
      <c r="I62" s="13">
        <v>3</v>
      </c>
      <c r="J62" s="13">
        <v>0</v>
      </c>
      <c r="K62" s="13">
        <v>15509</v>
      </c>
      <c r="L62" s="13">
        <v>12</v>
      </c>
      <c r="M62" s="13">
        <v>2686</v>
      </c>
      <c r="N62" s="13">
        <v>1612</v>
      </c>
      <c r="O62" s="13">
        <v>21</v>
      </c>
      <c r="P62" s="13">
        <v>6</v>
      </c>
      <c r="Q62" s="13">
        <v>47</v>
      </c>
      <c r="R62" s="13">
        <v>24</v>
      </c>
      <c r="S62" s="13">
        <v>1</v>
      </c>
      <c r="T62" s="23">
        <v>46247.491249999999</v>
      </c>
      <c r="U62" s="55">
        <f t="shared" si="0"/>
        <v>0.5</v>
      </c>
      <c r="V62" s="55">
        <f t="shared" si="1"/>
        <v>0.66666666666666663</v>
      </c>
      <c r="W62" s="56">
        <f t="shared" si="2"/>
        <v>15983.333333333334</v>
      </c>
    </row>
    <row r="63" spans="1:23" x14ac:dyDescent="0.3">
      <c r="A63" s="13" t="s">
        <v>0</v>
      </c>
      <c r="B63">
        <v>1</v>
      </c>
      <c r="C63" s="13">
        <v>0</v>
      </c>
      <c r="D63" s="13">
        <v>1</v>
      </c>
      <c r="E63" s="13">
        <v>112128</v>
      </c>
      <c r="F63" s="13">
        <v>136744</v>
      </c>
      <c r="G63" s="13">
        <v>628</v>
      </c>
      <c r="H63" s="13">
        <v>2243028</v>
      </c>
      <c r="I63" s="13">
        <v>0</v>
      </c>
      <c r="J63" s="13">
        <v>0</v>
      </c>
      <c r="K63" s="13">
        <v>15459</v>
      </c>
      <c r="L63" s="13">
        <v>12</v>
      </c>
      <c r="M63" s="13">
        <v>3015</v>
      </c>
      <c r="N63" s="13">
        <v>1893</v>
      </c>
      <c r="O63" s="13">
        <v>20</v>
      </c>
      <c r="P63" s="13">
        <v>7</v>
      </c>
      <c r="Q63" s="13">
        <v>47</v>
      </c>
      <c r="R63" s="13">
        <v>25</v>
      </c>
      <c r="S63" s="13">
        <v>1</v>
      </c>
      <c r="T63" s="23">
        <v>46247.491365740738</v>
      </c>
      <c r="U63" s="55">
        <f t="shared" si="0"/>
        <v>0.33333333333333331</v>
      </c>
      <c r="V63" s="55">
        <f t="shared" si="1"/>
        <v>0.83333333333333337</v>
      </c>
      <c r="W63" s="56">
        <f t="shared" si="2"/>
        <v>15866.166666666666</v>
      </c>
    </row>
    <row r="64" spans="1:23" x14ac:dyDescent="0.3">
      <c r="A64" s="13" t="s">
        <v>0</v>
      </c>
      <c r="B64">
        <v>1</v>
      </c>
      <c r="C64" s="13">
        <v>1</v>
      </c>
      <c r="D64" s="13">
        <v>0</v>
      </c>
      <c r="E64" s="13">
        <v>112128</v>
      </c>
      <c r="F64" s="13">
        <v>149944</v>
      </c>
      <c r="G64" s="13">
        <v>636</v>
      </c>
      <c r="H64" s="13">
        <v>2231952</v>
      </c>
      <c r="I64" s="13">
        <v>0</v>
      </c>
      <c r="J64" s="13">
        <v>0</v>
      </c>
      <c r="K64" s="13">
        <v>15142</v>
      </c>
      <c r="L64" s="13">
        <v>12</v>
      </c>
      <c r="M64" s="13">
        <v>2598</v>
      </c>
      <c r="N64" s="13">
        <v>1610</v>
      </c>
      <c r="O64" s="13">
        <v>22</v>
      </c>
      <c r="P64" s="13">
        <v>6</v>
      </c>
      <c r="Q64" s="13">
        <v>47</v>
      </c>
      <c r="R64" s="13">
        <v>24</v>
      </c>
      <c r="S64" s="13">
        <v>0</v>
      </c>
      <c r="T64" s="23">
        <v>46247.491481481484</v>
      </c>
      <c r="U64" s="55">
        <f t="shared" si="0"/>
        <v>0.16666666666666666</v>
      </c>
      <c r="V64" s="55">
        <f t="shared" si="1"/>
        <v>0.83333333333333337</v>
      </c>
      <c r="W64" s="56">
        <f t="shared" si="2"/>
        <v>15557.5</v>
      </c>
    </row>
    <row r="65" spans="1:23" x14ac:dyDescent="0.3">
      <c r="A65" s="13" t="s">
        <v>0</v>
      </c>
      <c r="B65">
        <v>1</v>
      </c>
      <c r="C65" s="13">
        <v>1</v>
      </c>
      <c r="D65" s="13">
        <v>0</v>
      </c>
      <c r="E65" s="13">
        <v>112128</v>
      </c>
      <c r="F65" s="13">
        <v>106536</v>
      </c>
      <c r="G65" s="13">
        <v>652</v>
      </c>
      <c r="H65" s="13">
        <v>2275460</v>
      </c>
      <c r="I65" s="13">
        <v>0</v>
      </c>
      <c r="J65" s="13">
        <v>0</v>
      </c>
      <c r="K65" s="13">
        <v>15405</v>
      </c>
      <c r="L65" s="13">
        <v>24</v>
      </c>
      <c r="M65" s="13">
        <v>2559</v>
      </c>
      <c r="N65" s="13">
        <v>1559</v>
      </c>
      <c r="O65" s="13">
        <v>22</v>
      </c>
      <c r="P65" s="13">
        <v>6</v>
      </c>
      <c r="Q65" s="13">
        <v>48</v>
      </c>
      <c r="R65" s="13">
        <v>24</v>
      </c>
      <c r="S65" s="13">
        <v>1</v>
      </c>
      <c r="T65" s="23">
        <v>46247.491597222222</v>
      </c>
      <c r="U65" s="55">
        <f t="shared" si="0"/>
        <v>0.33333333333333331</v>
      </c>
      <c r="V65" s="55">
        <f t="shared" si="1"/>
        <v>0.66666666666666663</v>
      </c>
      <c r="W65" s="56">
        <f t="shared" si="2"/>
        <v>15383.666666666666</v>
      </c>
    </row>
    <row r="66" spans="1:23" x14ac:dyDescent="0.3">
      <c r="A66" s="13" t="s">
        <v>0</v>
      </c>
      <c r="B66">
        <v>1</v>
      </c>
      <c r="C66" s="13">
        <v>1</v>
      </c>
      <c r="D66" s="13">
        <v>0</v>
      </c>
      <c r="E66" s="13">
        <v>112128</v>
      </c>
      <c r="F66" s="13">
        <v>125712</v>
      </c>
      <c r="G66" s="13">
        <v>676</v>
      </c>
      <c r="H66" s="13">
        <v>2252236</v>
      </c>
      <c r="I66" s="13">
        <v>0</v>
      </c>
      <c r="J66" s="13">
        <v>0</v>
      </c>
      <c r="K66" s="13">
        <v>13919</v>
      </c>
      <c r="L66" s="13">
        <v>24</v>
      </c>
      <c r="M66" s="13">
        <v>2733</v>
      </c>
      <c r="N66" s="13">
        <v>1653</v>
      </c>
      <c r="O66" s="13">
        <v>20</v>
      </c>
      <c r="P66" s="13">
        <v>7</v>
      </c>
      <c r="Q66" s="13">
        <v>47</v>
      </c>
      <c r="R66" s="13">
        <v>26</v>
      </c>
      <c r="S66" s="13">
        <v>1</v>
      </c>
      <c r="T66" s="23">
        <v>46247.491712962961</v>
      </c>
      <c r="U66" s="55">
        <f t="shared" si="0"/>
        <v>0.5</v>
      </c>
      <c r="V66" s="55">
        <f t="shared" si="1"/>
        <v>0.5</v>
      </c>
      <c r="W66" s="56">
        <f t="shared" si="2"/>
        <v>15099.333333333334</v>
      </c>
    </row>
    <row r="67" spans="1:23" x14ac:dyDescent="0.3">
      <c r="A67" s="13" t="s">
        <v>0</v>
      </c>
      <c r="B67">
        <v>1</v>
      </c>
      <c r="C67" s="13">
        <v>0</v>
      </c>
      <c r="D67" s="13">
        <v>1</v>
      </c>
      <c r="E67" s="13">
        <v>112128</v>
      </c>
      <c r="F67" s="13">
        <v>138720</v>
      </c>
      <c r="G67" s="13">
        <v>684</v>
      </c>
      <c r="H67" s="13">
        <v>2237380</v>
      </c>
      <c r="I67" s="13">
        <v>0</v>
      </c>
      <c r="J67" s="13">
        <v>0</v>
      </c>
      <c r="K67" s="13">
        <v>15104</v>
      </c>
      <c r="L67" s="13">
        <v>13</v>
      </c>
      <c r="M67" s="13">
        <v>2497</v>
      </c>
      <c r="N67" s="13">
        <v>1462</v>
      </c>
      <c r="O67" s="13">
        <v>21</v>
      </c>
      <c r="P67" s="13">
        <v>6</v>
      </c>
      <c r="Q67" s="13">
        <v>48</v>
      </c>
      <c r="R67" s="13">
        <v>24</v>
      </c>
      <c r="S67" s="13">
        <v>1</v>
      </c>
      <c r="T67" s="23">
        <v>46247.491828703707</v>
      </c>
      <c r="U67" s="55">
        <f t="shared" si="0"/>
        <v>0.5</v>
      </c>
      <c r="V67" s="55">
        <f t="shared" si="1"/>
        <v>0.5</v>
      </c>
      <c r="W67" s="56">
        <f t="shared" si="2"/>
        <v>15089.666666666666</v>
      </c>
    </row>
    <row r="68" spans="1:23" x14ac:dyDescent="0.3">
      <c r="A68" s="13" t="s">
        <v>0</v>
      </c>
      <c r="B68">
        <v>1</v>
      </c>
      <c r="C68" s="13">
        <v>0</v>
      </c>
      <c r="D68" s="13">
        <v>1</v>
      </c>
      <c r="E68" s="13">
        <v>112128</v>
      </c>
      <c r="F68" s="13">
        <v>145760</v>
      </c>
      <c r="G68" s="13">
        <v>700</v>
      </c>
      <c r="H68" s="13">
        <v>2232048</v>
      </c>
      <c r="I68" s="13">
        <v>3</v>
      </c>
      <c r="J68" s="13">
        <v>0</v>
      </c>
      <c r="K68" s="13">
        <v>15771</v>
      </c>
      <c r="L68" s="13">
        <v>41</v>
      </c>
      <c r="M68" s="13">
        <v>3537</v>
      </c>
      <c r="N68" s="13">
        <v>2560</v>
      </c>
      <c r="O68" s="13">
        <v>21</v>
      </c>
      <c r="P68" s="13">
        <v>10</v>
      </c>
      <c r="Q68" s="13">
        <v>44</v>
      </c>
      <c r="R68" s="13">
        <v>24</v>
      </c>
      <c r="S68" s="13">
        <v>1</v>
      </c>
      <c r="T68" s="23">
        <v>46247.491944444446</v>
      </c>
      <c r="U68" s="55">
        <f t="shared" si="0"/>
        <v>0.5</v>
      </c>
      <c r="V68" s="55">
        <f t="shared" si="1"/>
        <v>0.5</v>
      </c>
      <c r="W68" s="56">
        <f t="shared" si="2"/>
        <v>15133.333333333334</v>
      </c>
    </row>
    <row r="69" spans="1:23" x14ac:dyDescent="0.3">
      <c r="A69" s="13" t="s">
        <v>0</v>
      </c>
      <c r="B69">
        <v>1</v>
      </c>
      <c r="C69" s="13">
        <v>0</v>
      </c>
      <c r="D69" s="13">
        <v>1</v>
      </c>
      <c r="E69" s="13">
        <v>112128</v>
      </c>
      <c r="F69" s="13">
        <v>141204</v>
      </c>
      <c r="G69" s="13">
        <v>708</v>
      </c>
      <c r="H69" s="13">
        <v>2231292</v>
      </c>
      <c r="I69" s="13">
        <v>0</v>
      </c>
      <c r="J69" s="13">
        <v>0</v>
      </c>
      <c r="K69" s="13">
        <v>16426</v>
      </c>
      <c r="L69" s="13">
        <v>10</v>
      </c>
      <c r="M69" s="13">
        <v>2639</v>
      </c>
      <c r="N69" s="13">
        <v>1588</v>
      </c>
      <c r="O69" s="13">
        <v>21</v>
      </c>
      <c r="P69" s="13">
        <v>6</v>
      </c>
      <c r="Q69" s="13">
        <v>48</v>
      </c>
      <c r="R69" s="13">
        <v>24</v>
      </c>
      <c r="S69" s="13">
        <v>0</v>
      </c>
      <c r="T69" s="23">
        <v>46247.492060185185</v>
      </c>
      <c r="U69" s="55">
        <f t="shared" si="0"/>
        <v>0.5</v>
      </c>
      <c r="V69" s="55">
        <f t="shared" si="1"/>
        <v>0.5</v>
      </c>
      <c r="W69" s="56">
        <f t="shared" si="2"/>
        <v>15294.5</v>
      </c>
    </row>
    <row r="70" spans="1:23" x14ac:dyDescent="0.3">
      <c r="A70" s="13" t="s">
        <v>0</v>
      </c>
      <c r="B70">
        <v>1</v>
      </c>
      <c r="C70" s="13">
        <v>1</v>
      </c>
      <c r="D70" s="13">
        <v>0</v>
      </c>
      <c r="E70" s="13">
        <v>112128</v>
      </c>
      <c r="F70" s="13">
        <v>152644</v>
      </c>
      <c r="G70" s="13">
        <v>724</v>
      </c>
      <c r="H70" s="13">
        <v>2224800</v>
      </c>
      <c r="I70" s="13">
        <v>0</v>
      </c>
      <c r="J70" s="13">
        <v>0</v>
      </c>
      <c r="K70" s="13">
        <v>15836</v>
      </c>
      <c r="L70" s="13">
        <v>26</v>
      </c>
      <c r="M70" s="13">
        <v>3184</v>
      </c>
      <c r="N70" s="13">
        <v>2211</v>
      </c>
      <c r="O70" s="13">
        <v>21</v>
      </c>
      <c r="P70" s="13">
        <v>8</v>
      </c>
      <c r="Q70" s="13">
        <v>46</v>
      </c>
      <c r="R70" s="13">
        <v>25</v>
      </c>
      <c r="S70" s="13">
        <v>0</v>
      </c>
      <c r="T70" s="23">
        <v>46247.492175925923</v>
      </c>
      <c r="U70" s="55">
        <f t="shared" si="0"/>
        <v>0.5</v>
      </c>
      <c r="V70" s="55">
        <f t="shared" si="1"/>
        <v>0.5</v>
      </c>
      <c r="W70" s="56">
        <f t="shared" si="2"/>
        <v>15410.166666666666</v>
      </c>
    </row>
    <row r="71" spans="1:23" x14ac:dyDescent="0.3">
      <c r="A71" s="13" t="s">
        <v>0</v>
      </c>
      <c r="B71">
        <v>1</v>
      </c>
      <c r="C71" s="13">
        <v>0</v>
      </c>
      <c r="D71" s="13">
        <v>1</v>
      </c>
      <c r="E71" s="13">
        <v>112128</v>
      </c>
      <c r="F71" s="13">
        <v>158944</v>
      </c>
      <c r="G71" s="13">
        <v>732</v>
      </c>
      <c r="H71" s="13">
        <v>2230856</v>
      </c>
      <c r="I71" s="13">
        <v>0</v>
      </c>
      <c r="J71" s="13">
        <v>0</v>
      </c>
      <c r="K71" s="13">
        <v>17021</v>
      </c>
      <c r="L71" s="13">
        <v>14</v>
      </c>
      <c r="M71" s="13">
        <v>3013</v>
      </c>
      <c r="N71" s="13">
        <v>1929</v>
      </c>
      <c r="O71" s="13">
        <v>21</v>
      </c>
      <c r="P71" s="13">
        <v>7</v>
      </c>
      <c r="Q71" s="13">
        <v>47</v>
      </c>
      <c r="R71" s="13">
        <v>24</v>
      </c>
      <c r="S71" s="13">
        <v>0</v>
      </c>
      <c r="T71" s="23">
        <v>46247.492291666669</v>
      </c>
      <c r="U71" s="55">
        <f t="shared" si="0"/>
        <v>0.33333333333333331</v>
      </c>
      <c r="V71" s="55">
        <f t="shared" si="1"/>
        <v>0.66666666666666663</v>
      </c>
      <c r="W71" s="56">
        <f t="shared" si="2"/>
        <v>15679.5</v>
      </c>
    </row>
    <row r="72" spans="1:23" x14ac:dyDescent="0.3">
      <c r="A72" s="13" t="s">
        <v>0</v>
      </c>
      <c r="B72">
        <v>1</v>
      </c>
      <c r="C72" s="13">
        <v>1</v>
      </c>
      <c r="D72" s="13">
        <v>0</v>
      </c>
      <c r="E72" s="13">
        <v>112128</v>
      </c>
      <c r="F72" s="13">
        <v>103268</v>
      </c>
      <c r="G72" s="13">
        <v>788</v>
      </c>
      <c r="H72" s="13">
        <v>2273052</v>
      </c>
      <c r="I72" s="13">
        <v>0</v>
      </c>
      <c r="J72" s="13">
        <v>0</v>
      </c>
      <c r="K72" s="13">
        <v>15313</v>
      </c>
      <c r="L72" s="13">
        <v>38</v>
      </c>
      <c r="M72" s="13">
        <v>2783</v>
      </c>
      <c r="N72" s="13">
        <v>1774</v>
      </c>
      <c r="O72" s="13">
        <v>21</v>
      </c>
      <c r="P72" s="13">
        <v>7</v>
      </c>
      <c r="Q72" s="13">
        <v>47</v>
      </c>
      <c r="R72" s="13">
        <v>25</v>
      </c>
      <c r="S72" s="13">
        <v>1</v>
      </c>
      <c r="T72" s="23">
        <v>46247.492407407408</v>
      </c>
      <c r="U72" s="55">
        <f t="shared" si="0"/>
        <v>0.33333333333333331</v>
      </c>
      <c r="V72" s="55">
        <f t="shared" si="1"/>
        <v>0.66666666666666663</v>
      </c>
      <c r="W72" s="56">
        <f t="shared" si="2"/>
        <v>15911.833333333334</v>
      </c>
    </row>
    <row r="73" spans="1:23" x14ac:dyDescent="0.3">
      <c r="A73" s="13" t="s">
        <v>0</v>
      </c>
      <c r="B73">
        <v>1</v>
      </c>
      <c r="C73" s="13">
        <v>1</v>
      </c>
      <c r="D73" s="13">
        <v>0</v>
      </c>
      <c r="E73" s="13">
        <v>112128</v>
      </c>
      <c r="F73" s="13">
        <v>134948</v>
      </c>
      <c r="G73" s="13">
        <v>796</v>
      </c>
      <c r="H73" s="13">
        <v>2254612</v>
      </c>
      <c r="I73" s="13">
        <v>1</v>
      </c>
      <c r="J73" s="13">
        <v>0</v>
      </c>
      <c r="K73" s="13">
        <v>13514</v>
      </c>
      <c r="L73" s="13">
        <v>2</v>
      </c>
      <c r="M73" s="13">
        <v>2861</v>
      </c>
      <c r="N73" s="13">
        <v>1731</v>
      </c>
      <c r="O73" s="13">
        <v>20</v>
      </c>
      <c r="P73" s="13">
        <v>7</v>
      </c>
      <c r="Q73" s="13">
        <v>47</v>
      </c>
      <c r="R73" s="13">
        <v>26</v>
      </c>
      <c r="S73" s="13">
        <v>1</v>
      </c>
      <c r="T73" s="23">
        <v>46247.492523148147</v>
      </c>
      <c r="U73" s="55">
        <f t="shared" ref="U73:U136" si="3">AVERAGE(C68:C73)</f>
        <v>0.5</v>
      </c>
      <c r="V73" s="55">
        <f t="shared" ref="V73:V136" si="4">AVERAGE(D68:D73)</f>
        <v>0.5</v>
      </c>
      <c r="W73" s="56">
        <f t="shared" ref="W73:W136" si="5">AVERAGE(K68:K73)</f>
        <v>15646.833333333334</v>
      </c>
    </row>
    <row r="74" spans="1:23" x14ac:dyDescent="0.3">
      <c r="A74" s="13" t="s">
        <v>0</v>
      </c>
      <c r="B74">
        <v>1</v>
      </c>
      <c r="C74" s="13">
        <v>0</v>
      </c>
      <c r="D74" s="13">
        <v>1</v>
      </c>
      <c r="E74" s="13">
        <v>112128</v>
      </c>
      <c r="F74" s="13">
        <v>148888</v>
      </c>
      <c r="G74" s="13">
        <v>812</v>
      </c>
      <c r="H74" s="13">
        <v>2247188</v>
      </c>
      <c r="I74" s="13">
        <v>0</v>
      </c>
      <c r="J74" s="13">
        <v>0</v>
      </c>
      <c r="K74" s="13">
        <v>14490</v>
      </c>
      <c r="L74" s="13">
        <v>9</v>
      </c>
      <c r="M74" s="13">
        <v>2483</v>
      </c>
      <c r="N74" s="13">
        <v>1417</v>
      </c>
      <c r="O74" s="13">
        <v>21</v>
      </c>
      <c r="P74" s="13">
        <v>6</v>
      </c>
      <c r="Q74" s="13">
        <v>48</v>
      </c>
      <c r="R74" s="13">
        <v>25</v>
      </c>
      <c r="S74" s="13">
        <v>1</v>
      </c>
      <c r="T74" s="23">
        <v>46247.492638888885</v>
      </c>
      <c r="U74" s="55">
        <f t="shared" si="3"/>
        <v>0.5</v>
      </c>
      <c r="V74" s="55">
        <f t="shared" si="4"/>
        <v>0.5</v>
      </c>
      <c r="W74" s="56">
        <f t="shared" si="5"/>
        <v>15433.333333333334</v>
      </c>
    </row>
    <row r="75" spans="1:23" x14ac:dyDescent="0.3">
      <c r="A75" s="13" t="s">
        <v>0</v>
      </c>
      <c r="B75">
        <v>1</v>
      </c>
      <c r="C75" s="13">
        <v>1</v>
      </c>
      <c r="D75" s="13">
        <v>0</v>
      </c>
      <c r="E75" s="13">
        <v>112128</v>
      </c>
      <c r="F75" s="13">
        <v>144808</v>
      </c>
      <c r="G75" s="13">
        <v>820</v>
      </c>
      <c r="H75" s="13">
        <v>2248128</v>
      </c>
      <c r="I75" s="13">
        <v>0</v>
      </c>
      <c r="J75" s="13">
        <v>0</v>
      </c>
      <c r="K75" s="13">
        <v>14426</v>
      </c>
      <c r="L75" s="13">
        <v>19</v>
      </c>
      <c r="M75" s="13">
        <v>3088</v>
      </c>
      <c r="N75" s="13">
        <v>2086</v>
      </c>
      <c r="O75" s="13">
        <v>20</v>
      </c>
      <c r="P75" s="13">
        <v>8</v>
      </c>
      <c r="Q75" s="13">
        <v>46</v>
      </c>
      <c r="R75" s="13">
        <v>25</v>
      </c>
      <c r="S75" s="13">
        <v>1</v>
      </c>
      <c r="T75" s="23">
        <v>46247.492754629631</v>
      </c>
      <c r="U75" s="55">
        <f t="shared" si="3"/>
        <v>0.66666666666666663</v>
      </c>
      <c r="V75" s="55">
        <f t="shared" si="4"/>
        <v>0.33333333333333331</v>
      </c>
      <c r="W75" s="56">
        <f t="shared" si="5"/>
        <v>15100</v>
      </c>
    </row>
    <row r="76" spans="1:23" x14ac:dyDescent="0.3">
      <c r="A76" s="13" t="s">
        <v>0</v>
      </c>
      <c r="B76">
        <v>1</v>
      </c>
      <c r="C76" s="13">
        <v>2</v>
      </c>
      <c r="D76" s="13">
        <v>0</v>
      </c>
      <c r="E76" s="13">
        <v>112128</v>
      </c>
      <c r="F76" s="13">
        <v>135852</v>
      </c>
      <c r="G76" s="13">
        <v>836</v>
      </c>
      <c r="H76" s="13">
        <v>2259384</v>
      </c>
      <c r="I76" s="13">
        <v>0</v>
      </c>
      <c r="J76" s="13">
        <v>0</v>
      </c>
      <c r="K76" s="13">
        <v>14895</v>
      </c>
      <c r="L76" s="13">
        <v>22</v>
      </c>
      <c r="M76" s="13">
        <v>2551</v>
      </c>
      <c r="N76" s="13">
        <v>1449</v>
      </c>
      <c r="O76" s="13">
        <v>21</v>
      </c>
      <c r="P76" s="13">
        <v>6</v>
      </c>
      <c r="Q76" s="13">
        <v>48</v>
      </c>
      <c r="R76" s="13">
        <v>25</v>
      </c>
      <c r="S76" s="13">
        <v>1</v>
      </c>
      <c r="T76" s="23">
        <v>46247.49287037037</v>
      </c>
      <c r="U76" s="55">
        <f t="shared" si="3"/>
        <v>0.83333333333333337</v>
      </c>
      <c r="V76" s="55">
        <f t="shared" si="4"/>
        <v>0.33333333333333331</v>
      </c>
      <c r="W76" s="56">
        <f t="shared" si="5"/>
        <v>14943.166666666666</v>
      </c>
    </row>
    <row r="77" spans="1:23" x14ac:dyDescent="0.3">
      <c r="A77" s="13" t="s">
        <v>0</v>
      </c>
      <c r="B77">
        <v>1</v>
      </c>
      <c r="C77" s="13">
        <v>1</v>
      </c>
      <c r="D77" s="13">
        <v>0</v>
      </c>
      <c r="E77" s="13">
        <v>112128</v>
      </c>
      <c r="F77" s="13">
        <v>125408</v>
      </c>
      <c r="G77" s="13">
        <v>844</v>
      </c>
      <c r="H77" s="13">
        <v>2264264</v>
      </c>
      <c r="I77" s="13">
        <v>0</v>
      </c>
      <c r="J77" s="13">
        <v>0</v>
      </c>
      <c r="K77" s="13">
        <v>13980</v>
      </c>
      <c r="L77" s="13">
        <v>23</v>
      </c>
      <c r="M77" s="13">
        <v>2609</v>
      </c>
      <c r="N77" s="13">
        <v>1589</v>
      </c>
      <c r="O77" s="13">
        <v>20</v>
      </c>
      <c r="P77" s="13">
        <v>6</v>
      </c>
      <c r="Q77" s="13">
        <v>47</v>
      </c>
      <c r="R77" s="13">
        <v>25</v>
      </c>
      <c r="S77" s="13">
        <v>1</v>
      </c>
      <c r="T77" s="23">
        <v>46247.492986111109</v>
      </c>
      <c r="U77" s="55">
        <f t="shared" si="3"/>
        <v>1</v>
      </c>
      <c r="V77" s="55">
        <f t="shared" si="4"/>
        <v>0.16666666666666666</v>
      </c>
      <c r="W77" s="56">
        <f t="shared" si="5"/>
        <v>14436.333333333334</v>
      </c>
    </row>
    <row r="78" spans="1:23" x14ac:dyDescent="0.3">
      <c r="A78" s="13" t="s">
        <v>0</v>
      </c>
      <c r="B78">
        <v>1</v>
      </c>
      <c r="C78" s="13">
        <v>0</v>
      </c>
      <c r="D78" s="13">
        <v>1</v>
      </c>
      <c r="E78" s="13">
        <v>112128</v>
      </c>
      <c r="F78" s="13">
        <v>124212</v>
      </c>
      <c r="G78" s="13">
        <v>876</v>
      </c>
      <c r="H78" s="13">
        <v>2273660</v>
      </c>
      <c r="I78" s="13">
        <v>0</v>
      </c>
      <c r="J78" s="13">
        <v>0</v>
      </c>
      <c r="K78" s="13">
        <v>13116</v>
      </c>
      <c r="L78" s="13">
        <v>41</v>
      </c>
      <c r="M78" s="13">
        <v>2832</v>
      </c>
      <c r="N78" s="13">
        <v>1774</v>
      </c>
      <c r="O78" s="13">
        <v>20</v>
      </c>
      <c r="P78" s="13">
        <v>7</v>
      </c>
      <c r="Q78" s="13">
        <v>46</v>
      </c>
      <c r="R78" s="13">
        <v>25</v>
      </c>
      <c r="S78" s="13">
        <v>1</v>
      </c>
      <c r="T78" s="23">
        <v>46247.493101851855</v>
      </c>
      <c r="U78" s="55">
        <f t="shared" si="3"/>
        <v>0.83333333333333337</v>
      </c>
      <c r="V78" s="55">
        <f t="shared" si="4"/>
        <v>0.33333333333333331</v>
      </c>
      <c r="W78" s="56">
        <f t="shared" si="5"/>
        <v>14070.166666666666</v>
      </c>
    </row>
    <row r="79" spans="1:23" x14ac:dyDescent="0.3">
      <c r="A79" s="13" t="s">
        <v>0</v>
      </c>
      <c r="B79">
        <v>1</v>
      </c>
      <c r="C79" s="13">
        <v>0</v>
      </c>
      <c r="D79" s="13">
        <v>1</v>
      </c>
      <c r="E79" s="13">
        <v>112128</v>
      </c>
      <c r="F79" s="13">
        <v>147704</v>
      </c>
      <c r="G79" s="13">
        <v>880</v>
      </c>
      <c r="H79" s="13">
        <v>2255128</v>
      </c>
      <c r="I79" s="13">
        <v>0</v>
      </c>
      <c r="J79" s="13">
        <v>0</v>
      </c>
      <c r="K79" s="13">
        <v>14332</v>
      </c>
      <c r="L79" s="13">
        <v>14</v>
      </c>
      <c r="M79" s="13">
        <v>2675</v>
      </c>
      <c r="N79" s="13">
        <v>1559</v>
      </c>
      <c r="O79" s="13">
        <v>21</v>
      </c>
      <c r="P79" s="13">
        <v>7</v>
      </c>
      <c r="Q79" s="13">
        <v>47</v>
      </c>
      <c r="R79" s="13">
        <v>25</v>
      </c>
      <c r="S79" s="13">
        <v>1</v>
      </c>
      <c r="T79" s="23">
        <v>46247.493217592593</v>
      </c>
      <c r="U79" s="55">
        <f t="shared" si="3"/>
        <v>0.66666666666666663</v>
      </c>
      <c r="V79" s="55">
        <f t="shared" si="4"/>
        <v>0.5</v>
      </c>
      <c r="W79" s="56">
        <f t="shared" si="5"/>
        <v>14206.5</v>
      </c>
    </row>
    <row r="80" spans="1:23" x14ac:dyDescent="0.3">
      <c r="A80" s="13" t="s">
        <v>0</v>
      </c>
      <c r="B80">
        <v>1</v>
      </c>
      <c r="C80" s="13">
        <v>0</v>
      </c>
      <c r="D80" s="13">
        <v>1</v>
      </c>
      <c r="E80" s="13">
        <v>112128</v>
      </c>
      <c r="F80" s="13">
        <v>125208</v>
      </c>
      <c r="G80" s="13">
        <v>888</v>
      </c>
      <c r="H80" s="13">
        <v>2271640</v>
      </c>
      <c r="I80" s="13">
        <v>0</v>
      </c>
      <c r="J80" s="13">
        <v>0</v>
      </c>
      <c r="K80" s="13">
        <v>15052</v>
      </c>
      <c r="L80" s="13">
        <v>10</v>
      </c>
      <c r="M80" s="13">
        <v>2923</v>
      </c>
      <c r="N80" s="13">
        <v>2017</v>
      </c>
      <c r="O80" s="13">
        <v>21</v>
      </c>
      <c r="P80" s="13">
        <v>8</v>
      </c>
      <c r="Q80" s="13">
        <v>46</v>
      </c>
      <c r="R80" s="13">
        <v>24</v>
      </c>
      <c r="S80" s="13">
        <v>0</v>
      </c>
      <c r="T80" s="23">
        <v>46247.493333333332</v>
      </c>
      <c r="U80" s="55">
        <f t="shared" si="3"/>
        <v>0.66666666666666663</v>
      </c>
      <c r="V80" s="55">
        <f t="shared" si="4"/>
        <v>0.5</v>
      </c>
      <c r="W80" s="56">
        <f t="shared" si="5"/>
        <v>14300.166666666666</v>
      </c>
    </row>
    <row r="81" spans="1:23" x14ac:dyDescent="0.3">
      <c r="A81" s="13" t="s">
        <v>0</v>
      </c>
      <c r="B81">
        <v>1</v>
      </c>
      <c r="C81" s="13">
        <v>1</v>
      </c>
      <c r="D81" s="13">
        <v>0</v>
      </c>
      <c r="E81" s="13">
        <v>112128</v>
      </c>
      <c r="F81" s="13">
        <v>119644</v>
      </c>
      <c r="G81" s="13">
        <v>896</v>
      </c>
      <c r="H81" s="13">
        <v>2276388</v>
      </c>
      <c r="I81" s="13">
        <v>0</v>
      </c>
      <c r="J81" s="13">
        <v>0</v>
      </c>
      <c r="K81" s="13">
        <v>15473</v>
      </c>
      <c r="L81" s="13">
        <v>11</v>
      </c>
      <c r="M81" s="13">
        <v>2720</v>
      </c>
      <c r="N81" s="13">
        <v>1670</v>
      </c>
      <c r="O81" s="13">
        <v>22</v>
      </c>
      <c r="P81" s="13">
        <v>7</v>
      </c>
      <c r="Q81" s="13">
        <v>47</v>
      </c>
      <c r="R81" s="13">
        <v>24</v>
      </c>
      <c r="S81" s="13">
        <v>1</v>
      </c>
      <c r="T81" s="23">
        <v>46247.493449074071</v>
      </c>
      <c r="U81" s="55">
        <f t="shared" si="3"/>
        <v>0.66666666666666663</v>
      </c>
      <c r="V81" s="55">
        <f t="shared" si="4"/>
        <v>0.5</v>
      </c>
      <c r="W81" s="56">
        <f t="shared" si="5"/>
        <v>14474.666666666666</v>
      </c>
    </row>
    <row r="82" spans="1:23" x14ac:dyDescent="0.3">
      <c r="A82" s="13" t="s">
        <v>0</v>
      </c>
      <c r="B82">
        <v>1</v>
      </c>
      <c r="C82" s="13">
        <v>1</v>
      </c>
      <c r="D82" s="13">
        <v>0</v>
      </c>
      <c r="E82" s="13">
        <v>112128</v>
      </c>
      <c r="F82" s="13">
        <v>119000</v>
      </c>
      <c r="G82" s="13">
        <v>912</v>
      </c>
      <c r="H82" s="13">
        <v>2273784</v>
      </c>
      <c r="I82" s="13">
        <v>0</v>
      </c>
      <c r="J82" s="13">
        <v>0</v>
      </c>
      <c r="K82" s="13">
        <v>12822</v>
      </c>
      <c r="L82" s="13">
        <v>31</v>
      </c>
      <c r="M82" s="13">
        <v>2780</v>
      </c>
      <c r="N82" s="13">
        <v>1682</v>
      </c>
      <c r="O82" s="13">
        <v>19</v>
      </c>
      <c r="P82" s="13">
        <v>7</v>
      </c>
      <c r="Q82" s="13">
        <v>47</v>
      </c>
      <c r="R82" s="13">
        <v>27</v>
      </c>
      <c r="S82" s="13">
        <v>1</v>
      </c>
      <c r="T82" s="23">
        <v>46247.493564814817</v>
      </c>
      <c r="U82" s="55">
        <f t="shared" si="3"/>
        <v>0.5</v>
      </c>
      <c r="V82" s="55">
        <f t="shared" si="4"/>
        <v>0.5</v>
      </c>
      <c r="W82" s="56">
        <f t="shared" si="5"/>
        <v>14129.166666666666</v>
      </c>
    </row>
    <row r="83" spans="1:23" x14ac:dyDescent="0.3">
      <c r="A83" s="13" t="s">
        <v>0</v>
      </c>
      <c r="B83">
        <v>1</v>
      </c>
      <c r="C83" s="13">
        <v>0</v>
      </c>
      <c r="D83" s="13">
        <v>1</v>
      </c>
      <c r="E83" s="13">
        <v>112128</v>
      </c>
      <c r="F83" s="13">
        <v>101296</v>
      </c>
      <c r="G83" s="13">
        <v>920</v>
      </c>
      <c r="H83" s="13">
        <v>2292096</v>
      </c>
      <c r="I83" s="13">
        <v>0</v>
      </c>
      <c r="J83" s="13">
        <v>0</v>
      </c>
      <c r="K83" s="13">
        <v>15090</v>
      </c>
      <c r="L83" s="13">
        <v>6</v>
      </c>
      <c r="M83" s="13">
        <v>2854</v>
      </c>
      <c r="N83" s="13">
        <v>1674</v>
      </c>
      <c r="O83" s="13">
        <v>20</v>
      </c>
      <c r="P83" s="13">
        <v>7</v>
      </c>
      <c r="Q83" s="13">
        <v>47</v>
      </c>
      <c r="R83" s="13">
        <v>25</v>
      </c>
      <c r="S83" s="13">
        <v>1</v>
      </c>
      <c r="T83" s="23">
        <v>46247.493680555555</v>
      </c>
      <c r="U83" s="55">
        <f t="shared" si="3"/>
        <v>0.33333333333333331</v>
      </c>
      <c r="V83" s="55">
        <f t="shared" si="4"/>
        <v>0.66666666666666663</v>
      </c>
      <c r="W83" s="56">
        <f t="shared" si="5"/>
        <v>14314.166666666666</v>
      </c>
    </row>
    <row r="84" spans="1:23" x14ac:dyDescent="0.3">
      <c r="A84" s="13" t="s">
        <v>0</v>
      </c>
      <c r="B84">
        <v>1</v>
      </c>
      <c r="C84" s="13">
        <v>1</v>
      </c>
      <c r="D84" s="13">
        <v>0</v>
      </c>
      <c r="E84" s="13">
        <v>112640</v>
      </c>
      <c r="F84" s="13">
        <v>114900</v>
      </c>
      <c r="G84" s="13">
        <v>224</v>
      </c>
      <c r="H84" s="13">
        <v>2277964</v>
      </c>
      <c r="I84" s="13">
        <v>0</v>
      </c>
      <c r="J84" s="13">
        <v>90</v>
      </c>
      <c r="K84" s="13">
        <v>15776</v>
      </c>
      <c r="L84" s="13">
        <v>114</v>
      </c>
      <c r="M84" s="13">
        <v>2678</v>
      </c>
      <c r="N84" s="13">
        <v>1786</v>
      </c>
      <c r="O84" s="13">
        <v>22</v>
      </c>
      <c r="P84" s="13">
        <v>7</v>
      </c>
      <c r="Q84" s="13">
        <v>47</v>
      </c>
      <c r="R84" s="13">
        <v>24</v>
      </c>
      <c r="S84" s="13">
        <v>0</v>
      </c>
      <c r="T84" s="23">
        <v>46247.493796296294</v>
      </c>
      <c r="U84" s="55">
        <f t="shared" si="3"/>
        <v>0.5</v>
      </c>
      <c r="V84" s="55">
        <f t="shared" si="4"/>
        <v>0.5</v>
      </c>
      <c r="W84" s="56">
        <f t="shared" si="5"/>
        <v>14757.5</v>
      </c>
    </row>
    <row r="85" spans="1:23" x14ac:dyDescent="0.3">
      <c r="A85" s="13" t="s">
        <v>0</v>
      </c>
      <c r="B85">
        <v>1</v>
      </c>
      <c r="C85" s="13">
        <v>1</v>
      </c>
      <c r="D85" s="13">
        <v>0</v>
      </c>
      <c r="E85" s="13">
        <v>113152</v>
      </c>
      <c r="F85" s="13">
        <v>115948</v>
      </c>
      <c r="G85" s="13">
        <v>232</v>
      </c>
      <c r="H85" s="13">
        <v>2284988</v>
      </c>
      <c r="I85" s="13">
        <v>0</v>
      </c>
      <c r="J85" s="13">
        <v>48</v>
      </c>
      <c r="K85" s="13">
        <v>13597</v>
      </c>
      <c r="L85" s="13">
        <v>63</v>
      </c>
      <c r="M85" s="13">
        <v>3062</v>
      </c>
      <c r="N85" s="13">
        <v>1920</v>
      </c>
      <c r="O85" s="13">
        <v>21</v>
      </c>
      <c r="P85" s="13">
        <v>8</v>
      </c>
      <c r="Q85" s="13">
        <v>46</v>
      </c>
      <c r="R85" s="13">
        <v>24</v>
      </c>
      <c r="S85" s="13">
        <v>1</v>
      </c>
      <c r="T85" s="23">
        <v>46247.49391203704</v>
      </c>
      <c r="U85" s="55">
        <f t="shared" si="3"/>
        <v>0.66666666666666663</v>
      </c>
      <c r="V85" s="55">
        <f t="shared" si="4"/>
        <v>0.33333333333333331</v>
      </c>
      <c r="W85" s="56">
        <f t="shared" si="5"/>
        <v>14635</v>
      </c>
    </row>
    <row r="86" spans="1:23" x14ac:dyDescent="0.3">
      <c r="A86" s="13" t="s">
        <v>0</v>
      </c>
      <c r="B86">
        <v>1</v>
      </c>
      <c r="C86" s="13">
        <v>0</v>
      </c>
      <c r="D86" s="13">
        <v>1</v>
      </c>
      <c r="E86" s="13">
        <v>119040</v>
      </c>
      <c r="F86" s="13">
        <v>105392</v>
      </c>
      <c r="G86" s="13">
        <v>220</v>
      </c>
      <c r="H86" s="13">
        <v>2285492</v>
      </c>
      <c r="I86" s="13">
        <v>6</v>
      </c>
      <c r="J86" s="13">
        <v>584</v>
      </c>
      <c r="K86" s="13">
        <v>15680</v>
      </c>
      <c r="L86" s="13">
        <v>596</v>
      </c>
      <c r="M86" s="13">
        <v>2756</v>
      </c>
      <c r="N86" s="13">
        <v>1605</v>
      </c>
      <c r="O86" s="13">
        <v>21</v>
      </c>
      <c r="P86" s="13">
        <v>7</v>
      </c>
      <c r="Q86" s="13">
        <v>47</v>
      </c>
      <c r="R86" s="13">
        <v>24</v>
      </c>
      <c r="S86" s="13">
        <v>1</v>
      </c>
      <c r="T86" s="23">
        <v>46247.494027777779</v>
      </c>
      <c r="U86" s="55">
        <f t="shared" si="3"/>
        <v>0.66666666666666663</v>
      </c>
      <c r="V86" s="55">
        <f t="shared" si="4"/>
        <v>0.33333333333333331</v>
      </c>
      <c r="W86" s="56">
        <f t="shared" si="5"/>
        <v>14739.666666666666</v>
      </c>
    </row>
    <row r="87" spans="1:23" x14ac:dyDescent="0.3">
      <c r="A87" s="13" t="s">
        <v>0</v>
      </c>
      <c r="B87">
        <v>1</v>
      </c>
      <c r="C87" s="13">
        <v>1</v>
      </c>
      <c r="D87" s="13">
        <v>0</v>
      </c>
      <c r="E87" s="13">
        <v>119040</v>
      </c>
      <c r="F87" s="13">
        <v>133920</v>
      </c>
      <c r="G87" s="13">
        <v>228</v>
      </c>
      <c r="H87" s="13">
        <v>2262700</v>
      </c>
      <c r="I87" s="13">
        <v>0</v>
      </c>
      <c r="J87" s="13">
        <v>0</v>
      </c>
      <c r="K87" s="13">
        <v>14176</v>
      </c>
      <c r="L87" s="13">
        <v>11</v>
      </c>
      <c r="M87" s="13">
        <v>3027</v>
      </c>
      <c r="N87" s="13">
        <v>1989</v>
      </c>
      <c r="O87" s="13">
        <v>21</v>
      </c>
      <c r="P87" s="13">
        <v>8</v>
      </c>
      <c r="Q87" s="13">
        <v>46</v>
      </c>
      <c r="R87" s="13">
        <v>24</v>
      </c>
      <c r="S87" s="13">
        <v>1</v>
      </c>
      <c r="T87" s="23">
        <v>46247.494143518517</v>
      </c>
      <c r="U87" s="55">
        <f t="shared" si="3"/>
        <v>0.66666666666666663</v>
      </c>
      <c r="V87" s="55">
        <f t="shared" si="4"/>
        <v>0.33333333333333331</v>
      </c>
      <c r="W87" s="56">
        <f t="shared" si="5"/>
        <v>14523.5</v>
      </c>
    </row>
    <row r="88" spans="1:23" x14ac:dyDescent="0.3">
      <c r="A88" s="13" t="s">
        <v>0</v>
      </c>
      <c r="B88">
        <v>1</v>
      </c>
      <c r="C88" s="13">
        <v>2</v>
      </c>
      <c r="D88" s="13">
        <v>0</v>
      </c>
      <c r="E88" s="13">
        <v>119040</v>
      </c>
      <c r="F88" s="13">
        <v>133696</v>
      </c>
      <c r="G88" s="13">
        <v>236</v>
      </c>
      <c r="H88" s="13">
        <v>2255648</v>
      </c>
      <c r="I88" s="13">
        <v>0</v>
      </c>
      <c r="J88" s="13">
        <v>0</v>
      </c>
      <c r="K88" s="13">
        <v>15746</v>
      </c>
      <c r="L88" s="13">
        <v>12</v>
      </c>
      <c r="M88" s="13">
        <v>2945</v>
      </c>
      <c r="N88" s="13">
        <v>1789</v>
      </c>
      <c r="O88" s="13">
        <v>21</v>
      </c>
      <c r="P88" s="13">
        <v>7</v>
      </c>
      <c r="Q88" s="13">
        <v>47</v>
      </c>
      <c r="R88" s="13">
        <v>24</v>
      </c>
      <c r="S88" s="13">
        <v>1</v>
      </c>
      <c r="T88" s="23">
        <v>46247.494259259256</v>
      </c>
      <c r="U88" s="55">
        <f t="shared" si="3"/>
        <v>0.83333333333333337</v>
      </c>
      <c r="V88" s="55">
        <f t="shared" si="4"/>
        <v>0.33333333333333331</v>
      </c>
      <c r="W88" s="56">
        <f t="shared" si="5"/>
        <v>15010.833333333334</v>
      </c>
    </row>
    <row r="89" spans="1:23" x14ac:dyDescent="0.3">
      <c r="A89" s="13" t="s">
        <v>0</v>
      </c>
      <c r="B89">
        <v>1</v>
      </c>
      <c r="C89" s="13">
        <v>0</v>
      </c>
      <c r="D89" s="13">
        <v>1</v>
      </c>
      <c r="E89" s="13">
        <v>119040</v>
      </c>
      <c r="F89" s="13">
        <v>645128</v>
      </c>
      <c r="G89" s="13">
        <v>244</v>
      </c>
      <c r="H89" s="13">
        <v>1686444</v>
      </c>
      <c r="I89" s="13">
        <v>7</v>
      </c>
      <c r="J89" s="13">
        <v>0</v>
      </c>
      <c r="K89" s="13">
        <v>13767</v>
      </c>
      <c r="L89" s="13">
        <v>11</v>
      </c>
      <c r="M89" s="13">
        <v>3292</v>
      </c>
      <c r="N89" s="13">
        <v>2239</v>
      </c>
      <c r="O89" s="13">
        <v>22</v>
      </c>
      <c r="P89" s="13">
        <v>16</v>
      </c>
      <c r="Q89" s="13">
        <v>39</v>
      </c>
      <c r="R89" s="13">
        <v>23</v>
      </c>
      <c r="S89" s="13">
        <v>0</v>
      </c>
      <c r="T89" s="23">
        <v>46247.494375000002</v>
      </c>
      <c r="U89" s="55">
        <f t="shared" si="3"/>
        <v>0.83333333333333337</v>
      </c>
      <c r="V89" s="55">
        <f t="shared" si="4"/>
        <v>0.33333333333333331</v>
      </c>
      <c r="W89" s="56">
        <f t="shared" si="5"/>
        <v>14790.333333333334</v>
      </c>
    </row>
    <row r="90" spans="1:23" x14ac:dyDescent="0.3">
      <c r="A90" s="13" t="s">
        <v>0</v>
      </c>
      <c r="B90">
        <v>1</v>
      </c>
      <c r="C90" s="13">
        <v>1</v>
      </c>
      <c r="D90" s="13">
        <v>0</v>
      </c>
      <c r="E90" s="13">
        <v>119040</v>
      </c>
      <c r="F90" s="13">
        <v>547212</v>
      </c>
      <c r="G90" s="13">
        <v>284</v>
      </c>
      <c r="H90" s="13">
        <v>1844972</v>
      </c>
      <c r="I90" s="13">
        <v>1</v>
      </c>
      <c r="J90" s="13">
        <v>0</v>
      </c>
      <c r="K90" s="13">
        <v>15846</v>
      </c>
      <c r="L90" s="13">
        <v>32</v>
      </c>
      <c r="M90" s="13">
        <v>2703</v>
      </c>
      <c r="N90" s="13">
        <v>1553</v>
      </c>
      <c r="O90" s="13">
        <v>18</v>
      </c>
      <c r="P90" s="13">
        <v>7</v>
      </c>
      <c r="Q90" s="13">
        <v>47</v>
      </c>
      <c r="R90" s="13">
        <v>26</v>
      </c>
      <c r="S90" s="13">
        <v>1</v>
      </c>
      <c r="T90" s="23">
        <v>46247.494490740741</v>
      </c>
      <c r="U90" s="55">
        <f t="shared" si="3"/>
        <v>0.83333333333333337</v>
      </c>
      <c r="V90" s="55">
        <f t="shared" si="4"/>
        <v>0.33333333333333331</v>
      </c>
      <c r="W90" s="56">
        <f t="shared" si="5"/>
        <v>14802</v>
      </c>
    </row>
    <row r="91" spans="1:23" x14ac:dyDescent="0.3">
      <c r="A91" s="13" t="s">
        <v>0</v>
      </c>
      <c r="B91">
        <v>1</v>
      </c>
      <c r="C91" s="13">
        <v>1</v>
      </c>
      <c r="D91" s="13">
        <v>0</v>
      </c>
      <c r="E91" s="13">
        <v>119040</v>
      </c>
      <c r="F91" s="13">
        <v>394248</v>
      </c>
      <c r="G91" s="13">
        <v>292</v>
      </c>
      <c r="H91" s="13">
        <v>2000708</v>
      </c>
      <c r="I91" s="13">
        <v>0</v>
      </c>
      <c r="J91" s="13">
        <v>0</v>
      </c>
      <c r="K91" s="13">
        <v>15574</v>
      </c>
      <c r="L91" s="13">
        <v>25</v>
      </c>
      <c r="M91" s="13">
        <v>2611</v>
      </c>
      <c r="N91" s="13">
        <v>1466</v>
      </c>
      <c r="O91" s="13">
        <v>18</v>
      </c>
      <c r="P91" s="13">
        <v>8</v>
      </c>
      <c r="Q91" s="13">
        <v>48</v>
      </c>
      <c r="R91" s="13">
        <v>25</v>
      </c>
      <c r="S91" s="13">
        <v>1</v>
      </c>
      <c r="T91" s="23">
        <v>46247.494606481479</v>
      </c>
      <c r="U91" s="55">
        <f t="shared" si="3"/>
        <v>0.83333333333333337</v>
      </c>
      <c r="V91" s="55">
        <f t="shared" si="4"/>
        <v>0.33333333333333331</v>
      </c>
      <c r="W91" s="56">
        <f t="shared" si="5"/>
        <v>15131.5</v>
      </c>
    </row>
    <row r="92" spans="1:23" x14ac:dyDescent="0.3">
      <c r="A92" s="13" t="s">
        <v>0</v>
      </c>
      <c r="B92">
        <v>1</v>
      </c>
      <c r="C92" s="13">
        <v>0</v>
      </c>
      <c r="D92" s="13">
        <v>1</v>
      </c>
      <c r="E92" s="13">
        <v>119040</v>
      </c>
      <c r="F92" s="13">
        <v>250356</v>
      </c>
      <c r="G92" s="13">
        <v>300</v>
      </c>
      <c r="H92" s="13">
        <v>2146380</v>
      </c>
      <c r="I92" s="13">
        <v>0</v>
      </c>
      <c r="J92" s="13">
        <v>0</v>
      </c>
      <c r="K92" s="13">
        <v>14569</v>
      </c>
      <c r="L92" s="13">
        <v>12</v>
      </c>
      <c r="M92" s="13">
        <v>2831</v>
      </c>
      <c r="N92" s="13">
        <v>1639</v>
      </c>
      <c r="O92" s="13">
        <v>19</v>
      </c>
      <c r="P92" s="13">
        <v>9</v>
      </c>
      <c r="Q92" s="13">
        <v>47</v>
      </c>
      <c r="R92" s="13">
        <v>25</v>
      </c>
      <c r="S92" s="13">
        <v>1</v>
      </c>
      <c r="T92" s="23">
        <v>46247.494722222225</v>
      </c>
      <c r="U92" s="55">
        <f t="shared" si="3"/>
        <v>0.83333333333333337</v>
      </c>
      <c r="V92" s="55">
        <f t="shared" si="4"/>
        <v>0.33333333333333331</v>
      </c>
      <c r="W92" s="56">
        <f t="shared" si="5"/>
        <v>14946.333333333334</v>
      </c>
    </row>
    <row r="93" spans="1:23" x14ac:dyDescent="0.3">
      <c r="A93" s="13" t="s">
        <v>0</v>
      </c>
      <c r="B93">
        <v>1</v>
      </c>
      <c r="C93" s="13">
        <v>1</v>
      </c>
      <c r="D93" s="13">
        <v>0</v>
      </c>
      <c r="E93" s="13">
        <v>118784</v>
      </c>
      <c r="F93" s="13">
        <v>117660</v>
      </c>
      <c r="G93" s="13">
        <v>308</v>
      </c>
      <c r="H93" s="13">
        <v>2272760</v>
      </c>
      <c r="I93" s="13">
        <v>143</v>
      </c>
      <c r="J93" s="13">
        <v>0</v>
      </c>
      <c r="K93" s="13">
        <v>17590</v>
      </c>
      <c r="L93" s="13">
        <v>19</v>
      </c>
      <c r="M93" s="13">
        <v>2933</v>
      </c>
      <c r="N93" s="13">
        <v>1719</v>
      </c>
      <c r="O93" s="13">
        <v>21</v>
      </c>
      <c r="P93" s="13">
        <v>7</v>
      </c>
      <c r="Q93" s="13">
        <v>46</v>
      </c>
      <c r="R93" s="13">
        <v>25</v>
      </c>
      <c r="S93" s="13">
        <v>1</v>
      </c>
      <c r="T93" s="23">
        <v>46247.494837962964</v>
      </c>
      <c r="U93" s="55">
        <f t="shared" si="3"/>
        <v>0.83333333333333337</v>
      </c>
      <c r="V93" s="55">
        <f t="shared" si="4"/>
        <v>0.33333333333333331</v>
      </c>
      <c r="W93" s="56">
        <f t="shared" si="5"/>
        <v>15515.333333333334</v>
      </c>
    </row>
    <row r="94" spans="1:23" x14ac:dyDescent="0.3">
      <c r="A94" s="13" t="s">
        <v>0</v>
      </c>
      <c r="B94">
        <v>1</v>
      </c>
      <c r="C94" s="13">
        <v>1</v>
      </c>
      <c r="D94" s="13">
        <v>0</v>
      </c>
      <c r="E94" s="13">
        <v>118784</v>
      </c>
      <c r="F94" s="13">
        <v>115808</v>
      </c>
      <c r="G94" s="13">
        <v>316</v>
      </c>
      <c r="H94" s="13">
        <v>2278008</v>
      </c>
      <c r="I94" s="13">
        <v>0</v>
      </c>
      <c r="J94" s="13">
        <v>0</v>
      </c>
      <c r="K94" s="13">
        <v>16646</v>
      </c>
      <c r="L94" s="13">
        <v>12</v>
      </c>
      <c r="M94" s="13">
        <v>2712</v>
      </c>
      <c r="N94" s="13">
        <v>1643</v>
      </c>
      <c r="O94" s="13">
        <v>21</v>
      </c>
      <c r="P94" s="13">
        <v>6</v>
      </c>
      <c r="Q94" s="13">
        <v>48</v>
      </c>
      <c r="R94" s="13">
        <v>25</v>
      </c>
      <c r="S94" s="13">
        <v>1</v>
      </c>
      <c r="T94" s="23">
        <v>46247.494953703703</v>
      </c>
      <c r="U94" s="55">
        <f t="shared" si="3"/>
        <v>0.66666666666666663</v>
      </c>
      <c r="V94" s="55">
        <f t="shared" si="4"/>
        <v>0.33333333333333331</v>
      </c>
      <c r="W94" s="56">
        <f t="shared" si="5"/>
        <v>15665.333333333334</v>
      </c>
    </row>
    <row r="95" spans="1:23" x14ac:dyDescent="0.3">
      <c r="A95" s="13" t="s">
        <v>0</v>
      </c>
      <c r="B95">
        <v>1</v>
      </c>
      <c r="C95" s="13">
        <v>1</v>
      </c>
      <c r="D95" s="13">
        <v>0</v>
      </c>
      <c r="E95" s="13">
        <v>118784</v>
      </c>
      <c r="F95" s="13">
        <v>153184</v>
      </c>
      <c r="G95" s="13">
        <v>324</v>
      </c>
      <c r="H95" s="13">
        <v>2234744</v>
      </c>
      <c r="I95" s="13">
        <v>0</v>
      </c>
      <c r="J95" s="13">
        <v>0</v>
      </c>
      <c r="K95" s="13">
        <v>16634</v>
      </c>
      <c r="L95" s="13">
        <v>13</v>
      </c>
      <c r="M95" s="13">
        <v>2784</v>
      </c>
      <c r="N95" s="13">
        <v>1806</v>
      </c>
      <c r="O95" s="13">
        <v>22</v>
      </c>
      <c r="P95" s="13">
        <v>7</v>
      </c>
      <c r="Q95" s="13">
        <v>47</v>
      </c>
      <c r="R95" s="13">
        <v>24</v>
      </c>
      <c r="S95" s="13">
        <v>0</v>
      </c>
      <c r="T95" s="23">
        <v>46247.495069444441</v>
      </c>
      <c r="U95" s="55">
        <f t="shared" si="3"/>
        <v>0.83333333333333337</v>
      </c>
      <c r="V95" s="55">
        <f t="shared" si="4"/>
        <v>0.16666666666666666</v>
      </c>
      <c r="W95" s="56">
        <f t="shared" si="5"/>
        <v>16143.166666666666</v>
      </c>
    </row>
    <row r="96" spans="1:23" x14ac:dyDescent="0.3">
      <c r="A96" s="13" t="s">
        <v>0</v>
      </c>
      <c r="B96">
        <v>1</v>
      </c>
      <c r="C96" s="13">
        <v>1</v>
      </c>
      <c r="D96" s="13">
        <v>0</v>
      </c>
      <c r="E96" s="13">
        <v>118784</v>
      </c>
      <c r="F96" s="13">
        <v>138016</v>
      </c>
      <c r="G96" s="13">
        <v>348</v>
      </c>
      <c r="H96" s="13">
        <v>2244460</v>
      </c>
      <c r="I96" s="13">
        <v>0</v>
      </c>
      <c r="J96" s="13">
        <v>0</v>
      </c>
      <c r="K96" s="13">
        <v>17347</v>
      </c>
      <c r="L96" s="13">
        <v>26</v>
      </c>
      <c r="M96" s="13">
        <v>2724</v>
      </c>
      <c r="N96" s="13">
        <v>1578</v>
      </c>
      <c r="O96" s="13">
        <v>22</v>
      </c>
      <c r="P96" s="13">
        <v>6</v>
      </c>
      <c r="Q96" s="13">
        <v>48</v>
      </c>
      <c r="R96" s="13">
        <v>25</v>
      </c>
      <c r="S96" s="13">
        <v>1</v>
      </c>
      <c r="T96" s="23">
        <v>46247.495185185187</v>
      </c>
      <c r="U96" s="55">
        <f t="shared" si="3"/>
        <v>0.83333333333333337</v>
      </c>
      <c r="V96" s="55">
        <f t="shared" si="4"/>
        <v>0.16666666666666666</v>
      </c>
      <c r="W96" s="56">
        <f t="shared" si="5"/>
        <v>16393.333333333332</v>
      </c>
    </row>
    <row r="97" spans="1:23" x14ac:dyDescent="0.3">
      <c r="A97" s="13" t="s">
        <v>0</v>
      </c>
      <c r="B97">
        <v>1</v>
      </c>
      <c r="C97" s="13">
        <v>1</v>
      </c>
      <c r="D97" s="13">
        <v>0</v>
      </c>
      <c r="E97" s="13">
        <v>118784</v>
      </c>
      <c r="F97" s="13">
        <v>159248</v>
      </c>
      <c r="G97" s="13">
        <v>356</v>
      </c>
      <c r="H97" s="13">
        <v>2235508</v>
      </c>
      <c r="I97" s="13">
        <v>0</v>
      </c>
      <c r="J97" s="13">
        <v>0</v>
      </c>
      <c r="K97" s="13">
        <v>15072</v>
      </c>
      <c r="L97" s="13">
        <v>18</v>
      </c>
      <c r="M97" s="13">
        <v>2927</v>
      </c>
      <c r="N97" s="13">
        <v>1806</v>
      </c>
      <c r="O97" s="13">
        <v>22</v>
      </c>
      <c r="P97" s="13">
        <v>7</v>
      </c>
      <c r="Q97" s="13">
        <v>46</v>
      </c>
      <c r="R97" s="13">
        <v>24</v>
      </c>
      <c r="S97" s="13">
        <v>1</v>
      </c>
      <c r="T97" s="23">
        <v>46247.495300925926</v>
      </c>
      <c r="U97" s="55">
        <f t="shared" si="3"/>
        <v>0.83333333333333337</v>
      </c>
      <c r="V97" s="55">
        <f t="shared" si="4"/>
        <v>0.16666666666666666</v>
      </c>
      <c r="W97" s="56">
        <f t="shared" si="5"/>
        <v>16309.666666666666</v>
      </c>
    </row>
    <row r="98" spans="1:23" x14ac:dyDescent="0.3">
      <c r="A98" s="13" t="s">
        <v>0</v>
      </c>
      <c r="B98">
        <v>1</v>
      </c>
      <c r="C98" s="13">
        <v>0</v>
      </c>
      <c r="D98" s="13">
        <v>1</v>
      </c>
      <c r="E98" s="13">
        <v>118784</v>
      </c>
      <c r="F98" s="13">
        <v>117708</v>
      </c>
      <c r="G98" s="13">
        <v>372</v>
      </c>
      <c r="H98" s="13">
        <v>2281040</v>
      </c>
      <c r="I98" s="13">
        <v>3</v>
      </c>
      <c r="J98" s="13">
        <v>0</v>
      </c>
      <c r="K98" s="13">
        <v>15381</v>
      </c>
      <c r="L98" s="13">
        <v>34</v>
      </c>
      <c r="M98" s="13">
        <v>2527</v>
      </c>
      <c r="N98" s="13">
        <v>1464</v>
      </c>
      <c r="O98" s="13">
        <v>21</v>
      </c>
      <c r="P98" s="13">
        <v>6</v>
      </c>
      <c r="Q98" s="13">
        <v>48</v>
      </c>
      <c r="R98" s="13">
        <v>24</v>
      </c>
      <c r="S98" s="13">
        <v>1</v>
      </c>
      <c r="T98" s="23">
        <v>46247.495416666665</v>
      </c>
      <c r="U98" s="55">
        <f t="shared" si="3"/>
        <v>0.83333333333333337</v>
      </c>
      <c r="V98" s="55">
        <f t="shared" si="4"/>
        <v>0.16666666666666666</v>
      </c>
      <c r="W98" s="56">
        <f t="shared" si="5"/>
        <v>16445</v>
      </c>
    </row>
    <row r="99" spans="1:23" x14ac:dyDescent="0.3">
      <c r="A99" s="13" t="s">
        <v>0</v>
      </c>
      <c r="B99">
        <v>1</v>
      </c>
      <c r="C99" s="13">
        <v>1</v>
      </c>
      <c r="D99" s="13">
        <v>0</v>
      </c>
      <c r="E99" s="13">
        <v>118784</v>
      </c>
      <c r="F99" s="13">
        <v>137892</v>
      </c>
      <c r="G99" s="13">
        <v>384</v>
      </c>
      <c r="H99" s="13">
        <v>2267632</v>
      </c>
      <c r="I99" s="13">
        <v>0</v>
      </c>
      <c r="J99" s="13">
        <v>0</v>
      </c>
      <c r="K99" s="13">
        <v>14571</v>
      </c>
      <c r="L99" s="13">
        <v>20</v>
      </c>
      <c r="M99" s="13">
        <v>2854</v>
      </c>
      <c r="N99" s="13">
        <v>1797</v>
      </c>
      <c r="O99" s="13">
        <v>23</v>
      </c>
      <c r="P99" s="13">
        <v>7</v>
      </c>
      <c r="Q99" s="13">
        <v>46</v>
      </c>
      <c r="R99" s="13">
        <v>23</v>
      </c>
      <c r="S99" s="13">
        <v>1</v>
      </c>
      <c r="T99" s="23">
        <v>46247.495532407411</v>
      </c>
      <c r="U99" s="55">
        <f t="shared" si="3"/>
        <v>0.83333333333333337</v>
      </c>
      <c r="V99" s="55">
        <f t="shared" si="4"/>
        <v>0.16666666666666666</v>
      </c>
      <c r="W99" s="56">
        <f t="shared" si="5"/>
        <v>15941.833333333334</v>
      </c>
    </row>
    <row r="100" spans="1:23" x14ac:dyDescent="0.3">
      <c r="A100" s="13" t="s">
        <v>0</v>
      </c>
      <c r="B100">
        <v>1</v>
      </c>
      <c r="C100" s="13">
        <v>1</v>
      </c>
      <c r="D100" s="13">
        <v>0</v>
      </c>
      <c r="E100" s="13">
        <v>118784</v>
      </c>
      <c r="F100" s="13">
        <v>132108</v>
      </c>
      <c r="G100" s="13">
        <v>392</v>
      </c>
      <c r="H100" s="13">
        <v>2273748</v>
      </c>
      <c r="I100" s="13">
        <v>1</v>
      </c>
      <c r="J100" s="13">
        <v>0</v>
      </c>
      <c r="K100" s="13">
        <v>16484</v>
      </c>
      <c r="L100" s="13">
        <v>14</v>
      </c>
      <c r="M100" s="13">
        <v>2670</v>
      </c>
      <c r="N100" s="13">
        <v>1546</v>
      </c>
      <c r="O100" s="13">
        <v>21</v>
      </c>
      <c r="P100" s="13">
        <v>6</v>
      </c>
      <c r="Q100" s="13">
        <v>48</v>
      </c>
      <c r="R100" s="13">
        <v>24</v>
      </c>
      <c r="S100" s="13">
        <v>0</v>
      </c>
      <c r="T100" s="23">
        <v>46247.495648148149</v>
      </c>
      <c r="U100" s="55">
        <f t="shared" si="3"/>
        <v>0.83333333333333337</v>
      </c>
      <c r="V100" s="55">
        <f t="shared" si="4"/>
        <v>0.16666666666666666</v>
      </c>
      <c r="W100" s="56">
        <f t="shared" si="5"/>
        <v>15914.833333333334</v>
      </c>
    </row>
    <row r="101" spans="1:23" x14ac:dyDescent="0.3">
      <c r="A101" s="13" t="s">
        <v>0</v>
      </c>
      <c r="B101">
        <v>1</v>
      </c>
      <c r="C101" s="13">
        <v>0</v>
      </c>
      <c r="D101" s="13">
        <v>1</v>
      </c>
      <c r="E101" s="13">
        <v>118528</v>
      </c>
      <c r="F101" s="13">
        <v>128464</v>
      </c>
      <c r="G101" s="13">
        <v>400</v>
      </c>
      <c r="H101" s="13">
        <v>2279640</v>
      </c>
      <c r="I101" s="13">
        <v>0</v>
      </c>
      <c r="J101" s="13">
        <v>0</v>
      </c>
      <c r="K101" s="13">
        <v>14788</v>
      </c>
      <c r="L101" s="13">
        <v>13</v>
      </c>
      <c r="M101" s="13">
        <v>2982</v>
      </c>
      <c r="N101" s="13">
        <v>1993</v>
      </c>
      <c r="O101" s="13">
        <v>23</v>
      </c>
      <c r="P101" s="13">
        <v>8</v>
      </c>
      <c r="Q101" s="13">
        <v>46</v>
      </c>
      <c r="R101" s="13">
        <v>23</v>
      </c>
      <c r="S101" s="13">
        <v>0</v>
      </c>
      <c r="T101" s="23">
        <v>46247.495763888888</v>
      </c>
      <c r="U101" s="55">
        <f t="shared" si="3"/>
        <v>0.66666666666666663</v>
      </c>
      <c r="V101" s="55">
        <f t="shared" si="4"/>
        <v>0.33333333333333331</v>
      </c>
      <c r="W101" s="56">
        <f t="shared" si="5"/>
        <v>15607.166666666666</v>
      </c>
    </row>
    <row r="102" spans="1:23" x14ac:dyDescent="0.3">
      <c r="A102" s="13" t="s">
        <v>0</v>
      </c>
      <c r="B102">
        <v>1</v>
      </c>
      <c r="C102" s="13">
        <v>1</v>
      </c>
      <c r="D102" s="13">
        <v>0</v>
      </c>
      <c r="E102" s="13">
        <v>118528</v>
      </c>
      <c r="F102" s="13">
        <v>128308</v>
      </c>
      <c r="G102" s="13">
        <v>432</v>
      </c>
      <c r="H102" s="13">
        <v>2278384</v>
      </c>
      <c r="I102" s="13">
        <v>0</v>
      </c>
      <c r="J102" s="13">
        <v>0</v>
      </c>
      <c r="K102" s="13">
        <v>16828</v>
      </c>
      <c r="L102" s="13">
        <v>43</v>
      </c>
      <c r="M102" s="13">
        <v>3020</v>
      </c>
      <c r="N102" s="13">
        <v>1938</v>
      </c>
      <c r="O102" s="13">
        <v>22</v>
      </c>
      <c r="P102" s="13">
        <v>8</v>
      </c>
      <c r="Q102" s="13">
        <v>46</v>
      </c>
      <c r="R102" s="13">
        <v>24</v>
      </c>
      <c r="S102" s="13">
        <v>0</v>
      </c>
      <c r="T102" s="23">
        <v>46247.495879629627</v>
      </c>
      <c r="U102" s="55">
        <f t="shared" si="3"/>
        <v>0.66666666666666663</v>
      </c>
      <c r="V102" s="55">
        <f t="shared" si="4"/>
        <v>0.33333333333333331</v>
      </c>
      <c r="W102" s="56">
        <f t="shared" si="5"/>
        <v>15520.666666666666</v>
      </c>
    </row>
    <row r="103" spans="1:23" x14ac:dyDescent="0.3">
      <c r="A103" s="13" t="s">
        <v>0</v>
      </c>
      <c r="B103">
        <v>1</v>
      </c>
      <c r="C103" s="13">
        <v>1</v>
      </c>
      <c r="D103" s="13">
        <v>0</v>
      </c>
      <c r="E103" s="13">
        <v>118528</v>
      </c>
      <c r="F103" s="13">
        <v>118820</v>
      </c>
      <c r="G103" s="13">
        <v>440</v>
      </c>
      <c r="H103" s="13">
        <v>2285272</v>
      </c>
      <c r="I103" s="13">
        <v>0</v>
      </c>
      <c r="J103" s="13">
        <v>0</v>
      </c>
      <c r="K103" s="13">
        <v>15975</v>
      </c>
      <c r="L103" s="13">
        <v>10</v>
      </c>
      <c r="M103" s="13">
        <v>2793</v>
      </c>
      <c r="N103" s="13">
        <v>1789</v>
      </c>
      <c r="O103" s="13">
        <v>22</v>
      </c>
      <c r="P103" s="13">
        <v>7</v>
      </c>
      <c r="Q103" s="13">
        <v>47</v>
      </c>
      <c r="R103" s="13">
        <v>23</v>
      </c>
      <c r="S103" s="13">
        <v>0</v>
      </c>
      <c r="T103" s="23">
        <v>46247.495995370373</v>
      </c>
      <c r="U103" s="55">
        <f t="shared" si="3"/>
        <v>0.66666666666666663</v>
      </c>
      <c r="V103" s="55">
        <f t="shared" si="4"/>
        <v>0.33333333333333331</v>
      </c>
      <c r="W103" s="56">
        <f t="shared" si="5"/>
        <v>15671.166666666666</v>
      </c>
    </row>
    <row r="104" spans="1:23" x14ac:dyDescent="0.3">
      <c r="A104" s="13" t="s">
        <v>0</v>
      </c>
      <c r="B104">
        <v>1</v>
      </c>
      <c r="C104" s="13">
        <v>0</v>
      </c>
      <c r="D104" s="13">
        <v>1</v>
      </c>
      <c r="E104" s="13">
        <v>118528</v>
      </c>
      <c r="F104" s="13">
        <v>130056</v>
      </c>
      <c r="G104" s="13">
        <v>456</v>
      </c>
      <c r="H104" s="13">
        <v>2265912</v>
      </c>
      <c r="I104" s="13">
        <v>0</v>
      </c>
      <c r="J104" s="13">
        <v>0</v>
      </c>
      <c r="K104" s="13">
        <v>16417</v>
      </c>
      <c r="L104" s="13">
        <v>23</v>
      </c>
      <c r="M104" s="13">
        <v>2942</v>
      </c>
      <c r="N104" s="13">
        <v>1745</v>
      </c>
      <c r="O104" s="13">
        <v>22</v>
      </c>
      <c r="P104" s="13">
        <v>7</v>
      </c>
      <c r="Q104" s="13">
        <v>47</v>
      </c>
      <c r="R104" s="13">
        <v>24</v>
      </c>
      <c r="S104" s="13">
        <v>0</v>
      </c>
      <c r="T104" s="23">
        <v>46247.496111111112</v>
      </c>
      <c r="U104" s="55">
        <f t="shared" si="3"/>
        <v>0.66666666666666663</v>
      </c>
      <c r="V104" s="55">
        <f t="shared" si="4"/>
        <v>0.33333333333333331</v>
      </c>
      <c r="W104" s="56">
        <f t="shared" si="5"/>
        <v>15843.833333333334</v>
      </c>
    </row>
    <row r="105" spans="1:23" x14ac:dyDescent="0.3">
      <c r="A105" s="13" t="s">
        <v>0</v>
      </c>
      <c r="B105">
        <v>1</v>
      </c>
      <c r="C105" s="13">
        <v>1</v>
      </c>
      <c r="D105" s="13">
        <v>0</v>
      </c>
      <c r="E105" s="13">
        <v>118272</v>
      </c>
      <c r="F105" s="13">
        <v>102020</v>
      </c>
      <c r="G105" s="13">
        <v>464</v>
      </c>
      <c r="H105" s="13">
        <v>2295940</v>
      </c>
      <c r="I105" s="13">
        <v>0</v>
      </c>
      <c r="J105" s="13">
        <v>0</v>
      </c>
      <c r="K105" s="13">
        <v>16441</v>
      </c>
      <c r="L105" s="13">
        <v>7</v>
      </c>
      <c r="M105" s="13">
        <v>2919</v>
      </c>
      <c r="N105" s="13">
        <v>1738</v>
      </c>
      <c r="O105" s="13">
        <v>22</v>
      </c>
      <c r="P105" s="13">
        <v>7</v>
      </c>
      <c r="Q105" s="13">
        <v>47</v>
      </c>
      <c r="R105" s="13">
        <v>24</v>
      </c>
      <c r="S105" s="13">
        <v>0</v>
      </c>
      <c r="T105" s="23">
        <v>46247.49622685185</v>
      </c>
      <c r="U105" s="55">
        <f t="shared" si="3"/>
        <v>0.66666666666666663</v>
      </c>
      <c r="V105" s="55">
        <f t="shared" si="4"/>
        <v>0.33333333333333331</v>
      </c>
      <c r="W105" s="56">
        <f t="shared" si="5"/>
        <v>16155.5</v>
      </c>
    </row>
    <row r="106" spans="1:23" x14ac:dyDescent="0.3">
      <c r="A106" s="13" t="s">
        <v>0</v>
      </c>
      <c r="B106">
        <v>1</v>
      </c>
      <c r="C106" s="13">
        <v>1</v>
      </c>
      <c r="D106" s="13">
        <v>1</v>
      </c>
      <c r="E106" s="13">
        <v>118272</v>
      </c>
      <c r="F106" s="13">
        <v>127252</v>
      </c>
      <c r="G106" s="13">
        <v>468</v>
      </c>
      <c r="H106" s="13">
        <v>2263944</v>
      </c>
      <c r="I106" s="13">
        <v>4</v>
      </c>
      <c r="J106" s="13">
        <v>0</v>
      </c>
      <c r="K106" s="13">
        <v>16337</v>
      </c>
      <c r="L106" s="13">
        <v>19</v>
      </c>
      <c r="M106" s="13">
        <v>3383</v>
      </c>
      <c r="N106" s="13">
        <v>2245</v>
      </c>
      <c r="O106" s="13">
        <v>21</v>
      </c>
      <c r="P106" s="13">
        <v>10</v>
      </c>
      <c r="Q106" s="13">
        <v>45</v>
      </c>
      <c r="R106" s="13">
        <v>24</v>
      </c>
      <c r="S106" s="13">
        <v>0</v>
      </c>
      <c r="T106" s="23">
        <v>46247.496342592596</v>
      </c>
      <c r="U106" s="55">
        <f t="shared" si="3"/>
        <v>0.66666666666666663</v>
      </c>
      <c r="V106" s="55">
        <f t="shared" si="4"/>
        <v>0.5</v>
      </c>
      <c r="W106" s="56">
        <f t="shared" si="5"/>
        <v>16131</v>
      </c>
    </row>
    <row r="107" spans="1:23" x14ac:dyDescent="0.3">
      <c r="A107" s="13" t="s">
        <v>0</v>
      </c>
      <c r="B107">
        <v>1</v>
      </c>
      <c r="C107" s="13">
        <v>1</v>
      </c>
      <c r="D107" s="13">
        <v>0</v>
      </c>
      <c r="E107" s="13">
        <v>118272</v>
      </c>
      <c r="F107" s="13">
        <v>114712</v>
      </c>
      <c r="G107" s="13">
        <v>616</v>
      </c>
      <c r="H107" s="13">
        <v>2280636</v>
      </c>
      <c r="I107" s="13">
        <v>1</v>
      </c>
      <c r="J107" s="13">
        <v>0</v>
      </c>
      <c r="K107" s="13">
        <v>19603</v>
      </c>
      <c r="L107" s="13">
        <v>18</v>
      </c>
      <c r="M107" s="13">
        <v>2792</v>
      </c>
      <c r="N107" s="13">
        <v>1666</v>
      </c>
      <c r="O107" s="13">
        <v>21</v>
      </c>
      <c r="P107" s="13">
        <v>6</v>
      </c>
      <c r="Q107" s="13">
        <v>47</v>
      </c>
      <c r="R107" s="13">
        <v>25</v>
      </c>
      <c r="S107" s="13">
        <v>0</v>
      </c>
      <c r="T107" s="23">
        <v>46247.496458333335</v>
      </c>
      <c r="U107" s="55">
        <f t="shared" si="3"/>
        <v>0.83333333333333337</v>
      </c>
      <c r="V107" s="55">
        <f t="shared" si="4"/>
        <v>0.33333333333333331</v>
      </c>
      <c r="W107" s="56">
        <f t="shared" si="5"/>
        <v>16933.5</v>
      </c>
    </row>
    <row r="108" spans="1:23" x14ac:dyDescent="0.3">
      <c r="A108" s="13" t="s">
        <v>0</v>
      </c>
      <c r="B108">
        <v>1</v>
      </c>
      <c r="C108" s="13">
        <v>0</v>
      </c>
      <c r="D108" s="13">
        <v>1</v>
      </c>
      <c r="E108" s="13">
        <v>118272</v>
      </c>
      <c r="F108" s="13">
        <v>121484</v>
      </c>
      <c r="G108" s="13">
        <v>324</v>
      </c>
      <c r="H108" s="13">
        <v>2269944</v>
      </c>
      <c r="I108" s="13">
        <v>4</v>
      </c>
      <c r="J108" s="13">
        <v>12</v>
      </c>
      <c r="K108" s="13">
        <v>14699</v>
      </c>
      <c r="L108" s="13">
        <v>58</v>
      </c>
      <c r="M108" s="13">
        <v>3073</v>
      </c>
      <c r="N108" s="13">
        <v>2052</v>
      </c>
      <c r="O108" s="13">
        <v>22</v>
      </c>
      <c r="P108" s="13">
        <v>8</v>
      </c>
      <c r="Q108" s="13">
        <v>45</v>
      </c>
      <c r="R108" s="13">
        <v>24</v>
      </c>
      <c r="S108" s="13">
        <v>1</v>
      </c>
      <c r="T108" s="23">
        <v>46247.496574074074</v>
      </c>
      <c r="U108" s="55">
        <f t="shared" si="3"/>
        <v>0.66666666666666663</v>
      </c>
      <c r="V108" s="55">
        <f t="shared" si="4"/>
        <v>0.5</v>
      </c>
      <c r="W108" s="56">
        <f t="shared" si="5"/>
        <v>16578.666666666668</v>
      </c>
    </row>
    <row r="109" spans="1:23" x14ac:dyDescent="0.3">
      <c r="A109" s="13" t="s">
        <v>0</v>
      </c>
      <c r="B109">
        <v>1</v>
      </c>
      <c r="C109" s="13">
        <v>1</v>
      </c>
      <c r="D109" s="13">
        <v>0</v>
      </c>
      <c r="E109" s="13">
        <v>118272</v>
      </c>
      <c r="F109" s="13">
        <v>147152</v>
      </c>
      <c r="G109" s="13">
        <v>324</v>
      </c>
      <c r="H109" s="13">
        <v>2246136</v>
      </c>
      <c r="I109" s="13">
        <v>0</v>
      </c>
      <c r="J109" s="13">
        <v>17</v>
      </c>
      <c r="K109" s="13">
        <v>14264</v>
      </c>
      <c r="L109" s="13">
        <v>27</v>
      </c>
      <c r="M109" s="13">
        <v>2528</v>
      </c>
      <c r="N109" s="13">
        <v>1408</v>
      </c>
      <c r="O109" s="13">
        <v>20</v>
      </c>
      <c r="P109" s="13">
        <v>6</v>
      </c>
      <c r="Q109" s="13">
        <v>47</v>
      </c>
      <c r="R109" s="13">
        <v>25</v>
      </c>
      <c r="S109" s="13">
        <v>1</v>
      </c>
      <c r="T109" s="23">
        <v>46247.496689814812</v>
      </c>
      <c r="U109" s="55">
        <f t="shared" si="3"/>
        <v>0.66666666666666663</v>
      </c>
      <c r="V109" s="55">
        <f t="shared" si="4"/>
        <v>0.5</v>
      </c>
      <c r="W109" s="56">
        <f t="shared" si="5"/>
        <v>16293.5</v>
      </c>
    </row>
    <row r="110" spans="1:23" x14ac:dyDescent="0.3">
      <c r="A110" s="13" t="s">
        <v>0</v>
      </c>
      <c r="B110">
        <v>1</v>
      </c>
      <c r="C110" s="13">
        <v>0</v>
      </c>
      <c r="D110" s="13">
        <v>1</v>
      </c>
      <c r="E110" s="13">
        <v>118272</v>
      </c>
      <c r="F110" s="13">
        <v>104240</v>
      </c>
      <c r="G110" s="13">
        <v>332</v>
      </c>
      <c r="H110" s="13">
        <v>2291080</v>
      </c>
      <c r="I110" s="13">
        <v>0</v>
      </c>
      <c r="J110" s="13">
        <v>0</v>
      </c>
      <c r="K110" s="13">
        <v>14716</v>
      </c>
      <c r="L110" s="13">
        <v>27</v>
      </c>
      <c r="M110" s="13">
        <v>3002</v>
      </c>
      <c r="N110" s="13">
        <v>1949</v>
      </c>
      <c r="O110" s="13">
        <v>22</v>
      </c>
      <c r="P110" s="13">
        <v>8</v>
      </c>
      <c r="Q110" s="13">
        <v>46</v>
      </c>
      <c r="R110" s="13">
        <v>24</v>
      </c>
      <c r="S110" s="13">
        <v>1</v>
      </c>
      <c r="T110" s="23">
        <v>46247.496805555558</v>
      </c>
      <c r="U110" s="55">
        <f t="shared" si="3"/>
        <v>0.66666666666666663</v>
      </c>
      <c r="V110" s="55">
        <f t="shared" si="4"/>
        <v>0.5</v>
      </c>
      <c r="W110" s="56">
        <f t="shared" si="5"/>
        <v>16010</v>
      </c>
    </row>
    <row r="111" spans="1:23" x14ac:dyDescent="0.3">
      <c r="A111" s="13" t="s">
        <v>0</v>
      </c>
      <c r="B111">
        <v>1</v>
      </c>
      <c r="C111" s="13">
        <v>1</v>
      </c>
      <c r="D111" s="13">
        <v>0</v>
      </c>
      <c r="E111" s="13">
        <v>118272</v>
      </c>
      <c r="F111" s="13">
        <v>129516</v>
      </c>
      <c r="G111" s="13">
        <v>348</v>
      </c>
      <c r="H111" s="13">
        <v>2263116</v>
      </c>
      <c r="I111" s="13">
        <v>0</v>
      </c>
      <c r="J111" s="13">
        <v>0</v>
      </c>
      <c r="K111" s="13">
        <v>16447</v>
      </c>
      <c r="L111" s="13">
        <v>15</v>
      </c>
      <c r="M111" s="13">
        <v>2842</v>
      </c>
      <c r="N111" s="13">
        <v>1744</v>
      </c>
      <c r="O111" s="13">
        <v>21</v>
      </c>
      <c r="P111" s="13">
        <v>8</v>
      </c>
      <c r="Q111" s="13">
        <v>47</v>
      </c>
      <c r="R111" s="13">
        <v>24</v>
      </c>
      <c r="S111" s="13">
        <v>0</v>
      </c>
      <c r="T111" s="23">
        <v>46247.496921296297</v>
      </c>
      <c r="U111" s="55">
        <f t="shared" si="3"/>
        <v>0.66666666666666663</v>
      </c>
      <c r="V111" s="55">
        <f t="shared" si="4"/>
        <v>0.5</v>
      </c>
      <c r="W111" s="56">
        <f t="shared" si="5"/>
        <v>16011</v>
      </c>
    </row>
    <row r="112" spans="1:23" x14ac:dyDescent="0.3">
      <c r="A112" s="13" t="s">
        <v>0</v>
      </c>
      <c r="B112">
        <v>1</v>
      </c>
      <c r="C112" s="13">
        <v>0</v>
      </c>
      <c r="D112" s="13">
        <v>1</v>
      </c>
      <c r="E112" s="13">
        <v>118272</v>
      </c>
      <c r="F112" s="13">
        <v>111044</v>
      </c>
      <c r="G112" s="13">
        <v>496</v>
      </c>
      <c r="H112" s="13">
        <v>2274880</v>
      </c>
      <c r="I112" s="13">
        <v>0</v>
      </c>
      <c r="J112" s="13">
        <v>0</v>
      </c>
      <c r="K112" s="13">
        <v>15042</v>
      </c>
      <c r="L112" s="13">
        <v>13</v>
      </c>
      <c r="M112" s="13">
        <v>2896</v>
      </c>
      <c r="N112" s="13">
        <v>1931</v>
      </c>
      <c r="O112" s="13">
        <v>21</v>
      </c>
      <c r="P112" s="13">
        <v>8</v>
      </c>
      <c r="Q112" s="13">
        <v>46</v>
      </c>
      <c r="R112" s="13">
        <v>24</v>
      </c>
      <c r="S112" s="13">
        <v>1</v>
      </c>
      <c r="T112" s="23">
        <v>46247.497037037036</v>
      </c>
      <c r="U112" s="55">
        <f t="shared" si="3"/>
        <v>0.5</v>
      </c>
      <c r="V112" s="55">
        <f t="shared" si="4"/>
        <v>0.5</v>
      </c>
      <c r="W112" s="56">
        <f t="shared" si="5"/>
        <v>15795.166666666666</v>
      </c>
    </row>
    <row r="113" spans="1:23" x14ac:dyDescent="0.3">
      <c r="A113" s="13" t="s">
        <v>0</v>
      </c>
      <c r="B113">
        <v>1</v>
      </c>
      <c r="C113" s="13">
        <v>1</v>
      </c>
      <c r="D113" s="13">
        <v>0</v>
      </c>
      <c r="E113" s="13">
        <v>118528</v>
      </c>
      <c r="F113" s="13">
        <v>154680</v>
      </c>
      <c r="G113" s="13">
        <v>396</v>
      </c>
      <c r="H113" s="13">
        <v>2223396</v>
      </c>
      <c r="I113" s="13">
        <v>2</v>
      </c>
      <c r="J113" s="13">
        <v>13</v>
      </c>
      <c r="K113" s="13">
        <v>14803</v>
      </c>
      <c r="L113" s="13">
        <v>24</v>
      </c>
      <c r="M113" s="13">
        <v>2989</v>
      </c>
      <c r="N113" s="13">
        <v>1891</v>
      </c>
      <c r="O113" s="13">
        <v>20</v>
      </c>
      <c r="P113" s="13">
        <v>10</v>
      </c>
      <c r="Q113" s="13">
        <v>44</v>
      </c>
      <c r="R113" s="13">
        <v>25</v>
      </c>
      <c r="S113" s="13">
        <v>1</v>
      </c>
      <c r="T113" s="23">
        <v>46247.497152777774</v>
      </c>
      <c r="U113" s="55">
        <f t="shared" si="3"/>
        <v>0.5</v>
      </c>
      <c r="V113" s="55">
        <f t="shared" si="4"/>
        <v>0.5</v>
      </c>
      <c r="W113" s="56">
        <f t="shared" si="5"/>
        <v>14995.166666666666</v>
      </c>
    </row>
    <row r="114" spans="1:23" x14ac:dyDescent="0.3">
      <c r="A114" s="13" t="s">
        <v>0</v>
      </c>
      <c r="B114">
        <v>1</v>
      </c>
      <c r="C114" s="13">
        <v>1</v>
      </c>
      <c r="D114" s="13">
        <v>0</v>
      </c>
      <c r="E114" s="13">
        <v>118528</v>
      </c>
      <c r="F114" s="13">
        <v>155888</v>
      </c>
      <c r="G114" s="13">
        <v>428</v>
      </c>
      <c r="H114" s="13">
        <v>2218248</v>
      </c>
      <c r="I114" s="13">
        <v>0</v>
      </c>
      <c r="J114" s="13">
        <v>0</v>
      </c>
      <c r="K114" s="13">
        <v>15906</v>
      </c>
      <c r="L114" s="13">
        <v>33</v>
      </c>
      <c r="M114" s="13">
        <v>2615</v>
      </c>
      <c r="N114" s="13">
        <v>1460</v>
      </c>
      <c r="O114" s="13">
        <v>20</v>
      </c>
      <c r="P114" s="13">
        <v>6</v>
      </c>
      <c r="Q114" s="13">
        <v>48</v>
      </c>
      <c r="R114" s="13">
        <v>26</v>
      </c>
      <c r="S114" s="13">
        <v>1</v>
      </c>
      <c r="T114" s="23">
        <v>46247.49726851852</v>
      </c>
      <c r="U114" s="55">
        <f t="shared" si="3"/>
        <v>0.66666666666666663</v>
      </c>
      <c r="V114" s="55">
        <f t="shared" si="4"/>
        <v>0.33333333333333331</v>
      </c>
      <c r="W114" s="56">
        <f t="shared" si="5"/>
        <v>15196.333333333334</v>
      </c>
    </row>
    <row r="115" spans="1:23" x14ac:dyDescent="0.3">
      <c r="A115" s="13" t="s">
        <v>0</v>
      </c>
      <c r="B115">
        <v>1</v>
      </c>
      <c r="C115" s="13">
        <v>1</v>
      </c>
      <c r="D115" s="13">
        <v>0</v>
      </c>
      <c r="E115" s="13">
        <v>118528</v>
      </c>
      <c r="F115" s="13">
        <v>142320</v>
      </c>
      <c r="G115" s="13">
        <v>436</v>
      </c>
      <c r="H115" s="13">
        <v>2250484</v>
      </c>
      <c r="I115" s="13">
        <v>0</v>
      </c>
      <c r="J115" s="13">
        <v>0</v>
      </c>
      <c r="K115" s="13">
        <v>13822</v>
      </c>
      <c r="L115" s="13">
        <v>27</v>
      </c>
      <c r="M115" s="13">
        <v>2945</v>
      </c>
      <c r="N115" s="13">
        <v>1964</v>
      </c>
      <c r="O115" s="13">
        <v>21</v>
      </c>
      <c r="P115" s="13">
        <v>8</v>
      </c>
      <c r="Q115" s="13">
        <v>46</v>
      </c>
      <c r="R115" s="13">
        <v>24</v>
      </c>
      <c r="S115" s="13">
        <v>1</v>
      </c>
      <c r="T115" s="23">
        <v>46247.497384259259</v>
      </c>
      <c r="U115" s="55">
        <f t="shared" si="3"/>
        <v>0.66666666666666663</v>
      </c>
      <c r="V115" s="55">
        <f t="shared" si="4"/>
        <v>0.33333333333333331</v>
      </c>
      <c r="W115" s="56">
        <f t="shared" si="5"/>
        <v>15122.666666666666</v>
      </c>
    </row>
    <row r="116" spans="1:23" x14ac:dyDescent="0.3">
      <c r="A116" s="13" t="s">
        <v>0</v>
      </c>
      <c r="B116">
        <v>1</v>
      </c>
      <c r="C116" s="13">
        <v>0</v>
      </c>
      <c r="D116" s="13">
        <v>1</v>
      </c>
      <c r="E116" s="13">
        <v>118528</v>
      </c>
      <c r="F116" s="13">
        <v>131756</v>
      </c>
      <c r="G116" s="13">
        <v>444</v>
      </c>
      <c r="H116" s="13">
        <v>2259392</v>
      </c>
      <c r="I116" s="13">
        <v>0</v>
      </c>
      <c r="J116" s="13">
        <v>0</v>
      </c>
      <c r="K116" s="13">
        <v>17499</v>
      </c>
      <c r="L116" s="13">
        <v>14</v>
      </c>
      <c r="M116" s="13">
        <v>2876</v>
      </c>
      <c r="N116" s="13">
        <v>1749</v>
      </c>
      <c r="O116" s="13">
        <v>21</v>
      </c>
      <c r="P116" s="13">
        <v>7</v>
      </c>
      <c r="Q116" s="13">
        <v>47</v>
      </c>
      <c r="R116" s="13">
        <v>25</v>
      </c>
      <c r="S116" s="13">
        <v>0</v>
      </c>
      <c r="T116" s="23">
        <v>46247.497499999998</v>
      </c>
      <c r="U116" s="55">
        <f t="shared" si="3"/>
        <v>0.66666666666666663</v>
      </c>
      <c r="V116" s="55">
        <f t="shared" si="4"/>
        <v>0.33333333333333331</v>
      </c>
      <c r="W116" s="56">
        <f t="shared" si="5"/>
        <v>15586.5</v>
      </c>
    </row>
    <row r="117" spans="1:23" x14ac:dyDescent="0.3">
      <c r="A117" s="13" t="s">
        <v>0</v>
      </c>
      <c r="B117">
        <v>1</v>
      </c>
      <c r="C117" s="13">
        <v>1</v>
      </c>
      <c r="D117" s="13">
        <v>0</v>
      </c>
      <c r="E117" s="13">
        <v>118528</v>
      </c>
      <c r="F117" s="13">
        <v>148456</v>
      </c>
      <c r="G117" s="13">
        <v>460</v>
      </c>
      <c r="H117" s="13">
        <v>2246136</v>
      </c>
      <c r="I117" s="13">
        <v>0</v>
      </c>
      <c r="J117" s="13">
        <v>0</v>
      </c>
      <c r="K117" s="13">
        <v>15106</v>
      </c>
      <c r="L117" s="13">
        <v>17</v>
      </c>
      <c r="M117" s="13">
        <v>3045</v>
      </c>
      <c r="N117" s="13">
        <v>2011</v>
      </c>
      <c r="O117" s="13">
        <v>22</v>
      </c>
      <c r="P117" s="13">
        <v>8</v>
      </c>
      <c r="Q117" s="13">
        <v>46</v>
      </c>
      <c r="R117" s="13">
        <v>23</v>
      </c>
      <c r="S117" s="13">
        <v>1</v>
      </c>
      <c r="T117" s="23">
        <v>46247.497615740744</v>
      </c>
      <c r="U117" s="55">
        <f t="shared" si="3"/>
        <v>0.66666666666666663</v>
      </c>
      <c r="V117" s="55">
        <f t="shared" si="4"/>
        <v>0.33333333333333331</v>
      </c>
      <c r="W117" s="56">
        <f t="shared" si="5"/>
        <v>15363</v>
      </c>
    </row>
    <row r="118" spans="1:23" x14ac:dyDescent="0.3">
      <c r="A118" s="13" t="s">
        <v>0</v>
      </c>
      <c r="B118">
        <v>1</v>
      </c>
      <c r="C118" s="13">
        <v>0</v>
      </c>
      <c r="D118" s="13">
        <v>1</v>
      </c>
      <c r="E118" s="13">
        <v>118528</v>
      </c>
      <c r="F118" s="13">
        <v>137984</v>
      </c>
      <c r="G118" s="13">
        <v>468</v>
      </c>
      <c r="H118" s="13">
        <v>2259080</v>
      </c>
      <c r="I118" s="13">
        <v>1</v>
      </c>
      <c r="J118" s="13">
        <v>0</v>
      </c>
      <c r="K118" s="13">
        <v>17930</v>
      </c>
      <c r="L118" s="13">
        <v>10</v>
      </c>
      <c r="M118" s="13">
        <v>2758</v>
      </c>
      <c r="N118" s="13">
        <v>1844</v>
      </c>
      <c r="O118" s="13">
        <v>22</v>
      </c>
      <c r="P118" s="13">
        <v>7</v>
      </c>
      <c r="Q118" s="13">
        <v>47</v>
      </c>
      <c r="R118" s="13">
        <v>24</v>
      </c>
      <c r="S118" s="13">
        <v>0</v>
      </c>
      <c r="T118" s="23">
        <v>46247.497731481482</v>
      </c>
      <c r="U118" s="55">
        <f t="shared" si="3"/>
        <v>0.66666666666666663</v>
      </c>
      <c r="V118" s="55">
        <f t="shared" si="4"/>
        <v>0.33333333333333331</v>
      </c>
      <c r="W118" s="56">
        <f t="shared" si="5"/>
        <v>15844.333333333334</v>
      </c>
    </row>
    <row r="119" spans="1:23" x14ac:dyDescent="0.3">
      <c r="A119" s="13" t="s">
        <v>0</v>
      </c>
      <c r="B119">
        <v>1</v>
      </c>
      <c r="C119" s="13">
        <v>1</v>
      </c>
      <c r="D119" s="13">
        <v>0</v>
      </c>
      <c r="E119" s="13">
        <v>118528</v>
      </c>
      <c r="F119" s="13">
        <v>139784</v>
      </c>
      <c r="G119" s="13">
        <v>476</v>
      </c>
      <c r="H119" s="13">
        <v>2251364</v>
      </c>
      <c r="I119" s="13">
        <v>0</v>
      </c>
      <c r="J119" s="13">
        <v>0</v>
      </c>
      <c r="K119" s="13">
        <v>15709</v>
      </c>
      <c r="L119" s="13">
        <v>16</v>
      </c>
      <c r="M119" s="13">
        <v>3064</v>
      </c>
      <c r="N119" s="13">
        <v>1921</v>
      </c>
      <c r="O119" s="13">
        <v>23</v>
      </c>
      <c r="P119" s="13">
        <v>7</v>
      </c>
      <c r="Q119" s="13">
        <v>47</v>
      </c>
      <c r="R119" s="13">
        <v>23</v>
      </c>
      <c r="S119" s="13">
        <v>0</v>
      </c>
      <c r="T119" s="23">
        <v>46247.497847222221</v>
      </c>
      <c r="U119" s="55">
        <f t="shared" si="3"/>
        <v>0.66666666666666663</v>
      </c>
      <c r="V119" s="55">
        <f t="shared" si="4"/>
        <v>0.33333333333333331</v>
      </c>
      <c r="W119" s="56">
        <f t="shared" si="5"/>
        <v>15995.333333333334</v>
      </c>
    </row>
    <row r="120" spans="1:23" x14ac:dyDescent="0.3">
      <c r="A120" s="13" t="s">
        <v>0</v>
      </c>
      <c r="B120">
        <v>1</v>
      </c>
      <c r="C120" s="13">
        <v>1</v>
      </c>
      <c r="D120" s="13">
        <v>0</v>
      </c>
      <c r="E120" s="13">
        <v>118528</v>
      </c>
      <c r="F120" s="13">
        <v>140976</v>
      </c>
      <c r="G120" s="13">
        <v>500</v>
      </c>
      <c r="H120" s="13">
        <v>2257472</v>
      </c>
      <c r="I120" s="13">
        <v>0</v>
      </c>
      <c r="J120" s="13">
        <v>0</v>
      </c>
      <c r="K120" s="13">
        <v>17343</v>
      </c>
      <c r="L120" s="13">
        <v>44</v>
      </c>
      <c r="M120" s="13">
        <v>2919</v>
      </c>
      <c r="N120" s="13">
        <v>1774</v>
      </c>
      <c r="O120" s="13">
        <v>21</v>
      </c>
      <c r="P120" s="13">
        <v>7</v>
      </c>
      <c r="Q120" s="13">
        <v>47</v>
      </c>
      <c r="R120" s="13">
        <v>24</v>
      </c>
      <c r="S120" s="13">
        <v>0</v>
      </c>
      <c r="T120" s="23">
        <v>46247.49796296296</v>
      </c>
      <c r="U120" s="55">
        <f t="shared" si="3"/>
        <v>0.66666666666666663</v>
      </c>
      <c r="V120" s="55">
        <f t="shared" si="4"/>
        <v>0.33333333333333331</v>
      </c>
      <c r="W120" s="56">
        <f t="shared" si="5"/>
        <v>16234.833333333334</v>
      </c>
    </row>
    <row r="121" spans="1:23" x14ac:dyDescent="0.3">
      <c r="A121" s="13" t="s">
        <v>0</v>
      </c>
      <c r="B121">
        <v>1</v>
      </c>
      <c r="C121" s="13">
        <v>0</v>
      </c>
      <c r="D121" s="13">
        <v>1</v>
      </c>
      <c r="E121" s="13">
        <v>118528</v>
      </c>
      <c r="F121" s="13">
        <v>138748</v>
      </c>
      <c r="G121" s="13">
        <v>508</v>
      </c>
      <c r="H121" s="13">
        <v>2256572</v>
      </c>
      <c r="I121" s="13">
        <v>0</v>
      </c>
      <c r="J121" s="13">
        <v>0</v>
      </c>
      <c r="K121" s="13">
        <v>11066</v>
      </c>
      <c r="L121" s="13">
        <v>22</v>
      </c>
      <c r="M121" s="13">
        <v>2459</v>
      </c>
      <c r="N121" s="13">
        <v>1418</v>
      </c>
      <c r="O121" s="13">
        <v>20</v>
      </c>
      <c r="P121" s="13">
        <v>6</v>
      </c>
      <c r="Q121" s="13">
        <v>47</v>
      </c>
      <c r="R121" s="13">
        <v>25</v>
      </c>
      <c r="S121" s="13">
        <v>2</v>
      </c>
      <c r="T121" s="23">
        <v>46247.498078703706</v>
      </c>
      <c r="U121" s="55">
        <f t="shared" si="3"/>
        <v>0.5</v>
      </c>
      <c r="V121" s="55">
        <f t="shared" si="4"/>
        <v>0.5</v>
      </c>
      <c r="W121" s="56">
        <f t="shared" si="5"/>
        <v>15775.5</v>
      </c>
    </row>
    <row r="122" spans="1:23" x14ac:dyDescent="0.3">
      <c r="A122" s="13" t="s">
        <v>0</v>
      </c>
      <c r="B122">
        <v>1</v>
      </c>
      <c r="C122" s="13">
        <v>1</v>
      </c>
      <c r="D122" s="13">
        <v>0</v>
      </c>
      <c r="E122" s="13">
        <v>118528</v>
      </c>
      <c r="F122" s="13">
        <v>132044</v>
      </c>
      <c r="G122" s="13">
        <v>516</v>
      </c>
      <c r="H122" s="13">
        <v>2267524</v>
      </c>
      <c r="I122" s="13">
        <v>0</v>
      </c>
      <c r="J122" s="13">
        <v>0</v>
      </c>
      <c r="K122" s="13">
        <v>12070</v>
      </c>
      <c r="L122" s="13">
        <v>12</v>
      </c>
      <c r="M122" s="13">
        <v>2677</v>
      </c>
      <c r="N122" s="13">
        <v>1677</v>
      </c>
      <c r="O122" s="13">
        <v>21</v>
      </c>
      <c r="P122" s="13">
        <v>7</v>
      </c>
      <c r="Q122" s="13">
        <v>46</v>
      </c>
      <c r="R122" s="13">
        <v>24</v>
      </c>
      <c r="S122" s="13">
        <v>2</v>
      </c>
      <c r="T122" s="23">
        <v>46247.498194444444</v>
      </c>
      <c r="U122" s="55">
        <f t="shared" si="3"/>
        <v>0.66666666666666663</v>
      </c>
      <c r="V122" s="55">
        <f t="shared" si="4"/>
        <v>0.33333333333333331</v>
      </c>
      <c r="W122" s="56">
        <f t="shared" si="5"/>
        <v>14870.666666666666</v>
      </c>
    </row>
    <row r="123" spans="1:23" x14ac:dyDescent="0.3">
      <c r="A123" s="13" t="s">
        <v>0</v>
      </c>
      <c r="B123">
        <v>1</v>
      </c>
      <c r="C123" s="13">
        <v>1</v>
      </c>
      <c r="D123" s="13">
        <v>0</v>
      </c>
      <c r="E123" s="13">
        <v>118528</v>
      </c>
      <c r="F123" s="13">
        <v>101056</v>
      </c>
      <c r="G123" s="13">
        <v>540</v>
      </c>
      <c r="H123" s="13">
        <v>2294596</v>
      </c>
      <c r="I123" s="13">
        <v>0</v>
      </c>
      <c r="J123" s="13">
        <v>0</v>
      </c>
      <c r="K123" s="13">
        <v>13735</v>
      </c>
      <c r="L123" s="13">
        <v>24</v>
      </c>
      <c r="M123" s="13">
        <v>2645</v>
      </c>
      <c r="N123" s="13">
        <v>1500</v>
      </c>
      <c r="O123" s="13">
        <v>20</v>
      </c>
      <c r="P123" s="13">
        <v>6</v>
      </c>
      <c r="Q123" s="13">
        <v>47</v>
      </c>
      <c r="R123" s="13">
        <v>25</v>
      </c>
      <c r="S123" s="13">
        <v>1</v>
      </c>
      <c r="T123" s="23">
        <v>46247.498310185183</v>
      </c>
      <c r="U123" s="55">
        <f t="shared" si="3"/>
        <v>0.66666666666666663</v>
      </c>
      <c r="V123" s="55">
        <f t="shared" si="4"/>
        <v>0.33333333333333331</v>
      </c>
      <c r="W123" s="56">
        <f t="shared" si="5"/>
        <v>14642.166666666666</v>
      </c>
    </row>
    <row r="124" spans="1:23" x14ac:dyDescent="0.3">
      <c r="A124" s="13" t="s">
        <v>0</v>
      </c>
      <c r="B124">
        <v>1</v>
      </c>
      <c r="C124" s="13">
        <v>1</v>
      </c>
      <c r="D124" s="13">
        <v>0</v>
      </c>
      <c r="E124" s="13">
        <v>118528</v>
      </c>
      <c r="F124" s="13">
        <v>120188</v>
      </c>
      <c r="G124" s="13">
        <v>548</v>
      </c>
      <c r="H124" s="13">
        <v>2266628</v>
      </c>
      <c r="I124" s="13">
        <v>0</v>
      </c>
      <c r="J124" s="13">
        <v>0</v>
      </c>
      <c r="K124" s="13">
        <v>13606</v>
      </c>
      <c r="L124" s="13">
        <v>12</v>
      </c>
      <c r="M124" s="13">
        <v>2967</v>
      </c>
      <c r="N124" s="13">
        <v>1915</v>
      </c>
      <c r="O124" s="13">
        <v>22</v>
      </c>
      <c r="P124" s="13">
        <v>8</v>
      </c>
      <c r="Q124" s="13">
        <v>46</v>
      </c>
      <c r="R124" s="13">
        <v>23</v>
      </c>
      <c r="S124" s="13">
        <v>1</v>
      </c>
      <c r="T124" s="23">
        <v>46247.498425925929</v>
      </c>
      <c r="U124" s="55">
        <f t="shared" si="3"/>
        <v>0.83333333333333337</v>
      </c>
      <c r="V124" s="55">
        <f t="shared" si="4"/>
        <v>0.16666666666666666</v>
      </c>
      <c r="W124" s="56">
        <f t="shared" si="5"/>
        <v>13921.5</v>
      </c>
    </row>
    <row r="125" spans="1:23" x14ac:dyDescent="0.3">
      <c r="A125" s="13" t="s">
        <v>0</v>
      </c>
      <c r="B125">
        <v>1</v>
      </c>
      <c r="C125" s="13">
        <v>1</v>
      </c>
      <c r="D125" s="13">
        <v>0</v>
      </c>
      <c r="E125" s="13">
        <v>118528</v>
      </c>
      <c r="F125" s="13">
        <v>115880</v>
      </c>
      <c r="G125" s="13">
        <v>556</v>
      </c>
      <c r="H125" s="13">
        <v>2262244</v>
      </c>
      <c r="I125" s="13">
        <v>0</v>
      </c>
      <c r="J125" s="13">
        <v>0</v>
      </c>
      <c r="K125" s="13">
        <v>15888</v>
      </c>
      <c r="L125" s="13">
        <v>36</v>
      </c>
      <c r="M125" s="13">
        <v>2695</v>
      </c>
      <c r="N125" s="13">
        <v>1596</v>
      </c>
      <c r="O125" s="13">
        <v>21</v>
      </c>
      <c r="P125" s="13">
        <v>7</v>
      </c>
      <c r="Q125" s="13">
        <v>47</v>
      </c>
      <c r="R125" s="13">
        <v>24</v>
      </c>
      <c r="S125" s="13">
        <v>1</v>
      </c>
      <c r="T125" s="23">
        <v>46247.498541666668</v>
      </c>
      <c r="U125" s="55">
        <f t="shared" si="3"/>
        <v>0.83333333333333337</v>
      </c>
      <c r="V125" s="55">
        <f t="shared" si="4"/>
        <v>0.16666666666666666</v>
      </c>
      <c r="W125" s="56">
        <f t="shared" si="5"/>
        <v>13951.333333333334</v>
      </c>
    </row>
    <row r="126" spans="1:23" x14ac:dyDescent="0.3">
      <c r="A126" s="13" t="s">
        <v>0</v>
      </c>
      <c r="B126">
        <v>1</v>
      </c>
      <c r="C126" s="13">
        <v>1</v>
      </c>
      <c r="D126" s="13">
        <v>0</v>
      </c>
      <c r="E126" s="13">
        <v>118528</v>
      </c>
      <c r="F126" s="13">
        <v>153104</v>
      </c>
      <c r="G126" s="13">
        <v>580</v>
      </c>
      <c r="H126" s="13">
        <v>2247668</v>
      </c>
      <c r="I126" s="13">
        <v>0</v>
      </c>
      <c r="J126" s="13">
        <v>0</v>
      </c>
      <c r="K126" s="13">
        <v>13993</v>
      </c>
      <c r="L126" s="13">
        <v>33</v>
      </c>
      <c r="M126" s="13">
        <v>3068</v>
      </c>
      <c r="N126" s="13">
        <v>1894</v>
      </c>
      <c r="O126" s="13">
        <v>22</v>
      </c>
      <c r="P126" s="13">
        <v>8</v>
      </c>
      <c r="Q126" s="13">
        <v>46</v>
      </c>
      <c r="R126" s="13">
        <v>23</v>
      </c>
      <c r="S126" s="13">
        <v>1</v>
      </c>
      <c r="T126" s="23">
        <v>46247.498657407406</v>
      </c>
      <c r="U126" s="55">
        <f t="shared" si="3"/>
        <v>0.83333333333333337</v>
      </c>
      <c r="V126" s="55">
        <f t="shared" si="4"/>
        <v>0.16666666666666666</v>
      </c>
      <c r="W126" s="56">
        <f t="shared" si="5"/>
        <v>13393</v>
      </c>
    </row>
    <row r="127" spans="1:23" x14ac:dyDescent="0.3">
      <c r="A127" s="13" t="s">
        <v>0</v>
      </c>
      <c r="B127">
        <v>1</v>
      </c>
      <c r="C127" s="13">
        <v>0</v>
      </c>
      <c r="D127" s="13">
        <v>1</v>
      </c>
      <c r="E127" s="13">
        <v>118528</v>
      </c>
      <c r="F127" s="13">
        <v>131120</v>
      </c>
      <c r="G127" s="13">
        <v>588</v>
      </c>
      <c r="H127" s="13">
        <v>2267308</v>
      </c>
      <c r="I127" s="13">
        <v>1</v>
      </c>
      <c r="J127" s="13">
        <v>0</v>
      </c>
      <c r="K127" s="13">
        <v>17062</v>
      </c>
      <c r="L127" s="13">
        <v>14</v>
      </c>
      <c r="M127" s="13">
        <v>2865</v>
      </c>
      <c r="N127" s="13">
        <v>1745</v>
      </c>
      <c r="O127" s="13">
        <v>22</v>
      </c>
      <c r="P127" s="13">
        <v>7</v>
      </c>
      <c r="Q127" s="13">
        <v>47</v>
      </c>
      <c r="R127" s="13">
        <v>24</v>
      </c>
      <c r="S127" s="13">
        <v>0</v>
      </c>
      <c r="T127" s="23">
        <v>46247.498773148145</v>
      </c>
      <c r="U127" s="55">
        <f t="shared" si="3"/>
        <v>0.83333333333333337</v>
      </c>
      <c r="V127" s="55">
        <f t="shared" si="4"/>
        <v>0.16666666666666666</v>
      </c>
      <c r="W127" s="56">
        <f t="shared" si="5"/>
        <v>14392.333333333334</v>
      </c>
    </row>
    <row r="128" spans="1:23" x14ac:dyDescent="0.3">
      <c r="A128" s="13" t="s">
        <v>0</v>
      </c>
      <c r="B128">
        <v>1</v>
      </c>
      <c r="C128" s="13">
        <v>1</v>
      </c>
      <c r="D128" s="13">
        <v>0</v>
      </c>
      <c r="E128" s="13">
        <v>118528</v>
      </c>
      <c r="F128" s="13">
        <v>103508</v>
      </c>
      <c r="G128" s="13">
        <v>596</v>
      </c>
      <c r="H128" s="13">
        <v>2286304</v>
      </c>
      <c r="I128" s="13">
        <v>0</v>
      </c>
      <c r="J128" s="13">
        <v>0</v>
      </c>
      <c r="K128" s="13">
        <v>15058</v>
      </c>
      <c r="L128" s="13">
        <v>25</v>
      </c>
      <c r="M128" s="13">
        <v>3011</v>
      </c>
      <c r="N128" s="13">
        <v>1853</v>
      </c>
      <c r="O128" s="13">
        <v>22</v>
      </c>
      <c r="P128" s="13">
        <v>7</v>
      </c>
      <c r="Q128" s="13">
        <v>46</v>
      </c>
      <c r="R128" s="13">
        <v>24</v>
      </c>
      <c r="S128" s="13">
        <v>0</v>
      </c>
      <c r="T128" s="23">
        <v>46247.498888888891</v>
      </c>
      <c r="U128" s="55">
        <f t="shared" si="3"/>
        <v>0.83333333333333337</v>
      </c>
      <c r="V128" s="55">
        <f t="shared" si="4"/>
        <v>0.16666666666666666</v>
      </c>
      <c r="W128" s="56">
        <f t="shared" si="5"/>
        <v>14890.333333333334</v>
      </c>
    </row>
    <row r="129" spans="1:23" x14ac:dyDescent="0.3">
      <c r="A129" s="13" t="s">
        <v>0</v>
      </c>
      <c r="B129">
        <v>1</v>
      </c>
      <c r="C129" s="13">
        <v>1</v>
      </c>
      <c r="D129" s="13">
        <v>0</v>
      </c>
      <c r="E129" s="13">
        <v>118528</v>
      </c>
      <c r="F129" s="13">
        <v>115824</v>
      </c>
      <c r="G129" s="13">
        <v>612</v>
      </c>
      <c r="H129" s="13">
        <v>2282956</v>
      </c>
      <c r="I129" s="13">
        <v>0</v>
      </c>
      <c r="J129" s="13">
        <v>0</v>
      </c>
      <c r="K129" s="13">
        <v>16606</v>
      </c>
      <c r="L129" s="13">
        <v>20</v>
      </c>
      <c r="M129" s="13">
        <v>2828</v>
      </c>
      <c r="N129" s="13">
        <v>1692</v>
      </c>
      <c r="O129" s="13">
        <v>22</v>
      </c>
      <c r="P129" s="13">
        <v>7</v>
      </c>
      <c r="Q129" s="13">
        <v>47</v>
      </c>
      <c r="R129" s="13">
        <v>24</v>
      </c>
      <c r="S129" s="13">
        <v>0</v>
      </c>
      <c r="T129" s="23">
        <v>46247.49900462963</v>
      </c>
      <c r="U129" s="55">
        <f t="shared" si="3"/>
        <v>0.83333333333333337</v>
      </c>
      <c r="V129" s="55">
        <f t="shared" si="4"/>
        <v>0.16666666666666666</v>
      </c>
      <c r="W129" s="56">
        <f t="shared" si="5"/>
        <v>15368.833333333334</v>
      </c>
    </row>
    <row r="130" spans="1:23" x14ac:dyDescent="0.3">
      <c r="A130" s="13" t="s">
        <v>0</v>
      </c>
      <c r="B130">
        <v>1</v>
      </c>
      <c r="C130" s="13">
        <v>0</v>
      </c>
      <c r="D130" s="13">
        <v>1</v>
      </c>
      <c r="E130" s="13">
        <v>118528</v>
      </c>
      <c r="F130" s="13">
        <v>135572</v>
      </c>
      <c r="G130" s="13">
        <v>620</v>
      </c>
      <c r="H130" s="13">
        <v>2260904</v>
      </c>
      <c r="I130" s="13">
        <v>0</v>
      </c>
      <c r="J130" s="13">
        <v>0</v>
      </c>
      <c r="K130" s="13">
        <v>16637</v>
      </c>
      <c r="L130" s="13">
        <v>30</v>
      </c>
      <c r="M130" s="13">
        <v>3031</v>
      </c>
      <c r="N130" s="13">
        <v>1861</v>
      </c>
      <c r="O130" s="13">
        <v>22</v>
      </c>
      <c r="P130" s="13">
        <v>7</v>
      </c>
      <c r="Q130" s="13">
        <v>47</v>
      </c>
      <c r="R130" s="13">
        <v>24</v>
      </c>
      <c r="S130" s="13">
        <v>0</v>
      </c>
      <c r="T130" s="23">
        <v>46247.499120370368</v>
      </c>
      <c r="U130" s="55">
        <f t="shared" si="3"/>
        <v>0.66666666666666663</v>
      </c>
      <c r="V130" s="55">
        <f t="shared" si="4"/>
        <v>0.33333333333333331</v>
      </c>
      <c r="W130" s="56">
        <f t="shared" si="5"/>
        <v>15874</v>
      </c>
    </row>
    <row r="131" spans="1:23" x14ac:dyDescent="0.3">
      <c r="A131" s="13" t="s">
        <v>0</v>
      </c>
      <c r="B131">
        <v>1</v>
      </c>
      <c r="C131" s="13">
        <v>1</v>
      </c>
      <c r="D131" s="13">
        <v>0</v>
      </c>
      <c r="E131" s="13">
        <v>118528</v>
      </c>
      <c r="F131" s="13">
        <v>120308</v>
      </c>
      <c r="G131" s="13">
        <v>624</v>
      </c>
      <c r="H131" s="13">
        <v>2278892</v>
      </c>
      <c r="I131" s="13">
        <v>0</v>
      </c>
      <c r="J131" s="13">
        <v>0</v>
      </c>
      <c r="K131" s="13">
        <v>16466</v>
      </c>
      <c r="L131" s="13">
        <v>13</v>
      </c>
      <c r="M131" s="13">
        <v>2877</v>
      </c>
      <c r="N131" s="13">
        <v>1743</v>
      </c>
      <c r="O131" s="13">
        <v>22</v>
      </c>
      <c r="P131" s="13">
        <v>7</v>
      </c>
      <c r="Q131" s="13">
        <v>47</v>
      </c>
      <c r="R131" s="13">
        <v>24</v>
      </c>
      <c r="S131" s="13">
        <v>0</v>
      </c>
      <c r="T131" s="23">
        <v>46247.499236111114</v>
      </c>
      <c r="U131" s="55">
        <f t="shared" si="3"/>
        <v>0.66666666666666663</v>
      </c>
      <c r="V131" s="55">
        <f t="shared" si="4"/>
        <v>0.33333333333333331</v>
      </c>
      <c r="W131" s="56">
        <f t="shared" si="5"/>
        <v>15970.333333333334</v>
      </c>
    </row>
    <row r="132" spans="1:23" x14ac:dyDescent="0.3">
      <c r="A132" s="13" t="s">
        <v>0</v>
      </c>
      <c r="B132">
        <v>1</v>
      </c>
      <c r="C132" s="13">
        <v>1</v>
      </c>
      <c r="D132" s="13">
        <v>0</v>
      </c>
      <c r="E132" s="13">
        <v>118528</v>
      </c>
      <c r="F132" s="13">
        <v>122756</v>
      </c>
      <c r="G132" s="13">
        <v>784</v>
      </c>
      <c r="H132" s="13">
        <v>2274092</v>
      </c>
      <c r="I132" s="13">
        <v>2</v>
      </c>
      <c r="J132" s="13">
        <v>0</v>
      </c>
      <c r="K132" s="13">
        <v>17152</v>
      </c>
      <c r="L132" s="13">
        <v>31</v>
      </c>
      <c r="M132" s="13">
        <v>2843</v>
      </c>
      <c r="N132" s="13">
        <v>1740</v>
      </c>
      <c r="O132" s="13">
        <v>22</v>
      </c>
      <c r="P132" s="13">
        <v>7</v>
      </c>
      <c r="Q132" s="13">
        <v>47</v>
      </c>
      <c r="R132" s="13">
        <v>25</v>
      </c>
      <c r="S132" s="13">
        <v>0</v>
      </c>
      <c r="T132" s="23">
        <v>46247.499351851853</v>
      </c>
      <c r="U132" s="55">
        <f t="shared" si="3"/>
        <v>0.66666666666666663</v>
      </c>
      <c r="V132" s="55">
        <f t="shared" si="4"/>
        <v>0.33333333333333331</v>
      </c>
      <c r="W132" s="56">
        <f t="shared" si="5"/>
        <v>16496.833333333332</v>
      </c>
    </row>
    <row r="133" spans="1:23" x14ac:dyDescent="0.3">
      <c r="A133" s="13" t="s">
        <v>0</v>
      </c>
      <c r="B133">
        <v>1</v>
      </c>
      <c r="C133" s="13">
        <v>1</v>
      </c>
      <c r="D133" s="13">
        <v>0</v>
      </c>
      <c r="E133" s="13">
        <v>118528</v>
      </c>
      <c r="F133" s="13">
        <v>109892</v>
      </c>
      <c r="G133" s="13">
        <v>508</v>
      </c>
      <c r="H133" s="13">
        <v>2288632</v>
      </c>
      <c r="I133" s="13">
        <v>0</v>
      </c>
      <c r="J133" s="13">
        <v>16</v>
      </c>
      <c r="K133" s="13">
        <v>15883</v>
      </c>
      <c r="L133" s="13">
        <v>26</v>
      </c>
      <c r="M133" s="13">
        <v>2981</v>
      </c>
      <c r="N133" s="13">
        <v>1830</v>
      </c>
      <c r="O133" s="13">
        <v>22</v>
      </c>
      <c r="P133" s="13">
        <v>8</v>
      </c>
      <c r="Q133" s="13">
        <v>46</v>
      </c>
      <c r="R133" s="13">
        <v>23</v>
      </c>
      <c r="S133" s="13">
        <v>0</v>
      </c>
      <c r="T133" s="23">
        <v>46247.499467592592</v>
      </c>
      <c r="U133" s="55">
        <f t="shared" si="3"/>
        <v>0.83333333333333337</v>
      </c>
      <c r="V133" s="55">
        <f t="shared" si="4"/>
        <v>0.16666666666666666</v>
      </c>
      <c r="W133" s="56">
        <f t="shared" si="5"/>
        <v>16300.333333333334</v>
      </c>
    </row>
    <row r="134" spans="1:23" x14ac:dyDescent="0.3">
      <c r="A134" s="13" t="s">
        <v>0</v>
      </c>
      <c r="B134">
        <v>1</v>
      </c>
      <c r="C134" s="13">
        <v>0</v>
      </c>
      <c r="D134" s="13">
        <v>1</v>
      </c>
      <c r="E134" s="13">
        <v>118528</v>
      </c>
      <c r="F134" s="13">
        <v>114924</v>
      </c>
      <c r="G134" s="13">
        <v>516</v>
      </c>
      <c r="H134" s="13">
        <v>2252360</v>
      </c>
      <c r="I134" s="13">
        <v>0</v>
      </c>
      <c r="J134" s="13">
        <v>2</v>
      </c>
      <c r="K134" s="13">
        <v>17974</v>
      </c>
      <c r="L134" s="13">
        <v>8</v>
      </c>
      <c r="M134" s="13">
        <v>2711</v>
      </c>
      <c r="N134" s="13">
        <v>1683</v>
      </c>
      <c r="O134" s="13">
        <v>21</v>
      </c>
      <c r="P134" s="13">
        <v>7</v>
      </c>
      <c r="Q134" s="13">
        <v>47</v>
      </c>
      <c r="R134" s="13">
        <v>25</v>
      </c>
      <c r="S134" s="13">
        <v>0</v>
      </c>
      <c r="T134" s="23">
        <v>46247.499583333331</v>
      </c>
      <c r="U134" s="55">
        <f t="shared" si="3"/>
        <v>0.66666666666666663</v>
      </c>
      <c r="V134" s="55">
        <f t="shared" si="4"/>
        <v>0.33333333333333331</v>
      </c>
      <c r="W134" s="56">
        <f t="shared" si="5"/>
        <v>16786.333333333332</v>
      </c>
    </row>
    <row r="135" spans="1:23" x14ac:dyDescent="0.3">
      <c r="A135" s="13" t="s">
        <v>0</v>
      </c>
      <c r="B135">
        <v>1</v>
      </c>
      <c r="C135" s="13">
        <v>1</v>
      </c>
      <c r="D135" s="13">
        <v>0</v>
      </c>
      <c r="E135" s="13">
        <v>118528</v>
      </c>
      <c r="F135" s="13">
        <v>143868</v>
      </c>
      <c r="G135" s="13">
        <v>524</v>
      </c>
      <c r="H135" s="13">
        <v>2250864</v>
      </c>
      <c r="I135" s="13">
        <v>0</v>
      </c>
      <c r="J135" s="13">
        <v>0</v>
      </c>
      <c r="K135" s="13">
        <v>14726</v>
      </c>
      <c r="L135" s="13">
        <v>16</v>
      </c>
      <c r="M135" s="13">
        <v>3440</v>
      </c>
      <c r="N135" s="13">
        <v>2304</v>
      </c>
      <c r="O135" s="13">
        <v>22</v>
      </c>
      <c r="P135" s="13">
        <v>9</v>
      </c>
      <c r="Q135" s="13">
        <v>45</v>
      </c>
      <c r="R135" s="13">
        <v>23</v>
      </c>
      <c r="S135" s="13">
        <v>0</v>
      </c>
      <c r="T135" s="23">
        <v>46247.499699074076</v>
      </c>
      <c r="U135" s="55">
        <f t="shared" si="3"/>
        <v>0.66666666666666663</v>
      </c>
      <c r="V135" s="55">
        <f t="shared" si="4"/>
        <v>0.33333333333333331</v>
      </c>
      <c r="W135" s="56">
        <f t="shared" si="5"/>
        <v>16473</v>
      </c>
    </row>
    <row r="136" spans="1:23" x14ac:dyDescent="0.3">
      <c r="A136" s="13" t="s">
        <v>0</v>
      </c>
      <c r="B136">
        <v>1</v>
      </c>
      <c r="C136" s="13">
        <v>1</v>
      </c>
      <c r="D136" s="13">
        <v>0</v>
      </c>
      <c r="E136" s="13">
        <v>118528</v>
      </c>
      <c r="F136" s="13">
        <v>112216</v>
      </c>
      <c r="G136" s="13">
        <v>536</v>
      </c>
      <c r="H136" s="13">
        <v>2278168</v>
      </c>
      <c r="I136" s="13">
        <v>0</v>
      </c>
      <c r="J136" s="13">
        <v>0</v>
      </c>
      <c r="K136" s="13">
        <v>17422</v>
      </c>
      <c r="L136" s="13">
        <v>18</v>
      </c>
      <c r="M136" s="13">
        <v>2776</v>
      </c>
      <c r="N136" s="13">
        <v>1588</v>
      </c>
      <c r="O136" s="13">
        <v>21</v>
      </c>
      <c r="P136" s="13">
        <v>6</v>
      </c>
      <c r="Q136" s="13">
        <v>48</v>
      </c>
      <c r="R136" s="13">
        <v>25</v>
      </c>
      <c r="S136" s="13">
        <v>0</v>
      </c>
      <c r="T136" s="23">
        <v>46247.499814814815</v>
      </c>
      <c r="U136" s="55">
        <f t="shared" si="3"/>
        <v>0.83333333333333337</v>
      </c>
      <c r="V136" s="55">
        <f t="shared" si="4"/>
        <v>0.16666666666666666</v>
      </c>
      <c r="W136" s="56">
        <f t="shared" si="5"/>
        <v>16603.833333333332</v>
      </c>
    </row>
    <row r="137" spans="1:23" x14ac:dyDescent="0.3">
      <c r="A137" s="13" t="s">
        <v>0</v>
      </c>
      <c r="B137">
        <v>1</v>
      </c>
      <c r="C137" s="13">
        <v>0</v>
      </c>
      <c r="D137" s="13">
        <v>1</v>
      </c>
      <c r="E137" s="13">
        <v>118784</v>
      </c>
      <c r="F137" s="13">
        <v>150572</v>
      </c>
      <c r="G137" s="13">
        <v>432</v>
      </c>
      <c r="H137" s="13">
        <v>2229852</v>
      </c>
      <c r="I137" s="13">
        <v>0</v>
      </c>
      <c r="J137" s="13">
        <v>9</v>
      </c>
      <c r="K137" s="13">
        <v>14819</v>
      </c>
      <c r="L137" s="13">
        <v>19</v>
      </c>
      <c r="M137" s="13">
        <v>3203</v>
      </c>
      <c r="N137" s="13">
        <v>2108</v>
      </c>
      <c r="O137" s="13">
        <v>21</v>
      </c>
      <c r="P137" s="13">
        <v>9</v>
      </c>
      <c r="Q137" s="13">
        <v>45</v>
      </c>
      <c r="R137" s="13">
        <v>24</v>
      </c>
      <c r="S137" s="13">
        <v>0</v>
      </c>
      <c r="T137" s="23">
        <v>46247.499930555554</v>
      </c>
      <c r="U137" s="55">
        <f t="shared" ref="U137:U200" si="6">AVERAGE(C132:C137)</f>
        <v>0.66666666666666663</v>
      </c>
      <c r="V137" s="55">
        <f t="shared" ref="V137:V200" si="7">AVERAGE(D132:D137)</f>
        <v>0.33333333333333331</v>
      </c>
      <c r="W137" s="56">
        <f t="shared" ref="W137:W200" si="8">AVERAGE(K132:K137)</f>
        <v>16329.333333333334</v>
      </c>
    </row>
    <row r="138" spans="1:23" x14ac:dyDescent="0.3">
      <c r="A138" s="13" t="s">
        <v>0</v>
      </c>
      <c r="B138">
        <v>1</v>
      </c>
      <c r="C138" s="13">
        <v>1</v>
      </c>
      <c r="D138" s="13">
        <v>0</v>
      </c>
      <c r="E138" s="13">
        <v>118784</v>
      </c>
      <c r="F138" s="13">
        <v>104504</v>
      </c>
      <c r="G138" s="13">
        <v>604</v>
      </c>
      <c r="H138" s="13">
        <v>2277820</v>
      </c>
      <c r="I138" s="13">
        <v>3</v>
      </c>
      <c r="J138" s="13">
        <v>0</v>
      </c>
      <c r="K138" s="13">
        <v>15850</v>
      </c>
      <c r="L138" s="13">
        <v>54</v>
      </c>
      <c r="M138" s="13">
        <v>2805</v>
      </c>
      <c r="N138" s="13">
        <v>1736</v>
      </c>
      <c r="O138" s="13">
        <v>21</v>
      </c>
      <c r="P138" s="13">
        <v>7</v>
      </c>
      <c r="Q138" s="13">
        <v>47</v>
      </c>
      <c r="R138" s="13">
        <v>24</v>
      </c>
      <c r="S138" s="13">
        <v>1</v>
      </c>
      <c r="T138" s="23">
        <v>46247.5000462963</v>
      </c>
      <c r="U138" s="55">
        <f t="shared" si="6"/>
        <v>0.66666666666666663</v>
      </c>
      <c r="V138" s="55">
        <f t="shared" si="7"/>
        <v>0.33333333333333331</v>
      </c>
      <c r="W138" s="56">
        <f t="shared" si="8"/>
        <v>16112.333333333334</v>
      </c>
    </row>
    <row r="139" spans="1:23" x14ac:dyDescent="0.3">
      <c r="A139" s="13" t="s">
        <v>0</v>
      </c>
      <c r="B139">
        <v>1</v>
      </c>
      <c r="C139" s="13">
        <v>0</v>
      </c>
      <c r="D139" s="13">
        <v>1</v>
      </c>
      <c r="E139" s="13">
        <v>118784</v>
      </c>
      <c r="F139" s="13">
        <v>148728</v>
      </c>
      <c r="G139" s="13">
        <v>512</v>
      </c>
      <c r="H139" s="13">
        <v>2247700</v>
      </c>
      <c r="I139" s="13">
        <v>0</v>
      </c>
      <c r="J139" s="13">
        <v>0</v>
      </c>
      <c r="K139" s="13">
        <v>13536</v>
      </c>
      <c r="L139" s="13">
        <v>15</v>
      </c>
      <c r="M139" s="13">
        <v>2958</v>
      </c>
      <c r="N139" s="13">
        <v>1833</v>
      </c>
      <c r="O139" s="13">
        <v>21</v>
      </c>
      <c r="P139" s="13">
        <v>7</v>
      </c>
      <c r="Q139" s="13">
        <v>46</v>
      </c>
      <c r="R139" s="13">
        <v>24</v>
      </c>
      <c r="S139" s="13">
        <v>1</v>
      </c>
      <c r="T139" s="23">
        <v>46247.500162037039</v>
      </c>
      <c r="U139" s="55">
        <f t="shared" si="6"/>
        <v>0.5</v>
      </c>
      <c r="V139" s="55">
        <f t="shared" si="7"/>
        <v>0.5</v>
      </c>
      <c r="W139" s="56">
        <f t="shared" si="8"/>
        <v>15721.166666666666</v>
      </c>
    </row>
    <row r="140" spans="1:23" x14ac:dyDescent="0.3">
      <c r="A140" s="13" t="s">
        <v>0</v>
      </c>
      <c r="B140">
        <v>1</v>
      </c>
      <c r="C140" s="13">
        <v>1</v>
      </c>
      <c r="D140" s="13">
        <v>0</v>
      </c>
      <c r="E140" s="13">
        <v>118784</v>
      </c>
      <c r="F140" s="13">
        <v>138180</v>
      </c>
      <c r="G140" s="13">
        <v>520</v>
      </c>
      <c r="H140" s="13">
        <v>2250608</v>
      </c>
      <c r="I140" s="13">
        <v>0</v>
      </c>
      <c r="J140" s="13">
        <v>0</v>
      </c>
      <c r="K140" s="13">
        <v>16898</v>
      </c>
      <c r="L140" s="13">
        <v>17</v>
      </c>
      <c r="M140" s="13">
        <v>2961</v>
      </c>
      <c r="N140" s="13">
        <v>1829</v>
      </c>
      <c r="O140" s="13">
        <v>22</v>
      </c>
      <c r="P140" s="13">
        <v>7</v>
      </c>
      <c r="Q140" s="13">
        <v>47</v>
      </c>
      <c r="R140" s="13">
        <v>24</v>
      </c>
      <c r="S140" s="13">
        <v>0</v>
      </c>
      <c r="T140" s="23">
        <v>46247.500277777777</v>
      </c>
      <c r="U140" s="55">
        <f t="shared" si="6"/>
        <v>0.66666666666666663</v>
      </c>
      <c r="V140" s="55">
        <f t="shared" si="7"/>
        <v>0.33333333333333331</v>
      </c>
      <c r="W140" s="56">
        <f t="shared" si="8"/>
        <v>15541.833333333334</v>
      </c>
    </row>
    <row r="141" spans="1:23" x14ac:dyDescent="0.3">
      <c r="A141" s="13" t="s">
        <v>0</v>
      </c>
      <c r="B141">
        <v>1</v>
      </c>
      <c r="C141" s="13">
        <v>0</v>
      </c>
      <c r="D141" s="13">
        <v>1</v>
      </c>
      <c r="E141" s="13">
        <v>118784</v>
      </c>
      <c r="F141" s="13">
        <v>152232</v>
      </c>
      <c r="G141" s="13">
        <v>528</v>
      </c>
      <c r="H141" s="13">
        <v>2236624</v>
      </c>
      <c r="I141" s="13">
        <v>0</v>
      </c>
      <c r="J141" s="13">
        <v>0</v>
      </c>
      <c r="K141" s="13">
        <v>15288</v>
      </c>
      <c r="L141" s="13">
        <v>9</v>
      </c>
      <c r="M141" s="13">
        <v>2807</v>
      </c>
      <c r="N141" s="13">
        <v>1772</v>
      </c>
      <c r="O141" s="13">
        <v>22</v>
      </c>
      <c r="P141" s="13">
        <v>7</v>
      </c>
      <c r="Q141" s="13">
        <v>47</v>
      </c>
      <c r="R141" s="13">
        <v>24</v>
      </c>
      <c r="S141" s="13">
        <v>0</v>
      </c>
      <c r="T141" s="23">
        <v>46247.500393518516</v>
      </c>
      <c r="U141" s="55">
        <f t="shared" si="6"/>
        <v>0.5</v>
      </c>
      <c r="V141" s="55">
        <f t="shared" si="7"/>
        <v>0.5</v>
      </c>
      <c r="W141" s="56">
        <f t="shared" si="8"/>
        <v>15635.5</v>
      </c>
    </row>
    <row r="142" spans="1:23" x14ac:dyDescent="0.3">
      <c r="A142" s="13" t="s">
        <v>0</v>
      </c>
      <c r="B142">
        <v>1</v>
      </c>
      <c r="C142" s="13">
        <v>0</v>
      </c>
      <c r="D142" s="13">
        <v>1</v>
      </c>
      <c r="E142" s="13">
        <v>118784</v>
      </c>
      <c r="F142" s="13">
        <v>120900</v>
      </c>
      <c r="G142" s="13">
        <v>544</v>
      </c>
      <c r="H142" s="13">
        <v>2275836</v>
      </c>
      <c r="I142" s="13">
        <v>1</v>
      </c>
      <c r="J142" s="13">
        <v>0</v>
      </c>
      <c r="K142" s="13">
        <v>14960</v>
      </c>
      <c r="L142" s="13">
        <v>29</v>
      </c>
      <c r="M142" s="13">
        <v>2847</v>
      </c>
      <c r="N142" s="13">
        <v>1741</v>
      </c>
      <c r="O142" s="13">
        <v>22</v>
      </c>
      <c r="P142" s="13">
        <v>7</v>
      </c>
      <c r="Q142" s="13">
        <v>47</v>
      </c>
      <c r="R142" s="13">
        <v>24</v>
      </c>
      <c r="S142" s="13">
        <v>1</v>
      </c>
      <c r="T142" s="23">
        <v>46247.500509259262</v>
      </c>
      <c r="U142" s="55">
        <f t="shared" si="6"/>
        <v>0.33333333333333331</v>
      </c>
      <c r="V142" s="55">
        <f t="shared" si="7"/>
        <v>0.66666666666666663</v>
      </c>
      <c r="W142" s="56">
        <f t="shared" si="8"/>
        <v>15225.166666666666</v>
      </c>
    </row>
    <row r="143" spans="1:23" x14ac:dyDescent="0.3">
      <c r="A143" s="13" t="s">
        <v>0</v>
      </c>
      <c r="B143">
        <v>1</v>
      </c>
      <c r="C143" s="13">
        <v>0</v>
      </c>
      <c r="D143" s="13">
        <v>1</v>
      </c>
      <c r="E143" s="13">
        <v>118784</v>
      </c>
      <c r="F143" s="13">
        <v>114260</v>
      </c>
      <c r="G143" s="13">
        <v>552</v>
      </c>
      <c r="H143" s="13">
        <v>2274300</v>
      </c>
      <c r="I143" s="13">
        <v>2</v>
      </c>
      <c r="J143" s="13">
        <v>0</v>
      </c>
      <c r="K143" s="13">
        <v>16610</v>
      </c>
      <c r="L143" s="13">
        <v>11</v>
      </c>
      <c r="M143" s="13">
        <v>2855</v>
      </c>
      <c r="N143" s="13">
        <v>1648</v>
      </c>
      <c r="O143" s="13">
        <v>22</v>
      </c>
      <c r="P143" s="13">
        <v>6</v>
      </c>
      <c r="Q143" s="13">
        <v>47</v>
      </c>
      <c r="R143" s="13">
        <v>25</v>
      </c>
      <c r="S143" s="13">
        <v>0</v>
      </c>
      <c r="T143" s="23">
        <v>46247.500625000001</v>
      </c>
      <c r="U143" s="55">
        <f t="shared" si="6"/>
        <v>0.33333333333333331</v>
      </c>
      <c r="V143" s="55">
        <f t="shared" si="7"/>
        <v>0.66666666666666663</v>
      </c>
      <c r="W143" s="56">
        <f t="shared" si="8"/>
        <v>15523.666666666666</v>
      </c>
    </row>
    <row r="144" spans="1:23" x14ac:dyDescent="0.3">
      <c r="A144" s="13" t="s">
        <v>0</v>
      </c>
      <c r="B144">
        <v>1</v>
      </c>
      <c r="C144" s="13">
        <v>2</v>
      </c>
      <c r="D144" s="13">
        <v>0</v>
      </c>
      <c r="E144" s="13">
        <v>118784</v>
      </c>
      <c r="F144" s="13">
        <v>140372</v>
      </c>
      <c r="G144" s="13">
        <v>584</v>
      </c>
      <c r="H144" s="13">
        <v>2254908</v>
      </c>
      <c r="I144" s="13">
        <v>0</v>
      </c>
      <c r="J144" s="13">
        <v>0</v>
      </c>
      <c r="K144" s="13">
        <v>14764</v>
      </c>
      <c r="L144" s="13">
        <v>41</v>
      </c>
      <c r="M144" s="13">
        <v>3380</v>
      </c>
      <c r="N144" s="13">
        <v>2338</v>
      </c>
      <c r="O144" s="13">
        <v>22</v>
      </c>
      <c r="P144" s="13">
        <v>10</v>
      </c>
      <c r="Q144" s="13">
        <v>45</v>
      </c>
      <c r="R144" s="13">
        <v>23</v>
      </c>
      <c r="S144" s="13">
        <v>1</v>
      </c>
      <c r="T144" s="23">
        <v>46247.500740740739</v>
      </c>
      <c r="U144" s="55">
        <f t="shared" si="6"/>
        <v>0.5</v>
      </c>
      <c r="V144" s="55">
        <f t="shared" si="7"/>
        <v>0.66666666666666663</v>
      </c>
      <c r="W144" s="56">
        <f t="shared" si="8"/>
        <v>15342.666666666666</v>
      </c>
    </row>
    <row r="145" spans="1:23" x14ac:dyDescent="0.3">
      <c r="A145" s="13" t="s">
        <v>0</v>
      </c>
      <c r="B145">
        <v>1</v>
      </c>
      <c r="C145" s="13">
        <v>1</v>
      </c>
      <c r="D145" s="13">
        <v>0</v>
      </c>
      <c r="E145" s="13">
        <v>118784</v>
      </c>
      <c r="F145" s="13">
        <v>146188</v>
      </c>
      <c r="G145" s="13">
        <v>592</v>
      </c>
      <c r="H145" s="13">
        <v>2242788</v>
      </c>
      <c r="I145" s="13">
        <v>0</v>
      </c>
      <c r="J145" s="13">
        <v>0</v>
      </c>
      <c r="K145" s="13">
        <v>15239</v>
      </c>
      <c r="L145" s="13">
        <v>15</v>
      </c>
      <c r="M145" s="13">
        <v>2537</v>
      </c>
      <c r="N145" s="13">
        <v>1448</v>
      </c>
      <c r="O145" s="13">
        <v>21</v>
      </c>
      <c r="P145" s="13">
        <v>6</v>
      </c>
      <c r="Q145" s="13">
        <v>48</v>
      </c>
      <c r="R145" s="13">
        <v>25</v>
      </c>
      <c r="S145" s="13">
        <v>1</v>
      </c>
      <c r="T145" s="23">
        <v>46247.500856481478</v>
      </c>
      <c r="U145" s="55">
        <f t="shared" si="6"/>
        <v>0.66666666666666663</v>
      </c>
      <c r="V145" s="55">
        <f t="shared" si="7"/>
        <v>0.5</v>
      </c>
      <c r="W145" s="56">
        <f t="shared" si="8"/>
        <v>15626.5</v>
      </c>
    </row>
    <row r="146" spans="1:23" x14ac:dyDescent="0.3">
      <c r="A146" s="13" t="s">
        <v>0</v>
      </c>
      <c r="B146">
        <v>1</v>
      </c>
      <c r="C146" s="13">
        <v>0</v>
      </c>
      <c r="D146" s="13">
        <v>1</v>
      </c>
      <c r="E146" s="13">
        <v>118784</v>
      </c>
      <c r="F146" s="13">
        <v>135412</v>
      </c>
      <c r="G146" s="13">
        <v>600</v>
      </c>
      <c r="H146" s="13">
        <v>2259144</v>
      </c>
      <c r="I146" s="13">
        <v>0</v>
      </c>
      <c r="J146" s="13">
        <v>0</v>
      </c>
      <c r="K146" s="13">
        <v>12410</v>
      </c>
      <c r="L146" s="13">
        <v>13</v>
      </c>
      <c r="M146" s="13">
        <v>2785</v>
      </c>
      <c r="N146" s="13">
        <v>1762</v>
      </c>
      <c r="O146" s="13">
        <v>20</v>
      </c>
      <c r="P146" s="13">
        <v>7</v>
      </c>
      <c r="Q146" s="13">
        <v>46</v>
      </c>
      <c r="R146" s="13">
        <v>25</v>
      </c>
      <c r="S146" s="13">
        <v>1</v>
      </c>
      <c r="T146" s="23">
        <v>46247.500972222224</v>
      </c>
      <c r="U146" s="55">
        <f t="shared" si="6"/>
        <v>0.5</v>
      </c>
      <c r="V146" s="55">
        <f t="shared" si="7"/>
        <v>0.66666666666666663</v>
      </c>
      <c r="W146" s="56">
        <f t="shared" si="8"/>
        <v>14878.5</v>
      </c>
    </row>
    <row r="147" spans="1:23" x14ac:dyDescent="0.3">
      <c r="A147" s="13" t="s">
        <v>0</v>
      </c>
      <c r="B147">
        <v>1</v>
      </c>
      <c r="C147" s="13">
        <v>1</v>
      </c>
      <c r="D147" s="13">
        <v>0</v>
      </c>
      <c r="E147" s="13">
        <v>118784</v>
      </c>
      <c r="F147" s="13">
        <v>142096</v>
      </c>
      <c r="G147" s="13">
        <v>608</v>
      </c>
      <c r="H147" s="13">
        <v>2241120</v>
      </c>
      <c r="I147" s="13">
        <v>0</v>
      </c>
      <c r="J147" s="13">
        <v>0</v>
      </c>
      <c r="K147" s="13">
        <v>14458</v>
      </c>
      <c r="L147" s="13">
        <v>32</v>
      </c>
      <c r="M147" s="13">
        <v>2494</v>
      </c>
      <c r="N147" s="13">
        <v>1384</v>
      </c>
      <c r="O147" s="13">
        <v>20</v>
      </c>
      <c r="P147" s="13">
        <v>6</v>
      </c>
      <c r="Q147" s="13">
        <v>48</v>
      </c>
      <c r="R147" s="13">
        <v>25</v>
      </c>
      <c r="S147" s="13">
        <v>1</v>
      </c>
      <c r="T147" s="23">
        <v>46247.501087962963</v>
      </c>
      <c r="U147" s="55">
        <f t="shared" si="6"/>
        <v>0.66666666666666663</v>
      </c>
      <c r="V147" s="55">
        <f t="shared" si="7"/>
        <v>0.5</v>
      </c>
      <c r="W147" s="56">
        <f t="shared" si="8"/>
        <v>14740.166666666666</v>
      </c>
    </row>
    <row r="148" spans="1:23" x14ac:dyDescent="0.3">
      <c r="A148" s="13" t="s">
        <v>0</v>
      </c>
      <c r="B148">
        <v>1</v>
      </c>
      <c r="C148" s="13">
        <v>1</v>
      </c>
      <c r="D148" s="13">
        <v>0</v>
      </c>
      <c r="E148" s="13">
        <v>118784</v>
      </c>
      <c r="F148" s="13">
        <v>123576</v>
      </c>
      <c r="G148" s="13">
        <v>616</v>
      </c>
      <c r="H148" s="13">
        <v>2276440</v>
      </c>
      <c r="I148" s="13">
        <v>0</v>
      </c>
      <c r="J148" s="13">
        <v>0</v>
      </c>
      <c r="K148" s="13">
        <v>14293</v>
      </c>
      <c r="L148" s="13">
        <v>14</v>
      </c>
      <c r="M148" s="13">
        <v>2872</v>
      </c>
      <c r="N148" s="13">
        <v>1783</v>
      </c>
      <c r="O148" s="13">
        <v>21</v>
      </c>
      <c r="P148" s="13">
        <v>7</v>
      </c>
      <c r="Q148" s="13">
        <v>47</v>
      </c>
      <c r="R148" s="13">
        <v>25</v>
      </c>
      <c r="S148" s="13">
        <v>1</v>
      </c>
      <c r="T148" s="23">
        <v>46247.501203703701</v>
      </c>
      <c r="U148" s="55">
        <f t="shared" si="6"/>
        <v>0.83333333333333337</v>
      </c>
      <c r="V148" s="55">
        <f t="shared" si="7"/>
        <v>0.33333333333333331</v>
      </c>
      <c r="W148" s="56">
        <f t="shared" si="8"/>
        <v>14629</v>
      </c>
    </row>
    <row r="149" spans="1:23" x14ac:dyDescent="0.3">
      <c r="A149" s="13" t="s">
        <v>0</v>
      </c>
      <c r="B149">
        <v>1</v>
      </c>
      <c r="C149" s="13">
        <v>1</v>
      </c>
      <c r="D149" s="13">
        <v>0</v>
      </c>
      <c r="E149" s="13">
        <v>118784</v>
      </c>
      <c r="F149" s="13">
        <v>111852</v>
      </c>
      <c r="G149" s="13">
        <v>624</v>
      </c>
      <c r="H149" s="13">
        <v>2273208</v>
      </c>
      <c r="I149" s="13">
        <v>0</v>
      </c>
      <c r="J149" s="13">
        <v>0</v>
      </c>
      <c r="K149" s="13">
        <v>15184</v>
      </c>
      <c r="L149" s="13">
        <v>12</v>
      </c>
      <c r="M149" s="13">
        <v>2703</v>
      </c>
      <c r="N149" s="13">
        <v>1626</v>
      </c>
      <c r="O149" s="13">
        <v>21</v>
      </c>
      <c r="P149" s="13">
        <v>7</v>
      </c>
      <c r="Q149" s="13">
        <v>47</v>
      </c>
      <c r="R149" s="13">
        <v>25</v>
      </c>
      <c r="S149" s="13">
        <v>1</v>
      </c>
      <c r="T149" s="23">
        <v>46247.501319444447</v>
      </c>
      <c r="U149" s="55">
        <f t="shared" si="6"/>
        <v>1</v>
      </c>
      <c r="V149" s="55">
        <f t="shared" si="7"/>
        <v>0.16666666666666666</v>
      </c>
      <c r="W149" s="56">
        <f t="shared" si="8"/>
        <v>14391.333333333334</v>
      </c>
    </row>
    <row r="150" spans="1:23" x14ac:dyDescent="0.3">
      <c r="A150" s="13" t="s">
        <v>0</v>
      </c>
      <c r="B150">
        <v>1</v>
      </c>
      <c r="C150" s="13">
        <v>1</v>
      </c>
      <c r="D150" s="13">
        <v>0</v>
      </c>
      <c r="E150" s="13">
        <v>119040</v>
      </c>
      <c r="F150" s="13">
        <v>687252</v>
      </c>
      <c r="G150" s="13">
        <v>348</v>
      </c>
      <c r="H150" s="13">
        <v>1654828</v>
      </c>
      <c r="I150" s="13">
        <v>0</v>
      </c>
      <c r="J150" s="13">
        <v>92</v>
      </c>
      <c r="K150" s="13">
        <v>13992</v>
      </c>
      <c r="L150" s="13">
        <v>134</v>
      </c>
      <c r="M150" s="13">
        <v>2680</v>
      </c>
      <c r="N150" s="13">
        <v>1593</v>
      </c>
      <c r="O150" s="13">
        <v>22</v>
      </c>
      <c r="P150" s="13">
        <v>13</v>
      </c>
      <c r="Q150" s="13">
        <v>41</v>
      </c>
      <c r="R150" s="13">
        <v>23</v>
      </c>
      <c r="S150" s="13">
        <v>1</v>
      </c>
      <c r="T150" s="23">
        <v>46247.501435185186</v>
      </c>
      <c r="U150" s="55">
        <f t="shared" si="6"/>
        <v>0.83333333333333337</v>
      </c>
      <c r="V150" s="55">
        <f t="shared" si="7"/>
        <v>0.16666666666666666</v>
      </c>
      <c r="W150" s="56">
        <f t="shared" si="8"/>
        <v>14262.666666666666</v>
      </c>
    </row>
    <row r="151" spans="1:23" x14ac:dyDescent="0.3">
      <c r="A151" s="13" t="s">
        <v>0</v>
      </c>
      <c r="B151">
        <v>1</v>
      </c>
      <c r="C151" s="13">
        <v>0</v>
      </c>
      <c r="D151" s="13">
        <v>1</v>
      </c>
      <c r="E151" s="13">
        <v>119040</v>
      </c>
      <c r="F151" s="13">
        <v>596364</v>
      </c>
      <c r="G151" s="13">
        <v>356</v>
      </c>
      <c r="H151" s="13">
        <v>1784928</v>
      </c>
      <c r="I151" s="13">
        <v>0</v>
      </c>
      <c r="J151" s="13">
        <v>0</v>
      </c>
      <c r="K151" s="13">
        <v>13010</v>
      </c>
      <c r="L151" s="13">
        <v>13</v>
      </c>
      <c r="M151" s="13">
        <v>2674</v>
      </c>
      <c r="N151" s="13">
        <v>1624</v>
      </c>
      <c r="O151" s="13">
        <v>16</v>
      </c>
      <c r="P151" s="13">
        <v>8</v>
      </c>
      <c r="Q151" s="13">
        <v>48</v>
      </c>
      <c r="R151" s="13">
        <v>27</v>
      </c>
      <c r="S151" s="13">
        <v>1</v>
      </c>
      <c r="T151" s="23">
        <v>46247.501550925925</v>
      </c>
      <c r="U151" s="55">
        <f t="shared" si="6"/>
        <v>0.66666666666666663</v>
      </c>
      <c r="V151" s="55">
        <f t="shared" si="7"/>
        <v>0.33333333333333331</v>
      </c>
      <c r="W151" s="56">
        <f t="shared" si="8"/>
        <v>13891.166666666666</v>
      </c>
    </row>
    <row r="152" spans="1:23" x14ac:dyDescent="0.3">
      <c r="A152" s="13" t="s">
        <v>0</v>
      </c>
      <c r="B152">
        <v>1</v>
      </c>
      <c r="C152" s="13">
        <v>0</v>
      </c>
      <c r="D152" s="13">
        <v>1</v>
      </c>
      <c r="E152" s="13">
        <v>119040</v>
      </c>
      <c r="F152" s="13">
        <v>438360</v>
      </c>
      <c r="G152" s="13">
        <v>364</v>
      </c>
      <c r="H152" s="13">
        <v>1947760</v>
      </c>
      <c r="I152" s="13">
        <v>1</v>
      </c>
      <c r="J152" s="13">
        <v>0</v>
      </c>
      <c r="K152" s="13">
        <v>16310</v>
      </c>
      <c r="L152" s="13">
        <v>21</v>
      </c>
      <c r="M152" s="13">
        <v>2948</v>
      </c>
      <c r="N152" s="13">
        <v>1833</v>
      </c>
      <c r="O152" s="13">
        <v>18</v>
      </c>
      <c r="P152" s="13">
        <v>11</v>
      </c>
      <c r="Q152" s="13">
        <v>46</v>
      </c>
      <c r="R152" s="13">
        <v>24</v>
      </c>
      <c r="S152" s="13">
        <v>1</v>
      </c>
      <c r="T152" s="23">
        <v>46247.501666666663</v>
      </c>
      <c r="U152" s="55">
        <f t="shared" si="6"/>
        <v>0.66666666666666663</v>
      </c>
      <c r="V152" s="55">
        <f t="shared" si="7"/>
        <v>0.33333333333333331</v>
      </c>
      <c r="W152" s="56">
        <f t="shared" si="8"/>
        <v>14541.166666666666</v>
      </c>
    </row>
    <row r="153" spans="1:23" x14ac:dyDescent="0.3">
      <c r="A153" s="13" t="s">
        <v>0</v>
      </c>
      <c r="B153">
        <v>1</v>
      </c>
      <c r="C153" s="13">
        <v>1</v>
      </c>
      <c r="D153" s="13">
        <v>0</v>
      </c>
      <c r="E153" s="13">
        <v>119040</v>
      </c>
      <c r="F153" s="13">
        <v>268764</v>
      </c>
      <c r="G153" s="13">
        <v>372</v>
      </c>
      <c r="H153" s="13">
        <v>2118256</v>
      </c>
      <c r="I153" s="13">
        <v>0</v>
      </c>
      <c r="J153" s="13">
        <v>0</v>
      </c>
      <c r="K153" s="13">
        <v>17048</v>
      </c>
      <c r="L153" s="13">
        <v>13</v>
      </c>
      <c r="M153" s="13">
        <v>2599</v>
      </c>
      <c r="N153" s="13">
        <v>1541</v>
      </c>
      <c r="O153" s="13">
        <v>19</v>
      </c>
      <c r="P153" s="13">
        <v>9</v>
      </c>
      <c r="Q153" s="13">
        <v>48</v>
      </c>
      <c r="R153" s="13">
        <v>24</v>
      </c>
      <c r="S153" s="13">
        <v>0</v>
      </c>
      <c r="T153" s="23">
        <v>46247.501782407409</v>
      </c>
      <c r="U153" s="55">
        <f t="shared" si="6"/>
        <v>0.66666666666666663</v>
      </c>
      <c r="V153" s="55">
        <f t="shared" si="7"/>
        <v>0.33333333333333331</v>
      </c>
      <c r="W153" s="56">
        <f t="shared" si="8"/>
        <v>14972.833333333334</v>
      </c>
    </row>
    <row r="154" spans="1:23" x14ac:dyDescent="0.3">
      <c r="A154" s="13" t="s">
        <v>0</v>
      </c>
      <c r="B154">
        <v>1</v>
      </c>
      <c r="C154" s="13">
        <v>0</v>
      </c>
      <c r="D154" s="13">
        <v>1</v>
      </c>
      <c r="E154" s="13">
        <v>119040</v>
      </c>
      <c r="F154" s="13">
        <v>111776</v>
      </c>
      <c r="G154" s="13">
        <v>380</v>
      </c>
      <c r="H154" s="13">
        <v>2270568</v>
      </c>
      <c r="I154" s="13">
        <v>0</v>
      </c>
      <c r="J154" s="13">
        <v>0</v>
      </c>
      <c r="K154" s="13">
        <v>15237</v>
      </c>
      <c r="L154" s="13">
        <v>15</v>
      </c>
      <c r="M154" s="13">
        <v>3017</v>
      </c>
      <c r="N154" s="13">
        <v>1939</v>
      </c>
      <c r="O154" s="13">
        <v>21</v>
      </c>
      <c r="P154" s="13">
        <v>8</v>
      </c>
      <c r="Q154" s="13">
        <v>47</v>
      </c>
      <c r="R154" s="13">
        <v>24</v>
      </c>
      <c r="S154" s="13">
        <v>0</v>
      </c>
      <c r="T154" s="23">
        <v>46247.501898148148</v>
      </c>
      <c r="U154" s="55">
        <f t="shared" si="6"/>
        <v>0.5</v>
      </c>
      <c r="V154" s="55">
        <f t="shared" si="7"/>
        <v>0.5</v>
      </c>
      <c r="W154" s="56">
        <f t="shared" si="8"/>
        <v>15130.166666666666</v>
      </c>
    </row>
    <row r="155" spans="1:23" x14ac:dyDescent="0.3">
      <c r="A155" s="13" t="s">
        <v>0</v>
      </c>
      <c r="B155">
        <v>1</v>
      </c>
      <c r="C155" s="13">
        <v>0</v>
      </c>
      <c r="D155" s="13">
        <v>1</v>
      </c>
      <c r="E155" s="13">
        <v>119296</v>
      </c>
      <c r="F155" s="13">
        <v>136484</v>
      </c>
      <c r="G155" s="13">
        <v>388</v>
      </c>
      <c r="H155" s="13">
        <v>2255956</v>
      </c>
      <c r="I155" s="13">
        <v>0</v>
      </c>
      <c r="J155" s="13">
        <v>25</v>
      </c>
      <c r="K155" s="13">
        <v>17933</v>
      </c>
      <c r="L155" s="13">
        <v>38</v>
      </c>
      <c r="M155" s="13">
        <v>2618</v>
      </c>
      <c r="N155" s="13">
        <v>1576</v>
      </c>
      <c r="O155" s="13">
        <v>21</v>
      </c>
      <c r="P155" s="13">
        <v>6</v>
      </c>
      <c r="Q155" s="13">
        <v>48</v>
      </c>
      <c r="R155" s="13">
        <v>25</v>
      </c>
      <c r="S155" s="13">
        <v>0</v>
      </c>
      <c r="T155" s="23">
        <v>46247.502013888887</v>
      </c>
      <c r="U155" s="55">
        <f t="shared" si="6"/>
        <v>0.33333333333333331</v>
      </c>
      <c r="V155" s="55">
        <f t="shared" si="7"/>
        <v>0.66666666666666663</v>
      </c>
      <c r="W155" s="56">
        <f t="shared" si="8"/>
        <v>15588.333333333334</v>
      </c>
    </row>
    <row r="156" spans="1:23" x14ac:dyDescent="0.3">
      <c r="A156" s="13" t="s">
        <v>0</v>
      </c>
      <c r="B156">
        <v>1</v>
      </c>
      <c r="C156" s="13">
        <v>1</v>
      </c>
      <c r="D156" s="13">
        <v>0</v>
      </c>
      <c r="E156" s="13">
        <v>122880</v>
      </c>
      <c r="F156" s="13">
        <v>111676</v>
      </c>
      <c r="G156" s="13">
        <v>420</v>
      </c>
      <c r="H156" s="13">
        <v>2270192</v>
      </c>
      <c r="I156" s="13">
        <v>6</v>
      </c>
      <c r="J156" s="13">
        <v>384</v>
      </c>
      <c r="K156" s="13">
        <v>16182</v>
      </c>
      <c r="L156" s="13">
        <v>421</v>
      </c>
      <c r="M156" s="13">
        <v>3203</v>
      </c>
      <c r="N156" s="13">
        <v>2055</v>
      </c>
      <c r="O156" s="13">
        <v>21</v>
      </c>
      <c r="P156" s="13">
        <v>8</v>
      </c>
      <c r="Q156" s="13">
        <v>46</v>
      </c>
      <c r="R156" s="13">
        <v>24</v>
      </c>
      <c r="S156" s="13">
        <v>0</v>
      </c>
      <c r="T156" s="23">
        <v>46247.502129629633</v>
      </c>
      <c r="U156" s="55">
        <f t="shared" si="6"/>
        <v>0.33333333333333331</v>
      </c>
      <c r="V156" s="55">
        <f t="shared" si="7"/>
        <v>0.66666666666666663</v>
      </c>
      <c r="W156" s="56">
        <f t="shared" si="8"/>
        <v>15953.333333333334</v>
      </c>
    </row>
    <row r="157" spans="1:23" x14ac:dyDescent="0.3">
      <c r="A157" s="13" t="s">
        <v>0</v>
      </c>
      <c r="B157">
        <v>1</v>
      </c>
      <c r="C157" s="13">
        <v>1</v>
      </c>
      <c r="D157" s="13">
        <v>0</v>
      </c>
      <c r="E157" s="13">
        <v>122880</v>
      </c>
      <c r="F157" s="13">
        <v>121740</v>
      </c>
      <c r="G157" s="13">
        <v>436</v>
      </c>
      <c r="H157" s="13">
        <v>2277632</v>
      </c>
      <c r="I157" s="13">
        <v>1</v>
      </c>
      <c r="J157" s="13">
        <v>0</v>
      </c>
      <c r="K157" s="13">
        <v>16917</v>
      </c>
      <c r="L157" s="13">
        <v>36</v>
      </c>
      <c r="M157" s="13">
        <v>2752</v>
      </c>
      <c r="N157" s="13">
        <v>1530</v>
      </c>
      <c r="O157" s="13">
        <v>21</v>
      </c>
      <c r="P157" s="13">
        <v>6</v>
      </c>
      <c r="Q157" s="13">
        <v>47</v>
      </c>
      <c r="R157" s="13">
        <v>25</v>
      </c>
      <c r="S157" s="13">
        <v>0</v>
      </c>
      <c r="T157" s="23">
        <v>46247.502245370371</v>
      </c>
      <c r="U157" s="55">
        <f t="shared" si="6"/>
        <v>0.5</v>
      </c>
      <c r="V157" s="55">
        <f t="shared" si="7"/>
        <v>0.5</v>
      </c>
      <c r="W157" s="56">
        <f t="shared" si="8"/>
        <v>16604.5</v>
      </c>
    </row>
    <row r="158" spans="1:23" x14ac:dyDescent="0.3">
      <c r="A158" s="13" t="s">
        <v>0</v>
      </c>
      <c r="B158">
        <v>1</v>
      </c>
      <c r="C158" s="13">
        <v>1</v>
      </c>
      <c r="D158" s="13">
        <v>0</v>
      </c>
      <c r="E158" s="13">
        <v>122880</v>
      </c>
      <c r="F158" s="13">
        <v>143500</v>
      </c>
      <c r="G158" s="13">
        <v>444</v>
      </c>
      <c r="H158" s="13">
        <v>2256220</v>
      </c>
      <c r="I158" s="13">
        <v>5</v>
      </c>
      <c r="J158" s="13">
        <v>0</v>
      </c>
      <c r="K158" s="13">
        <v>14394</v>
      </c>
      <c r="L158" s="13">
        <v>10</v>
      </c>
      <c r="M158" s="13">
        <v>2758</v>
      </c>
      <c r="N158" s="13">
        <v>1803</v>
      </c>
      <c r="O158" s="13">
        <v>21</v>
      </c>
      <c r="P158" s="13">
        <v>8</v>
      </c>
      <c r="Q158" s="13">
        <v>47</v>
      </c>
      <c r="R158" s="13">
        <v>23</v>
      </c>
      <c r="S158" s="13">
        <v>1</v>
      </c>
      <c r="T158" s="23">
        <v>46247.50236111111</v>
      </c>
      <c r="U158" s="55">
        <f t="shared" si="6"/>
        <v>0.66666666666666663</v>
      </c>
      <c r="V158" s="55">
        <f t="shared" si="7"/>
        <v>0.33333333333333331</v>
      </c>
      <c r="W158" s="56">
        <f t="shared" si="8"/>
        <v>16285.166666666666</v>
      </c>
    </row>
    <row r="159" spans="1:23" x14ac:dyDescent="0.3">
      <c r="A159" s="13" t="s">
        <v>0</v>
      </c>
      <c r="B159">
        <v>1</v>
      </c>
      <c r="C159" s="13">
        <v>1</v>
      </c>
      <c r="D159" s="13">
        <v>0</v>
      </c>
      <c r="E159" s="13">
        <v>122880</v>
      </c>
      <c r="F159" s="13">
        <v>136232</v>
      </c>
      <c r="G159" s="13">
        <v>452</v>
      </c>
      <c r="H159" s="13">
        <v>2259984</v>
      </c>
      <c r="I159" s="13">
        <v>2</v>
      </c>
      <c r="J159" s="13">
        <v>0</v>
      </c>
      <c r="K159" s="13">
        <v>16832</v>
      </c>
      <c r="L159" s="13">
        <v>13</v>
      </c>
      <c r="M159" s="13">
        <v>2716</v>
      </c>
      <c r="N159" s="13">
        <v>1639</v>
      </c>
      <c r="O159" s="13">
        <v>22</v>
      </c>
      <c r="P159" s="13">
        <v>6</v>
      </c>
      <c r="Q159" s="13">
        <v>47</v>
      </c>
      <c r="R159" s="13">
        <v>24</v>
      </c>
      <c r="S159" s="13">
        <v>0</v>
      </c>
      <c r="T159" s="23">
        <v>46247.502476851849</v>
      </c>
      <c r="U159" s="55">
        <f t="shared" si="6"/>
        <v>0.66666666666666663</v>
      </c>
      <c r="V159" s="55">
        <f t="shared" si="7"/>
        <v>0.33333333333333331</v>
      </c>
      <c r="W159" s="56">
        <f t="shared" si="8"/>
        <v>16249.166666666666</v>
      </c>
    </row>
    <row r="160" spans="1:23" x14ac:dyDescent="0.3">
      <c r="A160" s="13" t="s">
        <v>0</v>
      </c>
      <c r="B160">
        <v>1</v>
      </c>
      <c r="C160" s="13">
        <v>0</v>
      </c>
      <c r="D160" s="13">
        <v>1</v>
      </c>
      <c r="E160" s="13">
        <v>122880</v>
      </c>
      <c r="F160" s="13">
        <v>137056</v>
      </c>
      <c r="G160" s="13">
        <v>468</v>
      </c>
      <c r="H160" s="13">
        <v>2255036</v>
      </c>
      <c r="I160" s="13">
        <v>4</v>
      </c>
      <c r="J160" s="13">
        <v>0</v>
      </c>
      <c r="K160" s="13">
        <v>16200</v>
      </c>
      <c r="L160" s="13">
        <v>24</v>
      </c>
      <c r="M160" s="13">
        <v>3200</v>
      </c>
      <c r="N160" s="13">
        <v>2156</v>
      </c>
      <c r="O160" s="13">
        <v>22</v>
      </c>
      <c r="P160" s="13">
        <v>9</v>
      </c>
      <c r="Q160" s="13">
        <v>46</v>
      </c>
      <c r="R160" s="13">
        <v>23</v>
      </c>
      <c r="S160" s="13">
        <v>0</v>
      </c>
      <c r="T160" s="23">
        <v>46247.502592592595</v>
      </c>
      <c r="U160" s="55">
        <f t="shared" si="6"/>
        <v>0.66666666666666663</v>
      </c>
      <c r="V160" s="55">
        <f t="shared" si="7"/>
        <v>0.33333333333333331</v>
      </c>
      <c r="W160" s="56">
        <f t="shared" si="8"/>
        <v>16409.666666666668</v>
      </c>
    </row>
    <row r="161" spans="1:23" x14ac:dyDescent="0.3">
      <c r="A161" s="13" t="s">
        <v>0</v>
      </c>
      <c r="B161">
        <v>1</v>
      </c>
      <c r="C161" s="13">
        <v>0</v>
      </c>
      <c r="D161" s="13">
        <v>1</v>
      </c>
      <c r="E161" s="13">
        <v>120064</v>
      </c>
      <c r="F161" s="13">
        <v>133084</v>
      </c>
      <c r="G161" s="13">
        <v>476</v>
      </c>
      <c r="H161" s="13">
        <v>2248472</v>
      </c>
      <c r="I161" s="13">
        <v>282</v>
      </c>
      <c r="J161" s="13">
        <v>0</v>
      </c>
      <c r="K161" s="13">
        <v>16154</v>
      </c>
      <c r="L161" s="13">
        <v>13</v>
      </c>
      <c r="M161" s="13">
        <v>2911</v>
      </c>
      <c r="N161" s="13">
        <v>1748</v>
      </c>
      <c r="O161" s="13">
        <v>22</v>
      </c>
      <c r="P161" s="13">
        <v>7</v>
      </c>
      <c r="Q161" s="13">
        <v>46</v>
      </c>
      <c r="R161" s="13">
        <v>24</v>
      </c>
      <c r="S161" s="13">
        <v>1</v>
      </c>
      <c r="T161" s="23">
        <v>46247.502708333333</v>
      </c>
      <c r="U161" s="55">
        <f t="shared" si="6"/>
        <v>0.66666666666666663</v>
      </c>
      <c r="V161" s="55">
        <f t="shared" si="7"/>
        <v>0.33333333333333331</v>
      </c>
      <c r="W161" s="56">
        <f t="shared" si="8"/>
        <v>16113.166666666666</v>
      </c>
    </row>
    <row r="162" spans="1:23" x14ac:dyDescent="0.3">
      <c r="A162" s="13" t="s">
        <v>0</v>
      </c>
      <c r="B162">
        <v>1</v>
      </c>
      <c r="C162" s="13">
        <v>1</v>
      </c>
      <c r="D162" s="13">
        <v>0</v>
      </c>
      <c r="E162" s="13">
        <v>119808</v>
      </c>
      <c r="F162" s="13">
        <v>152660</v>
      </c>
      <c r="G162" s="13">
        <v>524</v>
      </c>
      <c r="H162" s="13">
        <v>2244764</v>
      </c>
      <c r="I162" s="13">
        <v>37</v>
      </c>
      <c r="J162" s="13">
        <v>0</v>
      </c>
      <c r="K162" s="13">
        <v>16395</v>
      </c>
      <c r="L162" s="13">
        <v>47</v>
      </c>
      <c r="M162" s="13">
        <v>2791</v>
      </c>
      <c r="N162" s="13">
        <v>1706</v>
      </c>
      <c r="O162" s="13">
        <v>22</v>
      </c>
      <c r="P162" s="13">
        <v>7</v>
      </c>
      <c r="Q162" s="13">
        <v>46</v>
      </c>
      <c r="R162" s="13">
        <v>25</v>
      </c>
      <c r="S162" s="13">
        <v>1</v>
      </c>
      <c r="T162" s="23">
        <v>46247.502824074072</v>
      </c>
      <c r="U162" s="55">
        <f t="shared" si="6"/>
        <v>0.66666666666666663</v>
      </c>
      <c r="V162" s="55">
        <f t="shared" si="7"/>
        <v>0.33333333333333331</v>
      </c>
      <c r="W162" s="56">
        <f t="shared" si="8"/>
        <v>16148.666666666666</v>
      </c>
    </row>
    <row r="163" spans="1:23" x14ac:dyDescent="0.3">
      <c r="A163" s="13" t="s">
        <v>0</v>
      </c>
      <c r="B163">
        <v>1</v>
      </c>
      <c r="C163" s="13">
        <v>1</v>
      </c>
      <c r="D163" s="13">
        <v>0</v>
      </c>
      <c r="E163" s="13">
        <v>119808</v>
      </c>
      <c r="F163" s="13">
        <v>131144</v>
      </c>
      <c r="G163" s="13">
        <v>532</v>
      </c>
      <c r="H163" s="13">
        <v>2268516</v>
      </c>
      <c r="I163" s="13">
        <v>1</v>
      </c>
      <c r="J163" s="13">
        <v>0</v>
      </c>
      <c r="K163" s="13">
        <v>13322</v>
      </c>
      <c r="L163" s="13">
        <v>9</v>
      </c>
      <c r="M163" s="13">
        <v>2567</v>
      </c>
      <c r="N163" s="13">
        <v>1611</v>
      </c>
      <c r="O163" s="13">
        <v>22</v>
      </c>
      <c r="P163" s="13">
        <v>7</v>
      </c>
      <c r="Q163" s="13">
        <v>47</v>
      </c>
      <c r="R163" s="13">
        <v>23</v>
      </c>
      <c r="S163" s="13">
        <v>1</v>
      </c>
      <c r="T163" s="23">
        <v>46247.502939814818</v>
      </c>
      <c r="U163" s="55">
        <f t="shared" si="6"/>
        <v>0.66666666666666663</v>
      </c>
      <c r="V163" s="55">
        <f t="shared" si="7"/>
        <v>0.33333333333333331</v>
      </c>
      <c r="W163" s="56">
        <f t="shared" si="8"/>
        <v>15549.5</v>
      </c>
    </row>
    <row r="164" spans="1:23" x14ac:dyDescent="0.3">
      <c r="A164" s="13" t="s">
        <v>0</v>
      </c>
      <c r="B164">
        <v>1</v>
      </c>
      <c r="C164" s="13">
        <v>1</v>
      </c>
      <c r="D164" s="13">
        <v>1</v>
      </c>
      <c r="E164" s="13">
        <v>119808</v>
      </c>
      <c r="F164" s="13">
        <v>151088</v>
      </c>
      <c r="G164" s="13">
        <v>540</v>
      </c>
      <c r="H164" s="13">
        <v>2243328</v>
      </c>
      <c r="I164" s="13">
        <v>0</v>
      </c>
      <c r="J164" s="13">
        <v>0</v>
      </c>
      <c r="K164" s="13">
        <v>13968</v>
      </c>
      <c r="L164" s="13">
        <v>7</v>
      </c>
      <c r="M164" s="13">
        <v>2595</v>
      </c>
      <c r="N164" s="13">
        <v>1490</v>
      </c>
      <c r="O164" s="13">
        <v>21</v>
      </c>
      <c r="P164" s="13">
        <v>6</v>
      </c>
      <c r="Q164" s="13">
        <v>47</v>
      </c>
      <c r="R164" s="13">
        <v>25</v>
      </c>
      <c r="S164" s="13">
        <v>1</v>
      </c>
      <c r="T164" s="23">
        <v>46247.503055555557</v>
      </c>
      <c r="U164" s="55">
        <f t="shared" si="6"/>
        <v>0.66666666666666663</v>
      </c>
      <c r="V164" s="55">
        <f t="shared" si="7"/>
        <v>0.5</v>
      </c>
      <c r="W164" s="56">
        <f t="shared" si="8"/>
        <v>15478.5</v>
      </c>
    </row>
    <row r="165" spans="1:23" x14ac:dyDescent="0.3">
      <c r="A165" s="13" t="s">
        <v>0</v>
      </c>
      <c r="B165">
        <v>1</v>
      </c>
      <c r="C165" s="13">
        <v>0</v>
      </c>
      <c r="D165" s="13">
        <v>1</v>
      </c>
      <c r="E165" s="13">
        <v>119808</v>
      </c>
      <c r="F165" s="13">
        <v>132196</v>
      </c>
      <c r="G165" s="13">
        <v>548</v>
      </c>
      <c r="H165" s="13">
        <v>2257420</v>
      </c>
      <c r="I165" s="13">
        <v>1</v>
      </c>
      <c r="J165" s="13">
        <v>0</v>
      </c>
      <c r="K165" s="13">
        <v>12158</v>
      </c>
      <c r="L165" s="13">
        <v>16</v>
      </c>
      <c r="M165" s="13">
        <v>2776</v>
      </c>
      <c r="N165" s="13">
        <v>1857</v>
      </c>
      <c r="O165" s="13">
        <v>21</v>
      </c>
      <c r="P165" s="13">
        <v>8</v>
      </c>
      <c r="Q165" s="13">
        <v>46</v>
      </c>
      <c r="R165" s="13">
        <v>24</v>
      </c>
      <c r="S165" s="13">
        <v>1</v>
      </c>
      <c r="T165" s="23">
        <v>46247.503171296295</v>
      </c>
      <c r="U165" s="55">
        <f t="shared" si="6"/>
        <v>0.5</v>
      </c>
      <c r="V165" s="55">
        <f t="shared" si="7"/>
        <v>0.66666666666666663</v>
      </c>
      <c r="W165" s="56">
        <f t="shared" si="8"/>
        <v>14699.5</v>
      </c>
    </row>
    <row r="166" spans="1:23" x14ac:dyDescent="0.3">
      <c r="A166" s="13" t="s">
        <v>0</v>
      </c>
      <c r="B166">
        <v>1</v>
      </c>
      <c r="C166" s="13">
        <v>0</v>
      </c>
      <c r="D166" s="13">
        <v>1</v>
      </c>
      <c r="E166" s="13">
        <v>119808</v>
      </c>
      <c r="F166" s="13">
        <v>137588</v>
      </c>
      <c r="G166" s="13">
        <v>548</v>
      </c>
      <c r="H166" s="13">
        <v>2249896</v>
      </c>
      <c r="I166" s="13">
        <v>0</v>
      </c>
      <c r="J166" s="13">
        <v>0</v>
      </c>
      <c r="K166" s="13">
        <v>14554</v>
      </c>
      <c r="L166" s="13">
        <v>10</v>
      </c>
      <c r="M166" s="13">
        <v>2551</v>
      </c>
      <c r="N166" s="13">
        <v>1550</v>
      </c>
      <c r="O166" s="13">
        <v>21</v>
      </c>
      <c r="P166" s="13">
        <v>6</v>
      </c>
      <c r="Q166" s="13">
        <v>47</v>
      </c>
      <c r="R166" s="13">
        <v>24</v>
      </c>
      <c r="S166" s="13">
        <v>1</v>
      </c>
      <c r="T166" s="23">
        <v>46247.503287037034</v>
      </c>
      <c r="U166" s="55">
        <f t="shared" si="6"/>
        <v>0.5</v>
      </c>
      <c r="V166" s="55">
        <f t="shared" si="7"/>
        <v>0.66666666666666663</v>
      </c>
      <c r="W166" s="56">
        <f t="shared" si="8"/>
        <v>14425.166666666666</v>
      </c>
    </row>
    <row r="167" spans="1:23" x14ac:dyDescent="0.3">
      <c r="A167" s="13" t="s">
        <v>0</v>
      </c>
      <c r="B167">
        <v>1</v>
      </c>
      <c r="C167" s="13">
        <v>2</v>
      </c>
      <c r="D167" s="13">
        <v>0</v>
      </c>
      <c r="E167" s="13">
        <v>119808</v>
      </c>
      <c r="F167" s="13">
        <v>116064</v>
      </c>
      <c r="G167" s="13">
        <v>556</v>
      </c>
      <c r="H167" s="13">
        <v>2280388</v>
      </c>
      <c r="I167" s="13">
        <v>0</v>
      </c>
      <c r="J167" s="13">
        <v>0</v>
      </c>
      <c r="K167" s="13">
        <v>13442</v>
      </c>
      <c r="L167" s="13">
        <v>14</v>
      </c>
      <c r="M167" s="13">
        <v>2421</v>
      </c>
      <c r="N167" s="13">
        <v>1291</v>
      </c>
      <c r="O167" s="13">
        <v>20</v>
      </c>
      <c r="P167" s="13">
        <v>5</v>
      </c>
      <c r="Q167" s="13">
        <v>48</v>
      </c>
      <c r="R167" s="13">
        <v>26</v>
      </c>
      <c r="S167" s="13">
        <v>2</v>
      </c>
      <c r="T167" s="23">
        <v>46247.50340277778</v>
      </c>
      <c r="U167" s="55">
        <f t="shared" si="6"/>
        <v>0.83333333333333337</v>
      </c>
      <c r="V167" s="55">
        <f t="shared" si="7"/>
        <v>0.5</v>
      </c>
      <c r="W167" s="56">
        <f t="shared" si="8"/>
        <v>13973.166666666666</v>
      </c>
    </row>
    <row r="168" spans="1:23" x14ac:dyDescent="0.3">
      <c r="A168" s="13" t="s">
        <v>0</v>
      </c>
      <c r="B168">
        <v>1</v>
      </c>
      <c r="C168" s="13">
        <v>0</v>
      </c>
      <c r="D168" s="13">
        <v>1</v>
      </c>
      <c r="E168" s="13">
        <v>119296</v>
      </c>
      <c r="F168" s="13">
        <v>126268</v>
      </c>
      <c r="G168" s="13">
        <v>656</v>
      </c>
      <c r="H168" s="13">
        <v>2263248</v>
      </c>
      <c r="I168" s="13">
        <v>145</v>
      </c>
      <c r="J168" s="13">
        <v>0</v>
      </c>
      <c r="K168" s="13">
        <v>11102</v>
      </c>
      <c r="L168" s="13">
        <v>28</v>
      </c>
      <c r="M168" s="13">
        <v>2599</v>
      </c>
      <c r="N168" s="13">
        <v>1662</v>
      </c>
      <c r="O168" s="13">
        <v>20</v>
      </c>
      <c r="P168" s="13">
        <v>7</v>
      </c>
      <c r="Q168" s="13">
        <v>43</v>
      </c>
      <c r="R168" s="13">
        <v>26</v>
      </c>
      <c r="S168" s="13">
        <v>4</v>
      </c>
      <c r="T168" s="23">
        <v>46247.503518518519</v>
      </c>
      <c r="U168" s="55">
        <f t="shared" si="6"/>
        <v>0.66666666666666663</v>
      </c>
      <c r="V168" s="55">
        <f t="shared" si="7"/>
        <v>0.66666666666666663</v>
      </c>
      <c r="W168" s="56">
        <f t="shared" si="8"/>
        <v>13091</v>
      </c>
    </row>
    <row r="169" spans="1:23" x14ac:dyDescent="0.3">
      <c r="A169" s="13" t="s">
        <v>0</v>
      </c>
      <c r="B169">
        <v>1</v>
      </c>
      <c r="C169" s="13">
        <v>1</v>
      </c>
      <c r="D169" s="13">
        <v>0</v>
      </c>
      <c r="E169" s="13">
        <v>119296</v>
      </c>
      <c r="F169" s="13">
        <v>108696</v>
      </c>
      <c r="G169" s="13">
        <v>676</v>
      </c>
      <c r="H169" s="13">
        <v>2281304</v>
      </c>
      <c r="I169" s="13">
        <v>0</v>
      </c>
      <c r="J169" s="13">
        <v>0</v>
      </c>
      <c r="K169" s="13">
        <v>13019</v>
      </c>
      <c r="L169" s="13">
        <v>22</v>
      </c>
      <c r="M169" s="13">
        <v>2250</v>
      </c>
      <c r="N169" s="13">
        <v>1260</v>
      </c>
      <c r="O169" s="13">
        <v>20</v>
      </c>
      <c r="P169" s="13">
        <v>5</v>
      </c>
      <c r="Q169" s="13">
        <v>47</v>
      </c>
      <c r="R169" s="13">
        <v>25</v>
      </c>
      <c r="S169" s="13">
        <v>2</v>
      </c>
      <c r="T169" s="23">
        <v>46247.503634259258</v>
      </c>
      <c r="U169" s="55">
        <f t="shared" si="6"/>
        <v>0.66666666666666663</v>
      </c>
      <c r="V169" s="55">
        <f t="shared" si="7"/>
        <v>0.66666666666666663</v>
      </c>
      <c r="W169" s="56">
        <f t="shared" si="8"/>
        <v>13040.5</v>
      </c>
    </row>
    <row r="170" spans="1:23" x14ac:dyDescent="0.3">
      <c r="A170" s="13" t="s">
        <v>0</v>
      </c>
      <c r="B170">
        <v>1</v>
      </c>
      <c r="C170" s="13">
        <v>0</v>
      </c>
      <c r="D170" s="13">
        <v>1</v>
      </c>
      <c r="E170" s="13">
        <v>119296</v>
      </c>
      <c r="F170" s="13">
        <v>116744</v>
      </c>
      <c r="G170" s="13">
        <v>688</v>
      </c>
      <c r="H170" s="13">
        <v>2275352</v>
      </c>
      <c r="I170" s="13">
        <v>0</v>
      </c>
      <c r="J170" s="13">
        <v>0</v>
      </c>
      <c r="K170" s="13">
        <v>13357</v>
      </c>
      <c r="L170" s="13">
        <v>9</v>
      </c>
      <c r="M170" s="13">
        <v>2386</v>
      </c>
      <c r="N170" s="13">
        <v>1265</v>
      </c>
      <c r="O170" s="13">
        <v>19</v>
      </c>
      <c r="P170" s="13">
        <v>5</v>
      </c>
      <c r="Q170" s="13">
        <v>48</v>
      </c>
      <c r="R170" s="13">
        <v>26</v>
      </c>
      <c r="S170" s="13">
        <v>2</v>
      </c>
      <c r="T170" s="23">
        <v>46247.503750000003</v>
      </c>
      <c r="U170" s="55">
        <f t="shared" si="6"/>
        <v>0.5</v>
      </c>
      <c r="V170" s="55">
        <f t="shared" si="7"/>
        <v>0.66666666666666663</v>
      </c>
      <c r="W170" s="56">
        <f t="shared" si="8"/>
        <v>12938.666666666666</v>
      </c>
    </row>
    <row r="171" spans="1:23" x14ac:dyDescent="0.3">
      <c r="A171" s="13" t="s">
        <v>0</v>
      </c>
      <c r="B171">
        <v>1</v>
      </c>
      <c r="C171" s="13">
        <v>2</v>
      </c>
      <c r="D171" s="13">
        <v>0</v>
      </c>
      <c r="E171" s="13">
        <v>119296</v>
      </c>
      <c r="F171" s="13">
        <v>106612</v>
      </c>
      <c r="G171" s="13">
        <v>756</v>
      </c>
      <c r="H171" s="13">
        <v>2285572</v>
      </c>
      <c r="I171" s="13">
        <v>4</v>
      </c>
      <c r="J171" s="13">
        <v>0</v>
      </c>
      <c r="K171" s="13">
        <v>13847</v>
      </c>
      <c r="L171" s="13">
        <v>63</v>
      </c>
      <c r="M171" s="13">
        <v>2956</v>
      </c>
      <c r="N171" s="13">
        <v>1914</v>
      </c>
      <c r="O171" s="13">
        <v>20</v>
      </c>
      <c r="P171" s="13">
        <v>8</v>
      </c>
      <c r="Q171" s="13">
        <v>45</v>
      </c>
      <c r="R171" s="13">
        <v>25</v>
      </c>
      <c r="S171" s="13">
        <v>1</v>
      </c>
      <c r="T171" s="23">
        <v>46247.503865740742</v>
      </c>
      <c r="U171" s="55">
        <f t="shared" si="6"/>
        <v>0.83333333333333337</v>
      </c>
      <c r="V171" s="55">
        <f t="shared" si="7"/>
        <v>0.5</v>
      </c>
      <c r="W171" s="56">
        <f t="shared" si="8"/>
        <v>13220.166666666666</v>
      </c>
    </row>
    <row r="172" spans="1:23" x14ac:dyDescent="0.3">
      <c r="A172" s="13" t="s">
        <v>0</v>
      </c>
      <c r="B172">
        <v>1</v>
      </c>
      <c r="C172" s="13">
        <v>0</v>
      </c>
      <c r="D172" s="13">
        <v>1</v>
      </c>
      <c r="E172" s="13">
        <v>119296</v>
      </c>
      <c r="F172" s="13">
        <v>111760</v>
      </c>
      <c r="G172" s="13">
        <v>764</v>
      </c>
      <c r="H172" s="13">
        <v>2276968</v>
      </c>
      <c r="I172" s="13">
        <v>0</v>
      </c>
      <c r="J172" s="13">
        <v>0</v>
      </c>
      <c r="K172" s="13">
        <v>15635</v>
      </c>
      <c r="L172" s="13">
        <v>6</v>
      </c>
      <c r="M172" s="13">
        <v>2683</v>
      </c>
      <c r="N172" s="13">
        <v>1540</v>
      </c>
      <c r="O172" s="13">
        <v>20</v>
      </c>
      <c r="P172" s="13">
        <v>7</v>
      </c>
      <c r="Q172" s="13">
        <v>47</v>
      </c>
      <c r="R172" s="13">
        <v>25</v>
      </c>
      <c r="S172" s="13">
        <v>1</v>
      </c>
      <c r="T172" s="23">
        <v>46247.503981481481</v>
      </c>
      <c r="U172" s="55">
        <f t="shared" si="6"/>
        <v>0.83333333333333337</v>
      </c>
      <c r="V172" s="55">
        <f t="shared" si="7"/>
        <v>0.5</v>
      </c>
      <c r="W172" s="56">
        <f t="shared" si="8"/>
        <v>13400.333333333334</v>
      </c>
    </row>
    <row r="173" spans="1:23" x14ac:dyDescent="0.3">
      <c r="A173" s="13" t="s">
        <v>0</v>
      </c>
      <c r="B173">
        <v>1</v>
      </c>
      <c r="C173" s="13">
        <v>0</v>
      </c>
      <c r="D173" s="13">
        <v>1</v>
      </c>
      <c r="E173" s="13">
        <v>119296</v>
      </c>
      <c r="F173" s="13">
        <v>131092</v>
      </c>
      <c r="G173" s="13">
        <v>772</v>
      </c>
      <c r="H173" s="13">
        <v>2262232</v>
      </c>
      <c r="I173" s="13">
        <v>2</v>
      </c>
      <c r="J173" s="13">
        <v>0</v>
      </c>
      <c r="K173" s="13">
        <v>13675</v>
      </c>
      <c r="L173" s="13">
        <v>10</v>
      </c>
      <c r="M173" s="13">
        <v>2846</v>
      </c>
      <c r="N173" s="13">
        <v>1711</v>
      </c>
      <c r="O173" s="13">
        <v>21</v>
      </c>
      <c r="P173" s="13">
        <v>7</v>
      </c>
      <c r="Q173" s="13">
        <v>46</v>
      </c>
      <c r="R173" s="13">
        <v>25</v>
      </c>
      <c r="S173" s="13">
        <v>1</v>
      </c>
      <c r="T173" s="23">
        <v>46247.50409722222</v>
      </c>
      <c r="U173" s="55">
        <f t="shared" si="6"/>
        <v>0.5</v>
      </c>
      <c r="V173" s="55">
        <f t="shared" si="7"/>
        <v>0.66666666666666663</v>
      </c>
      <c r="W173" s="56">
        <f t="shared" si="8"/>
        <v>13439.166666666666</v>
      </c>
    </row>
    <row r="174" spans="1:23" x14ac:dyDescent="0.3">
      <c r="A174" s="13" t="s">
        <v>0</v>
      </c>
      <c r="B174">
        <v>1</v>
      </c>
      <c r="C174" s="13">
        <v>1</v>
      </c>
      <c r="D174" s="13">
        <v>0</v>
      </c>
      <c r="E174" s="13">
        <v>119808</v>
      </c>
      <c r="F174" s="13">
        <v>161472</v>
      </c>
      <c r="G174" s="13">
        <v>500</v>
      </c>
      <c r="H174" s="13">
        <v>2234768</v>
      </c>
      <c r="I174" s="13">
        <v>0</v>
      </c>
      <c r="J174" s="13">
        <v>50</v>
      </c>
      <c r="K174" s="13">
        <v>14153</v>
      </c>
      <c r="L174" s="13">
        <v>85</v>
      </c>
      <c r="M174" s="13">
        <v>2729</v>
      </c>
      <c r="N174" s="13">
        <v>1530</v>
      </c>
      <c r="O174" s="13">
        <v>21</v>
      </c>
      <c r="P174" s="13">
        <v>7</v>
      </c>
      <c r="Q174" s="13">
        <v>46</v>
      </c>
      <c r="R174" s="13">
        <v>24</v>
      </c>
      <c r="S174" s="13">
        <v>1</v>
      </c>
      <c r="T174" s="23">
        <v>46247.504212962966</v>
      </c>
      <c r="U174" s="55">
        <f t="shared" si="6"/>
        <v>0.66666666666666663</v>
      </c>
      <c r="V174" s="55">
        <f t="shared" si="7"/>
        <v>0.5</v>
      </c>
      <c r="W174" s="56">
        <f t="shared" si="8"/>
        <v>13947.666666666666</v>
      </c>
    </row>
    <row r="175" spans="1:23" x14ac:dyDescent="0.3">
      <c r="A175" s="13" t="s">
        <v>0</v>
      </c>
      <c r="B175">
        <v>1</v>
      </c>
      <c r="C175" s="13">
        <v>1</v>
      </c>
      <c r="D175" s="13">
        <v>0</v>
      </c>
      <c r="E175" s="13">
        <v>120064</v>
      </c>
      <c r="F175" s="13">
        <v>107464</v>
      </c>
      <c r="G175" s="13">
        <v>232</v>
      </c>
      <c r="H175" s="13">
        <v>2285892</v>
      </c>
      <c r="I175" s="13">
        <v>0</v>
      </c>
      <c r="J175" s="13">
        <v>50</v>
      </c>
      <c r="K175" s="13">
        <v>14944</v>
      </c>
      <c r="L175" s="13">
        <v>60</v>
      </c>
      <c r="M175" s="13">
        <v>2528</v>
      </c>
      <c r="N175" s="13">
        <v>1372</v>
      </c>
      <c r="O175" s="13">
        <v>20</v>
      </c>
      <c r="P175" s="13">
        <v>6</v>
      </c>
      <c r="Q175" s="13">
        <v>48</v>
      </c>
      <c r="R175" s="13">
        <v>25</v>
      </c>
      <c r="S175" s="13">
        <v>1</v>
      </c>
      <c r="T175" s="23">
        <v>46247.504328703704</v>
      </c>
      <c r="U175" s="55">
        <f t="shared" si="6"/>
        <v>0.66666666666666663</v>
      </c>
      <c r="V175" s="55">
        <f t="shared" si="7"/>
        <v>0.5</v>
      </c>
      <c r="W175" s="56">
        <f t="shared" si="8"/>
        <v>14268.5</v>
      </c>
    </row>
    <row r="176" spans="1:23" x14ac:dyDescent="0.3">
      <c r="A176" s="13" t="s">
        <v>0</v>
      </c>
      <c r="B176">
        <v>1</v>
      </c>
      <c r="C176" s="13">
        <v>1</v>
      </c>
      <c r="D176" s="13">
        <v>0</v>
      </c>
      <c r="E176" s="13">
        <v>120320</v>
      </c>
      <c r="F176" s="13">
        <v>117888</v>
      </c>
      <c r="G176" s="13">
        <v>248</v>
      </c>
      <c r="H176" s="13">
        <v>2277616</v>
      </c>
      <c r="I176" s="13">
        <v>2</v>
      </c>
      <c r="J176" s="13">
        <v>33</v>
      </c>
      <c r="K176" s="13">
        <v>14295</v>
      </c>
      <c r="L176" s="13">
        <v>49</v>
      </c>
      <c r="M176" s="13">
        <v>2995</v>
      </c>
      <c r="N176" s="13">
        <v>1960</v>
      </c>
      <c r="O176" s="13">
        <v>22</v>
      </c>
      <c r="P176" s="13">
        <v>8</v>
      </c>
      <c r="Q176" s="13">
        <v>46</v>
      </c>
      <c r="R176" s="13">
        <v>23</v>
      </c>
      <c r="S176" s="13">
        <v>1</v>
      </c>
      <c r="T176" s="23">
        <v>46247.504444444443</v>
      </c>
      <c r="U176" s="55">
        <f t="shared" si="6"/>
        <v>0.83333333333333337</v>
      </c>
      <c r="V176" s="55">
        <f t="shared" si="7"/>
        <v>0.33333333333333331</v>
      </c>
      <c r="W176" s="56">
        <f t="shared" si="8"/>
        <v>14424.833333333334</v>
      </c>
    </row>
    <row r="177" spans="1:23" x14ac:dyDescent="0.3">
      <c r="A177" s="13" t="s">
        <v>0</v>
      </c>
      <c r="B177">
        <v>1</v>
      </c>
      <c r="C177" s="13">
        <v>1</v>
      </c>
      <c r="D177" s="13">
        <v>0</v>
      </c>
      <c r="E177" s="13">
        <v>120832</v>
      </c>
      <c r="F177" s="13">
        <v>124368</v>
      </c>
      <c r="G177" s="13">
        <v>256</v>
      </c>
      <c r="H177" s="13">
        <v>2261188</v>
      </c>
      <c r="I177" s="13">
        <v>1</v>
      </c>
      <c r="J177" s="13">
        <v>51</v>
      </c>
      <c r="K177" s="13">
        <v>17072</v>
      </c>
      <c r="L177" s="13">
        <v>73</v>
      </c>
      <c r="M177" s="13">
        <v>2695</v>
      </c>
      <c r="N177" s="13">
        <v>1675</v>
      </c>
      <c r="O177" s="13">
        <v>21</v>
      </c>
      <c r="P177" s="13">
        <v>7</v>
      </c>
      <c r="Q177" s="13">
        <v>47</v>
      </c>
      <c r="R177" s="13">
        <v>25</v>
      </c>
      <c r="S177" s="13">
        <v>0</v>
      </c>
      <c r="T177" s="23">
        <v>46247.504560185182</v>
      </c>
      <c r="U177" s="55">
        <f t="shared" si="6"/>
        <v>0.66666666666666663</v>
      </c>
      <c r="V177" s="55">
        <f t="shared" si="7"/>
        <v>0.33333333333333331</v>
      </c>
      <c r="W177" s="56">
        <f t="shared" si="8"/>
        <v>14962.333333333334</v>
      </c>
    </row>
    <row r="178" spans="1:23" x14ac:dyDescent="0.3">
      <c r="A178" s="13" t="s">
        <v>0</v>
      </c>
      <c r="B178">
        <v>1</v>
      </c>
      <c r="C178" s="13">
        <v>0</v>
      </c>
      <c r="D178" s="13">
        <v>1</v>
      </c>
      <c r="E178" s="13">
        <v>121344</v>
      </c>
      <c r="F178" s="13">
        <v>126056</v>
      </c>
      <c r="G178" s="13">
        <v>272</v>
      </c>
      <c r="H178" s="13">
        <v>2268272</v>
      </c>
      <c r="I178" s="13">
        <v>1</v>
      </c>
      <c r="J178" s="13">
        <v>46</v>
      </c>
      <c r="K178" s="13">
        <v>13970</v>
      </c>
      <c r="L178" s="13">
        <v>66</v>
      </c>
      <c r="M178" s="13">
        <v>2752</v>
      </c>
      <c r="N178" s="13">
        <v>1686</v>
      </c>
      <c r="O178" s="13">
        <v>22</v>
      </c>
      <c r="P178" s="13">
        <v>7</v>
      </c>
      <c r="Q178" s="13">
        <v>47</v>
      </c>
      <c r="R178" s="13">
        <v>24</v>
      </c>
      <c r="S178" s="13">
        <v>1</v>
      </c>
      <c r="T178" s="23">
        <v>46247.504675925928</v>
      </c>
      <c r="U178" s="55">
        <f t="shared" si="6"/>
        <v>0.66666666666666663</v>
      </c>
      <c r="V178" s="55">
        <f t="shared" si="7"/>
        <v>0.33333333333333331</v>
      </c>
      <c r="W178" s="56">
        <f t="shared" si="8"/>
        <v>14684.833333333334</v>
      </c>
    </row>
    <row r="179" spans="1:23" x14ac:dyDescent="0.3">
      <c r="A179" s="13" t="s">
        <v>0</v>
      </c>
      <c r="B179">
        <v>1</v>
      </c>
      <c r="C179" s="13">
        <v>0</v>
      </c>
      <c r="D179" s="13">
        <v>1</v>
      </c>
      <c r="E179" s="13">
        <v>121600</v>
      </c>
      <c r="F179" s="13">
        <v>133256</v>
      </c>
      <c r="G179" s="13">
        <v>268</v>
      </c>
      <c r="H179" s="13">
        <v>2260172</v>
      </c>
      <c r="I179" s="13">
        <v>0</v>
      </c>
      <c r="J179" s="13">
        <v>33</v>
      </c>
      <c r="K179" s="13">
        <v>15418</v>
      </c>
      <c r="L179" s="13">
        <v>44</v>
      </c>
      <c r="M179" s="13">
        <v>2738</v>
      </c>
      <c r="N179" s="13">
        <v>1593</v>
      </c>
      <c r="O179" s="13">
        <v>20</v>
      </c>
      <c r="P179" s="13">
        <v>7</v>
      </c>
      <c r="Q179" s="13">
        <v>47</v>
      </c>
      <c r="R179" s="13">
        <v>25</v>
      </c>
      <c r="S179" s="13">
        <v>1</v>
      </c>
      <c r="T179" s="23">
        <v>46247.504791666666</v>
      </c>
      <c r="U179" s="55">
        <f t="shared" si="6"/>
        <v>0.66666666666666663</v>
      </c>
      <c r="V179" s="55">
        <f t="shared" si="7"/>
        <v>0.33333333333333331</v>
      </c>
      <c r="W179" s="56">
        <f t="shared" si="8"/>
        <v>14975.333333333334</v>
      </c>
    </row>
    <row r="180" spans="1:23" x14ac:dyDescent="0.3">
      <c r="A180" s="13" t="s">
        <v>0</v>
      </c>
      <c r="B180">
        <v>1</v>
      </c>
      <c r="C180" s="13">
        <v>1</v>
      </c>
      <c r="D180" s="13">
        <v>0</v>
      </c>
      <c r="E180" s="13">
        <v>121600</v>
      </c>
      <c r="F180" s="13">
        <v>137152</v>
      </c>
      <c r="G180" s="13">
        <v>292</v>
      </c>
      <c r="H180" s="13">
        <v>2253248</v>
      </c>
      <c r="I180" s="13">
        <v>0</v>
      </c>
      <c r="J180" s="13">
        <v>0</v>
      </c>
      <c r="K180" s="13">
        <v>16035</v>
      </c>
      <c r="L180" s="13">
        <v>25</v>
      </c>
      <c r="M180" s="13">
        <v>2695</v>
      </c>
      <c r="N180" s="13">
        <v>1644</v>
      </c>
      <c r="O180" s="13">
        <v>22</v>
      </c>
      <c r="P180" s="13">
        <v>6</v>
      </c>
      <c r="Q180" s="13">
        <v>47</v>
      </c>
      <c r="R180" s="13">
        <v>24</v>
      </c>
      <c r="S180" s="13">
        <v>1</v>
      </c>
      <c r="T180" s="23">
        <v>46247.504907407405</v>
      </c>
      <c r="U180" s="55">
        <f t="shared" si="6"/>
        <v>0.66666666666666663</v>
      </c>
      <c r="V180" s="55">
        <f t="shared" si="7"/>
        <v>0.33333333333333331</v>
      </c>
      <c r="W180" s="56">
        <f t="shared" si="8"/>
        <v>15289</v>
      </c>
    </row>
    <row r="181" spans="1:23" x14ac:dyDescent="0.3">
      <c r="A181" s="13" t="s">
        <v>0</v>
      </c>
      <c r="B181">
        <v>1</v>
      </c>
      <c r="C181" s="13">
        <v>0</v>
      </c>
      <c r="D181" s="13">
        <v>1</v>
      </c>
      <c r="E181" s="13">
        <v>121600</v>
      </c>
      <c r="F181" s="13">
        <v>150740</v>
      </c>
      <c r="G181" s="13">
        <v>300</v>
      </c>
      <c r="H181" s="13">
        <v>2240020</v>
      </c>
      <c r="I181" s="13">
        <v>1</v>
      </c>
      <c r="J181" s="13">
        <v>0</v>
      </c>
      <c r="K181" s="13">
        <v>14877</v>
      </c>
      <c r="L181" s="13">
        <v>19</v>
      </c>
      <c r="M181" s="13">
        <v>2870</v>
      </c>
      <c r="N181" s="13">
        <v>1805</v>
      </c>
      <c r="O181" s="13">
        <v>22</v>
      </c>
      <c r="P181" s="13">
        <v>8</v>
      </c>
      <c r="Q181" s="13">
        <v>46</v>
      </c>
      <c r="R181" s="13">
        <v>24</v>
      </c>
      <c r="S181" s="13">
        <v>1</v>
      </c>
      <c r="T181" s="23">
        <v>46247.505023148151</v>
      </c>
      <c r="U181" s="55">
        <f t="shared" si="6"/>
        <v>0.5</v>
      </c>
      <c r="V181" s="55">
        <f t="shared" si="7"/>
        <v>0.5</v>
      </c>
      <c r="W181" s="56">
        <f t="shared" si="8"/>
        <v>15277.833333333334</v>
      </c>
    </row>
    <row r="182" spans="1:23" x14ac:dyDescent="0.3">
      <c r="A182" s="13" t="s">
        <v>0</v>
      </c>
      <c r="B182">
        <v>1</v>
      </c>
      <c r="C182" s="13">
        <v>0</v>
      </c>
      <c r="D182" s="13">
        <v>1</v>
      </c>
      <c r="E182" s="13">
        <v>121600</v>
      </c>
      <c r="F182" s="13">
        <v>126568</v>
      </c>
      <c r="G182" s="13">
        <v>308</v>
      </c>
      <c r="H182" s="13">
        <v>2268744</v>
      </c>
      <c r="I182" s="13">
        <v>10</v>
      </c>
      <c r="J182" s="13">
        <v>0</v>
      </c>
      <c r="K182" s="13">
        <v>14042</v>
      </c>
      <c r="L182" s="13">
        <v>26</v>
      </c>
      <c r="M182" s="13">
        <v>2506</v>
      </c>
      <c r="N182" s="13">
        <v>1351</v>
      </c>
      <c r="O182" s="13">
        <v>20</v>
      </c>
      <c r="P182" s="13">
        <v>6</v>
      </c>
      <c r="Q182" s="13">
        <v>47</v>
      </c>
      <c r="R182" s="13">
        <v>26</v>
      </c>
      <c r="S182" s="13">
        <v>1</v>
      </c>
      <c r="T182" s="23">
        <v>46247.50513888889</v>
      </c>
      <c r="U182" s="55">
        <f t="shared" si="6"/>
        <v>0.33333333333333331</v>
      </c>
      <c r="V182" s="55">
        <f t="shared" si="7"/>
        <v>0.66666666666666663</v>
      </c>
      <c r="W182" s="56">
        <f t="shared" si="8"/>
        <v>15235.666666666666</v>
      </c>
    </row>
    <row r="183" spans="1:23" x14ac:dyDescent="0.3">
      <c r="A183" s="13" t="s">
        <v>0</v>
      </c>
      <c r="B183">
        <v>1</v>
      </c>
      <c r="C183" s="13">
        <v>1</v>
      </c>
      <c r="D183" s="13">
        <v>0</v>
      </c>
      <c r="E183" s="13">
        <v>121600</v>
      </c>
      <c r="F183" s="13">
        <v>153020</v>
      </c>
      <c r="G183" s="13">
        <v>316</v>
      </c>
      <c r="H183" s="13">
        <v>2247980</v>
      </c>
      <c r="I183" s="13">
        <v>0</v>
      </c>
      <c r="J183" s="13">
        <v>0</v>
      </c>
      <c r="K183" s="13">
        <v>14393</v>
      </c>
      <c r="L183" s="13">
        <v>14</v>
      </c>
      <c r="M183" s="13">
        <v>3194</v>
      </c>
      <c r="N183" s="13">
        <v>2098</v>
      </c>
      <c r="O183" s="13">
        <v>23</v>
      </c>
      <c r="P183" s="13">
        <v>9</v>
      </c>
      <c r="Q183" s="13">
        <v>45</v>
      </c>
      <c r="R183" s="13">
        <v>23</v>
      </c>
      <c r="S183" s="13">
        <v>1</v>
      </c>
      <c r="T183" s="23">
        <v>46247.505254629628</v>
      </c>
      <c r="U183" s="55">
        <f t="shared" si="6"/>
        <v>0.33333333333333331</v>
      </c>
      <c r="V183" s="55">
        <f t="shared" si="7"/>
        <v>0.66666666666666663</v>
      </c>
      <c r="W183" s="56">
        <f t="shared" si="8"/>
        <v>14789.166666666666</v>
      </c>
    </row>
    <row r="184" spans="1:23" x14ac:dyDescent="0.3">
      <c r="A184" s="13" t="s">
        <v>0</v>
      </c>
      <c r="B184">
        <v>1</v>
      </c>
      <c r="C184" s="13">
        <v>1</v>
      </c>
      <c r="D184" s="13">
        <v>0</v>
      </c>
      <c r="E184" s="13">
        <v>121600</v>
      </c>
      <c r="F184" s="13">
        <v>155956</v>
      </c>
      <c r="G184" s="13">
        <v>324</v>
      </c>
      <c r="H184" s="13">
        <v>2238788</v>
      </c>
      <c r="I184" s="13">
        <v>2</v>
      </c>
      <c r="J184" s="13">
        <v>0</v>
      </c>
      <c r="K184" s="13">
        <v>15757</v>
      </c>
      <c r="L184" s="13">
        <v>14</v>
      </c>
      <c r="M184" s="13">
        <v>2675</v>
      </c>
      <c r="N184" s="13">
        <v>1471</v>
      </c>
      <c r="O184" s="13">
        <v>21</v>
      </c>
      <c r="P184" s="13">
        <v>6</v>
      </c>
      <c r="Q184" s="13">
        <v>47</v>
      </c>
      <c r="R184" s="13">
        <v>25</v>
      </c>
      <c r="S184" s="13">
        <v>1</v>
      </c>
      <c r="T184" s="23">
        <v>46247.505370370367</v>
      </c>
      <c r="U184" s="55">
        <f t="shared" si="6"/>
        <v>0.5</v>
      </c>
      <c r="V184" s="55">
        <f t="shared" si="7"/>
        <v>0.5</v>
      </c>
      <c r="W184" s="56">
        <f t="shared" si="8"/>
        <v>15087</v>
      </c>
    </row>
    <row r="185" spans="1:23" x14ac:dyDescent="0.3">
      <c r="A185" s="13" t="s">
        <v>0</v>
      </c>
      <c r="B185">
        <v>1</v>
      </c>
      <c r="C185" s="13">
        <v>0</v>
      </c>
      <c r="D185" s="13">
        <v>1</v>
      </c>
      <c r="E185" s="13">
        <v>121600</v>
      </c>
      <c r="F185" s="13">
        <v>127668</v>
      </c>
      <c r="G185" s="13">
        <v>336</v>
      </c>
      <c r="H185" s="13">
        <v>2269412</v>
      </c>
      <c r="I185" s="13">
        <v>1</v>
      </c>
      <c r="J185" s="13">
        <v>0</v>
      </c>
      <c r="K185" s="13">
        <v>14044</v>
      </c>
      <c r="L185" s="13">
        <v>14</v>
      </c>
      <c r="M185" s="13">
        <v>2780</v>
      </c>
      <c r="N185" s="13">
        <v>1772</v>
      </c>
      <c r="O185" s="13">
        <v>22</v>
      </c>
      <c r="P185" s="13">
        <v>7</v>
      </c>
      <c r="Q185" s="13">
        <v>46</v>
      </c>
      <c r="R185" s="13">
        <v>24</v>
      </c>
      <c r="S185" s="13">
        <v>1</v>
      </c>
      <c r="T185" s="23">
        <v>46247.505486111113</v>
      </c>
      <c r="U185" s="55">
        <f t="shared" si="6"/>
        <v>0.5</v>
      </c>
      <c r="V185" s="55">
        <f t="shared" si="7"/>
        <v>0.5</v>
      </c>
      <c r="W185" s="56">
        <f t="shared" si="8"/>
        <v>14858</v>
      </c>
    </row>
    <row r="186" spans="1:23" x14ac:dyDescent="0.3">
      <c r="A186" s="13" t="s">
        <v>0</v>
      </c>
      <c r="B186">
        <v>1</v>
      </c>
      <c r="C186" s="13">
        <v>1</v>
      </c>
      <c r="D186" s="13">
        <v>0</v>
      </c>
      <c r="E186" s="13">
        <v>121600</v>
      </c>
      <c r="F186" s="13">
        <v>122304</v>
      </c>
      <c r="G186" s="13">
        <v>376</v>
      </c>
      <c r="H186" s="13">
        <v>2275900</v>
      </c>
      <c r="I186" s="13">
        <v>0</v>
      </c>
      <c r="J186" s="13">
        <v>0</v>
      </c>
      <c r="K186" s="13">
        <v>16493</v>
      </c>
      <c r="L186" s="13">
        <v>49</v>
      </c>
      <c r="M186" s="13">
        <v>2628</v>
      </c>
      <c r="N186" s="13">
        <v>1507</v>
      </c>
      <c r="O186" s="13">
        <v>21</v>
      </c>
      <c r="P186" s="13">
        <v>6</v>
      </c>
      <c r="Q186" s="13">
        <v>48</v>
      </c>
      <c r="R186" s="13">
        <v>25</v>
      </c>
      <c r="S186" s="13">
        <v>1</v>
      </c>
      <c r="T186" s="23">
        <v>46247.505601851852</v>
      </c>
      <c r="U186" s="55">
        <f t="shared" si="6"/>
        <v>0.5</v>
      </c>
      <c r="V186" s="55">
        <f t="shared" si="7"/>
        <v>0.5</v>
      </c>
      <c r="W186" s="56">
        <f t="shared" si="8"/>
        <v>14934.333333333334</v>
      </c>
    </row>
    <row r="187" spans="1:23" x14ac:dyDescent="0.3">
      <c r="A187" s="13" t="s">
        <v>0</v>
      </c>
      <c r="B187">
        <v>1</v>
      </c>
      <c r="C187" s="13">
        <v>0</v>
      </c>
      <c r="D187" s="13">
        <v>1</v>
      </c>
      <c r="E187" s="13">
        <v>121600</v>
      </c>
      <c r="F187" s="13">
        <v>116740</v>
      </c>
      <c r="G187" s="13">
        <v>384</v>
      </c>
      <c r="H187" s="13">
        <v>2262436</v>
      </c>
      <c r="I187" s="13">
        <v>0</v>
      </c>
      <c r="J187" s="13">
        <v>0</v>
      </c>
      <c r="K187" s="13">
        <v>14671</v>
      </c>
      <c r="L187" s="13">
        <v>13</v>
      </c>
      <c r="M187" s="13">
        <v>2635</v>
      </c>
      <c r="N187" s="13">
        <v>1569</v>
      </c>
      <c r="O187" s="13">
        <v>21</v>
      </c>
      <c r="P187" s="13">
        <v>6</v>
      </c>
      <c r="Q187" s="13">
        <v>47</v>
      </c>
      <c r="R187" s="13">
        <v>25</v>
      </c>
      <c r="S187" s="13">
        <v>1</v>
      </c>
      <c r="T187" s="23">
        <v>46247.50571759259</v>
      </c>
      <c r="U187" s="55">
        <f t="shared" si="6"/>
        <v>0.5</v>
      </c>
      <c r="V187" s="55">
        <f t="shared" si="7"/>
        <v>0.5</v>
      </c>
      <c r="W187" s="56">
        <f t="shared" si="8"/>
        <v>14900</v>
      </c>
    </row>
    <row r="188" spans="1:23" x14ac:dyDescent="0.3">
      <c r="A188" s="13" t="s">
        <v>0</v>
      </c>
      <c r="B188">
        <v>1</v>
      </c>
      <c r="C188" s="13">
        <v>1</v>
      </c>
      <c r="D188" s="13">
        <v>0</v>
      </c>
      <c r="E188" s="13">
        <v>121600</v>
      </c>
      <c r="F188" s="13">
        <v>125276</v>
      </c>
      <c r="G188" s="13">
        <v>392</v>
      </c>
      <c r="H188" s="13">
        <v>2249348</v>
      </c>
      <c r="I188" s="13">
        <v>0</v>
      </c>
      <c r="J188" s="13">
        <v>0</v>
      </c>
      <c r="K188" s="13">
        <v>14245</v>
      </c>
      <c r="L188" s="13">
        <v>21</v>
      </c>
      <c r="M188" s="13">
        <v>3102</v>
      </c>
      <c r="N188" s="13">
        <v>2038</v>
      </c>
      <c r="O188" s="13">
        <v>20</v>
      </c>
      <c r="P188" s="13">
        <v>9</v>
      </c>
      <c r="Q188" s="13">
        <v>45</v>
      </c>
      <c r="R188" s="13">
        <v>24</v>
      </c>
      <c r="S188" s="13">
        <v>1</v>
      </c>
      <c r="T188" s="23">
        <v>46247.505833333336</v>
      </c>
      <c r="U188" s="55">
        <f t="shared" si="6"/>
        <v>0.66666666666666663</v>
      </c>
      <c r="V188" s="55">
        <f t="shared" si="7"/>
        <v>0.33333333333333331</v>
      </c>
      <c r="W188" s="56">
        <f t="shared" si="8"/>
        <v>14933.833333333334</v>
      </c>
    </row>
    <row r="189" spans="1:23" x14ac:dyDescent="0.3">
      <c r="A189" s="13" t="s">
        <v>0</v>
      </c>
      <c r="B189">
        <v>1</v>
      </c>
      <c r="C189" s="13">
        <v>0</v>
      </c>
      <c r="D189" s="13">
        <v>1</v>
      </c>
      <c r="E189" s="13">
        <v>121600</v>
      </c>
      <c r="F189" s="13">
        <v>117516</v>
      </c>
      <c r="G189" s="13">
        <v>400</v>
      </c>
      <c r="H189" s="13">
        <v>2271956</v>
      </c>
      <c r="I189" s="13">
        <v>1</v>
      </c>
      <c r="J189" s="13">
        <v>0</v>
      </c>
      <c r="K189" s="13">
        <v>17129</v>
      </c>
      <c r="L189" s="13">
        <v>17</v>
      </c>
      <c r="M189" s="13">
        <v>2824</v>
      </c>
      <c r="N189" s="13">
        <v>1706</v>
      </c>
      <c r="O189" s="13">
        <v>20</v>
      </c>
      <c r="P189" s="13">
        <v>7</v>
      </c>
      <c r="Q189" s="13">
        <v>47</v>
      </c>
      <c r="R189" s="13">
        <v>25</v>
      </c>
      <c r="S189" s="13">
        <v>1</v>
      </c>
      <c r="T189" s="23">
        <v>46247.505949074075</v>
      </c>
      <c r="U189" s="55">
        <f t="shared" si="6"/>
        <v>0.5</v>
      </c>
      <c r="V189" s="55">
        <f t="shared" si="7"/>
        <v>0.5</v>
      </c>
      <c r="W189" s="56">
        <f t="shared" si="8"/>
        <v>15389.833333333334</v>
      </c>
    </row>
    <row r="190" spans="1:23" x14ac:dyDescent="0.3">
      <c r="A190" s="13" t="s">
        <v>0</v>
      </c>
      <c r="B190">
        <v>1</v>
      </c>
      <c r="C190" s="13">
        <v>0</v>
      </c>
      <c r="D190" s="13">
        <v>1</v>
      </c>
      <c r="E190" s="13">
        <v>121600</v>
      </c>
      <c r="F190" s="13">
        <v>118952</v>
      </c>
      <c r="G190" s="13">
        <v>408</v>
      </c>
      <c r="H190" s="13">
        <v>2277332</v>
      </c>
      <c r="I190" s="13">
        <v>0</v>
      </c>
      <c r="J190" s="13">
        <v>0</v>
      </c>
      <c r="K190" s="13">
        <v>15055</v>
      </c>
      <c r="L190" s="13">
        <v>14</v>
      </c>
      <c r="M190" s="13">
        <v>2938</v>
      </c>
      <c r="N190" s="13">
        <v>1930</v>
      </c>
      <c r="O190" s="13">
        <v>22</v>
      </c>
      <c r="P190" s="13">
        <v>8</v>
      </c>
      <c r="Q190" s="13">
        <v>46</v>
      </c>
      <c r="R190" s="13">
        <v>24</v>
      </c>
      <c r="S190" s="13">
        <v>1</v>
      </c>
      <c r="T190" s="23">
        <v>46247.506064814814</v>
      </c>
      <c r="U190" s="55">
        <f t="shared" si="6"/>
        <v>0.33333333333333331</v>
      </c>
      <c r="V190" s="55">
        <f t="shared" si="7"/>
        <v>0.66666666666666663</v>
      </c>
      <c r="W190" s="56">
        <f t="shared" si="8"/>
        <v>15272.833333333334</v>
      </c>
    </row>
    <row r="191" spans="1:23" x14ac:dyDescent="0.3">
      <c r="A191" s="13" t="s">
        <v>0</v>
      </c>
      <c r="B191">
        <v>1</v>
      </c>
      <c r="C191" s="13">
        <v>0</v>
      </c>
      <c r="D191" s="13">
        <v>1</v>
      </c>
      <c r="E191" s="13">
        <v>121600</v>
      </c>
      <c r="F191" s="13">
        <v>108316</v>
      </c>
      <c r="G191" s="13">
        <v>424</v>
      </c>
      <c r="H191" s="13">
        <v>2288108</v>
      </c>
      <c r="I191" s="13">
        <v>0</v>
      </c>
      <c r="J191" s="13">
        <v>0</v>
      </c>
      <c r="K191" s="13">
        <v>17156</v>
      </c>
      <c r="L191" s="13">
        <v>33</v>
      </c>
      <c r="M191" s="13">
        <v>2573</v>
      </c>
      <c r="N191" s="13">
        <v>1651</v>
      </c>
      <c r="O191" s="13">
        <v>21</v>
      </c>
      <c r="P191" s="13">
        <v>7</v>
      </c>
      <c r="Q191" s="13">
        <v>47</v>
      </c>
      <c r="R191" s="13">
        <v>24</v>
      </c>
      <c r="S191" s="13">
        <v>1</v>
      </c>
      <c r="T191" s="23">
        <v>46247.506180555552</v>
      </c>
      <c r="U191" s="55">
        <f t="shared" si="6"/>
        <v>0.33333333333333331</v>
      </c>
      <c r="V191" s="55">
        <f t="shared" si="7"/>
        <v>0.66666666666666663</v>
      </c>
      <c r="W191" s="56">
        <f t="shared" si="8"/>
        <v>15791.5</v>
      </c>
    </row>
    <row r="192" spans="1:23" x14ac:dyDescent="0.3">
      <c r="A192" s="13" t="s">
        <v>0</v>
      </c>
      <c r="B192">
        <v>1</v>
      </c>
      <c r="C192" s="13">
        <v>0</v>
      </c>
      <c r="D192" s="13">
        <v>1</v>
      </c>
      <c r="E192" s="13">
        <v>121600</v>
      </c>
      <c r="F192" s="13">
        <v>111540</v>
      </c>
      <c r="G192" s="13">
        <v>496</v>
      </c>
      <c r="H192" s="13">
        <v>2284848</v>
      </c>
      <c r="I192" s="13">
        <v>0</v>
      </c>
      <c r="J192" s="13">
        <v>0</v>
      </c>
      <c r="K192" s="13">
        <v>15658</v>
      </c>
      <c r="L192" s="13">
        <v>34</v>
      </c>
      <c r="M192" s="13">
        <v>3165</v>
      </c>
      <c r="N192" s="13">
        <v>2069</v>
      </c>
      <c r="O192" s="13">
        <v>21</v>
      </c>
      <c r="P192" s="13">
        <v>8</v>
      </c>
      <c r="Q192" s="13">
        <v>46</v>
      </c>
      <c r="R192" s="13">
        <v>24</v>
      </c>
      <c r="S192" s="13">
        <v>0</v>
      </c>
      <c r="T192" s="23">
        <v>46247.506296296298</v>
      </c>
      <c r="U192" s="55">
        <f t="shared" si="6"/>
        <v>0.16666666666666666</v>
      </c>
      <c r="V192" s="55">
        <f t="shared" si="7"/>
        <v>0.83333333333333337</v>
      </c>
      <c r="W192" s="56">
        <f t="shared" si="8"/>
        <v>15652.333333333334</v>
      </c>
    </row>
    <row r="193" spans="1:23" x14ac:dyDescent="0.3">
      <c r="A193" s="13" t="s">
        <v>0</v>
      </c>
      <c r="B193">
        <v>1</v>
      </c>
      <c r="C193" s="13">
        <v>1</v>
      </c>
      <c r="D193" s="13">
        <v>0</v>
      </c>
      <c r="E193" s="13">
        <v>121600</v>
      </c>
      <c r="F193" s="13">
        <v>108292</v>
      </c>
      <c r="G193" s="13">
        <v>504</v>
      </c>
      <c r="H193" s="13">
        <v>2290696</v>
      </c>
      <c r="I193" s="13">
        <v>3</v>
      </c>
      <c r="J193" s="13">
        <v>0</v>
      </c>
      <c r="K193" s="13">
        <v>16508</v>
      </c>
      <c r="L193" s="13">
        <v>2</v>
      </c>
      <c r="M193" s="13">
        <v>2636</v>
      </c>
      <c r="N193" s="13">
        <v>1471</v>
      </c>
      <c r="O193" s="13">
        <v>21</v>
      </c>
      <c r="P193" s="13">
        <v>6</v>
      </c>
      <c r="Q193" s="13">
        <v>48</v>
      </c>
      <c r="R193" s="13">
        <v>25</v>
      </c>
      <c r="S193" s="13">
        <v>1</v>
      </c>
      <c r="T193" s="23">
        <v>46247.506412037037</v>
      </c>
      <c r="U193" s="55">
        <f t="shared" si="6"/>
        <v>0.33333333333333331</v>
      </c>
      <c r="V193" s="55">
        <f t="shared" si="7"/>
        <v>0.66666666666666663</v>
      </c>
      <c r="W193" s="56">
        <f t="shared" si="8"/>
        <v>15958.5</v>
      </c>
    </row>
    <row r="194" spans="1:23" x14ac:dyDescent="0.3">
      <c r="A194" s="13" t="s">
        <v>0</v>
      </c>
      <c r="B194">
        <v>1</v>
      </c>
      <c r="C194" s="13">
        <v>1</v>
      </c>
      <c r="D194" s="13">
        <v>0</v>
      </c>
      <c r="E194" s="13">
        <v>121344</v>
      </c>
      <c r="F194" s="13">
        <v>116604</v>
      </c>
      <c r="G194" s="13">
        <v>512</v>
      </c>
      <c r="H194" s="13">
        <v>2280188</v>
      </c>
      <c r="I194" s="13">
        <v>26</v>
      </c>
      <c r="J194" s="13">
        <v>0</v>
      </c>
      <c r="K194" s="13">
        <v>14668</v>
      </c>
      <c r="L194" s="13">
        <v>12</v>
      </c>
      <c r="M194" s="13">
        <v>2847</v>
      </c>
      <c r="N194" s="13">
        <v>1785</v>
      </c>
      <c r="O194" s="13">
        <v>20</v>
      </c>
      <c r="P194" s="13">
        <v>8</v>
      </c>
      <c r="Q194" s="13">
        <v>46</v>
      </c>
      <c r="R194" s="13">
        <v>25</v>
      </c>
      <c r="S194" s="13">
        <v>1</v>
      </c>
      <c r="T194" s="23">
        <v>46247.506527777776</v>
      </c>
      <c r="U194" s="55">
        <f t="shared" si="6"/>
        <v>0.33333333333333331</v>
      </c>
      <c r="V194" s="55">
        <f t="shared" si="7"/>
        <v>0.66666666666666663</v>
      </c>
      <c r="W194" s="56">
        <f t="shared" si="8"/>
        <v>16029</v>
      </c>
    </row>
    <row r="195" spans="1:23" x14ac:dyDescent="0.3">
      <c r="A195" s="13" t="s">
        <v>0</v>
      </c>
      <c r="B195">
        <v>1</v>
      </c>
      <c r="C195" s="13">
        <v>0</v>
      </c>
      <c r="D195" s="13">
        <v>1</v>
      </c>
      <c r="E195" s="13">
        <v>121344</v>
      </c>
      <c r="F195" s="13">
        <v>142032</v>
      </c>
      <c r="G195" s="13">
        <v>520</v>
      </c>
      <c r="H195" s="13">
        <v>2256668</v>
      </c>
      <c r="I195" s="13">
        <v>0</v>
      </c>
      <c r="J195" s="13">
        <v>0</v>
      </c>
      <c r="K195" s="13">
        <v>15005</v>
      </c>
      <c r="L195" s="13">
        <v>30</v>
      </c>
      <c r="M195" s="13">
        <v>2892</v>
      </c>
      <c r="N195" s="13">
        <v>1916</v>
      </c>
      <c r="O195" s="13">
        <v>21</v>
      </c>
      <c r="P195" s="13">
        <v>8</v>
      </c>
      <c r="Q195" s="13">
        <v>46</v>
      </c>
      <c r="R195" s="13">
        <v>24</v>
      </c>
      <c r="S195" s="13">
        <v>1</v>
      </c>
      <c r="T195" s="23">
        <v>46247.506643518522</v>
      </c>
      <c r="U195" s="55">
        <f t="shared" si="6"/>
        <v>0.33333333333333331</v>
      </c>
      <c r="V195" s="55">
        <f t="shared" si="7"/>
        <v>0.66666666666666663</v>
      </c>
      <c r="W195" s="56">
        <f t="shared" si="8"/>
        <v>15675</v>
      </c>
    </row>
    <row r="196" spans="1:23" x14ac:dyDescent="0.3">
      <c r="A196" s="13" t="s">
        <v>0</v>
      </c>
      <c r="B196">
        <v>1</v>
      </c>
      <c r="C196" s="13">
        <v>0</v>
      </c>
      <c r="D196" s="13">
        <v>1</v>
      </c>
      <c r="E196" s="13">
        <v>121600</v>
      </c>
      <c r="F196" s="13">
        <v>105696</v>
      </c>
      <c r="G196" s="13">
        <v>244</v>
      </c>
      <c r="H196" s="13">
        <v>2294576</v>
      </c>
      <c r="I196" s="13">
        <v>0</v>
      </c>
      <c r="J196" s="13">
        <v>6</v>
      </c>
      <c r="K196" s="13">
        <v>16345</v>
      </c>
      <c r="L196" s="13">
        <v>36</v>
      </c>
      <c r="M196" s="13">
        <v>2628</v>
      </c>
      <c r="N196" s="13">
        <v>1676</v>
      </c>
      <c r="O196" s="13">
        <v>21</v>
      </c>
      <c r="P196" s="13">
        <v>7</v>
      </c>
      <c r="Q196" s="13">
        <v>47</v>
      </c>
      <c r="R196" s="13">
        <v>24</v>
      </c>
      <c r="S196" s="13">
        <v>1</v>
      </c>
      <c r="T196" s="23">
        <v>46247.50675925926</v>
      </c>
      <c r="U196" s="55">
        <f t="shared" si="6"/>
        <v>0.33333333333333331</v>
      </c>
      <c r="V196" s="55">
        <f t="shared" si="7"/>
        <v>0.66666666666666663</v>
      </c>
      <c r="W196" s="56">
        <f t="shared" si="8"/>
        <v>15890</v>
      </c>
    </row>
    <row r="197" spans="1:23" x14ac:dyDescent="0.3">
      <c r="A197" s="13" t="s">
        <v>0</v>
      </c>
      <c r="B197">
        <v>1</v>
      </c>
      <c r="C197" s="13">
        <v>0</v>
      </c>
      <c r="D197" s="13">
        <v>1</v>
      </c>
      <c r="E197" s="13">
        <v>121600</v>
      </c>
      <c r="F197" s="13">
        <v>105904</v>
      </c>
      <c r="G197" s="13">
        <v>248</v>
      </c>
      <c r="H197" s="13">
        <v>2293188</v>
      </c>
      <c r="I197" s="13">
        <v>0</v>
      </c>
      <c r="J197" s="13">
        <v>4</v>
      </c>
      <c r="K197" s="13">
        <v>14771</v>
      </c>
      <c r="L197" s="13">
        <v>14</v>
      </c>
      <c r="M197" s="13">
        <v>3024</v>
      </c>
      <c r="N197" s="13">
        <v>2010</v>
      </c>
      <c r="O197" s="13">
        <v>22</v>
      </c>
      <c r="P197" s="13">
        <v>8</v>
      </c>
      <c r="Q197" s="13">
        <v>46</v>
      </c>
      <c r="R197" s="13">
        <v>24</v>
      </c>
      <c r="S197" s="13">
        <v>1</v>
      </c>
      <c r="T197" s="23">
        <v>46247.506874999999</v>
      </c>
      <c r="U197" s="55">
        <f t="shared" si="6"/>
        <v>0.33333333333333331</v>
      </c>
      <c r="V197" s="55">
        <f t="shared" si="7"/>
        <v>0.66666666666666663</v>
      </c>
      <c r="W197" s="56">
        <f t="shared" si="8"/>
        <v>15492.5</v>
      </c>
    </row>
    <row r="198" spans="1:23" x14ac:dyDescent="0.3">
      <c r="A198" s="13" t="s">
        <v>0</v>
      </c>
      <c r="B198">
        <v>1</v>
      </c>
      <c r="C198" s="13">
        <v>1</v>
      </c>
      <c r="D198" s="13">
        <v>0</v>
      </c>
      <c r="E198" s="13">
        <v>121600</v>
      </c>
      <c r="F198" s="13">
        <v>143128</v>
      </c>
      <c r="G198" s="13">
        <v>416</v>
      </c>
      <c r="H198" s="13">
        <v>2255352</v>
      </c>
      <c r="I198" s="13">
        <v>6</v>
      </c>
      <c r="J198" s="13">
        <v>4</v>
      </c>
      <c r="K198" s="13">
        <v>15730</v>
      </c>
      <c r="L198" s="13">
        <v>43</v>
      </c>
      <c r="M198" s="13">
        <v>2576</v>
      </c>
      <c r="N198" s="13">
        <v>1471</v>
      </c>
      <c r="O198" s="13">
        <v>20</v>
      </c>
      <c r="P198" s="13">
        <v>6</v>
      </c>
      <c r="Q198" s="13">
        <v>47</v>
      </c>
      <c r="R198" s="13">
        <v>25</v>
      </c>
      <c r="S198" s="13">
        <v>1</v>
      </c>
      <c r="T198" s="23">
        <v>46247.506990740738</v>
      </c>
      <c r="U198" s="55">
        <f t="shared" si="6"/>
        <v>0.5</v>
      </c>
      <c r="V198" s="55">
        <f t="shared" si="7"/>
        <v>0.5</v>
      </c>
      <c r="W198" s="56">
        <f t="shared" si="8"/>
        <v>15504.5</v>
      </c>
    </row>
    <row r="199" spans="1:23" x14ac:dyDescent="0.3">
      <c r="A199" s="13" t="s">
        <v>0</v>
      </c>
      <c r="B199">
        <v>1</v>
      </c>
      <c r="C199" s="13">
        <v>0</v>
      </c>
      <c r="D199" s="13">
        <v>1</v>
      </c>
      <c r="E199" s="13">
        <v>121600</v>
      </c>
      <c r="F199" s="13">
        <v>146032</v>
      </c>
      <c r="G199" s="13">
        <v>424</v>
      </c>
      <c r="H199" s="13">
        <v>2255556</v>
      </c>
      <c r="I199" s="13">
        <v>0</v>
      </c>
      <c r="J199" s="13">
        <v>0</v>
      </c>
      <c r="K199" s="13">
        <v>14359</v>
      </c>
      <c r="L199" s="13">
        <v>9</v>
      </c>
      <c r="M199" s="13">
        <v>2729</v>
      </c>
      <c r="N199" s="13">
        <v>1692</v>
      </c>
      <c r="O199" s="13">
        <v>22</v>
      </c>
      <c r="P199" s="13">
        <v>7</v>
      </c>
      <c r="Q199" s="13">
        <v>47</v>
      </c>
      <c r="R199" s="13">
        <v>24</v>
      </c>
      <c r="S199" s="13">
        <v>1</v>
      </c>
      <c r="T199" s="23">
        <v>46247.507106481484</v>
      </c>
      <c r="U199" s="55">
        <f t="shared" si="6"/>
        <v>0.33333333333333331</v>
      </c>
      <c r="V199" s="55">
        <f t="shared" si="7"/>
        <v>0.66666666666666663</v>
      </c>
      <c r="W199" s="56">
        <f t="shared" si="8"/>
        <v>15146.333333333334</v>
      </c>
    </row>
    <row r="200" spans="1:23" x14ac:dyDescent="0.3">
      <c r="A200" s="13" t="s">
        <v>0</v>
      </c>
      <c r="B200">
        <v>1</v>
      </c>
      <c r="C200" s="13">
        <v>0</v>
      </c>
      <c r="D200" s="13">
        <v>1</v>
      </c>
      <c r="E200" s="13">
        <v>121600</v>
      </c>
      <c r="F200" s="13">
        <v>114212</v>
      </c>
      <c r="G200" s="13">
        <v>432</v>
      </c>
      <c r="H200" s="13">
        <v>2279112</v>
      </c>
      <c r="I200" s="13">
        <v>0</v>
      </c>
      <c r="J200" s="13">
        <v>0</v>
      </c>
      <c r="K200" s="13">
        <v>15444</v>
      </c>
      <c r="L200" s="13">
        <v>9</v>
      </c>
      <c r="M200" s="13">
        <v>2624</v>
      </c>
      <c r="N200" s="13">
        <v>1427</v>
      </c>
      <c r="O200" s="13">
        <v>20</v>
      </c>
      <c r="P200" s="13">
        <v>6</v>
      </c>
      <c r="Q200" s="13">
        <v>48</v>
      </c>
      <c r="R200" s="13">
        <v>25</v>
      </c>
      <c r="S200" s="13">
        <v>1</v>
      </c>
      <c r="T200" s="23">
        <v>46247.507222222222</v>
      </c>
      <c r="U200" s="55">
        <f t="shared" si="6"/>
        <v>0.16666666666666666</v>
      </c>
      <c r="V200" s="55">
        <f t="shared" si="7"/>
        <v>0.83333333333333337</v>
      </c>
      <c r="W200" s="56">
        <f t="shared" si="8"/>
        <v>15275.666666666666</v>
      </c>
    </row>
    <row r="201" spans="1:23" x14ac:dyDescent="0.3">
      <c r="A201" s="13" t="s">
        <v>0</v>
      </c>
      <c r="B201">
        <v>1</v>
      </c>
      <c r="C201" s="13">
        <v>1</v>
      </c>
      <c r="D201" s="13">
        <v>0</v>
      </c>
      <c r="E201" s="13">
        <v>121856</v>
      </c>
      <c r="F201" s="13">
        <v>149240</v>
      </c>
      <c r="G201" s="13">
        <v>432</v>
      </c>
      <c r="H201" s="13">
        <v>2250616</v>
      </c>
      <c r="I201" s="13">
        <v>0</v>
      </c>
      <c r="J201" s="13">
        <v>12</v>
      </c>
      <c r="K201" s="13">
        <v>17377</v>
      </c>
      <c r="L201" s="13">
        <v>30</v>
      </c>
      <c r="M201" s="13">
        <v>2844</v>
      </c>
      <c r="N201" s="13">
        <v>1579</v>
      </c>
      <c r="O201" s="13">
        <v>21</v>
      </c>
      <c r="P201" s="13">
        <v>6</v>
      </c>
      <c r="Q201" s="13">
        <v>47</v>
      </c>
      <c r="R201" s="13">
        <v>25</v>
      </c>
      <c r="S201" s="13">
        <v>0</v>
      </c>
      <c r="T201" s="23">
        <v>46247.507337962961</v>
      </c>
      <c r="U201" s="55">
        <f t="shared" ref="U201:U264" si="9">AVERAGE(C196:C201)</f>
        <v>0.33333333333333331</v>
      </c>
      <c r="V201" s="55">
        <f t="shared" ref="V201:V264" si="10">AVERAGE(D196:D201)</f>
        <v>0.66666666666666663</v>
      </c>
      <c r="W201" s="56">
        <f t="shared" ref="W201:W264" si="11">AVERAGE(K196:K201)</f>
        <v>15671</v>
      </c>
    </row>
    <row r="202" spans="1:23" x14ac:dyDescent="0.3">
      <c r="A202" s="13" t="s">
        <v>0</v>
      </c>
      <c r="B202">
        <v>1</v>
      </c>
      <c r="C202" s="13">
        <v>1</v>
      </c>
      <c r="D202" s="13">
        <v>0</v>
      </c>
      <c r="E202" s="13">
        <v>121856</v>
      </c>
      <c r="F202" s="13">
        <v>156872</v>
      </c>
      <c r="G202" s="13">
        <v>440</v>
      </c>
      <c r="H202" s="13">
        <v>2240860</v>
      </c>
      <c r="I202" s="13">
        <v>0</v>
      </c>
      <c r="J202" s="13">
        <v>0</v>
      </c>
      <c r="K202" s="13">
        <v>15332</v>
      </c>
      <c r="L202" s="13">
        <v>10</v>
      </c>
      <c r="M202" s="13">
        <v>2858</v>
      </c>
      <c r="N202" s="13">
        <v>1843</v>
      </c>
      <c r="O202" s="13">
        <v>22</v>
      </c>
      <c r="P202" s="13">
        <v>7</v>
      </c>
      <c r="Q202" s="13">
        <v>47</v>
      </c>
      <c r="R202" s="13">
        <v>24</v>
      </c>
      <c r="S202" s="13">
        <v>1</v>
      </c>
      <c r="T202" s="23">
        <v>46247.507453703707</v>
      </c>
      <c r="U202" s="55">
        <f t="shared" si="9"/>
        <v>0.5</v>
      </c>
      <c r="V202" s="55">
        <f t="shared" si="10"/>
        <v>0.5</v>
      </c>
      <c r="W202" s="56">
        <f t="shared" si="11"/>
        <v>15502.166666666666</v>
      </c>
    </row>
    <row r="203" spans="1:23" x14ac:dyDescent="0.3">
      <c r="A203" s="13" t="s">
        <v>0</v>
      </c>
      <c r="B203">
        <v>1</v>
      </c>
      <c r="C203" s="13">
        <v>0</v>
      </c>
      <c r="D203" s="13">
        <v>1</v>
      </c>
      <c r="E203" s="13">
        <v>121856</v>
      </c>
      <c r="F203" s="13">
        <v>146324</v>
      </c>
      <c r="G203" s="13">
        <v>456</v>
      </c>
      <c r="H203" s="13">
        <v>2251636</v>
      </c>
      <c r="I203" s="13">
        <v>2</v>
      </c>
      <c r="J203" s="13">
        <v>0</v>
      </c>
      <c r="K203" s="13">
        <v>17787</v>
      </c>
      <c r="L203" s="13">
        <v>10</v>
      </c>
      <c r="M203" s="13">
        <v>2809</v>
      </c>
      <c r="N203" s="13">
        <v>1598</v>
      </c>
      <c r="O203" s="13">
        <v>21</v>
      </c>
      <c r="P203" s="13">
        <v>7</v>
      </c>
      <c r="Q203" s="13">
        <v>46</v>
      </c>
      <c r="R203" s="13">
        <v>25</v>
      </c>
      <c r="S203" s="13">
        <v>1</v>
      </c>
      <c r="T203" s="23">
        <v>46247.507569444446</v>
      </c>
      <c r="U203" s="55">
        <f t="shared" si="9"/>
        <v>0.5</v>
      </c>
      <c r="V203" s="55">
        <f t="shared" si="10"/>
        <v>0.5</v>
      </c>
      <c r="W203" s="56">
        <f t="shared" si="11"/>
        <v>16004.833333333334</v>
      </c>
    </row>
    <row r="204" spans="1:23" x14ac:dyDescent="0.3">
      <c r="A204" s="13" t="s">
        <v>0</v>
      </c>
      <c r="B204">
        <v>1</v>
      </c>
      <c r="C204" s="13">
        <v>1</v>
      </c>
      <c r="D204" s="13">
        <v>0</v>
      </c>
      <c r="E204" s="13">
        <v>121856</v>
      </c>
      <c r="F204" s="13">
        <v>153672</v>
      </c>
      <c r="G204" s="13">
        <v>496</v>
      </c>
      <c r="H204" s="13">
        <v>2224068</v>
      </c>
      <c r="I204" s="13">
        <v>2</v>
      </c>
      <c r="J204" s="13">
        <v>0</v>
      </c>
      <c r="K204" s="13">
        <v>13678</v>
      </c>
      <c r="L204" s="13">
        <v>30</v>
      </c>
      <c r="M204" s="13">
        <v>3059</v>
      </c>
      <c r="N204" s="13">
        <v>2017</v>
      </c>
      <c r="O204" s="13">
        <v>22</v>
      </c>
      <c r="P204" s="13">
        <v>9</v>
      </c>
      <c r="Q204" s="13">
        <v>45</v>
      </c>
      <c r="R204" s="13">
        <v>23</v>
      </c>
      <c r="S204" s="13">
        <v>1</v>
      </c>
      <c r="T204" s="23">
        <v>46247.507685185185</v>
      </c>
      <c r="U204" s="55">
        <f t="shared" si="9"/>
        <v>0.5</v>
      </c>
      <c r="V204" s="55">
        <f t="shared" si="10"/>
        <v>0.5</v>
      </c>
      <c r="W204" s="56">
        <f t="shared" si="11"/>
        <v>15662.833333333334</v>
      </c>
    </row>
    <row r="205" spans="1:23" x14ac:dyDescent="0.3">
      <c r="A205" s="13" t="s">
        <v>0</v>
      </c>
      <c r="B205">
        <v>1</v>
      </c>
      <c r="C205" s="13">
        <v>0</v>
      </c>
      <c r="D205" s="13">
        <v>0</v>
      </c>
      <c r="E205" s="13">
        <v>121856</v>
      </c>
      <c r="F205" s="13">
        <v>99536</v>
      </c>
      <c r="G205" s="13">
        <v>504</v>
      </c>
      <c r="H205" s="13">
        <v>2270272</v>
      </c>
      <c r="I205" s="13">
        <v>0</v>
      </c>
      <c r="J205" s="13">
        <v>0</v>
      </c>
      <c r="K205" s="13">
        <v>15489</v>
      </c>
      <c r="L205" s="13">
        <v>11</v>
      </c>
      <c r="M205" s="13">
        <v>2862</v>
      </c>
      <c r="N205" s="13">
        <v>1712</v>
      </c>
      <c r="O205" s="13">
        <v>21</v>
      </c>
      <c r="P205" s="13">
        <v>7</v>
      </c>
      <c r="Q205" s="13">
        <v>46</v>
      </c>
      <c r="R205" s="13">
        <v>25</v>
      </c>
      <c r="S205" s="13">
        <v>1</v>
      </c>
      <c r="T205" s="23">
        <v>46247.507800925923</v>
      </c>
      <c r="U205" s="55">
        <f t="shared" si="9"/>
        <v>0.5</v>
      </c>
      <c r="V205" s="55">
        <f t="shared" si="10"/>
        <v>0.33333333333333331</v>
      </c>
      <c r="W205" s="56">
        <f t="shared" si="11"/>
        <v>15851.166666666666</v>
      </c>
    </row>
    <row r="206" spans="1:23" x14ac:dyDescent="0.3">
      <c r="A206" s="13" t="s">
        <v>0</v>
      </c>
      <c r="B206">
        <v>1</v>
      </c>
      <c r="C206" s="13">
        <v>0</v>
      </c>
      <c r="D206" s="13">
        <v>1</v>
      </c>
      <c r="E206" s="13">
        <v>121856</v>
      </c>
      <c r="F206" s="13">
        <v>125500</v>
      </c>
      <c r="G206" s="13">
        <v>512</v>
      </c>
      <c r="H206" s="13">
        <v>2246600</v>
      </c>
      <c r="I206" s="13">
        <v>0</v>
      </c>
      <c r="J206" s="13">
        <v>0</v>
      </c>
      <c r="K206" s="13">
        <v>13555</v>
      </c>
      <c r="L206" s="13">
        <v>18</v>
      </c>
      <c r="M206" s="13">
        <v>2998</v>
      </c>
      <c r="N206" s="13">
        <v>2040</v>
      </c>
      <c r="O206" s="13">
        <v>20</v>
      </c>
      <c r="P206" s="13">
        <v>9</v>
      </c>
      <c r="Q206" s="13">
        <v>46</v>
      </c>
      <c r="R206" s="13">
        <v>25</v>
      </c>
      <c r="S206" s="13">
        <v>1</v>
      </c>
      <c r="T206" s="23">
        <v>46247.507916666669</v>
      </c>
      <c r="U206" s="55">
        <f t="shared" si="9"/>
        <v>0.5</v>
      </c>
      <c r="V206" s="55">
        <f t="shared" si="10"/>
        <v>0.33333333333333331</v>
      </c>
      <c r="W206" s="56">
        <f t="shared" si="11"/>
        <v>15536.333333333334</v>
      </c>
    </row>
    <row r="207" spans="1:23" x14ac:dyDescent="0.3">
      <c r="A207" s="13" t="s">
        <v>0</v>
      </c>
      <c r="B207">
        <v>1</v>
      </c>
      <c r="C207" s="13">
        <v>1</v>
      </c>
      <c r="D207" s="13">
        <v>0</v>
      </c>
      <c r="E207" s="13">
        <v>121856</v>
      </c>
      <c r="F207" s="13">
        <v>116108</v>
      </c>
      <c r="G207" s="13">
        <v>520</v>
      </c>
      <c r="H207" s="13">
        <v>2260716</v>
      </c>
      <c r="I207" s="13">
        <v>0</v>
      </c>
      <c r="J207" s="13">
        <v>0</v>
      </c>
      <c r="K207" s="13">
        <v>16813</v>
      </c>
      <c r="L207" s="13">
        <v>26</v>
      </c>
      <c r="M207" s="13">
        <v>2691</v>
      </c>
      <c r="N207" s="13">
        <v>1551</v>
      </c>
      <c r="O207" s="13">
        <v>22</v>
      </c>
      <c r="P207" s="13">
        <v>6</v>
      </c>
      <c r="Q207" s="13">
        <v>47</v>
      </c>
      <c r="R207" s="13">
        <v>25</v>
      </c>
      <c r="S207" s="13">
        <v>1</v>
      </c>
      <c r="T207" s="23">
        <v>46247.508032407408</v>
      </c>
      <c r="U207" s="55">
        <f t="shared" si="9"/>
        <v>0.5</v>
      </c>
      <c r="V207" s="55">
        <f t="shared" si="10"/>
        <v>0.33333333333333331</v>
      </c>
      <c r="W207" s="56">
        <f t="shared" si="11"/>
        <v>15442.333333333334</v>
      </c>
    </row>
    <row r="208" spans="1:23" x14ac:dyDescent="0.3">
      <c r="A208" s="13" t="s">
        <v>0</v>
      </c>
      <c r="B208">
        <v>1</v>
      </c>
      <c r="C208" s="13">
        <v>0</v>
      </c>
      <c r="D208" s="13">
        <v>1</v>
      </c>
      <c r="E208" s="13">
        <v>121856</v>
      </c>
      <c r="F208" s="13">
        <v>138404</v>
      </c>
      <c r="G208" s="13">
        <v>528</v>
      </c>
      <c r="H208" s="13">
        <v>2243576</v>
      </c>
      <c r="I208" s="13">
        <v>0</v>
      </c>
      <c r="J208" s="13">
        <v>0</v>
      </c>
      <c r="K208" s="13">
        <v>8473</v>
      </c>
      <c r="L208" s="13">
        <v>14</v>
      </c>
      <c r="M208" s="13">
        <v>1581</v>
      </c>
      <c r="N208" s="13">
        <v>938</v>
      </c>
      <c r="O208" s="13">
        <v>13</v>
      </c>
      <c r="P208" s="13">
        <v>4</v>
      </c>
      <c r="Q208" s="13">
        <v>48</v>
      </c>
      <c r="R208" s="13">
        <v>34</v>
      </c>
      <c r="S208" s="13">
        <v>1</v>
      </c>
      <c r="T208" s="23">
        <v>46247.508148148147</v>
      </c>
      <c r="U208" s="55">
        <f t="shared" si="9"/>
        <v>0.33333333333333331</v>
      </c>
      <c r="V208" s="55">
        <f t="shared" si="10"/>
        <v>0.5</v>
      </c>
      <c r="W208" s="56">
        <f t="shared" si="11"/>
        <v>14299.166666666666</v>
      </c>
    </row>
    <row r="209" spans="1:23" x14ac:dyDescent="0.3">
      <c r="A209" s="13" t="s">
        <v>0</v>
      </c>
      <c r="B209">
        <v>1</v>
      </c>
      <c r="C209" s="13">
        <v>1</v>
      </c>
      <c r="D209" s="13">
        <v>0</v>
      </c>
      <c r="E209" s="13">
        <v>121856</v>
      </c>
      <c r="F209" s="13">
        <v>145128</v>
      </c>
      <c r="G209" s="13">
        <v>536</v>
      </c>
      <c r="H209" s="13">
        <v>2238048</v>
      </c>
      <c r="I209" s="13">
        <v>0</v>
      </c>
      <c r="J209" s="13">
        <v>0</v>
      </c>
      <c r="K209" s="13">
        <v>13732</v>
      </c>
      <c r="L209" s="13">
        <v>11</v>
      </c>
      <c r="M209" s="13">
        <v>2845</v>
      </c>
      <c r="N209" s="13">
        <v>1766</v>
      </c>
      <c r="O209" s="13">
        <v>20</v>
      </c>
      <c r="P209" s="13">
        <v>7</v>
      </c>
      <c r="Q209" s="13">
        <v>47</v>
      </c>
      <c r="R209" s="13">
        <v>25</v>
      </c>
      <c r="S209" s="13">
        <v>1</v>
      </c>
      <c r="T209" s="23">
        <v>46247.508263888885</v>
      </c>
      <c r="U209" s="55">
        <f t="shared" si="9"/>
        <v>0.5</v>
      </c>
      <c r="V209" s="55">
        <f t="shared" si="10"/>
        <v>0.33333333333333331</v>
      </c>
      <c r="W209" s="56">
        <f t="shared" si="11"/>
        <v>13623.333333333334</v>
      </c>
    </row>
    <row r="210" spans="1:23" x14ac:dyDescent="0.3">
      <c r="A210" s="13" t="s">
        <v>0</v>
      </c>
      <c r="B210">
        <v>1</v>
      </c>
      <c r="C210" s="13">
        <v>0</v>
      </c>
      <c r="D210" s="13">
        <v>1</v>
      </c>
      <c r="E210" s="13">
        <v>121856</v>
      </c>
      <c r="F210" s="13">
        <v>106260</v>
      </c>
      <c r="G210" s="13">
        <v>568</v>
      </c>
      <c r="H210" s="13">
        <v>2275188</v>
      </c>
      <c r="I210" s="13">
        <v>0</v>
      </c>
      <c r="J210" s="13">
        <v>0</v>
      </c>
      <c r="K210" s="13">
        <v>12442</v>
      </c>
      <c r="L210" s="13">
        <v>28</v>
      </c>
      <c r="M210" s="13">
        <v>2176</v>
      </c>
      <c r="N210" s="13">
        <v>1172</v>
      </c>
      <c r="O210" s="13">
        <v>19</v>
      </c>
      <c r="P210" s="13">
        <v>5</v>
      </c>
      <c r="Q210" s="13">
        <v>47</v>
      </c>
      <c r="R210" s="13">
        <v>26</v>
      </c>
      <c r="S210" s="13">
        <v>2</v>
      </c>
      <c r="T210" s="23">
        <v>46247.508379629631</v>
      </c>
      <c r="U210" s="55">
        <f t="shared" si="9"/>
        <v>0.33333333333333331</v>
      </c>
      <c r="V210" s="55">
        <f t="shared" si="10"/>
        <v>0.5</v>
      </c>
      <c r="W210" s="56">
        <f t="shared" si="11"/>
        <v>13417.333333333334</v>
      </c>
    </row>
    <row r="211" spans="1:23" x14ac:dyDescent="0.3">
      <c r="A211" s="13" t="s">
        <v>0</v>
      </c>
      <c r="B211">
        <v>1</v>
      </c>
      <c r="C211" s="13">
        <v>1</v>
      </c>
      <c r="D211" s="13">
        <v>0</v>
      </c>
      <c r="E211" s="13">
        <v>122112</v>
      </c>
      <c r="F211" s="13">
        <v>681868</v>
      </c>
      <c r="G211" s="13">
        <v>356</v>
      </c>
      <c r="H211" s="13">
        <v>1663588</v>
      </c>
      <c r="I211" s="13">
        <v>0</v>
      </c>
      <c r="J211" s="13">
        <v>65</v>
      </c>
      <c r="K211" s="13">
        <v>10903</v>
      </c>
      <c r="L211" s="13">
        <v>90</v>
      </c>
      <c r="M211" s="13">
        <v>2350</v>
      </c>
      <c r="N211" s="13">
        <v>1300</v>
      </c>
      <c r="O211" s="13">
        <v>20</v>
      </c>
      <c r="P211" s="13">
        <v>12</v>
      </c>
      <c r="Q211" s="13">
        <v>41</v>
      </c>
      <c r="R211" s="13">
        <v>24</v>
      </c>
      <c r="S211" s="13">
        <v>3</v>
      </c>
      <c r="T211" s="23">
        <v>46247.50849537037</v>
      </c>
      <c r="U211" s="55">
        <f t="shared" si="9"/>
        <v>0.5</v>
      </c>
      <c r="V211" s="55">
        <f t="shared" si="10"/>
        <v>0.5</v>
      </c>
      <c r="W211" s="56">
        <f t="shared" si="11"/>
        <v>12653</v>
      </c>
    </row>
    <row r="212" spans="1:23" x14ac:dyDescent="0.3">
      <c r="A212" s="13" t="s">
        <v>0</v>
      </c>
      <c r="B212">
        <v>1</v>
      </c>
      <c r="C212" s="13">
        <v>0</v>
      </c>
      <c r="D212" s="13">
        <v>1</v>
      </c>
      <c r="E212" s="13">
        <v>122112</v>
      </c>
      <c r="F212" s="13">
        <v>584848</v>
      </c>
      <c r="G212" s="13">
        <v>364</v>
      </c>
      <c r="H212" s="13">
        <v>1791812</v>
      </c>
      <c r="I212" s="13">
        <v>0</v>
      </c>
      <c r="J212" s="13">
        <v>0</v>
      </c>
      <c r="K212" s="13">
        <v>12824</v>
      </c>
      <c r="L212" s="13">
        <v>12</v>
      </c>
      <c r="M212" s="13">
        <v>2370</v>
      </c>
      <c r="N212" s="13">
        <v>1331</v>
      </c>
      <c r="O212" s="13">
        <v>16</v>
      </c>
      <c r="P212" s="13">
        <v>8</v>
      </c>
      <c r="Q212" s="13">
        <v>48</v>
      </c>
      <c r="R212" s="13">
        <v>27</v>
      </c>
      <c r="S212" s="13">
        <v>2</v>
      </c>
      <c r="T212" s="23">
        <v>46247.508611111109</v>
      </c>
      <c r="U212" s="55">
        <f t="shared" si="9"/>
        <v>0.5</v>
      </c>
      <c r="V212" s="55">
        <f t="shared" si="10"/>
        <v>0.5</v>
      </c>
      <c r="W212" s="56">
        <f t="shared" si="11"/>
        <v>12531.166666666666</v>
      </c>
    </row>
    <row r="213" spans="1:23" x14ac:dyDescent="0.3">
      <c r="A213" s="13" t="s">
        <v>0</v>
      </c>
      <c r="B213">
        <v>1</v>
      </c>
      <c r="C213" s="13">
        <v>1</v>
      </c>
      <c r="D213" s="13">
        <v>0</v>
      </c>
      <c r="E213" s="13">
        <v>122112</v>
      </c>
      <c r="F213" s="13">
        <v>443684</v>
      </c>
      <c r="G213" s="13">
        <v>372</v>
      </c>
      <c r="H213" s="13">
        <v>1936000</v>
      </c>
      <c r="I213" s="13">
        <v>0</v>
      </c>
      <c r="J213" s="13">
        <v>0</v>
      </c>
      <c r="K213" s="13">
        <v>14420</v>
      </c>
      <c r="L213" s="13">
        <v>18</v>
      </c>
      <c r="M213" s="13">
        <v>2558</v>
      </c>
      <c r="N213" s="13">
        <v>1505</v>
      </c>
      <c r="O213" s="13">
        <v>17</v>
      </c>
      <c r="P213" s="13">
        <v>9</v>
      </c>
      <c r="Q213" s="13">
        <v>47</v>
      </c>
      <c r="R213" s="13">
        <v>26</v>
      </c>
      <c r="S213" s="13">
        <v>1</v>
      </c>
      <c r="T213" s="23">
        <v>46247.508726851855</v>
      </c>
      <c r="U213" s="55">
        <f t="shared" si="9"/>
        <v>0.5</v>
      </c>
      <c r="V213" s="55">
        <f t="shared" si="10"/>
        <v>0.5</v>
      </c>
      <c r="W213" s="56">
        <f t="shared" si="11"/>
        <v>12132.333333333334</v>
      </c>
    </row>
    <row r="214" spans="1:23" x14ac:dyDescent="0.3">
      <c r="A214" s="13" t="s">
        <v>0</v>
      </c>
      <c r="B214">
        <v>1</v>
      </c>
      <c r="C214" s="13">
        <v>1</v>
      </c>
      <c r="D214" s="13">
        <v>0</v>
      </c>
      <c r="E214" s="13">
        <v>122112</v>
      </c>
      <c r="F214" s="13">
        <v>280136</v>
      </c>
      <c r="G214" s="13">
        <v>396</v>
      </c>
      <c r="H214" s="13">
        <v>2094152</v>
      </c>
      <c r="I214" s="13">
        <v>1</v>
      </c>
      <c r="J214" s="13">
        <v>0</v>
      </c>
      <c r="K214" s="13">
        <v>15812</v>
      </c>
      <c r="L214" s="13">
        <v>41</v>
      </c>
      <c r="M214" s="13">
        <v>2541</v>
      </c>
      <c r="N214" s="13">
        <v>1439</v>
      </c>
      <c r="O214" s="13">
        <v>18</v>
      </c>
      <c r="P214" s="13">
        <v>9</v>
      </c>
      <c r="Q214" s="13">
        <v>48</v>
      </c>
      <c r="R214" s="13">
        <v>24</v>
      </c>
      <c r="S214" s="13">
        <v>1</v>
      </c>
      <c r="T214" s="23">
        <v>46247.508842592593</v>
      </c>
      <c r="U214" s="55">
        <f t="shared" si="9"/>
        <v>0.66666666666666663</v>
      </c>
      <c r="V214" s="55">
        <f t="shared" si="10"/>
        <v>0.33333333333333331</v>
      </c>
      <c r="W214" s="56">
        <f t="shared" si="11"/>
        <v>13355.5</v>
      </c>
    </row>
    <row r="215" spans="1:23" x14ac:dyDescent="0.3">
      <c r="A215" s="13" t="s">
        <v>0</v>
      </c>
      <c r="B215">
        <v>1</v>
      </c>
      <c r="C215" s="13">
        <v>1</v>
      </c>
      <c r="D215" s="13">
        <v>0</v>
      </c>
      <c r="E215" s="13">
        <v>122112</v>
      </c>
      <c r="F215" s="13">
        <v>136496</v>
      </c>
      <c r="G215" s="13">
        <v>404</v>
      </c>
      <c r="H215" s="13">
        <v>2238384</v>
      </c>
      <c r="I215" s="13">
        <v>1</v>
      </c>
      <c r="J215" s="13">
        <v>0</v>
      </c>
      <c r="K215" s="13">
        <v>14424</v>
      </c>
      <c r="L215" s="13">
        <v>14</v>
      </c>
      <c r="M215" s="13">
        <v>2579</v>
      </c>
      <c r="N215" s="13">
        <v>1503</v>
      </c>
      <c r="O215" s="13">
        <v>19</v>
      </c>
      <c r="P215" s="13">
        <v>7</v>
      </c>
      <c r="Q215" s="13">
        <v>47</v>
      </c>
      <c r="R215" s="13">
        <v>25</v>
      </c>
      <c r="S215" s="13">
        <v>1</v>
      </c>
      <c r="T215" s="23">
        <v>46247.508958333332</v>
      </c>
      <c r="U215" s="55">
        <f t="shared" si="9"/>
        <v>0.66666666666666663</v>
      </c>
      <c r="V215" s="55">
        <f t="shared" si="10"/>
        <v>0.33333333333333331</v>
      </c>
      <c r="W215" s="56">
        <f t="shared" si="11"/>
        <v>13470.833333333334</v>
      </c>
    </row>
    <row r="216" spans="1:23" x14ac:dyDescent="0.3">
      <c r="A216" s="13" t="s">
        <v>0</v>
      </c>
      <c r="B216">
        <v>1</v>
      </c>
      <c r="C216" s="13">
        <v>1</v>
      </c>
      <c r="D216" s="13">
        <v>0</v>
      </c>
      <c r="E216" s="13">
        <v>122112</v>
      </c>
      <c r="F216" s="13">
        <v>107360</v>
      </c>
      <c r="G216" s="13">
        <v>428</v>
      </c>
      <c r="H216" s="13">
        <v>2264336</v>
      </c>
      <c r="I216" s="13">
        <v>1</v>
      </c>
      <c r="J216" s="13">
        <v>17</v>
      </c>
      <c r="K216" s="13">
        <v>12498</v>
      </c>
      <c r="L216" s="13">
        <v>58</v>
      </c>
      <c r="M216" s="13">
        <v>2481</v>
      </c>
      <c r="N216" s="13">
        <v>1553</v>
      </c>
      <c r="O216" s="13">
        <v>19</v>
      </c>
      <c r="P216" s="13">
        <v>7</v>
      </c>
      <c r="Q216" s="13">
        <v>47</v>
      </c>
      <c r="R216" s="13">
        <v>27</v>
      </c>
      <c r="S216" s="13">
        <v>1</v>
      </c>
      <c r="T216" s="23">
        <v>46247.509074074071</v>
      </c>
      <c r="U216" s="55">
        <f t="shared" si="9"/>
        <v>0.83333333333333337</v>
      </c>
      <c r="V216" s="55">
        <f t="shared" si="10"/>
        <v>0.16666666666666666</v>
      </c>
      <c r="W216" s="56">
        <f t="shared" si="11"/>
        <v>13480.166666666666</v>
      </c>
    </row>
    <row r="217" spans="1:23" x14ac:dyDescent="0.3">
      <c r="A217" s="13" t="s">
        <v>0</v>
      </c>
      <c r="B217">
        <v>1</v>
      </c>
      <c r="C217" s="13">
        <v>2</v>
      </c>
      <c r="D217" s="13">
        <v>0</v>
      </c>
      <c r="E217" s="13">
        <v>122112</v>
      </c>
      <c r="F217" s="13">
        <v>143992</v>
      </c>
      <c r="G217" s="13">
        <v>436</v>
      </c>
      <c r="H217" s="13">
        <v>2237636</v>
      </c>
      <c r="I217" s="13">
        <v>0</v>
      </c>
      <c r="J217" s="13">
        <v>0</v>
      </c>
      <c r="K217" s="13">
        <v>17196</v>
      </c>
      <c r="L217" s="13">
        <v>12</v>
      </c>
      <c r="M217" s="13">
        <v>2582</v>
      </c>
      <c r="N217" s="13">
        <v>1541</v>
      </c>
      <c r="O217" s="13">
        <v>21</v>
      </c>
      <c r="P217" s="13">
        <v>6</v>
      </c>
      <c r="Q217" s="13">
        <v>48</v>
      </c>
      <c r="R217" s="13">
        <v>25</v>
      </c>
      <c r="S217" s="13">
        <v>1</v>
      </c>
      <c r="T217" s="23">
        <v>46247.509189814817</v>
      </c>
      <c r="U217" s="55">
        <f t="shared" si="9"/>
        <v>1</v>
      </c>
      <c r="V217" s="55">
        <f t="shared" si="10"/>
        <v>0.16666666666666666</v>
      </c>
      <c r="W217" s="56">
        <f t="shared" si="11"/>
        <v>14529</v>
      </c>
    </row>
    <row r="218" spans="1:23" x14ac:dyDescent="0.3">
      <c r="A218" s="13" t="s">
        <v>0</v>
      </c>
      <c r="B218">
        <v>1</v>
      </c>
      <c r="C218" s="13">
        <v>1</v>
      </c>
      <c r="D218" s="13">
        <v>0</v>
      </c>
      <c r="E218" s="13">
        <v>122112</v>
      </c>
      <c r="F218" s="13">
        <v>129276</v>
      </c>
      <c r="G218" s="13">
        <v>444</v>
      </c>
      <c r="H218" s="13">
        <v>2260868</v>
      </c>
      <c r="I218" s="13">
        <v>0</v>
      </c>
      <c r="J218" s="13">
        <v>7</v>
      </c>
      <c r="K218" s="13">
        <v>13081</v>
      </c>
      <c r="L218" s="13">
        <v>40</v>
      </c>
      <c r="M218" s="13">
        <v>2759</v>
      </c>
      <c r="N218" s="13">
        <v>1711</v>
      </c>
      <c r="O218" s="13">
        <v>21</v>
      </c>
      <c r="P218" s="13">
        <v>7</v>
      </c>
      <c r="Q218" s="13">
        <v>46</v>
      </c>
      <c r="R218" s="13">
        <v>25</v>
      </c>
      <c r="S218" s="13">
        <v>1</v>
      </c>
      <c r="T218" s="23">
        <v>46247.509305555555</v>
      </c>
      <c r="U218" s="55">
        <f t="shared" si="9"/>
        <v>1.1666666666666667</v>
      </c>
      <c r="V218" s="55">
        <f t="shared" si="10"/>
        <v>0</v>
      </c>
      <c r="W218" s="56">
        <f t="shared" si="11"/>
        <v>14571.833333333334</v>
      </c>
    </row>
    <row r="219" spans="1:23" x14ac:dyDescent="0.3">
      <c r="A219" s="13" t="s">
        <v>0</v>
      </c>
      <c r="B219">
        <v>1</v>
      </c>
      <c r="C219" s="13">
        <v>1</v>
      </c>
      <c r="D219" s="13">
        <v>0</v>
      </c>
      <c r="E219" s="13">
        <v>122112</v>
      </c>
      <c r="F219" s="13">
        <v>120716</v>
      </c>
      <c r="G219" s="13">
        <v>448</v>
      </c>
      <c r="H219" s="13">
        <v>2271552</v>
      </c>
      <c r="I219" s="13">
        <v>0</v>
      </c>
      <c r="J219" s="13">
        <v>0</v>
      </c>
      <c r="K219" s="13">
        <v>16762</v>
      </c>
      <c r="L219" s="13">
        <v>14</v>
      </c>
      <c r="M219" s="13">
        <v>2830</v>
      </c>
      <c r="N219" s="13">
        <v>1612</v>
      </c>
      <c r="O219" s="13">
        <v>21</v>
      </c>
      <c r="P219" s="13">
        <v>6</v>
      </c>
      <c r="Q219" s="13">
        <v>47</v>
      </c>
      <c r="R219" s="13">
        <v>25</v>
      </c>
      <c r="S219" s="13">
        <v>1</v>
      </c>
      <c r="T219" s="23">
        <v>46247.509421296294</v>
      </c>
      <c r="U219" s="55">
        <f t="shared" si="9"/>
        <v>1.1666666666666667</v>
      </c>
      <c r="V219" s="55">
        <f t="shared" si="10"/>
        <v>0</v>
      </c>
      <c r="W219" s="56">
        <f t="shared" si="11"/>
        <v>14962.166666666666</v>
      </c>
    </row>
    <row r="220" spans="1:23" x14ac:dyDescent="0.3">
      <c r="A220" s="13" t="s">
        <v>0</v>
      </c>
      <c r="B220">
        <v>1</v>
      </c>
      <c r="C220" s="13">
        <v>1</v>
      </c>
      <c r="D220" s="13">
        <v>0</v>
      </c>
      <c r="E220" s="13">
        <v>122112</v>
      </c>
      <c r="F220" s="13">
        <v>125500</v>
      </c>
      <c r="G220" s="13">
        <v>464</v>
      </c>
      <c r="H220" s="13">
        <v>2265984</v>
      </c>
      <c r="I220" s="13">
        <v>1</v>
      </c>
      <c r="J220" s="13">
        <v>0</v>
      </c>
      <c r="K220" s="13">
        <v>16130</v>
      </c>
      <c r="L220" s="13">
        <v>16</v>
      </c>
      <c r="M220" s="13">
        <v>2723</v>
      </c>
      <c r="N220" s="13">
        <v>1636</v>
      </c>
      <c r="O220" s="13">
        <v>22</v>
      </c>
      <c r="P220" s="13">
        <v>6</v>
      </c>
      <c r="Q220" s="13">
        <v>47</v>
      </c>
      <c r="R220" s="13">
        <v>24</v>
      </c>
      <c r="S220" s="13">
        <v>1</v>
      </c>
      <c r="T220" s="23">
        <v>46247.50953703704</v>
      </c>
      <c r="U220" s="55">
        <f t="shared" si="9"/>
        <v>1.1666666666666667</v>
      </c>
      <c r="V220" s="55">
        <f t="shared" si="10"/>
        <v>0</v>
      </c>
      <c r="W220" s="56">
        <f t="shared" si="11"/>
        <v>15015.166666666666</v>
      </c>
    </row>
    <row r="221" spans="1:23" x14ac:dyDescent="0.3">
      <c r="A221" s="13" t="s">
        <v>0</v>
      </c>
      <c r="B221">
        <v>1</v>
      </c>
      <c r="C221" s="13">
        <v>0</v>
      </c>
      <c r="D221" s="13">
        <v>1</v>
      </c>
      <c r="E221" s="13">
        <v>122112</v>
      </c>
      <c r="F221" s="13">
        <v>120216</v>
      </c>
      <c r="G221" s="13">
        <v>472</v>
      </c>
      <c r="H221" s="13">
        <v>2265220</v>
      </c>
      <c r="I221" s="13">
        <v>1</v>
      </c>
      <c r="J221" s="13">
        <v>0</v>
      </c>
      <c r="K221" s="13">
        <v>15530</v>
      </c>
      <c r="L221" s="13">
        <v>14</v>
      </c>
      <c r="M221" s="13">
        <v>2827</v>
      </c>
      <c r="N221" s="13">
        <v>1702</v>
      </c>
      <c r="O221" s="13">
        <v>22</v>
      </c>
      <c r="P221" s="13">
        <v>7</v>
      </c>
      <c r="Q221" s="13">
        <v>46</v>
      </c>
      <c r="R221" s="13">
        <v>24</v>
      </c>
      <c r="S221" s="13">
        <v>1</v>
      </c>
      <c r="T221" s="23">
        <v>46247.509652777779</v>
      </c>
      <c r="U221" s="55">
        <f t="shared" si="9"/>
        <v>1</v>
      </c>
      <c r="V221" s="55">
        <f t="shared" si="10"/>
        <v>0.16666666666666666</v>
      </c>
      <c r="W221" s="56">
        <f t="shared" si="11"/>
        <v>15199.5</v>
      </c>
    </row>
    <row r="222" spans="1:23" x14ac:dyDescent="0.3">
      <c r="A222" s="13" t="s">
        <v>0</v>
      </c>
      <c r="B222">
        <v>1</v>
      </c>
      <c r="C222" s="13">
        <v>0</v>
      </c>
      <c r="D222" s="13">
        <v>1</v>
      </c>
      <c r="E222" s="13">
        <v>122112</v>
      </c>
      <c r="F222" s="13">
        <v>131304</v>
      </c>
      <c r="G222" s="13">
        <v>524</v>
      </c>
      <c r="H222" s="13">
        <v>2254852</v>
      </c>
      <c r="I222" s="13">
        <v>1</v>
      </c>
      <c r="J222" s="13">
        <v>0</v>
      </c>
      <c r="K222" s="13">
        <v>15689</v>
      </c>
      <c r="L222" s="13">
        <v>61</v>
      </c>
      <c r="M222" s="13">
        <v>2809</v>
      </c>
      <c r="N222" s="13">
        <v>1683</v>
      </c>
      <c r="O222" s="13">
        <v>20</v>
      </c>
      <c r="P222" s="13">
        <v>7</v>
      </c>
      <c r="Q222" s="13">
        <v>46</v>
      </c>
      <c r="R222" s="13">
        <v>25</v>
      </c>
      <c r="S222" s="13">
        <v>1</v>
      </c>
      <c r="T222" s="23">
        <v>46247.509768518517</v>
      </c>
      <c r="U222" s="55">
        <f t="shared" si="9"/>
        <v>0.83333333333333337</v>
      </c>
      <c r="V222" s="55">
        <f t="shared" si="10"/>
        <v>0.33333333333333331</v>
      </c>
      <c r="W222" s="56">
        <f t="shared" si="11"/>
        <v>15731.333333333334</v>
      </c>
    </row>
    <row r="223" spans="1:23" x14ac:dyDescent="0.3">
      <c r="A223" s="13" t="s">
        <v>0</v>
      </c>
      <c r="B223">
        <v>1</v>
      </c>
      <c r="C223" s="13">
        <v>1</v>
      </c>
      <c r="D223" s="13">
        <v>0</v>
      </c>
      <c r="E223" s="13">
        <v>122112</v>
      </c>
      <c r="F223" s="13">
        <v>144024</v>
      </c>
      <c r="G223" s="13">
        <v>532</v>
      </c>
      <c r="H223" s="13">
        <v>2241220</v>
      </c>
      <c r="I223" s="13">
        <v>0</v>
      </c>
      <c r="J223" s="13">
        <v>0</v>
      </c>
      <c r="K223" s="13">
        <v>14971</v>
      </c>
      <c r="L223" s="13">
        <v>2</v>
      </c>
      <c r="M223" s="13">
        <v>3329</v>
      </c>
      <c r="N223" s="13">
        <v>2219</v>
      </c>
      <c r="O223" s="13">
        <v>22</v>
      </c>
      <c r="P223" s="13">
        <v>10</v>
      </c>
      <c r="Q223" s="13">
        <v>45</v>
      </c>
      <c r="R223" s="13">
        <v>22</v>
      </c>
      <c r="S223" s="13">
        <v>1</v>
      </c>
      <c r="T223" s="23">
        <v>46247.509884259256</v>
      </c>
      <c r="U223" s="55">
        <f t="shared" si="9"/>
        <v>0.66666666666666663</v>
      </c>
      <c r="V223" s="55">
        <f t="shared" si="10"/>
        <v>0.33333333333333331</v>
      </c>
      <c r="W223" s="56">
        <f t="shared" si="11"/>
        <v>15360.5</v>
      </c>
    </row>
    <row r="224" spans="1:23" x14ac:dyDescent="0.3">
      <c r="A224" s="13" t="s">
        <v>0</v>
      </c>
      <c r="B224">
        <v>1</v>
      </c>
      <c r="C224" s="13">
        <v>0</v>
      </c>
      <c r="D224" s="13">
        <v>1</v>
      </c>
      <c r="E224" s="13">
        <v>122112</v>
      </c>
      <c r="F224" s="13">
        <v>152776</v>
      </c>
      <c r="G224" s="13">
        <v>540</v>
      </c>
      <c r="H224" s="13">
        <v>2232436</v>
      </c>
      <c r="I224" s="13">
        <v>0</v>
      </c>
      <c r="J224" s="13">
        <v>0</v>
      </c>
      <c r="K224" s="13">
        <v>15913</v>
      </c>
      <c r="L224" s="13">
        <v>7</v>
      </c>
      <c r="M224" s="13">
        <v>2606</v>
      </c>
      <c r="N224" s="13">
        <v>1477</v>
      </c>
      <c r="O224" s="13">
        <v>21</v>
      </c>
      <c r="P224" s="13">
        <v>6</v>
      </c>
      <c r="Q224" s="13">
        <v>48</v>
      </c>
      <c r="R224" s="13">
        <v>25</v>
      </c>
      <c r="S224" s="13">
        <v>1</v>
      </c>
      <c r="T224" s="23">
        <v>46247.51</v>
      </c>
      <c r="U224" s="55">
        <f t="shared" si="9"/>
        <v>0.5</v>
      </c>
      <c r="V224" s="55">
        <f t="shared" si="10"/>
        <v>0.5</v>
      </c>
      <c r="W224" s="56">
        <f t="shared" si="11"/>
        <v>15832.5</v>
      </c>
    </row>
    <row r="225" spans="1:23" x14ac:dyDescent="0.3">
      <c r="A225" s="13" t="s">
        <v>0</v>
      </c>
      <c r="B225">
        <v>1</v>
      </c>
      <c r="C225" s="13">
        <v>1</v>
      </c>
      <c r="D225" s="13">
        <v>0</v>
      </c>
      <c r="E225" s="13">
        <v>122112</v>
      </c>
      <c r="F225" s="13">
        <v>117952</v>
      </c>
      <c r="G225" s="13">
        <v>548</v>
      </c>
      <c r="H225" s="13">
        <v>2269648</v>
      </c>
      <c r="I225" s="13">
        <v>0</v>
      </c>
      <c r="J225" s="13">
        <v>0</v>
      </c>
      <c r="K225" s="13">
        <v>14596</v>
      </c>
      <c r="L225" s="13">
        <v>13</v>
      </c>
      <c r="M225" s="13">
        <v>3031</v>
      </c>
      <c r="N225" s="13">
        <v>1953</v>
      </c>
      <c r="O225" s="13">
        <v>22</v>
      </c>
      <c r="P225" s="13">
        <v>8</v>
      </c>
      <c r="Q225" s="13">
        <v>46</v>
      </c>
      <c r="R225" s="13">
        <v>23</v>
      </c>
      <c r="S225" s="13">
        <v>1</v>
      </c>
      <c r="T225" s="23">
        <v>46247.510115740741</v>
      </c>
      <c r="U225" s="55">
        <f t="shared" si="9"/>
        <v>0.5</v>
      </c>
      <c r="V225" s="55">
        <f t="shared" si="10"/>
        <v>0.5</v>
      </c>
      <c r="W225" s="56">
        <f t="shared" si="11"/>
        <v>15471.5</v>
      </c>
    </row>
    <row r="226" spans="1:23" x14ac:dyDescent="0.3">
      <c r="A226" s="13" t="s">
        <v>0</v>
      </c>
      <c r="B226">
        <v>1</v>
      </c>
      <c r="C226" s="13">
        <v>1</v>
      </c>
      <c r="D226" s="13">
        <v>0</v>
      </c>
      <c r="E226" s="13">
        <v>122112</v>
      </c>
      <c r="F226" s="13">
        <v>113348</v>
      </c>
      <c r="G226" s="13">
        <v>556</v>
      </c>
      <c r="H226" s="13">
        <v>2270736</v>
      </c>
      <c r="I226" s="13">
        <v>0</v>
      </c>
      <c r="J226" s="13">
        <v>0</v>
      </c>
      <c r="K226" s="13">
        <v>16629</v>
      </c>
      <c r="L226" s="13">
        <v>9</v>
      </c>
      <c r="M226" s="13">
        <v>2603</v>
      </c>
      <c r="N226" s="13">
        <v>1533</v>
      </c>
      <c r="O226" s="13">
        <v>21</v>
      </c>
      <c r="P226" s="13">
        <v>6</v>
      </c>
      <c r="Q226" s="13">
        <v>48</v>
      </c>
      <c r="R226" s="13">
        <v>25</v>
      </c>
      <c r="S226" s="13">
        <v>1</v>
      </c>
      <c r="T226" s="23">
        <v>46247.510231481479</v>
      </c>
      <c r="U226" s="55">
        <f t="shared" si="9"/>
        <v>0.5</v>
      </c>
      <c r="V226" s="55">
        <f t="shared" si="10"/>
        <v>0.5</v>
      </c>
      <c r="W226" s="56">
        <f t="shared" si="11"/>
        <v>15554.666666666666</v>
      </c>
    </row>
    <row r="227" spans="1:23" x14ac:dyDescent="0.3">
      <c r="A227" s="13" t="s">
        <v>0</v>
      </c>
      <c r="B227">
        <v>1</v>
      </c>
      <c r="C227" s="13">
        <v>1</v>
      </c>
      <c r="D227" s="13">
        <v>0</v>
      </c>
      <c r="E227" s="13">
        <v>122112</v>
      </c>
      <c r="F227" s="13">
        <v>141652</v>
      </c>
      <c r="G227" s="13">
        <v>564</v>
      </c>
      <c r="H227" s="13">
        <v>2245040</v>
      </c>
      <c r="I227" s="13">
        <v>0</v>
      </c>
      <c r="J227" s="13">
        <v>0</v>
      </c>
      <c r="K227" s="13">
        <v>13621</v>
      </c>
      <c r="L227" s="13">
        <v>22</v>
      </c>
      <c r="M227" s="13">
        <v>2957</v>
      </c>
      <c r="N227" s="13">
        <v>1838</v>
      </c>
      <c r="O227" s="13">
        <v>22</v>
      </c>
      <c r="P227" s="13">
        <v>8</v>
      </c>
      <c r="Q227" s="13">
        <v>46</v>
      </c>
      <c r="R227" s="13">
        <v>24</v>
      </c>
      <c r="S227" s="13">
        <v>1</v>
      </c>
      <c r="T227" s="23">
        <v>46247.510347222225</v>
      </c>
      <c r="U227" s="55">
        <f t="shared" si="9"/>
        <v>0.66666666666666663</v>
      </c>
      <c r="V227" s="55">
        <f t="shared" si="10"/>
        <v>0.33333333333333331</v>
      </c>
      <c r="W227" s="56">
        <f t="shared" si="11"/>
        <v>15236.5</v>
      </c>
    </row>
    <row r="228" spans="1:23" x14ac:dyDescent="0.3">
      <c r="A228" s="13" t="s">
        <v>0</v>
      </c>
      <c r="B228">
        <v>1</v>
      </c>
      <c r="C228" s="13">
        <v>1</v>
      </c>
      <c r="D228" s="13">
        <v>0</v>
      </c>
      <c r="E228" s="13">
        <v>122112</v>
      </c>
      <c r="F228" s="13">
        <v>101972</v>
      </c>
      <c r="G228" s="13">
        <v>588</v>
      </c>
      <c r="H228" s="13">
        <v>2280788</v>
      </c>
      <c r="I228" s="13">
        <v>0</v>
      </c>
      <c r="J228" s="13">
        <v>0</v>
      </c>
      <c r="K228" s="13">
        <v>14072</v>
      </c>
      <c r="L228" s="13">
        <v>37</v>
      </c>
      <c r="M228" s="13">
        <v>2604</v>
      </c>
      <c r="N228" s="13">
        <v>1545</v>
      </c>
      <c r="O228" s="13">
        <v>21</v>
      </c>
      <c r="P228" s="13">
        <v>6</v>
      </c>
      <c r="Q228" s="13">
        <v>47</v>
      </c>
      <c r="R228" s="13">
        <v>25</v>
      </c>
      <c r="S228" s="13">
        <v>2</v>
      </c>
      <c r="T228" s="23">
        <v>46247.510462962964</v>
      </c>
      <c r="U228" s="55">
        <f t="shared" si="9"/>
        <v>0.83333333333333337</v>
      </c>
      <c r="V228" s="55">
        <f t="shared" si="10"/>
        <v>0.16666666666666666</v>
      </c>
      <c r="W228" s="56">
        <f t="shared" si="11"/>
        <v>14967</v>
      </c>
    </row>
    <row r="229" spans="1:23" x14ac:dyDescent="0.3">
      <c r="A229" s="13" t="s">
        <v>0</v>
      </c>
      <c r="B229">
        <v>1</v>
      </c>
      <c r="C229" s="13">
        <v>0</v>
      </c>
      <c r="D229" s="13">
        <v>1</v>
      </c>
      <c r="E229" s="13">
        <v>121600</v>
      </c>
      <c r="F229" s="13">
        <v>118264</v>
      </c>
      <c r="G229" s="13">
        <v>724</v>
      </c>
      <c r="H229" s="13">
        <v>2265004</v>
      </c>
      <c r="I229" s="13">
        <v>159</v>
      </c>
      <c r="J229" s="13">
        <v>0</v>
      </c>
      <c r="K229" s="13">
        <v>14177</v>
      </c>
      <c r="L229" s="13">
        <v>17</v>
      </c>
      <c r="M229" s="13">
        <v>2298</v>
      </c>
      <c r="N229" s="13">
        <v>1332</v>
      </c>
      <c r="O229" s="13">
        <v>19</v>
      </c>
      <c r="P229" s="13">
        <v>6</v>
      </c>
      <c r="Q229" s="13">
        <v>46</v>
      </c>
      <c r="R229" s="13">
        <v>27</v>
      </c>
      <c r="S229" s="13">
        <v>2</v>
      </c>
      <c r="T229" s="23">
        <v>46247.510578703703</v>
      </c>
      <c r="U229" s="55">
        <f t="shared" si="9"/>
        <v>0.66666666666666663</v>
      </c>
      <c r="V229" s="55">
        <f t="shared" si="10"/>
        <v>0.33333333333333331</v>
      </c>
      <c r="W229" s="56">
        <f t="shared" si="11"/>
        <v>14834.666666666666</v>
      </c>
    </row>
    <row r="230" spans="1:23" x14ac:dyDescent="0.3">
      <c r="A230" s="13" t="s">
        <v>0</v>
      </c>
      <c r="B230">
        <v>1</v>
      </c>
      <c r="C230" s="13">
        <v>1</v>
      </c>
      <c r="D230" s="13">
        <v>0</v>
      </c>
      <c r="E230" s="13">
        <v>121600</v>
      </c>
      <c r="F230" s="13">
        <v>143028</v>
      </c>
      <c r="G230" s="13">
        <v>732</v>
      </c>
      <c r="H230" s="13">
        <v>2242008</v>
      </c>
      <c r="I230" s="13">
        <v>4</v>
      </c>
      <c r="J230" s="13">
        <v>0</v>
      </c>
      <c r="K230" s="13">
        <v>11576</v>
      </c>
      <c r="L230" s="13">
        <v>39</v>
      </c>
      <c r="M230" s="13">
        <v>2679</v>
      </c>
      <c r="N230" s="13">
        <v>1661</v>
      </c>
      <c r="O230" s="13">
        <v>21</v>
      </c>
      <c r="P230" s="13">
        <v>7</v>
      </c>
      <c r="Q230" s="13">
        <v>46</v>
      </c>
      <c r="R230" s="13">
        <v>24</v>
      </c>
      <c r="S230" s="13">
        <v>2</v>
      </c>
      <c r="T230" s="23">
        <v>46247.510694444441</v>
      </c>
      <c r="U230" s="55">
        <f t="shared" si="9"/>
        <v>0.83333333333333337</v>
      </c>
      <c r="V230" s="55">
        <f t="shared" si="10"/>
        <v>0.16666666666666666</v>
      </c>
      <c r="W230" s="56">
        <f t="shared" si="11"/>
        <v>14111.833333333334</v>
      </c>
    </row>
    <row r="231" spans="1:23" x14ac:dyDescent="0.3">
      <c r="A231" s="13" t="s">
        <v>0</v>
      </c>
      <c r="B231">
        <v>1</v>
      </c>
      <c r="C231" s="13">
        <v>0</v>
      </c>
      <c r="D231" s="13">
        <v>1</v>
      </c>
      <c r="E231" s="13">
        <v>121600</v>
      </c>
      <c r="F231" s="13">
        <v>104512</v>
      </c>
      <c r="G231" s="13">
        <v>748</v>
      </c>
      <c r="H231" s="13">
        <v>2283152</v>
      </c>
      <c r="I231" s="13">
        <v>0</v>
      </c>
      <c r="J231" s="13">
        <v>0</v>
      </c>
      <c r="K231" s="13">
        <v>16185</v>
      </c>
      <c r="L231" s="13">
        <v>12</v>
      </c>
      <c r="M231" s="13">
        <v>2515</v>
      </c>
      <c r="N231" s="13">
        <v>1431</v>
      </c>
      <c r="O231" s="13">
        <v>20</v>
      </c>
      <c r="P231" s="13">
        <v>6</v>
      </c>
      <c r="Q231" s="13">
        <v>48</v>
      </c>
      <c r="R231" s="13">
        <v>25</v>
      </c>
      <c r="S231" s="13">
        <v>1</v>
      </c>
      <c r="T231" s="23">
        <v>46247.510810185187</v>
      </c>
      <c r="U231" s="55">
        <f t="shared" si="9"/>
        <v>0.66666666666666663</v>
      </c>
      <c r="V231" s="55">
        <f t="shared" si="10"/>
        <v>0.33333333333333331</v>
      </c>
      <c r="W231" s="56">
        <f t="shared" si="11"/>
        <v>14376.666666666666</v>
      </c>
    </row>
    <row r="232" spans="1:23" x14ac:dyDescent="0.3">
      <c r="A232" s="13" t="s">
        <v>0</v>
      </c>
      <c r="B232">
        <v>1</v>
      </c>
      <c r="C232" s="13">
        <v>0</v>
      </c>
      <c r="D232" s="13">
        <v>1</v>
      </c>
      <c r="E232" s="13">
        <v>121600</v>
      </c>
      <c r="F232" s="13">
        <v>104848</v>
      </c>
      <c r="G232" s="13">
        <v>756</v>
      </c>
      <c r="H232" s="13">
        <v>2272256</v>
      </c>
      <c r="I232" s="13">
        <v>0</v>
      </c>
      <c r="J232" s="13">
        <v>0</v>
      </c>
      <c r="K232" s="13">
        <v>13215</v>
      </c>
      <c r="L232" s="13">
        <v>22</v>
      </c>
      <c r="M232" s="13">
        <v>2373</v>
      </c>
      <c r="N232" s="13">
        <v>1284</v>
      </c>
      <c r="O232" s="13">
        <v>19</v>
      </c>
      <c r="P232" s="13">
        <v>6</v>
      </c>
      <c r="Q232" s="13">
        <v>47</v>
      </c>
      <c r="R232" s="13">
        <v>26</v>
      </c>
      <c r="S232" s="13">
        <v>2</v>
      </c>
      <c r="T232" s="23">
        <v>46247.510925925926</v>
      </c>
      <c r="U232" s="55">
        <f t="shared" si="9"/>
        <v>0.5</v>
      </c>
      <c r="V232" s="55">
        <f t="shared" si="10"/>
        <v>0.5</v>
      </c>
      <c r="W232" s="56">
        <f t="shared" si="11"/>
        <v>13807.666666666666</v>
      </c>
    </row>
    <row r="233" spans="1:23" x14ac:dyDescent="0.3">
      <c r="A233" s="13" t="s">
        <v>0</v>
      </c>
      <c r="B233">
        <v>1</v>
      </c>
      <c r="C233" s="13">
        <v>0</v>
      </c>
      <c r="D233" s="13">
        <v>1</v>
      </c>
      <c r="E233" s="13">
        <v>121600</v>
      </c>
      <c r="F233" s="13">
        <v>113456</v>
      </c>
      <c r="G233" s="13">
        <v>764</v>
      </c>
      <c r="H233" s="13">
        <v>2277596</v>
      </c>
      <c r="I233" s="13">
        <v>0</v>
      </c>
      <c r="J233" s="13">
        <v>0</v>
      </c>
      <c r="K233" s="13">
        <v>13427</v>
      </c>
      <c r="L233" s="13">
        <v>16</v>
      </c>
      <c r="M233" s="13">
        <v>2671</v>
      </c>
      <c r="N233" s="13">
        <v>1697</v>
      </c>
      <c r="O233" s="13">
        <v>20</v>
      </c>
      <c r="P233" s="13">
        <v>8</v>
      </c>
      <c r="Q233" s="13">
        <v>46</v>
      </c>
      <c r="R233" s="13">
        <v>25</v>
      </c>
      <c r="S233" s="13">
        <v>1</v>
      </c>
      <c r="T233" s="23">
        <v>46247.511041666665</v>
      </c>
      <c r="U233" s="55">
        <f t="shared" si="9"/>
        <v>0.33333333333333331</v>
      </c>
      <c r="V233" s="55">
        <f t="shared" si="10"/>
        <v>0.66666666666666663</v>
      </c>
      <c r="W233" s="56">
        <f t="shared" si="11"/>
        <v>13775.333333333334</v>
      </c>
    </row>
    <row r="234" spans="1:23" x14ac:dyDescent="0.3">
      <c r="A234" s="13" t="s">
        <v>0</v>
      </c>
      <c r="B234">
        <v>1</v>
      </c>
      <c r="C234" s="13">
        <v>0</v>
      </c>
      <c r="D234" s="13">
        <v>1</v>
      </c>
      <c r="E234" s="13">
        <v>121600</v>
      </c>
      <c r="F234" s="13">
        <v>117084</v>
      </c>
      <c r="G234" s="13">
        <v>820</v>
      </c>
      <c r="H234" s="13">
        <v>2262228</v>
      </c>
      <c r="I234" s="13">
        <v>0</v>
      </c>
      <c r="J234" s="13">
        <v>0</v>
      </c>
      <c r="K234" s="13">
        <v>14390</v>
      </c>
      <c r="L234" s="13">
        <v>46</v>
      </c>
      <c r="M234" s="13">
        <v>2440</v>
      </c>
      <c r="N234" s="13">
        <v>1345</v>
      </c>
      <c r="O234" s="13">
        <v>19</v>
      </c>
      <c r="P234" s="13">
        <v>6</v>
      </c>
      <c r="Q234" s="13">
        <v>47</v>
      </c>
      <c r="R234" s="13">
        <v>26</v>
      </c>
      <c r="S234" s="13">
        <v>1</v>
      </c>
      <c r="T234" s="23">
        <v>46247.511157407411</v>
      </c>
      <c r="U234" s="55">
        <f t="shared" si="9"/>
        <v>0.16666666666666666</v>
      </c>
      <c r="V234" s="55">
        <f t="shared" si="10"/>
        <v>0.83333333333333337</v>
      </c>
      <c r="W234" s="56">
        <f t="shared" si="11"/>
        <v>13828.333333333334</v>
      </c>
    </row>
    <row r="235" spans="1:23" x14ac:dyDescent="0.3">
      <c r="A235" s="13" t="s">
        <v>0</v>
      </c>
      <c r="B235">
        <v>1</v>
      </c>
      <c r="C235" s="13">
        <v>1</v>
      </c>
      <c r="D235" s="13">
        <v>0</v>
      </c>
      <c r="E235" s="13">
        <v>121600</v>
      </c>
      <c r="F235" s="13">
        <v>113524</v>
      </c>
      <c r="G235" s="13">
        <v>836</v>
      </c>
      <c r="H235" s="13">
        <v>2274884</v>
      </c>
      <c r="I235" s="13">
        <v>0</v>
      </c>
      <c r="J235" s="13">
        <v>0</v>
      </c>
      <c r="K235" s="13">
        <v>12799</v>
      </c>
      <c r="L235" s="13">
        <v>20</v>
      </c>
      <c r="M235" s="13">
        <v>2399</v>
      </c>
      <c r="N235" s="13">
        <v>1443</v>
      </c>
      <c r="O235" s="13">
        <v>20</v>
      </c>
      <c r="P235" s="13">
        <v>6</v>
      </c>
      <c r="Q235" s="13">
        <v>47</v>
      </c>
      <c r="R235" s="13">
        <v>25</v>
      </c>
      <c r="S235" s="13">
        <v>2</v>
      </c>
      <c r="T235" s="23">
        <v>46247.511273148149</v>
      </c>
      <c r="U235" s="55">
        <f t="shared" si="9"/>
        <v>0.33333333333333331</v>
      </c>
      <c r="V235" s="55">
        <f t="shared" si="10"/>
        <v>0.66666666666666663</v>
      </c>
      <c r="W235" s="56">
        <f t="shared" si="11"/>
        <v>13598.666666666666</v>
      </c>
    </row>
    <row r="236" spans="1:23" x14ac:dyDescent="0.3">
      <c r="A236" s="13" t="s">
        <v>0</v>
      </c>
      <c r="B236">
        <v>1</v>
      </c>
      <c r="C236" s="13">
        <v>0</v>
      </c>
      <c r="D236" s="13">
        <v>1</v>
      </c>
      <c r="E236" s="13">
        <v>121600</v>
      </c>
      <c r="F236" s="13">
        <v>125108</v>
      </c>
      <c r="G236" s="13">
        <v>844</v>
      </c>
      <c r="H236" s="13">
        <v>2267604</v>
      </c>
      <c r="I236" s="13">
        <v>0</v>
      </c>
      <c r="J236" s="13">
        <v>0</v>
      </c>
      <c r="K236" s="13">
        <v>12431</v>
      </c>
      <c r="L236" s="13">
        <v>15</v>
      </c>
      <c r="M236" s="13">
        <v>2727</v>
      </c>
      <c r="N236" s="13">
        <v>1680</v>
      </c>
      <c r="O236" s="13">
        <v>21</v>
      </c>
      <c r="P236" s="13">
        <v>7</v>
      </c>
      <c r="Q236" s="13">
        <v>46</v>
      </c>
      <c r="R236" s="13">
        <v>24</v>
      </c>
      <c r="S236" s="13">
        <v>1</v>
      </c>
      <c r="T236" s="23">
        <v>46247.511388888888</v>
      </c>
      <c r="U236" s="55">
        <f t="shared" si="9"/>
        <v>0.16666666666666666</v>
      </c>
      <c r="V236" s="55">
        <f t="shared" si="10"/>
        <v>0.83333333333333337</v>
      </c>
      <c r="W236" s="56">
        <f t="shared" si="11"/>
        <v>13741.166666666666</v>
      </c>
    </row>
    <row r="237" spans="1:23" x14ac:dyDescent="0.3">
      <c r="A237" s="13" t="s">
        <v>0</v>
      </c>
      <c r="B237">
        <v>1</v>
      </c>
      <c r="C237" s="13">
        <v>1</v>
      </c>
      <c r="D237" s="13">
        <v>0</v>
      </c>
      <c r="E237" s="13">
        <v>121856</v>
      </c>
      <c r="F237" s="13">
        <v>113948</v>
      </c>
      <c r="G237" s="13">
        <v>228</v>
      </c>
      <c r="H237" s="13">
        <v>2252368</v>
      </c>
      <c r="I237" s="13">
        <v>0</v>
      </c>
      <c r="J237" s="13">
        <v>4</v>
      </c>
      <c r="K237" s="13">
        <v>15237</v>
      </c>
      <c r="L237" s="13">
        <v>26</v>
      </c>
      <c r="M237" s="13">
        <v>2563</v>
      </c>
      <c r="N237" s="13">
        <v>1378</v>
      </c>
      <c r="O237" s="13">
        <v>21</v>
      </c>
      <c r="P237" s="13">
        <v>6</v>
      </c>
      <c r="Q237" s="13">
        <v>47</v>
      </c>
      <c r="R237" s="13">
        <v>25</v>
      </c>
      <c r="S237" s="13">
        <v>1</v>
      </c>
      <c r="T237" s="23">
        <v>46247.511504629627</v>
      </c>
      <c r="U237" s="55">
        <f t="shared" si="9"/>
        <v>0.33333333333333331</v>
      </c>
      <c r="V237" s="55">
        <f t="shared" si="10"/>
        <v>0.66666666666666663</v>
      </c>
      <c r="W237" s="56">
        <f t="shared" si="11"/>
        <v>13583.166666666666</v>
      </c>
    </row>
    <row r="238" spans="1:23" x14ac:dyDescent="0.3">
      <c r="A238" s="13" t="s">
        <v>0</v>
      </c>
      <c r="B238">
        <v>1</v>
      </c>
      <c r="C238" s="13">
        <v>0</v>
      </c>
      <c r="D238" s="13">
        <v>1</v>
      </c>
      <c r="E238" s="13">
        <v>121600</v>
      </c>
      <c r="F238" s="13">
        <v>151836</v>
      </c>
      <c r="G238" s="13">
        <v>236</v>
      </c>
      <c r="H238" s="13">
        <v>2235984</v>
      </c>
      <c r="I238" s="13">
        <v>0</v>
      </c>
      <c r="J238" s="13">
        <v>3</v>
      </c>
      <c r="K238" s="13">
        <v>13608</v>
      </c>
      <c r="L238" s="13">
        <v>14</v>
      </c>
      <c r="M238" s="13">
        <v>2755</v>
      </c>
      <c r="N238" s="13">
        <v>1577</v>
      </c>
      <c r="O238" s="13">
        <v>21</v>
      </c>
      <c r="P238" s="13">
        <v>7</v>
      </c>
      <c r="Q238" s="13">
        <v>47</v>
      </c>
      <c r="R238" s="13">
        <v>25</v>
      </c>
      <c r="S238" s="13">
        <v>1</v>
      </c>
      <c r="T238" s="23">
        <v>46247.511620370373</v>
      </c>
      <c r="U238" s="55">
        <f t="shared" si="9"/>
        <v>0.33333333333333331</v>
      </c>
      <c r="V238" s="55">
        <f t="shared" si="10"/>
        <v>0.66666666666666663</v>
      </c>
      <c r="W238" s="56">
        <f t="shared" si="11"/>
        <v>13648.666666666666</v>
      </c>
    </row>
    <row r="239" spans="1:23" x14ac:dyDescent="0.3">
      <c r="A239" s="13" t="s">
        <v>0</v>
      </c>
      <c r="B239">
        <v>1</v>
      </c>
      <c r="C239" s="13">
        <v>1</v>
      </c>
      <c r="D239" s="13">
        <v>0</v>
      </c>
      <c r="E239" s="13">
        <v>121600</v>
      </c>
      <c r="F239" s="13">
        <v>136340</v>
      </c>
      <c r="G239" s="13">
        <v>244</v>
      </c>
      <c r="H239" s="13">
        <v>2254416</v>
      </c>
      <c r="I239" s="13">
        <v>1</v>
      </c>
      <c r="J239" s="13">
        <v>0</v>
      </c>
      <c r="K239" s="13">
        <v>15407</v>
      </c>
      <c r="L239" s="13">
        <v>12</v>
      </c>
      <c r="M239" s="13">
        <v>2753</v>
      </c>
      <c r="N239" s="13">
        <v>1642</v>
      </c>
      <c r="O239" s="13">
        <v>21</v>
      </c>
      <c r="P239" s="13">
        <v>7</v>
      </c>
      <c r="Q239" s="13">
        <v>47</v>
      </c>
      <c r="R239" s="13">
        <v>24</v>
      </c>
      <c r="S239" s="13">
        <v>1</v>
      </c>
      <c r="T239" s="23">
        <v>46247.511736111112</v>
      </c>
      <c r="U239" s="55">
        <f t="shared" si="9"/>
        <v>0.5</v>
      </c>
      <c r="V239" s="55">
        <f t="shared" si="10"/>
        <v>0.5</v>
      </c>
      <c r="W239" s="56">
        <f t="shared" si="11"/>
        <v>13978.666666666666</v>
      </c>
    </row>
    <row r="240" spans="1:23" x14ac:dyDescent="0.3">
      <c r="A240" s="13" t="s">
        <v>0</v>
      </c>
      <c r="B240">
        <v>1</v>
      </c>
      <c r="C240" s="13">
        <v>0</v>
      </c>
      <c r="D240" s="13">
        <v>1</v>
      </c>
      <c r="E240" s="13">
        <v>121856</v>
      </c>
      <c r="F240" s="13">
        <v>140780</v>
      </c>
      <c r="G240" s="13">
        <v>412</v>
      </c>
      <c r="H240" s="13">
        <v>2250324</v>
      </c>
      <c r="I240" s="13">
        <v>13</v>
      </c>
      <c r="J240" s="13">
        <v>5</v>
      </c>
      <c r="K240" s="13">
        <v>14135</v>
      </c>
      <c r="L240" s="13">
        <v>34</v>
      </c>
      <c r="M240" s="13">
        <v>2358</v>
      </c>
      <c r="N240" s="13">
        <v>1341</v>
      </c>
      <c r="O240" s="13">
        <v>20</v>
      </c>
      <c r="P240" s="13">
        <v>6</v>
      </c>
      <c r="Q240" s="13">
        <v>47</v>
      </c>
      <c r="R240" s="13">
        <v>25</v>
      </c>
      <c r="S240" s="13">
        <v>2</v>
      </c>
      <c r="T240" s="23">
        <v>46247.51185185185</v>
      </c>
      <c r="U240" s="55">
        <f t="shared" si="9"/>
        <v>0.5</v>
      </c>
      <c r="V240" s="55">
        <f t="shared" si="10"/>
        <v>0.5</v>
      </c>
      <c r="W240" s="56">
        <f t="shared" si="11"/>
        <v>13936.166666666666</v>
      </c>
    </row>
    <row r="241" spans="1:23" x14ac:dyDescent="0.3">
      <c r="A241" s="13" t="s">
        <v>0</v>
      </c>
      <c r="B241">
        <v>1</v>
      </c>
      <c r="C241" s="13">
        <v>0</v>
      </c>
      <c r="D241" s="13">
        <v>1</v>
      </c>
      <c r="E241" s="13">
        <v>121856</v>
      </c>
      <c r="F241" s="13">
        <v>110396</v>
      </c>
      <c r="G241" s="13">
        <v>420</v>
      </c>
      <c r="H241" s="13">
        <v>2275920</v>
      </c>
      <c r="I241" s="13">
        <v>0</v>
      </c>
      <c r="J241" s="13">
        <v>0</v>
      </c>
      <c r="K241" s="13">
        <v>10959</v>
      </c>
      <c r="L241" s="13">
        <v>23</v>
      </c>
      <c r="M241" s="13">
        <v>2585</v>
      </c>
      <c r="N241" s="13">
        <v>1506</v>
      </c>
      <c r="O241" s="13">
        <v>20</v>
      </c>
      <c r="P241" s="13">
        <v>7</v>
      </c>
      <c r="Q241" s="13">
        <v>46</v>
      </c>
      <c r="R241" s="13">
        <v>24</v>
      </c>
      <c r="S241" s="13">
        <v>2</v>
      </c>
      <c r="T241" s="23">
        <v>46247.511967592596</v>
      </c>
      <c r="U241" s="55">
        <f t="shared" si="9"/>
        <v>0.33333333333333331</v>
      </c>
      <c r="V241" s="55">
        <f t="shared" si="10"/>
        <v>0.66666666666666663</v>
      </c>
      <c r="W241" s="56">
        <f t="shared" si="11"/>
        <v>13629.5</v>
      </c>
    </row>
    <row r="242" spans="1:23" x14ac:dyDescent="0.3">
      <c r="A242" s="13" t="s">
        <v>0</v>
      </c>
      <c r="B242">
        <v>1</v>
      </c>
      <c r="C242" s="13">
        <v>0</v>
      </c>
      <c r="D242" s="13">
        <v>1</v>
      </c>
      <c r="E242" s="13">
        <v>121856</v>
      </c>
      <c r="F242" s="13">
        <v>144776</v>
      </c>
      <c r="G242" s="13">
        <v>428</v>
      </c>
      <c r="H242" s="13">
        <v>2219836</v>
      </c>
      <c r="I242" s="13">
        <v>0</v>
      </c>
      <c r="J242" s="13">
        <v>4</v>
      </c>
      <c r="K242" s="13">
        <v>11535</v>
      </c>
      <c r="L242" s="13">
        <v>42</v>
      </c>
      <c r="M242" s="13">
        <v>2039</v>
      </c>
      <c r="N242" s="13">
        <v>1147</v>
      </c>
      <c r="O242" s="13">
        <v>19</v>
      </c>
      <c r="P242" s="13">
        <v>6</v>
      </c>
      <c r="Q242" s="13">
        <v>47</v>
      </c>
      <c r="R242" s="13">
        <v>26</v>
      </c>
      <c r="S242" s="13">
        <v>2</v>
      </c>
      <c r="T242" s="23">
        <v>46247.512083333335</v>
      </c>
      <c r="U242" s="55">
        <f t="shared" si="9"/>
        <v>0.33333333333333331</v>
      </c>
      <c r="V242" s="55">
        <f t="shared" si="10"/>
        <v>0.66666666666666663</v>
      </c>
      <c r="W242" s="56">
        <f t="shared" si="11"/>
        <v>13480.166666666666</v>
      </c>
    </row>
    <row r="243" spans="1:23" x14ac:dyDescent="0.3">
      <c r="A243" s="13" t="s">
        <v>0</v>
      </c>
      <c r="B243">
        <v>1</v>
      </c>
      <c r="C243" s="13">
        <v>1</v>
      </c>
      <c r="D243" s="13">
        <v>0</v>
      </c>
      <c r="E243" s="13">
        <v>121856</v>
      </c>
      <c r="F243" s="13">
        <v>110036</v>
      </c>
      <c r="G243" s="13">
        <v>436</v>
      </c>
      <c r="H243" s="13">
        <v>2252708</v>
      </c>
      <c r="I243" s="13">
        <v>0</v>
      </c>
      <c r="J243" s="13">
        <v>0</v>
      </c>
      <c r="K243" s="13">
        <v>14314</v>
      </c>
      <c r="L243" s="13">
        <v>12</v>
      </c>
      <c r="M243" s="13">
        <v>2384</v>
      </c>
      <c r="N243" s="13">
        <v>1342</v>
      </c>
      <c r="O243" s="13">
        <v>19</v>
      </c>
      <c r="P243" s="13">
        <v>5</v>
      </c>
      <c r="Q243" s="13">
        <v>48</v>
      </c>
      <c r="R243" s="13">
        <v>26</v>
      </c>
      <c r="S243" s="13">
        <v>1</v>
      </c>
      <c r="T243" s="23">
        <v>46247.512199074074</v>
      </c>
      <c r="U243" s="55">
        <f t="shared" si="9"/>
        <v>0.33333333333333331</v>
      </c>
      <c r="V243" s="55">
        <f t="shared" si="10"/>
        <v>0.66666666666666663</v>
      </c>
      <c r="W243" s="56">
        <f t="shared" si="11"/>
        <v>13326.333333333334</v>
      </c>
    </row>
    <row r="244" spans="1:23" x14ac:dyDescent="0.3">
      <c r="A244" s="13" t="s">
        <v>0</v>
      </c>
      <c r="B244">
        <v>1</v>
      </c>
      <c r="C244" s="13">
        <v>1</v>
      </c>
      <c r="D244" s="13">
        <v>0</v>
      </c>
      <c r="E244" s="13">
        <v>121856</v>
      </c>
      <c r="F244" s="13">
        <v>150808</v>
      </c>
      <c r="G244" s="13">
        <v>444</v>
      </c>
      <c r="H244" s="13">
        <v>2216964</v>
      </c>
      <c r="I244" s="13">
        <v>0</v>
      </c>
      <c r="J244" s="13">
        <v>0</v>
      </c>
      <c r="K244" s="13">
        <v>12445</v>
      </c>
      <c r="L244" s="13">
        <v>12</v>
      </c>
      <c r="M244" s="13">
        <v>2875</v>
      </c>
      <c r="N244" s="13">
        <v>1832</v>
      </c>
      <c r="O244" s="13">
        <v>21</v>
      </c>
      <c r="P244" s="13">
        <v>8</v>
      </c>
      <c r="Q244" s="13">
        <v>45</v>
      </c>
      <c r="R244" s="13">
        <v>24</v>
      </c>
      <c r="S244" s="13">
        <v>1</v>
      </c>
      <c r="T244" s="23">
        <v>46247.512314814812</v>
      </c>
      <c r="U244" s="55">
        <f t="shared" si="9"/>
        <v>0.5</v>
      </c>
      <c r="V244" s="55">
        <f t="shared" si="10"/>
        <v>0.5</v>
      </c>
      <c r="W244" s="56">
        <f t="shared" si="11"/>
        <v>13132.5</v>
      </c>
    </row>
    <row r="245" spans="1:23" x14ac:dyDescent="0.3">
      <c r="A245" s="13" t="s">
        <v>0</v>
      </c>
      <c r="B245">
        <v>1</v>
      </c>
      <c r="C245" s="13">
        <v>1</v>
      </c>
      <c r="D245" s="13">
        <v>0</v>
      </c>
      <c r="E245" s="13">
        <v>121856</v>
      </c>
      <c r="F245" s="13">
        <v>102220</v>
      </c>
      <c r="G245" s="13">
        <v>452</v>
      </c>
      <c r="H245" s="13">
        <v>2259752</v>
      </c>
      <c r="I245" s="13">
        <v>2</v>
      </c>
      <c r="J245" s="13">
        <v>0</v>
      </c>
      <c r="K245" s="13">
        <v>15358</v>
      </c>
      <c r="L245" s="13">
        <v>22</v>
      </c>
      <c r="M245" s="13">
        <v>2439</v>
      </c>
      <c r="N245" s="13">
        <v>1451</v>
      </c>
      <c r="O245" s="13">
        <v>20</v>
      </c>
      <c r="P245" s="13">
        <v>6</v>
      </c>
      <c r="Q245" s="13">
        <v>48</v>
      </c>
      <c r="R245" s="13">
        <v>25</v>
      </c>
      <c r="S245" s="13">
        <v>1</v>
      </c>
      <c r="T245" s="23">
        <v>46247.512430555558</v>
      </c>
      <c r="U245" s="55">
        <f t="shared" si="9"/>
        <v>0.5</v>
      </c>
      <c r="V245" s="55">
        <f t="shared" si="10"/>
        <v>0.5</v>
      </c>
      <c r="W245" s="56">
        <f t="shared" si="11"/>
        <v>13124.333333333334</v>
      </c>
    </row>
    <row r="246" spans="1:23" x14ac:dyDescent="0.3">
      <c r="A246" s="13" t="s">
        <v>0</v>
      </c>
      <c r="B246">
        <v>1</v>
      </c>
      <c r="C246" s="13">
        <v>0</v>
      </c>
      <c r="D246" s="13">
        <v>1</v>
      </c>
      <c r="E246" s="13">
        <v>121856</v>
      </c>
      <c r="F246" s="13">
        <v>142240</v>
      </c>
      <c r="G246" s="13">
        <v>476</v>
      </c>
      <c r="H246" s="13">
        <v>2219584</v>
      </c>
      <c r="I246" s="13">
        <v>0</v>
      </c>
      <c r="J246" s="13">
        <v>0</v>
      </c>
      <c r="K246" s="13">
        <v>12665</v>
      </c>
      <c r="L246" s="13">
        <v>27</v>
      </c>
      <c r="M246" s="13">
        <v>2447</v>
      </c>
      <c r="N246" s="13">
        <v>1436</v>
      </c>
      <c r="O246" s="13">
        <v>20</v>
      </c>
      <c r="P246" s="13">
        <v>6</v>
      </c>
      <c r="Q246" s="13">
        <v>47</v>
      </c>
      <c r="R246" s="13">
        <v>25</v>
      </c>
      <c r="S246" s="13">
        <v>2</v>
      </c>
      <c r="T246" s="23">
        <v>46247.512546296297</v>
      </c>
      <c r="U246" s="55">
        <f t="shared" si="9"/>
        <v>0.5</v>
      </c>
      <c r="V246" s="55">
        <f t="shared" si="10"/>
        <v>0.5</v>
      </c>
      <c r="W246" s="56">
        <f t="shared" si="11"/>
        <v>12879.333333333334</v>
      </c>
    </row>
    <row r="247" spans="1:23" x14ac:dyDescent="0.3">
      <c r="A247" s="13" t="s">
        <v>0</v>
      </c>
      <c r="B247">
        <v>1</v>
      </c>
      <c r="C247" s="13">
        <v>1</v>
      </c>
      <c r="D247" s="13">
        <v>0</v>
      </c>
      <c r="E247" s="13">
        <v>121856</v>
      </c>
      <c r="F247" s="13">
        <v>126752</v>
      </c>
      <c r="G247" s="13">
        <v>484</v>
      </c>
      <c r="H247" s="13">
        <v>2230148</v>
      </c>
      <c r="I247" s="13">
        <v>0</v>
      </c>
      <c r="J247" s="13">
        <v>0</v>
      </c>
      <c r="K247" s="13">
        <v>11851</v>
      </c>
      <c r="L247" s="13">
        <v>27</v>
      </c>
      <c r="M247" s="13">
        <v>2520</v>
      </c>
      <c r="N247" s="13">
        <v>1437</v>
      </c>
      <c r="O247" s="13">
        <v>20</v>
      </c>
      <c r="P247" s="13">
        <v>6</v>
      </c>
      <c r="Q247" s="13">
        <v>46</v>
      </c>
      <c r="R247" s="13">
        <v>25</v>
      </c>
      <c r="S247" s="13">
        <v>2</v>
      </c>
      <c r="T247" s="23">
        <v>46247.512662037036</v>
      </c>
      <c r="U247" s="55">
        <f t="shared" si="9"/>
        <v>0.66666666666666663</v>
      </c>
      <c r="V247" s="55">
        <f t="shared" si="10"/>
        <v>0.33333333333333331</v>
      </c>
      <c r="W247" s="56">
        <f t="shared" si="11"/>
        <v>13028</v>
      </c>
    </row>
    <row r="248" spans="1:23" x14ac:dyDescent="0.3">
      <c r="A248" s="13" t="s">
        <v>0</v>
      </c>
      <c r="B248">
        <v>1</v>
      </c>
      <c r="C248" s="13">
        <v>1</v>
      </c>
      <c r="D248" s="13">
        <v>0</v>
      </c>
      <c r="E248" s="13">
        <v>121856</v>
      </c>
      <c r="F248" s="13">
        <v>102300</v>
      </c>
      <c r="G248" s="13">
        <v>500</v>
      </c>
      <c r="H248" s="13">
        <v>2250948</v>
      </c>
      <c r="I248" s="13">
        <v>0</v>
      </c>
      <c r="J248" s="13">
        <v>0</v>
      </c>
      <c r="K248" s="13">
        <v>13132</v>
      </c>
      <c r="L248" s="13">
        <v>29</v>
      </c>
      <c r="M248" s="13">
        <v>2243</v>
      </c>
      <c r="N248" s="13">
        <v>1293</v>
      </c>
      <c r="O248" s="13">
        <v>19</v>
      </c>
      <c r="P248" s="13">
        <v>6</v>
      </c>
      <c r="Q248" s="13">
        <v>48</v>
      </c>
      <c r="R248" s="13">
        <v>26</v>
      </c>
      <c r="S248" s="13">
        <v>2</v>
      </c>
      <c r="T248" s="23">
        <v>46247.512777777774</v>
      </c>
      <c r="U248" s="55">
        <f t="shared" si="9"/>
        <v>0.83333333333333337</v>
      </c>
      <c r="V248" s="55">
        <f t="shared" si="10"/>
        <v>0.16666666666666666</v>
      </c>
      <c r="W248" s="56">
        <f t="shared" si="11"/>
        <v>13294.166666666666</v>
      </c>
    </row>
    <row r="249" spans="1:23" x14ac:dyDescent="0.3">
      <c r="A249" s="13" t="s">
        <v>0</v>
      </c>
      <c r="B249">
        <v>1</v>
      </c>
      <c r="C249" s="13">
        <v>1</v>
      </c>
      <c r="D249" s="13">
        <v>0</v>
      </c>
      <c r="E249" s="13">
        <v>121856</v>
      </c>
      <c r="F249" s="13">
        <v>104948</v>
      </c>
      <c r="G249" s="13">
        <v>508</v>
      </c>
      <c r="H249" s="13">
        <v>2278204</v>
      </c>
      <c r="I249" s="13">
        <v>1</v>
      </c>
      <c r="J249" s="13">
        <v>0</v>
      </c>
      <c r="K249" s="13">
        <v>13855</v>
      </c>
      <c r="L249" s="13">
        <v>21</v>
      </c>
      <c r="M249" s="13">
        <v>2886</v>
      </c>
      <c r="N249" s="13">
        <v>1828</v>
      </c>
      <c r="O249" s="13">
        <v>22</v>
      </c>
      <c r="P249" s="13">
        <v>8</v>
      </c>
      <c r="Q249" s="13">
        <v>46</v>
      </c>
      <c r="R249" s="13">
        <v>23</v>
      </c>
      <c r="S249" s="13">
        <v>1</v>
      </c>
      <c r="T249" s="23">
        <v>46247.51289351852</v>
      </c>
      <c r="U249" s="55">
        <f t="shared" si="9"/>
        <v>0.83333333333333337</v>
      </c>
      <c r="V249" s="55">
        <f t="shared" si="10"/>
        <v>0.16666666666666666</v>
      </c>
      <c r="W249" s="56">
        <f t="shared" si="11"/>
        <v>13217.666666666666</v>
      </c>
    </row>
    <row r="250" spans="1:23" x14ac:dyDescent="0.3">
      <c r="A250" s="13" t="s">
        <v>0</v>
      </c>
      <c r="B250">
        <v>1</v>
      </c>
      <c r="C250" s="13">
        <v>0</v>
      </c>
      <c r="D250" s="13">
        <v>1</v>
      </c>
      <c r="E250" s="13">
        <v>121856</v>
      </c>
      <c r="F250" s="13">
        <v>156184</v>
      </c>
      <c r="G250" s="13">
        <v>524</v>
      </c>
      <c r="H250" s="13">
        <v>2222496</v>
      </c>
      <c r="I250" s="13">
        <v>0</v>
      </c>
      <c r="J250" s="13">
        <v>0</v>
      </c>
      <c r="K250" s="13">
        <v>16439</v>
      </c>
      <c r="L250" s="13">
        <v>20</v>
      </c>
      <c r="M250" s="13">
        <v>2823</v>
      </c>
      <c r="N250" s="13">
        <v>1581</v>
      </c>
      <c r="O250" s="13">
        <v>21</v>
      </c>
      <c r="P250" s="13">
        <v>6</v>
      </c>
      <c r="Q250" s="13">
        <v>47</v>
      </c>
      <c r="R250" s="13">
        <v>25</v>
      </c>
      <c r="S250" s="13">
        <v>0</v>
      </c>
      <c r="T250" s="23">
        <v>46247.513009259259</v>
      </c>
      <c r="U250" s="55">
        <f t="shared" si="9"/>
        <v>0.66666666666666663</v>
      </c>
      <c r="V250" s="55">
        <f t="shared" si="10"/>
        <v>0.33333333333333331</v>
      </c>
      <c r="W250" s="56">
        <f t="shared" si="11"/>
        <v>13883.333333333334</v>
      </c>
    </row>
    <row r="251" spans="1:23" x14ac:dyDescent="0.3">
      <c r="A251" s="13" t="s">
        <v>0</v>
      </c>
      <c r="B251">
        <v>1</v>
      </c>
      <c r="C251" s="13">
        <v>0</v>
      </c>
      <c r="D251" s="13">
        <v>0</v>
      </c>
      <c r="E251" s="13">
        <v>121856</v>
      </c>
      <c r="F251" s="13">
        <v>114836</v>
      </c>
      <c r="G251" s="13">
        <v>532</v>
      </c>
      <c r="H251" s="13">
        <v>2264124</v>
      </c>
      <c r="I251" s="13">
        <v>0</v>
      </c>
      <c r="J251" s="13">
        <v>0</v>
      </c>
      <c r="K251" s="13">
        <v>15238</v>
      </c>
      <c r="L251" s="13">
        <v>10</v>
      </c>
      <c r="M251" s="13">
        <v>2661</v>
      </c>
      <c r="N251" s="13">
        <v>1588</v>
      </c>
      <c r="O251" s="13">
        <v>22</v>
      </c>
      <c r="P251" s="13">
        <v>6</v>
      </c>
      <c r="Q251" s="13">
        <v>47</v>
      </c>
      <c r="R251" s="13">
        <v>24</v>
      </c>
      <c r="S251" s="13">
        <v>1</v>
      </c>
      <c r="T251" s="23">
        <v>46247.513124999998</v>
      </c>
      <c r="U251" s="55">
        <f t="shared" si="9"/>
        <v>0.5</v>
      </c>
      <c r="V251" s="55">
        <f t="shared" si="10"/>
        <v>0.33333333333333331</v>
      </c>
      <c r="W251" s="56">
        <f t="shared" si="11"/>
        <v>13863.333333333334</v>
      </c>
    </row>
    <row r="252" spans="1:23" x14ac:dyDescent="0.3">
      <c r="A252" s="13" t="s">
        <v>0</v>
      </c>
      <c r="B252">
        <v>1</v>
      </c>
      <c r="C252" s="13">
        <v>1</v>
      </c>
      <c r="D252" s="13">
        <v>0</v>
      </c>
      <c r="E252" s="13">
        <v>121856</v>
      </c>
      <c r="F252" s="13">
        <v>128124</v>
      </c>
      <c r="G252" s="13">
        <v>600</v>
      </c>
      <c r="H252" s="13">
        <v>2264624</v>
      </c>
      <c r="I252" s="13">
        <v>0</v>
      </c>
      <c r="J252" s="13">
        <v>0</v>
      </c>
      <c r="K252" s="13">
        <v>15423</v>
      </c>
      <c r="L252" s="13">
        <v>51</v>
      </c>
      <c r="M252" s="13">
        <v>3011</v>
      </c>
      <c r="N252" s="13">
        <v>1914</v>
      </c>
      <c r="O252" s="13">
        <v>22</v>
      </c>
      <c r="P252" s="13">
        <v>8</v>
      </c>
      <c r="Q252" s="13">
        <v>46</v>
      </c>
      <c r="R252" s="13">
        <v>24</v>
      </c>
      <c r="S252" s="13">
        <v>1</v>
      </c>
      <c r="T252" s="23">
        <v>46247.513240740744</v>
      </c>
      <c r="U252" s="55">
        <f t="shared" si="9"/>
        <v>0.66666666666666663</v>
      </c>
      <c r="V252" s="55">
        <f t="shared" si="10"/>
        <v>0.16666666666666666</v>
      </c>
      <c r="W252" s="56">
        <f t="shared" si="11"/>
        <v>14323</v>
      </c>
    </row>
    <row r="253" spans="1:23" x14ac:dyDescent="0.3">
      <c r="A253" s="13" t="s">
        <v>0</v>
      </c>
      <c r="B253">
        <v>1</v>
      </c>
      <c r="C253" s="13">
        <v>1</v>
      </c>
      <c r="D253" s="13">
        <v>0</v>
      </c>
      <c r="E253" s="13">
        <v>121600</v>
      </c>
      <c r="F253" s="13">
        <v>102300</v>
      </c>
      <c r="G253" s="13">
        <v>608</v>
      </c>
      <c r="H253" s="13">
        <v>2275072</v>
      </c>
      <c r="I253" s="13">
        <v>28</v>
      </c>
      <c r="J253" s="13">
        <v>0</v>
      </c>
      <c r="K253" s="13">
        <v>16480</v>
      </c>
      <c r="L253" s="13">
        <v>12</v>
      </c>
      <c r="M253" s="13">
        <v>2812</v>
      </c>
      <c r="N253" s="13">
        <v>1697</v>
      </c>
      <c r="O253" s="13">
        <v>21</v>
      </c>
      <c r="P253" s="13">
        <v>7</v>
      </c>
      <c r="Q253" s="13">
        <v>47</v>
      </c>
      <c r="R253" s="13">
        <v>25</v>
      </c>
      <c r="S253" s="13">
        <v>1</v>
      </c>
      <c r="T253" s="23">
        <v>46247.513356481482</v>
      </c>
      <c r="U253" s="55">
        <f t="shared" si="9"/>
        <v>0.66666666666666663</v>
      </c>
      <c r="V253" s="55">
        <f t="shared" si="10"/>
        <v>0.16666666666666666</v>
      </c>
      <c r="W253" s="56">
        <f t="shared" si="11"/>
        <v>15094.5</v>
      </c>
    </row>
    <row r="254" spans="1:23" x14ac:dyDescent="0.3">
      <c r="A254" s="13" t="s">
        <v>0</v>
      </c>
      <c r="B254">
        <v>1</v>
      </c>
      <c r="C254" s="13">
        <v>1</v>
      </c>
      <c r="D254" s="13">
        <v>0</v>
      </c>
      <c r="E254" s="13">
        <v>121600</v>
      </c>
      <c r="F254" s="13">
        <v>118772</v>
      </c>
      <c r="G254" s="13">
        <v>616</v>
      </c>
      <c r="H254" s="13">
        <v>2260968</v>
      </c>
      <c r="I254" s="13">
        <v>0</v>
      </c>
      <c r="J254" s="13">
        <v>0</v>
      </c>
      <c r="K254" s="13">
        <v>13258</v>
      </c>
      <c r="L254" s="13">
        <v>7</v>
      </c>
      <c r="M254" s="13">
        <v>2784</v>
      </c>
      <c r="N254" s="13">
        <v>1727</v>
      </c>
      <c r="O254" s="13">
        <v>21</v>
      </c>
      <c r="P254" s="13">
        <v>7</v>
      </c>
      <c r="Q254" s="13">
        <v>46</v>
      </c>
      <c r="R254" s="13">
        <v>25</v>
      </c>
      <c r="S254" s="13">
        <v>1</v>
      </c>
      <c r="T254" s="23">
        <v>46247.513472222221</v>
      </c>
      <c r="U254" s="55">
        <f t="shared" si="9"/>
        <v>0.66666666666666663</v>
      </c>
      <c r="V254" s="55">
        <f t="shared" si="10"/>
        <v>0.16666666666666666</v>
      </c>
      <c r="W254" s="56">
        <f t="shared" si="11"/>
        <v>15115.5</v>
      </c>
    </row>
    <row r="255" spans="1:23" x14ac:dyDescent="0.3">
      <c r="A255" s="13" t="s">
        <v>0</v>
      </c>
      <c r="B255">
        <v>1</v>
      </c>
      <c r="C255" s="13">
        <v>0</v>
      </c>
      <c r="D255" s="13">
        <v>1</v>
      </c>
      <c r="E255" s="13">
        <v>121600</v>
      </c>
      <c r="F255" s="13">
        <v>145092</v>
      </c>
      <c r="G255" s="13">
        <v>624</v>
      </c>
      <c r="H255" s="13">
        <v>2232952</v>
      </c>
      <c r="I255" s="13">
        <v>0</v>
      </c>
      <c r="J255" s="13">
        <v>0</v>
      </c>
      <c r="K255" s="13">
        <v>15679</v>
      </c>
      <c r="L255" s="13">
        <v>18</v>
      </c>
      <c r="M255" s="13">
        <v>2486</v>
      </c>
      <c r="N255" s="13">
        <v>1432</v>
      </c>
      <c r="O255" s="13">
        <v>20</v>
      </c>
      <c r="P255" s="13">
        <v>6</v>
      </c>
      <c r="Q255" s="13">
        <v>48</v>
      </c>
      <c r="R255" s="13">
        <v>25</v>
      </c>
      <c r="S255" s="13">
        <v>1</v>
      </c>
      <c r="T255" s="23">
        <v>46247.51358796296</v>
      </c>
      <c r="U255" s="55">
        <f t="shared" si="9"/>
        <v>0.5</v>
      </c>
      <c r="V255" s="55">
        <f t="shared" si="10"/>
        <v>0.33333333333333331</v>
      </c>
      <c r="W255" s="56">
        <f t="shared" si="11"/>
        <v>15419.5</v>
      </c>
    </row>
    <row r="256" spans="1:23" x14ac:dyDescent="0.3">
      <c r="A256" s="13" t="s">
        <v>0</v>
      </c>
      <c r="B256">
        <v>1</v>
      </c>
      <c r="C256" s="13">
        <v>1</v>
      </c>
      <c r="D256" s="13">
        <v>0</v>
      </c>
      <c r="E256" s="13">
        <v>121600</v>
      </c>
      <c r="F256" s="13">
        <v>100480</v>
      </c>
      <c r="G256" s="13">
        <v>636</v>
      </c>
      <c r="H256" s="13">
        <v>2277088</v>
      </c>
      <c r="I256" s="13">
        <v>0</v>
      </c>
      <c r="J256" s="13">
        <v>0</v>
      </c>
      <c r="K256" s="13">
        <v>13498</v>
      </c>
      <c r="L256" s="13">
        <v>11</v>
      </c>
      <c r="M256" s="13">
        <v>2820</v>
      </c>
      <c r="N256" s="13">
        <v>1792</v>
      </c>
      <c r="O256" s="13">
        <v>21</v>
      </c>
      <c r="P256" s="13">
        <v>7</v>
      </c>
      <c r="Q256" s="13">
        <v>47</v>
      </c>
      <c r="R256" s="13">
        <v>24</v>
      </c>
      <c r="S256" s="13">
        <v>1</v>
      </c>
      <c r="T256" s="23">
        <v>46247.513703703706</v>
      </c>
      <c r="U256" s="55">
        <f t="shared" si="9"/>
        <v>0.66666666666666663</v>
      </c>
      <c r="V256" s="55">
        <f t="shared" si="10"/>
        <v>0.16666666666666666</v>
      </c>
      <c r="W256" s="56">
        <f t="shared" si="11"/>
        <v>14929.333333333334</v>
      </c>
    </row>
    <row r="257" spans="1:23" x14ac:dyDescent="0.3">
      <c r="A257" s="13" t="s">
        <v>0</v>
      </c>
      <c r="B257">
        <v>1</v>
      </c>
      <c r="C257" s="13">
        <v>1</v>
      </c>
      <c r="D257" s="13">
        <v>0</v>
      </c>
      <c r="E257" s="13">
        <v>121600</v>
      </c>
      <c r="F257" s="13">
        <v>129464</v>
      </c>
      <c r="G257" s="13">
        <v>644</v>
      </c>
      <c r="H257" s="13">
        <v>2253192</v>
      </c>
      <c r="I257" s="13">
        <v>0</v>
      </c>
      <c r="J257" s="13">
        <v>0</v>
      </c>
      <c r="K257" s="13">
        <v>15556</v>
      </c>
      <c r="L257" s="13">
        <v>10</v>
      </c>
      <c r="M257" s="13">
        <v>2568</v>
      </c>
      <c r="N257" s="13">
        <v>1433</v>
      </c>
      <c r="O257" s="13">
        <v>20</v>
      </c>
      <c r="P257" s="13">
        <v>6</v>
      </c>
      <c r="Q257" s="13">
        <v>48</v>
      </c>
      <c r="R257" s="13">
        <v>25</v>
      </c>
      <c r="S257" s="13">
        <v>1</v>
      </c>
      <c r="T257" s="23">
        <v>46247.513819444444</v>
      </c>
      <c r="U257" s="55">
        <f t="shared" si="9"/>
        <v>0.83333333333333337</v>
      </c>
      <c r="V257" s="55">
        <f t="shared" si="10"/>
        <v>0.16666666666666666</v>
      </c>
      <c r="W257" s="56">
        <f t="shared" si="11"/>
        <v>14982.333333333334</v>
      </c>
    </row>
    <row r="258" spans="1:23" x14ac:dyDescent="0.3">
      <c r="A258" s="13" t="s">
        <v>0</v>
      </c>
      <c r="B258">
        <v>1</v>
      </c>
      <c r="C258" s="13">
        <v>1</v>
      </c>
      <c r="D258" s="13">
        <v>0</v>
      </c>
      <c r="E258" s="13">
        <v>121600</v>
      </c>
      <c r="F258" s="13">
        <v>113040</v>
      </c>
      <c r="G258" s="13">
        <v>668</v>
      </c>
      <c r="H258" s="13">
        <v>2277088</v>
      </c>
      <c r="I258" s="13">
        <v>0</v>
      </c>
      <c r="J258" s="13">
        <v>0</v>
      </c>
      <c r="K258" s="13">
        <v>13302</v>
      </c>
      <c r="L258" s="13">
        <v>23</v>
      </c>
      <c r="M258" s="13">
        <v>2265</v>
      </c>
      <c r="N258" s="13">
        <v>1224</v>
      </c>
      <c r="O258" s="13">
        <v>19</v>
      </c>
      <c r="P258" s="13">
        <v>5</v>
      </c>
      <c r="Q258" s="13">
        <v>47</v>
      </c>
      <c r="R258" s="13">
        <v>26</v>
      </c>
      <c r="S258" s="13">
        <v>2</v>
      </c>
      <c r="T258" s="23">
        <v>46247.513935185183</v>
      </c>
      <c r="U258" s="55">
        <f t="shared" si="9"/>
        <v>0.83333333333333337</v>
      </c>
      <c r="V258" s="55">
        <f t="shared" si="10"/>
        <v>0.16666666666666666</v>
      </c>
      <c r="W258" s="56">
        <f t="shared" si="11"/>
        <v>14628.833333333334</v>
      </c>
    </row>
    <row r="259" spans="1:23" x14ac:dyDescent="0.3">
      <c r="A259" s="13" t="s">
        <v>0</v>
      </c>
      <c r="B259">
        <v>1</v>
      </c>
      <c r="C259" s="13">
        <v>0</v>
      </c>
      <c r="D259" s="13">
        <v>1</v>
      </c>
      <c r="E259" s="13">
        <v>121600</v>
      </c>
      <c r="F259" s="13">
        <v>115764</v>
      </c>
      <c r="G259" s="13">
        <v>676</v>
      </c>
      <c r="H259" s="13">
        <v>2268472</v>
      </c>
      <c r="I259" s="13">
        <v>0</v>
      </c>
      <c r="J259" s="13">
        <v>0</v>
      </c>
      <c r="K259" s="13">
        <v>11502</v>
      </c>
      <c r="L259" s="13">
        <v>9</v>
      </c>
      <c r="M259" s="13">
        <v>2599</v>
      </c>
      <c r="N259" s="13">
        <v>1674</v>
      </c>
      <c r="O259" s="13">
        <v>20</v>
      </c>
      <c r="P259" s="13">
        <v>7</v>
      </c>
      <c r="Q259" s="13">
        <v>46</v>
      </c>
      <c r="R259" s="13">
        <v>25</v>
      </c>
      <c r="S259" s="13">
        <v>2</v>
      </c>
      <c r="T259" s="23">
        <v>46247.514050925929</v>
      </c>
      <c r="U259" s="55">
        <f t="shared" si="9"/>
        <v>0.66666666666666663</v>
      </c>
      <c r="V259" s="55">
        <f t="shared" si="10"/>
        <v>0.33333333333333331</v>
      </c>
      <c r="W259" s="56">
        <f t="shared" si="11"/>
        <v>13799.166666666666</v>
      </c>
    </row>
    <row r="260" spans="1:23" x14ac:dyDescent="0.3">
      <c r="A260" s="13" t="s">
        <v>0</v>
      </c>
      <c r="B260">
        <v>1</v>
      </c>
      <c r="C260" s="13">
        <v>1</v>
      </c>
      <c r="D260" s="13">
        <v>0</v>
      </c>
      <c r="E260" s="13">
        <v>121600</v>
      </c>
      <c r="F260" s="13">
        <v>134724</v>
      </c>
      <c r="G260" s="13">
        <v>692</v>
      </c>
      <c r="H260" s="13">
        <v>2256112</v>
      </c>
      <c r="I260" s="13">
        <v>1</v>
      </c>
      <c r="J260" s="13">
        <v>0</v>
      </c>
      <c r="K260" s="13">
        <v>13690</v>
      </c>
      <c r="L260" s="13">
        <v>32</v>
      </c>
      <c r="M260" s="13">
        <v>2610</v>
      </c>
      <c r="N260" s="13">
        <v>1536</v>
      </c>
      <c r="O260" s="13">
        <v>20</v>
      </c>
      <c r="P260" s="13">
        <v>7</v>
      </c>
      <c r="Q260" s="13">
        <v>46</v>
      </c>
      <c r="R260" s="13">
        <v>25</v>
      </c>
      <c r="S260" s="13">
        <v>2</v>
      </c>
      <c r="T260" s="23">
        <v>46247.514166666668</v>
      </c>
      <c r="U260" s="55">
        <f t="shared" si="9"/>
        <v>0.66666666666666663</v>
      </c>
      <c r="V260" s="55">
        <f t="shared" si="10"/>
        <v>0.33333333333333331</v>
      </c>
      <c r="W260" s="56">
        <f t="shared" si="11"/>
        <v>13871.166666666666</v>
      </c>
    </row>
    <row r="261" spans="1:23" x14ac:dyDescent="0.3">
      <c r="A261" s="13" t="s">
        <v>0</v>
      </c>
      <c r="B261">
        <v>1</v>
      </c>
      <c r="C261" s="13">
        <v>1</v>
      </c>
      <c r="D261" s="13">
        <v>0</v>
      </c>
      <c r="E261" s="13">
        <v>121600</v>
      </c>
      <c r="F261" s="13">
        <v>138684</v>
      </c>
      <c r="G261" s="13">
        <v>708</v>
      </c>
      <c r="H261" s="13">
        <v>2252304</v>
      </c>
      <c r="I261" s="13">
        <v>0</v>
      </c>
      <c r="J261" s="13">
        <v>0</v>
      </c>
      <c r="K261" s="13">
        <v>14672</v>
      </c>
      <c r="L261" s="13">
        <v>38</v>
      </c>
      <c r="M261" s="13">
        <v>2485</v>
      </c>
      <c r="N261" s="13">
        <v>1367</v>
      </c>
      <c r="O261" s="13">
        <v>20</v>
      </c>
      <c r="P261" s="13">
        <v>6</v>
      </c>
      <c r="Q261" s="13">
        <v>47</v>
      </c>
      <c r="R261" s="13">
        <v>26</v>
      </c>
      <c r="S261" s="13">
        <v>1</v>
      </c>
      <c r="T261" s="23">
        <v>46247.514282407406</v>
      </c>
      <c r="U261" s="55">
        <f t="shared" si="9"/>
        <v>0.83333333333333337</v>
      </c>
      <c r="V261" s="55">
        <f t="shared" si="10"/>
        <v>0.16666666666666666</v>
      </c>
      <c r="W261" s="56">
        <f t="shared" si="11"/>
        <v>13703.333333333334</v>
      </c>
    </row>
    <row r="262" spans="1:23" x14ac:dyDescent="0.3">
      <c r="A262" s="13" t="s">
        <v>0</v>
      </c>
      <c r="B262">
        <v>1</v>
      </c>
      <c r="C262" s="13">
        <v>1</v>
      </c>
      <c r="D262" s="13">
        <v>0</v>
      </c>
      <c r="E262" s="13">
        <v>121600</v>
      </c>
      <c r="F262" s="13">
        <v>111412</v>
      </c>
      <c r="G262" s="13">
        <v>376</v>
      </c>
      <c r="H262" s="13">
        <v>2271544</v>
      </c>
      <c r="I262" s="13">
        <v>0</v>
      </c>
      <c r="J262" s="13">
        <v>1</v>
      </c>
      <c r="K262" s="13">
        <v>13517</v>
      </c>
      <c r="L262" s="13">
        <v>12</v>
      </c>
      <c r="M262" s="13">
        <v>2951</v>
      </c>
      <c r="N262" s="13">
        <v>1848</v>
      </c>
      <c r="O262" s="13">
        <v>21</v>
      </c>
      <c r="P262" s="13">
        <v>8</v>
      </c>
      <c r="Q262" s="13">
        <v>46</v>
      </c>
      <c r="R262" s="13">
        <v>24</v>
      </c>
      <c r="S262" s="13">
        <v>1</v>
      </c>
      <c r="T262" s="23">
        <v>46247.514398148145</v>
      </c>
      <c r="U262" s="55">
        <f t="shared" si="9"/>
        <v>0.83333333333333337</v>
      </c>
      <c r="V262" s="55">
        <f t="shared" si="10"/>
        <v>0.16666666666666666</v>
      </c>
      <c r="W262" s="56">
        <f t="shared" si="11"/>
        <v>13706.5</v>
      </c>
    </row>
    <row r="263" spans="1:23" x14ac:dyDescent="0.3">
      <c r="A263" s="13" t="s">
        <v>0</v>
      </c>
      <c r="B263">
        <v>1</v>
      </c>
      <c r="C263" s="13">
        <v>2</v>
      </c>
      <c r="D263" s="13">
        <v>0</v>
      </c>
      <c r="E263" s="13">
        <v>121600</v>
      </c>
      <c r="F263" s="13">
        <v>146380</v>
      </c>
      <c r="G263" s="13">
        <v>388</v>
      </c>
      <c r="H263" s="13">
        <v>2241312</v>
      </c>
      <c r="I263" s="13">
        <v>2</v>
      </c>
      <c r="J263" s="13">
        <v>2</v>
      </c>
      <c r="K263" s="13">
        <v>16680</v>
      </c>
      <c r="L263" s="13">
        <v>15</v>
      </c>
      <c r="M263" s="13">
        <v>2654</v>
      </c>
      <c r="N263" s="13">
        <v>1514</v>
      </c>
      <c r="O263" s="13">
        <v>20</v>
      </c>
      <c r="P263" s="13">
        <v>6</v>
      </c>
      <c r="Q263" s="13">
        <v>47</v>
      </c>
      <c r="R263" s="13">
        <v>26</v>
      </c>
      <c r="S263" s="13">
        <v>1</v>
      </c>
      <c r="T263" s="23">
        <v>46247.514513888891</v>
      </c>
      <c r="U263" s="55">
        <f t="shared" si="9"/>
        <v>1</v>
      </c>
      <c r="V263" s="55">
        <f t="shared" si="10"/>
        <v>0.16666666666666666</v>
      </c>
      <c r="W263" s="56">
        <f t="shared" si="11"/>
        <v>13893.833333333334</v>
      </c>
    </row>
    <row r="264" spans="1:23" x14ac:dyDescent="0.3">
      <c r="A264" s="13" t="s">
        <v>0</v>
      </c>
      <c r="B264">
        <v>1</v>
      </c>
      <c r="C264" s="13">
        <v>1</v>
      </c>
      <c r="D264" s="13">
        <v>0</v>
      </c>
      <c r="E264" s="13">
        <v>121600</v>
      </c>
      <c r="F264" s="13">
        <v>107304</v>
      </c>
      <c r="G264" s="13">
        <v>420</v>
      </c>
      <c r="H264" s="13">
        <v>2280584</v>
      </c>
      <c r="I264" s="13">
        <v>0</v>
      </c>
      <c r="J264" s="13">
        <v>0</v>
      </c>
      <c r="K264" s="13">
        <v>13944</v>
      </c>
      <c r="L264" s="13">
        <v>28</v>
      </c>
      <c r="M264" s="13">
        <v>2977</v>
      </c>
      <c r="N264" s="13">
        <v>1962</v>
      </c>
      <c r="O264" s="13">
        <v>21</v>
      </c>
      <c r="P264" s="13">
        <v>8</v>
      </c>
      <c r="Q264" s="13">
        <v>46</v>
      </c>
      <c r="R264" s="13">
        <v>24</v>
      </c>
      <c r="S264" s="13">
        <v>1</v>
      </c>
      <c r="T264" s="23">
        <v>46247.51462962963</v>
      </c>
      <c r="U264" s="55">
        <f t="shared" si="9"/>
        <v>1</v>
      </c>
      <c r="V264" s="55">
        <f t="shared" si="10"/>
        <v>0.16666666666666666</v>
      </c>
      <c r="W264" s="56">
        <f t="shared" si="11"/>
        <v>14000.833333333334</v>
      </c>
    </row>
    <row r="265" spans="1:23" x14ac:dyDescent="0.3">
      <c r="A265" s="13" t="s">
        <v>0</v>
      </c>
      <c r="B265">
        <v>1</v>
      </c>
      <c r="C265" s="13">
        <v>0</v>
      </c>
      <c r="D265" s="13">
        <v>1</v>
      </c>
      <c r="E265" s="13">
        <v>121600</v>
      </c>
      <c r="F265" s="13">
        <v>133168</v>
      </c>
      <c r="G265" s="13">
        <v>460</v>
      </c>
      <c r="H265" s="13">
        <v>2251788</v>
      </c>
      <c r="I265" s="13">
        <v>0</v>
      </c>
      <c r="J265" s="13">
        <v>0</v>
      </c>
      <c r="K265" s="13">
        <v>15676</v>
      </c>
      <c r="L265" s="13">
        <v>41</v>
      </c>
      <c r="M265" s="13">
        <v>2706</v>
      </c>
      <c r="N265" s="13">
        <v>1563</v>
      </c>
      <c r="O265" s="13">
        <v>20</v>
      </c>
      <c r="P265" s="13">
        <v>7</v>
      </c>
      <c r="Q265" s="13">
        <v>47</v>
      </c>
      <c r="R265" s="13">
        <v>25</v>
      </c>
      <c r="S265" s="13">
        <v>1</v>
      </c>
      <c r="T265" s="23">
        <v>46247.514745370368</v>
      </c>
      <c r="U265" s="55">
        <f t="shared" ref="U265:U328" si="12">AVERAGE(C260:C265)</f>
        <v>1</v>
      </c>
      <c r="V265" s="55">
        <f t="shared" ref="V265:V328" si="13">AVERAGE(D260:D265)</f>
        <v>0.16666666666666666</v>
      </c>
      <c r="W265" s="56">
        <f t="shared" ref="W265:W328" si="14">AVERAGE(K260:K265)</f>
        <v>14696.5</v>
      </c>
    </row>
    <row r="266" spans="1:23" x14ac:dyDescent="0.3">
      <c r="A266" s="13" t="s">
        <v>0</v>
      </c>
      <c r="B266">
        <v>1</v>
      </c>
      <c r="C266" s="13">
        <v>0</v>
      </c>
      <c r="D266" s="13">
        <v>1</v>
      </c>
      <c r="E266" s="13">
        <v>121344</v>
      </c>
      <c r="F266" s="13">
        <v>125560</v>
      </c>
      <c r="G266" s="13">
        <v>468</v>
      </c>
      <c r="H266" s="13">
        <v>2260076</v>
      </c>
      <c r="I266" s="13">
        <v>4</v>
      </c>
      <c r="J266" s="13">
        <v>0</v>
      </c>
      <c r="K266" s="13">
        <v>14783</v>
      </c>
      <c r="L266" s="13">
        <v>8</v>
      </c>
      <c r="M266" s="13">
        <v>2897</v>
      </c>
      <c r="N266" s="13">
        <v>1878</v>
      </c>
      <c r="O266" s="13">
        <v>21</v>
      </c>
      <c r="P266" s="13">
        <v>8</v>
      </c>
      <c r="Q266" s="13">
        <v>46</v>
      </c>
      <c r="R266" s="13">
        <v>24</v>
      </c>
      <c r="S266" s="13">
        <v>1</v>
      </c>
      <c r="T266" s="23">
        <v>46247.514861111114</v>
      </c>
      <c r="U266" s="55">
        <f t="shared" si="12"/>
        <v>0.83333333333333337</v>
      </c>
      <c r="V266" s="55">
        <f t="shared" si="13"/>
        <v>0.33333333333333331</v>
      </c>
      <c r="W266" s="56">
        <f t="shared" si="14"/>
        <v>14878.666666666666</v>
      </c>
    </row>
    <row r="267" spans="1:23" x14ac:dyDescent="0.3">
      <c r="A267" s="13" t="s">
        <v>0</v>
      </c>
      <c r="B267">
        <v>1</v>
      </c>
      <c r="C267" s="13">
        <v>0</v>
      </c>
      <c r="D267" s="13">
        <v>1</v>
      </c>
      <c r="E267" s="13">
        <v>125696</v>
      </c>
      <c r="F267" s="13">
        <v>121792</v>
      </c>
      <c r="G267" s="13">
        <v>468</v>
      </c>
      <c r="H267" s="13">
        <v>2269636</v>
      </c>
      <c r="I267" s="13">
        <v>0</v>
      </c>
      <c r="J267" s="13">
        <v>449</v>
      </c>
      <c r="K267" s="13">
        <v>15410</v>
      </c>
      <c r="L267" s="13">
        <v>476</v>
      </c>
      <c r="M267" s="13">
        <v>2998</v>
      </c>
      <c r="N267" s="13">
        <v>1883</v>
      </c>
      <c r="O267" s="13">
        <v>22</v>
      </c>
      <c r="P267" s="13">
        <v>8</v>
      </c>
      <c r="Q267" s="13">
        <v>46</v>
      </c>
      <c r="R267" s="13">
        <v>24</v>
      </c>
      <c r="S267" s="13">
        <v>0</v>
      </c>
      <c r="T267" s="23">
        <v>46247.514976851853</v>
      </c>
      <c r="U267" s="55">
        <f t="shared" si="12"/>
        <v>0.66666666666666663</v>
      </c>
      <c r="V267" s="55">
        <f t="shared" si="13"/>
        <v>0.5</v>
      </c>
      <c r="W267" s="56">
        <f t="shared" si="14"/>
        <v>15001.666666666666</v>
      </c>
    </row>
    <row r="268" spans="1:23" x14ac:dyDescent="0.3">
      <c r="A268" s="13" t="s">
        <v>0</v>
      </c>
      <c r="B268">
        <v>1</v>
      </c>
      <c r="C268" s="13">
        <v>1</v>
      </c>
      <c r="D268" s="13">
        <v>0</v>
      </c>
      <c r="E268" s="13">
        <v>125696</v>
      </c>
      <c r="F268" s="13">
        <v>134156</v>
      </c>
      <c r="G268" s="13">
        <v>476</v>
      </c>
      <c r="H268" s="13">
        <v>2252984</v>
      </c>
      <c r="I268" s="13">
        <v>0</v>
      </c>
      <c r="J268" s="13">
        <v>0</v>
      </c>
      <c r="K268" s="13">
        <v>15095</v>
      </c>
      <c r="L268" s="13">
        <v>11</v>
      </c>
      <c r="M268" s="13">
        <v>2497</v>
      </c>
      <c r="N268" s="13">
        <v>1404</v>
      </c>
      <c r="O268" s="13">
        <v>20</v>
      </c>
      <c r="P268" s="13">
        <v>6</v>
      </c>
      <c r="Q268" s="13">
        <v>48</v>
      </c>
      <c r="R268" s="13">
        <v>25</v>
      </c>
      <c r="S268" s="13">
        <v>1</v>
      </c>
      <c r="T268" s="23">
        <v>46247.515092592592</v>
      </c>
      <c r="U268" s="55">
        <f t="shared" si="12"/>
        <v>0.66666666666666663</v>
      </c>
      <c r="V268" s="55">
        <f t="shared" si="13"/>
        <v>0.5</v>
      </c>
      <c r="W268" s="56">
        <f t="shared" si="14"/>
        <v>15264.666666666666</v>
      </c>
    </row>
    <row r="269" spans="1:23" x14ac:dyDescent="0.3">
      <c r="A269" s="13" t="s">
        <v>0</v>
      </c>
      <c r="B269">
        <v>1</v>
      </c>
      <c r="C269" s="13">
        <v>1</v>
      </c>
      <c r="D269" s="13">
        <v>0</v>
      </c>
      <c r="E269" s="13">
        <v>125696</v>
      </c>
      <c r="F269" s="13">
        <v>124548</v>
      </c>
      <c r="G269" s="13">
        <v>484</v>
      </c>
      <c r="H269" s="13">
        <v>2264636</v>
      </c>
      <c r="I269" s="13">
        <v>0</v>
      </c>
      <c r="J269" s="13">
        <v>0</v>
      </c>
      <c r="K269" s="13">
        <v>12063</v>
      </c>
      <c r="L269" s="13">
        <v>11</v>
      </c>
      <c r="M269" s="13">
        <v>2699</v>
      </c>
      <c r="N269" s="13">
        <v>1766</v>
      </c>
      <c r="O269" s="13">
        <v>21</v>
      </c>
      <c r="P269" s="13">
        <v>8</v>
      </c>
      <c r="Q269" s="13">
        <v>46</v>
      </c>
      <c r="R269" s="13">
        <v>24</v>
      </c>
      <c r="S269" s="13">
        <v>1</v>
      </c>
      <c r="T269" s="23">
        <v>46247.515208333331</v>
      </c>
      <c r="U269" s="55">
        <f t="shared" si="12"/>
        <v>0.5</v>
      </c>
      <c r="V269" s="55">
        <f t="shared" si="13"/>
        <v>0.5</v>
      </c>
      <c r="W269" s="56">
        <f t="shared" si="14"/>
        <v>14495.166666666666</v>
      </c>
    </row>
    <row r="270" spans="1:23" x14ac:dyDescent="0.3">
      <c r="A270" s="13" t="s">
        <v>0</v>
      </c>
      <c r="B270">
        <v>1</v>
      </c>
      <c r="C270" s="13">
        <v>2</v>
      </c>
      <c r="D270" s="13">
        <v>0</v>
      </c>
      <c r="E270" s="13">
        <v>125696</v>
      </c>
      <c r="F270" s="13">
        <v>138468</v>
      </c>
      <c r="G270" s="13">
        <v>508</v>
      </c>
      <c r="H270" s="13">
        <v>2246132</v>
      </c>
      <c r="I270" s="13">
        <v>0</v>
      </c>
      <c r="J270" s="13">
        <v>0</v>
      </c>
      <c r="K270" s="13">
        <v>14887</v>
      </c>
      <c r="L270" s="13">
        <v>26</v>
      </c>
      <c r="M270" s="13">
        <v>2548</v>
      </c>
      <c r="N270" s="13">
        <v>1424</v>
      </c>
      <c r="O270" s="13">
        <v>21</v>
      </c>
      <c r="P270" s="13">
        <v>6</v>
      </c>
      <c r="Q270" s="13">
        <v>48</v>
      </c>
      <c r="R270" s="13">
        <v>25</v>
      </c>
      <c r="S270" s="13">
        <v>1</v>
      </c>
      <c r="T270" s="23">
        <v>46247.515324074076</v>
      </c>
      <c r="U270" s="55">
        <f t="shared" si="12"/>
        <v>0.66666666666666663</v>
      </c>
      <c r="V270" s="55">
        <f t="shared" si="13"/>
        <v>0.5</v>
      </c>
      <c r="W270" s="56">
        <f t="shared" si="14"/>
        <v>14652.333333333334</v>
      </c>
    </row>
    <row r="271" spans="1:23" x14ac:dyDescent="0.3">
      <c r="A271" s="13" t="s">
        <v>0</v>
      </c>
      <c r="B271">
        <v>1</v>
      </c>
      <c r="C271" s="13">
        <v>1</v>
      </c>
      <c r="D271" s="13">
        <v>0</v>
      </c>
      <c r="E271" s="13">
        <v>125696</v>
      </c>
      <c r="F271" s="13">
        <v>115824</v>
      </c>
      <c r="G271" s="13">
        <v>516</v>
      </c>
      <c r="H271" s="13">
        <v>2269988</v>
      </c>
      <c r="I271" s="13">
        <v>0</v>
      </c>
      <c r="J271" s="13">
        <v>0</v>
      </c>
      <c r="K271" s="13">
        <v>13588</v>
      </c>
      <c r="L271" s="13">
        <v>19</v>
      </c>
      <c r="M271" s="13">
        <v>2748</v>
      </c>
      <c r="N271" s="13">
        <v>1680</v>
      </c>
      <c r="O271" s="13">
        <v>21</v>
      </c>
      <c r="P271" s="13">
        <v>7</v>
      </c>
      <c r="Q271" s="13">
        <v>46</v>
      </c>
      <c r="R271" s="13">
        <v>24</v>
      </c>
      <c r="S271" s="13">
        <v>1</v>
      </c>
      <c r="T271" s="23">
        <v>46247.515439814815</v>
      </c>
      <c r="U271" s="55">
        <f t="shared" si="12"/>
        <v>0.83333333333333337</v>
      </c>
      <c r="V271" s="55">
        <f t="shared" si="13"/>
        <v>0.33333333333333331</v>
      </c>
      <c r="W271" s="56">
        <f t="shared" si="14"/>
        <v>14304.333333333334</v>
      </c>
    </row>
    <row r="272" spans="1:23" x14ac:dyDescent="0.3">
      <c r="A272" s="13" t="s">
        <v>0</v>
      </c>
      <c r="B272">
        <v>1</v>
      </c>
      <c r="C272" s="13">
        <v>0</v>
      </c>
      <c r="D272" s="13">
        <v>1</v>
      </c>
      <c r="E272" s="13">
        <v>125696</v>
      </c>
      <c r="F272" s="13">
        <v>658000</v>
      </c>
      <c r="G272" s="13">
        <v>520</v>
      </c>
      <c r="H272" s="13">
        <v>1639548</v>
      </c>
      <c r="I272" s="13">
        <v>0</v>
      </c>
      <c r="J272" s="13">
        <v>0</v>
      </c>
      <c r="K272" s="13">
        <v>12984</v>
      </c>
      <c r="L272" s="13">
        <v>12</v>
      </c>
      <c r="M272" s="13">
        <v>3148</v>
      </c>
      <c r="N272" s="13">
        <v>1965</v>
      </c>
      <c r="O272" s="13">
        <v>23</v>
      </c>
      <c r="P272" s="13">
        <v>20</v>
      </c>
      <c r="Q272" s="13">
        <v>34</v>
      </c>
      <c r="R272" s="13">
        <v>21</v>
      </c>
      <c r="S272" s="13">
        <v>1</v>
      </c>
      <c r="T272" s="23">
        <v>46247.515555555554</v>
      </c>
      <c r="U272" s="55">
        <f t="shared" si="12"/>
        <v>0.83333333333333337</v>
      </c>
      <c r="V272" s="55">
        <f t="shared" si="13"/>
        <v>0.33333333333333331</v>
      </c>
      <c r="W272" s="56">
        <f t="shared" si="14"/>
        <v>14004.5</v>
      </c>
    </row>
    <row r="273" spans="1:23" x14ac:dyDescent="0.3">
      <c r="A273" s="13" t="s">
        <v>0</v>
      </c>
      <c r="B273">
        <v>1</v>
      </c>
      <c r="C273" s="13">
        <v>0</v>
      </c>
      <c r="D273" s="13">
        <v>1</v>
      </c>
      <c r="E273" s="13">
        <v>125440</v>
      </c>
      <c r="F273" s="13">
        <v>542872</v>
      </c>
      <c r="G273" s="13">
        <v>528</v>
      </c>
      <c r="H273" s="13">
        <v>1830128</v>
      </c>
      <c r="I273" s="13">
        <v>168</v>
      </c>
      <c r="J273" s="13">
        <v>0</v>
      </c>
      <c r="K273" s="13">
        <v>19226</v>
      </c>
      <c r="L273" s="13">
        <v>11</v>
      </c>
      <c r="M273" s="13">
        <v>2832</v>
      </c>
      <c r="N273" s="13">
        <v>1689</v>
      </c>
      <c r="O273" s="13">
        <v>19</v>
      </c>
      <c r="P273" s="13">
        <v>8</v>
      </c>
      <c r="Q273" s="13">
        <v>46</v>
      </c>
      <c r="R273" s="13">
        <v>27</v>
      </c>
      <c r="S273" s="13">
        <v>0</v>
      </c>
      <c r="T273" s="23">
        <v>46247.5156712963</v>
      </c>
      <c r="U273" s="55">
        <f t="shared" si="12"/>
        <v>0.83333333333333337</v>
      </c>
      <c r="V273" s="55">
        <f t="shared" si="13"/>
        <v>0.33333333333333331</v>
      </c>
      <c r="W273" s="56">
        <f t="shared" si="14"/>
        <v>14640.5</v>
      </c>
    </row>
    <row r="274" spans="1:23" x14ac:dyDescent="0.3">
      <c r="A274" s="13" t="s">
        <v>0</v>
      </c>
      <c r="B274">
        <v>1</v>
      </c>
      <c r="C274" s="13">
        <v>1</v>
      </c>
      <c r="D274" s="13">
        <v>0</v>
      </c>
      <c r="E274" s="13">
        <v>125440</v>
      </c>
      <c r="F274" s="13">
        <v>367024</v>
      </c>
      <c r="G274" s="13">
        <v>536</v>
      </c>
      <c r="H274" s="13">
        <v>2003228</v>
      </c>
      <c r="I274" s="13">
        <v>0</v>
      </c>
      <c r="J274" s="13">
        <v>0</v>
      </c>
      <c r="K274" s="13">
        <v>17292</v>
      </c>
      <c r="L274" s="13">
        <v>15</v>
      </c>
      <c r="M274" s="13">
        <v>2520</v>
      </c>
      <c r="N274" s="13">
        <v>1639</v>
      </c>
      <c r="O274" s="13">
        <v>16</v>
      </c>
      <c r="P274" s="13">
        <v>7</v>
      </c>
      <c r="Q274" s="13">
        <v>48</v>
      </c>
      <c r="R274" s="13">
        <v>28</v>
      </c>
      <c r="S274" s="13">
        <v>1</v>
      </c>
      <c r="T274" s="23">
        <v>46247.515787037039</v>
      </c>
      <c r="U274" s="55">
        <f t="shared" si="12"/>
        <v>0.83333333333333337</v>
      </c>
      <c r="V274" s="55">
        <f t="shared" si="13"/>
        <v>0.33333333333333331</v>
      </c>
      <c r="W274" s="56">
        <f t="shared" si="14"/>
        <v>15006.666666666666</v>
      </c>
    </row>
    <row r="275" spans="1:23" x14ac:dyDescent="0.3">
      <c r="A275" s="13" t="s">
        <v>0</v>
      </c>
      <c r="B275">
        <v>1</v>
      </c>
      <c r="C275" s="13">
        <v>1</v>
      </c>
      <c r="D275" s="13">
        <v>0</v>
      </c>
      <c r="E275" s="13">
        <v>125440</v>
      </c>
      <c r="F275" s="13">
        <v>206312</v>
      </c>
      <c r="G275" s="13">
        <v>544</v>
      </c>
      <c r="H275" s="13">
        <v>2164900</v>
      </c>
      <c r="I275" s="13">
        <v>0</v>
      </c>
      <c r="J275" s="13">
        <v>0</v>
      </c>
      <c r="K275" s="13">
        <v>16168</v>
      </c>
      <c r="L275" s="13">
        <v>41</v>
      </c>
      <c r="M275" s="13">
        <v>2537</v>
      </c>
      <c r="N275" s="13">
        <v>1539</v>
      </c>
      <c r="O275" s="13">
        <v>18</v>
      </c>
      <c r="P275" s="13">
        <v>7</v>
      </c>
      <c r="Q275" s="13">
        <v>48</v>
      </c>
      <c r="R275" s="13">
        <v>27</v>
      </c>
      <c r="S275" s="13">
        <v>1</v>
      </c>
      <c r="T275" s="23">
        <v>46247.515902777777</v>
      </c>
      <c r="U275" s="55">
        <f t="shared" si="12"/>
        <v>0.83333333333333337</v>
      </c>
      <c r="V275" s="55">
        <f t="shared" si="13"/>
        <v>0.33333333333333331</v>
      </c>
      <c r="W275" s="56">
        <f t="shared" si="14"/>
        <v>15690.833333333334</v>
      </c>
    </row>
    <row r="276" spans="1:23" x14ac:dyDescent="0.3">
      <c r="A276" s="13" t="s">
        <v>0</v>
      </c>
      <c r="B276">
        <v>1</v>
      </c>
      <c r="C276" s="13">
        <v>1</v>
      </c>
      <c r="D276" s="13">
        <v>0</v>
      </c>
      <c r="E276" s="13">
        <v>125440</v>
      </c>
      <c r="F276" s="13">
        <v>105040</v>
      </c>
      <c r="G276" s="13">
        <v>568</v>
      </c>
      <c r="H276" s="13">
        <v>2277288</v>
      </c>
      <c r="I276" s="13">
        <v>0</v>
      </c>
      <c r="J276" s="13">
        <v>0</v>
      </c>
      <c r="K276" s="13">
        <v>15770</v>
      </c>
      <c r="L276" s="13">
        <v>26</v>
      </c>
      <c r="M276" s="13">
        <v>2778</v>
      </c>
      <c r="N276" s="13">
        <v>1739</v>
      </c>
      <c r="O276" s="13">
        <v>19</v>
      </c>
      <c r="P276" s="13">
        <v>8</v>
      </c>
      <c r="Q276" s="13">
        <v>46</v>
      </c>
      <c r="R276" s="13">
        <v>25</v>
      </c>
      <c r="S276" s="13">
        <v>1</v>
      </c>
      <c r="T276" s="23">
        <v>46247.516018518516</v>
      </c>
      <c r="U276" s="55">
        <f t="shared" si="12"/>
        <v>0.66666666666666663</v>
      </c>
      <c r="V276" s="55">
        <f t="shared" si="13"/>
        <v>0.33333333333333331</v>
      </c>
      <c r="W276" s="56">
        <f t="shared" si="14"/>
        <v>15838</v>
      </c>
    </row>
    <row r="277" spans="1:23" x14ac:dyDescent="0.3">
      <c r="A277" s="13" t="s">
        <v>0</v>
      </c>
      <c r="B277">
        <v>1</v>
      </c>
      <c r="C277" s="13">
        <v>1</v>
      </c>
      <c r="D277" s="13">
        <v>0</v>
      </c>
      <c r="E277" s="13">
        <v>125440</v>
      </c>
      <c r="F277" s="13">
        <v>138108</v>
      </c>
      <c r="G277" s="13">
        <v>576</v>
      </c>
      <c r="H277" s="13">
        <v>2242204</v>
      </c>
      <c r="I277" s="13">
        <v>0</v>
      </c>
      <c r="J277" s="13">
        <v>0</v>
      </c>
      <c r="K277" s="13">
        <v>16477</v>
      </c>
      <c r="L277" s="13">
        <v>20</v>
      </c>
      <c r="M277" s="13">
        <v>3080</v>
      </c>
      <c r="N277" s="13">
        <v>2026</v>
      </c>
      <c r="O277" s="13">
        <v>20</v>
      </c>
      <c r="P277" s="13">
        <v>8</v>
      </c>
      <c r="Q277" s="13">
        <v>46</v>
      </c>
      <c r="R277" s="13">
        <v>25</v>
      </c>
      <c r="S277" s="13">
        <v>1</v>
      </c>
      <c r="T277" s="23">
        <v>46247.516134259262</v>
      </c>
      <c r="U277" s="55">
        <f t="shared" si="12"/>
        <v>0.66666666666666663</v>
      </c>
      <c r="V277" s="55">
        <f t="shared" si="13"/>
        <v>0.33333333333333331</v>
      </c>
      <c r="W277" s="56">
        <f t="shared" si="14"/>
        <v>16319.5</v>
      </c>
    </row>
    <row r="278" spans="1:23" x14ac:dyDescent="0.3">
      <c r="A278" s="13" t="s">
        <v>0</v>
      </c>
      <c r="B278">
        <v>1</v>
      </c>
      <c r="C278" s="13">
        <v>1</v>
      </c>
      <c r="D278" s="13">
        <v>0</v>
      </c>
      <c r="E278" s="13">
        <v>125440</v>
      </c>
      <c r="F278" s="13">
        <v>128380</v>
      </c>
      <c r="G278" s="13">
        <v>584</v>
      </c>
      <c r="H278" s="13">
        <v>2248952</v>
      </c>
      <c r="I278" s="13">
        <v>0</v>
      </c>
      <c r="J278" s="13">
        <v>0</v>
      </c>
      <c r="K278" s="13">
        <v>15771</v>
      </c>
      <c r="L278" s="13">
        <v>12</v>
      </c>
      <c r="M278" s="13">
        <v>2683</v>
      </c>
      <c r="N278" s="13">
        <v>1581</v>
      </c>
      <c r="O278" s="13">
        <v>20</v>
      </c>
      <c r="P278" s="13">
        <v>7</v>
      </c>
      <c r="Q278" s="13">
        <v>47</v>
      </c>
      <c r="R278" s="13">
        <v>25</v>
      </c>
      <c r="S278" s="13">
        <v>1</v>
      </c>
      <c r="T278" s="23">
        <v>46247.516250000001</v>
      </c>
      <c r="U278" s="55">
        <f t="shared" si="12"/>
        <v>0.83333333333333337</v>
      </c>
      <c r="V278" s="55">
        <f t="shared" si="13"/>
        <v>0.16666666666666666</v>
      </c>
      <c r="W278" s="56">
        <f t="shared" si="14"/>
        <v>16784</v>
      </c>
    </row>
    <row r="279" spans="1:23" x14ac:dyDescent="0.3">
      <c r="A279" s="13" t="s">
        <v>0</v>
      </c>
      <c r="B279">
        <v>1</v>
      </c>
      <c r="C279" s="13">
        <v>1</v>
      </c>
      <c r="D279" s="13">
        <v>0</v>
      </c>
      <c r="E279" s="13">
        <v>125440</v>
      </c>
      <c r="F279" s="13">
        <v>150696</v>
      </c>
      <c r="G279" s="13">
        <v>592</v>
      </c>
      <c r="H279" s="13">
        <v>2227200</v>
      </c>
      <c r="I279" s="13">
        <v>0</v>
      </c>
      <c r="J279" s="13">
        <v>0</v>
      </c>
      <c r="K279" s="13">
        <v>16922</v>
      </c>
      <c r="L279" s="13">
        <v>12</v>
      </c>
      <c r="M279" s="13">
        <v>2823</v>
      </c>
      <c r="N279" s="13">
        <v>1753</v>
      </c>
      <c r="O279" s="13">
        <v>20</v>
      </c>
      <c r="P279" s="13">
        <v>7</v>
      </c>
      <c r="Q279" s="13">
        <v>47</v>
      </c>
      <c r="R279" s="13">
        <v>25</v>
      </c>
      <c r="S279" s="13">
        <v>0</v>
      </c>
      <c r="T279" s="23">
        <v>46247.516365740739</v>
      </c>
      <c r="U279" s="55">
        <f t="shared" si="12"/>
        <v>1</v>
      </c>
      <c r="V279" s="55">
        <f t="shared" si="13"/>
        <v>0</v>
      </c>
      <c r="W279" s="56">
        <f t="shared" si="14"/>
        <v>16400</v>
      </c>
    </row>
    <row r="280" spans="1:23" x14ac:dyDescent="0.3">
      <c r="A280" s="13" t="s">
        <v>0</v>
      </c>
      <c r="B280">
        <v>1</v>
      </c>
      <c r="C280" s="13">
        <v>0</v>
      </c>
      <c r="D280" s="13">
        <v>1</v>
      </c>
      <c r="E280" s="13">
        <v>125440</v>
      </c>
      <c r="F280" s="13">
        <v>113456</v>
      </c>
      <c r="G280" s="13">
        <v>600</v>
      </c>
      <c r="H280" s="13">
        <v>2262444</v>
      </c>
      <c r="I280" s="13">
        <v>0</v>
      </c>
      <c r="J280" s="13">
        <v>0</v>
      </c>
      <c r="K280" s="13">
        <v>16393</v>
      </c>
      <c r="L280" s="13">
        <v>13</v>
      </c>
      <c r="M280" s="13">
        <v>2980</v>
      </c>
      <c r="N280" s="13">
        <v>2010</v>
      </c>
      <c r="O280" s="13">
        <v>21</v>
      </c>
      <c r="P280" s="13">
        <v>8</v>
      </c>
      <c r="Q280" s="13">
        <v>46</v>
      </c>
      <c r="R280" s="13">
        <v>24</v>
      </c>
      <c r="S280" s="13">
        <v>1</v>
      </c>
      <c r="T280" s="23">
        <v>46247.516481481478</v>
      </c>
      <c r="U280" s="55">
        <f t="shared" si="12"/>
        <v>0.83333333333333337</v>
      </c>
      <c r="V280" s="55">
        <f t="shared" si="13"/>
        <v>0.16666666666666666</v>
      </c>
      <c r="W280" s="56">
        <f t="shared" si="14"/>
        <v>16250.166666666666</v>
      </c>
    </row>
    <row r="281" spans="1:23" x14ac:dyDescent="0.3">
      <c r="A281" s="13" t="s">
        <v>0</v>
      </c>
      <c r="B281">
        <v>1</v>
      </c>
      <c r="C281" s="13">
        <v>0</v>
      </c>
      <c r="D281" s="13">
        <v>1</v>
      </c>
      <c r="E281" s="13">
        <v>125440</v>
      </c>
      <c r="F281" s="13">
        <v>113940</v>
      </c>
      <c r="G281" s="13">
        <v>608</v>
      </c>
      <c r="H281" s="13">
        <v>2263596</v>
      </c>
      <c r="I281" s="13">
        <v>0</v>
      </c>
      <c r="J281" s="13">
        <v>0</v>
      </c>
      <c r="K281" s="13">
        <v>16857</v>
      </c>
      <c r="L281" s="13">
        <v>20</v>
      </c>
      <c r="M281" s="13">
        <v>2582</v>
      </c>
      <c r="N281" s="13">
        <v>1508</v>
      </c>
      <c r="O281" s="13">
        <v>20</v>
      </c>
      <c r="P281" s="13">
        <v>6</v>
      </c>
      <c r="Q281" s="13">
        <v>48</v>
      </c>
      <c r="R281" s="13">
        <v>25</v>
      </c>
      <c r="S281" s="13">
        <v>1</v>
      </c>
      <c r="T281" s="23">
        <v>46247.516597222224</v>
      </c>
      <c r="U281" s="55">
        <f t="shared" si="12"/>
        <v>0.66666666666666663</v>
      </c>
      <c r="V281" s="55">
        <f t="shared" si="13"/>
        <v>0.33333333333333331</v>
      </c>
      <c r="W281" s="56">
        <f t="shared" si="14"/>
        <v>16365</v>
      </c>
    </row>
    <row r="282" spans="1:23" x14ac:dyDescent="0.3">
      <c r="A282" s="13" t="s">
        <v>0</v>
      </c>
      <c r="B282">
        <v>1</v>
      </c>
      <c r="C282" s="13">
        <v>0</v>
      </c>
      <c r="D282" s="13">
        <v>1</v>
      </c>
      <c r="E282" s="13">
        <v>125440</v>
      </c>
      <c r="F282" s="13">
        <v>121284</v>
      </c>
      <c r="G282" s="13">
        <v>772</v>
      </c>
      <c r="H282" s="13">
        <v>2267600</v>
      </c>
      <c r="I282" s="13">
        <v>0</v>
      </c>
      <c r="J282" s="13">
        <v>0</v>
      </c>
      <c r="K282" s="13">
        <v>14614</v>
      </c>
      <c r="L282" s="13">
        <v>32</v>
      </c>
      <c r="M282" s="13">
        <v>3100</v>
      </c>
      <c r="N282" s="13">
        <v>2019</v>
      </c>
      <c r="O282" s="13">
        <v>22</v>
      </c>
      <c r="P282" s="13">
        <v>8</v>
      </c>
      <c r="Q282" s="13">
        <v>46</v>
      </c>
      <c r="R282" s="13">
        <v>24</v>
      </c>
      <c r="S282" s="13">
        <v>1</v>
      </c>
      <c r="T282" s="23">
        <v>46247.516712962963</v>
      </c>
      <c r="U282" s="55">
        <f t="shared" si="12"/>
        <v>0.5</v>
      </c>
      <c r="V282" s="55">
        <f t="shared" si="13"/>
        <v>0.5</v>
      </c>
      <c r="W282" s="56">
        <f t="shared" si="14"/>
        <v>16172.333333333334</v>
      </c>
    </row>
    <row r="283" spans="1:23" x14ac:dyDescent="0.3">
      <c r="A283" s="13" t="s">
        <v>0</v>
      </c>
      <c r="B283">
        <v>1</v>
      </c>
      <c r="C283" s="13">
        <v>2</v>
      </c>
      <c r="D283" s="13">
        <v>0</v>
      </c>
      <c r="E283" s="13">
        <v>125440</v>
      </c>
      <c r="F283" s="13">
        <v>137360</v>
      </c>
      <c r="G283" s="13">
        <v>784</v>
      </c>
      <c r="H283" s="13">
        <v>2249272</v>
      </c>
      <c r="I283" s="13">
        <v>0</v>
      </c>
      <c r="J283" s="13">
        <v>0</v>
      </c>
      <c r="K283" s="13">
        <v>16670</v>
      </c>
      <c r="L283" s="13">
        <v>19</v>
      </c>
      <c r="M283" s="13">
        <v>2752</v>
      </c>
      <c r="N283" s="13">
        <v>1596</v>
      </c>
      <c r="O283" s="13">
        <v>20</v>
      </c>
      <c r="P283" s="13">
        <v>6</v>
      </c>
      <c r="Q283" s="13">
        <v>47</v>
      </c>
      <c r="R283" s="13">
        <v>25</v>
      </c>
      <c r="S283" s="13">
        <v>1</v>
      </c>
      <c r="T283" s="23">
        <v>46247.516828703701</v>
      </c>
      <c r="U283" s="55">
        <f t="shared" si="12"/>
        <v>0.66666666666666663</v>
      </c>
      <c r="V283" s="55">
        <f t="shared" si="13"/>
        <v>0.5</v>
      </c>
      <c r="W283" s="56">
        <f t="shared" si="14"/>
        <v>16204.5</v>
      </c>
    </row>
    <row r="284" spans="1:23" x14ac:dyDescent="0.3">
      <c r="A284" s="13" t="s">
        <v>0</v>
      </c>
      <c r="B284">
        <v>1</v>
      </c>
      <c r="C284" s="13">
        <v>0</v>
      </c>
      <c r="D284" s="13">
        <v>1</v>
      </c>
      <c r="E284" s="13">
        <v>125440</v>
      </c>
      <c r="F284" s="13">
        <v>135976</v>
      </c>
      <c r="G284" s="13">
        <v>804</v>
      </c>
      <c r="H284" s="13">
        <v>2252540</v>
      </c>
      <c r="I284" s="13">
        <v>0</v>
      </c>
      <c r="J284" s="13">
        <v>0</v>
      </c>
      <c r="K284" s="13">
        <v>14560</v>
      </c>
      <c r="L284" s="13">
        <v>10</v>
      </c>
      <c r="M284" s="13">
        <v>2785</v>
      </c>
      <c r="N284" s="13">
        <v>1636</v>
      </c>
      <c r="O284" s="13">
        <v>20</v>
      </c>
      <c r="P284" s="13">
        <v>6</v>
      </c>
      <c r="Q284" s="13">
        <v>47</v>
      </c>
      <c r="R284" s="13">
        <v>26</v>
      </c>
      <c r="S284" s="13">
        <v>1</v>
      </c>
      <c r="T284" s="23">
        <v>46247.516944444447</v>
      </c>
      <c r="U284" s="55">
        <f t="shared" si="12"/>
        <v>0.5</v>
      </c>
      <c r="V284" s="55">
        <f t="shared" si="13"/>
        <v>0.66666666666666663</v>
      </c>
      <c r="W284" s="56">
        <f t="shared" si="14"/>
        <v>16002.666666666666</v>
      </c>
    </row>
    <row r="285" spans="1:23" x14ac:dyDescent="0.3">
      <c r="A285" s="13" t="s">
        <v>0</v>
      </c>
      <c r="B285">
        <v>1</v>
      </c>
      <c r="C285" s="13">
        <v>3</v>
      </c>
      <c r="D285" s="13">
        <v>0</v>
      </c>
      <c r="E285" s="13">
        <v>125440</v>
      </c>
      <c r="F285" s="13">
        <v>158124</v>
      </c>
      <c r="G285" s="13">
        <v>812</v>
      </c>
      <c r="H285" s="13">
        <v>2227788</v>
      </c>
      <c r="I285" s="13">
        <v>0</v>
      </c>
      <c r="J285" s="13">
        <v>0</v>
      </c>
      <c r="K285" s="13">
        <v>16451</v>
      </c>
      <c r="L285" s="13">
        <v>24</v>
      </c>
      <c r="M285" s="13">
        <v>2731</v>
      </c>
      <c r="N285" s="13">
        <v>1548</v>
      </c>
      <c r="O285" s="13">
        <v>21</v>
      </c>
      <c r="P285" s="13">
        <v>6</v>
      </c>
      <c r="Q285" s="13">
        <v>47</v>
      </c>
      <c r="R285" s="13">
        <v>25</v>
      </c>
      <c r="S285" s="13">
        <v>1</v>
      </c>
      <c r="T285" s="23">
        <v>46247.517060185186</v>
      </c>
      <c r="U285" s="55">
        <f t="shared" si="12"/>
        <v>0.83333333333333337</v>
      </c>
      <c r="V285" s="55">
        <f t="shared" si="13"/>
        <v>0.66666666666666663</v>
      </c>
      <c r="W285" s="56">
        <f t="shared" si="14"/>
        <v>15924.166666666666</v>
      </c>
    </row>
    <row r="286" spans="1:23" x14ac:dyDescent="0.3">
      <c r="A286" s="13" t="s">
        <v>0</v>
      </c>
      <c r="B286">
        <v>1</v>
      </c>
      <c r="C286" s="13">
        <v>2</v>
      </c>
      <c r="D286" s="13">
        <v>0</v>
      </c>
      <c r="E286" s="13">
        <v>125440</v>
      </c>
      <c r="F286" s="13">
        <v>117144</v>
      </c>
      <c r="G286" s="13">
        <v>820</v>
      </c>
      <c r="H286" s="13">
        <v>2266752</v>
      </c>
      <c r="I286" s="13">
        <v>0</v>
      </c>
      <c r="J286" s="13">
        <v>0</v>
      </c>
      <c r="K286" s="13">
        <v>17482</v>
      </c>
      <c r="L286" s="13">
        <v>23</v>
      </c>
      <c r="M286" s="13">
        <v>2685</v>
      </c>
      <c r="N286" s="13">
        <v>1586</v>
      </c>
      <c r="O286" s="13">
        <v>21</v>
      </c>
      <c r="P286" s="13">
        <v>6</v>
      </c>
      <c r="Q286" s="13">
        <v>48</v>
      </c>
      <c r="R286" s="13">
        <v>25</v>
      </c>
      <c r="S286" s="13">
        <v>0</v>
      </c>
      <c r="T286" s="23">
        <v>46247.517175925925</v>
      </c>
      <c r="U286" s="55">
        <f t="shared" si="12"/>
        <v>1.1666666666666667</v>
      </c>
      <c r="V286" s="55">
        <f t="shared" si="13"/>
        <v>0.5</v>
      </c>
      <c r="W286" s="56">
        <f t="shared" si="14"/>
        <v>16105.666666666666</v>
      </c>
    </row>
    <row r="287" spans="1:23" x14ac:dyDescent="0.3">
      <c r="A287" s="13" t="s">
        <v>0</v>
      </c>
      <c r="B287">
        <v>1</v>
      </c>
      <c r="C287" s="13">
        <v>1</v>
      </c>
      <c r="D287" s="13">
        <v>0</v>
      </c>
      <c r="E287" s="13">
        <v>125440</v>
      </c>
      <c r="F287" s="13">
        <v>105044</v>
      </c>
      <c r="G287" s="13">
        <v>832</v>
      </c>
      <c r="H287" s="13">
        <v>2283596</v>
      </c>
      <c r="I287" s="13">
        <v>0</v>
      </c>
      <c r="J287" s="13">
        <v>0</v>
      </c>
      <c r="K287" s="13">
        <v>14458</v>
      </c>
      <c r="L287" s="13">
        <v>8</v>
      </c>
      <c r="M287" s="13">
        <v>2972</v>
      </c>
      <c r="N287" s="13">
        <v>1812</v>
      </c>
      <c r="O287" s="13">
        <v>21</v>
      </c>
      <c r="P287" s="13">
        <v>8</v>
      </c>
      <c r="Q287" s="13">
        <v>46</v>
      </c>
      <c r="R287" s="13">
        <v>24</v>
      </c>
      <c r="S287" s="13">
        <v>1</v>
      </c>
      <c r="T287" s="23">
        <v>46247.517291666663</v>
      </c>
      <c r="U287" s="55">
        <f t="shared" si="12"/>
        <v>1.3333333333333333</v>
      </c>
      <c r="V287" s="55">
        <f t="shared" si="13"/>
        <v>0.33333333333333331</v>
      </c>
      <c r="W287" s="56">
        <f t="shared" si="14"/>
        <v>15705.833333333334</v>
      </c>
    </row>
    <row r="288" spans="1:23" x14ac:dyDescent="0.3">
      <c r="A288" s="13" t="s">
        <v>0</v>
      </c>
      <c r="B288">
        <v>1</v>
      </c>
      <c r="C288" s="13">
        <v>1</v>
      </c>
      <c r="D288" s="13">
        <v>0</v>
      </c>
      <c r="E288" s="13">
        <v>125696</v>
      </c>
      <c r="F288" s="13">
        <v>136684</v>
      </c>
      <c r="G288" s="13">
        <v>292</v>
      </c>
      <c r="H288" s="13">
        <v>2250768</v>
      </c>
      <c r="I288" s="13">
        <v>0</v>
      </c>
      <c r="J288" s="13">
        <v>19</v>
      </c>
      <c r="K288" s="13">
        <v>14427</v>
      </c>
      <c r="L288" s="13">
        <v>54</v>
      </c>
      <c r="M288" s="13">
        <v>2484</v>
      </c>
      <c r="N288" s="13">
        <v>1315</v>
      </c>
      <c r="O288" s="13">
        <v>20</v>
      </c>
      <c r="P288" s="13">
        <v>5</v>
      </c>
      <c r="Q288" s="13">
        <v>47</v>
      </c>
      <c r="R288" s="13">
        <v>26</v>
      </c>
      <c r="S288" s="13">
        <v>2</v>
      </c>
      <c r="T288" s="23">
        <v>46247.517407407409</v>
      </c>
      <c r="U288" s="55">
        <f t="shared" si="12"/>
        <v>1.5</v>
      </c>
      <c r="V288" s="55">
        <f t="shared" si="13"/>
        <v>0.16666666666666666</v>
      </c>
      <c r="W288" s="56">
        <f t="shared" si="14"/>
        <v>15674.666666666666</v>
      </c>
    </row>
    <row r="289" spans="1:23" x14ac:dyDescent="0.3">
      <c r="A289" s="13" t="s">
        <v>0</v>
      </c>
      <c r="B289">
        <v>1</v>
      </c>
      <c r="C289" s="13">
        <v>3</v>
      </c>
      <c r="D289" s="13">
        <v>3</v>
      </c>
      <c r="E289" s="13">
        <v>125440</v>
      </c>
      <c r="F289" s="13">
        <v>126748</v>
      </c>
      <c r="G289" s="13">
        <v>408</v>
      </c>
      <c r="H289" s="13">
        <v>2264476</v>
      </c>
      <c r="I289" s="13">
        <v>67</v>
      </c>
      <c r="J289" s="13">
        <v>10</v>
      </c>
      <c r="K289" s="13">
        <v>10308</v>
      </c>
      <c r="L289" s="13">
        <v>23</v>
      </c>
      <c r="M289" s="13">
        <v>2262</v>
      </c>
      <c r="N289" s="13">
        <v>1354</v>
      </c>
      <c r="O289" s="13">
        <v>19</v>
      </c>
      <c r="P289" s="13">
        <v>6</v>
      </c>
      <c r="Q289" s="13">
        <v>45</v>
      </c>
      <c r="R289" s="13">
        <v>26</v>
      </c>
      <c r="S289" s="13">
        <v>4</v>
      </c>
      <c r="T289" s="23">
        <v>46247.517523148148</v>
      </c>
      <c r="U289" s="55">
        <f t="shared" si="12"/>
        <v>1.6666666666666667</v>
      </c>
      <c r="V289" s="55">
        <f t="shared" si="13"/>
        <v>0.66666666666666663</v>
      </c>
      <c r="W289" s="56">
        <f t="shared" si="14"/>
        <v>14614.333333333334</v>
      </c>
    </row>
    <row r="290" spans="1:23" x14ac:dyDescent="0.3">
      <c r="A290" s="13" t="s">
        <v>0</v>
      </c>
      <c r="B290">
        <v>1</v>
      </c>
      <c r="C290" s="13">
        <v>0</v>
      </c>
      <c r="D290" s="13">
        <v>1</v>
      </c>
      <c r="E290" s="13">
        <v>125440</v>
      </c>
      <c r="F290" s="13">
        <v>105372</v>
      </c>
      <c r="G290" s="13">
        <v>440</v>
      </c>
      <c r="H290" s="13">
        <v>2271368</v>
      </c>
      <c r="I290" s="13">
        <v>5</v>
      </c>
      <c r="J290" s="13">
        <v>0</v>
      </c>
      <c r="K290" s="13">
        <v>13384</v>
      </c>
      <c r="L290" s="13">
        <v>40</v>
      </c>
      <c r="M290" s="13">
        <v>2715</v>
      </c>
      <c r="N290" s="13">
        <v>1670</v>
      </c>
      <c r="O290" s="13">
        <v>21</v>
      </c>
      <c r="P290" s="13">
        <v>7</v>
      </c>
      <c r="Q290" s="13">
        <v>44</v>
      </c>
      <c r="R290" s="13">
        <v>26</v>
      </c>
      <c r="S290" s="13">
        <v>2</v>
      </c>
      <c r="T290" s="23">
        <v>46247.517638888887</v>
      </c>
      <c r="U290" s="55">
        <f t="shared" si="12"/>
        <v>1.6666666666666667</v>
      </c>
      <c r="V290" s="55">
        <f t="shared" si="13"/>
        <v>0.66666666666666663</v>
      </c>
      <c r="W290" s="56">
        <f t="shared" si="14"/>
        <v>14418.333333333334</v>
      </c>
    </row>
    <row r="291" spans="1:23" x14ac:dyDescent="0.3">
      <c r="A291" s="13" t="s">
        <v>0</v>
      </c>
      <c r="B291">
        <v>1</v>
      </c>
      <c r="C291" s="13">
        <v>0</v>
      </c>
      <c r="D291" s="13">
        <v>1</v>
      </c>
      <c r="E291" s="13">
        <v>125440</v>
      </c>
      <c r="F291" s="13">
        <v>117272</v>
      </c>
      <c r="G291" s="13">
        <v>444</v>
      </c>
      <c r="H291" s="13">
        <v>2275616</v>
      </c>
      <c r="I291" s="13">
        <v>0</v>
      </c>
      <c r="J291" s="13">
        <v>0</v>
      </c>
      <c r="K291" s="13">
        <v>14541</v>
      </c>
      <c r="L291" s="13">
        <v>13</v>
      </c>
      <c r="M291" s="13">
        <v>2480</v>
      </c>
      <c r="N291" s="13">
        <v>1354</v>
      </c>
      <c r="O291" s="13">
        <v>20</v>
      </c>
      <c r="P291" s="13">
        <v>6</v>
      </c>
      <c r="Q291" s="13">
        <v>48</v>
      </c>
      <c r="R291" s="13">
        <v>26</v>
      </c>
      <c r="S291" s="13">
        <v>1</v>
      </c>
      <c r="T291" s="23">
        <v>46247.517754629633</v>
      </c>
      <c r="U291" s="55">
        <f t="shared" si="12"/>
        <v>1.1666666666666667</v>
      </c>
      <c r="V291" s="55">
        <f t="shared" si="13"/>
        <v>0.83333333333333337</v>
      </c>
      <c r="W291" s="56">
        <f t="shared" si="14"/>
        <v>14100</v>
      </c>
    </row>
    <row r="292" spans="1:23" x14ac:dyDescent="0.3">
      <c r="A292" s="13" t="s">
        <v>0</v>
      </c>
      <c r="B292">
        <v>1</v>
      </c>
      <c r="C292" s="13">
        <v>1</v>
      </c>
      <c r="D292" s="13">
        <v>0</v>
      </c>
      <c r="E292" s="13">
        <v>125696</v>
      </c>
      <c r="F292" s="13">
        <v>120496</v>
      </c>
      <c r="G292" s="13">
        <v>452</v>
      </c>
      <c r="H292" s="13">
        <v>2270280</v>
      </c>
      <c r="I292" s="13">
        <v>6</v>
      </c>
      <c r="J292" s="13">
        <v>26</v>
      </c>
      <c r="K292" s="13">
        <v>11899</v>
      </c>
      <c r="L292" s="13">
        <v>42</v>
      </c>
      <c r="M292" s="13">
        <v>2380</v>
      </c>
      <c r="N292" s="13">
        <v>1370</v>
      </c>
      <c r="O292" s="13">
        <v>20</v>
      </c>
      <c r="P292" s="13">
        <v>5</v>
      </c>
      <c r="Q292" s="13">
        <v>47</v>
      </c>
      <c r="R292" s="13">
        <v>26</v>
      </c>
      <c r="S292" s="13">
        <v>2</v>
      </c>
      <c r="T292" s="23">
        <v>46247.517870370371</v>
      </c>
      <c r="U292" s="55">
        <f t="shared" si="12"/>
        <v>1</v>
      </c>
      <c r="V292" s="55">
        <f t="shared" si="13"/>
        <v>0.83333333333333337</v>
      </c>
      <c r="W292" s="56">
        <f t="shared" si="14"/>
        <v>13169.5</v>
      </c>
    </row>
    <row r="293" spans="1:23" x14ac:dyDescent="0.3">
      <c r="A293" s="13" t="s">
        <v>0</v>
      </c>
      <c r="B293">
        <v>1</v>
      </c>
      <c r="C293" s="13">
        <v>0</v>
      </c>
      <c r="D293" s="13">
        <v>1</v>
      </c>
      <c r="E293" s="13">
        <v>134912</v>
      </c>
      <c r="F293" s="13">
        <v>135540</v>
      </c>
      <c r="G293" s="13">
        <v>452</v>
      </c>
      <c r="H293" s="13">
        <v>2256896</v>
      </c>
      <c r="I293" s="13">
        <v>1</v>
      </c>
      <c r="J293" s="13">
        <v>917</v>
      </c>
      <c r="K293" s="13">
        <v>13925</v>
      </c>
      <c r="L293" s="13">
        <v>932</v>
      </c>
      <c r="M293" s="13">
        <v>2623</v>
      </c>
      <c r="N293" s="13">
        <v>1464</v>
      </c>
      <c r="O293" s="13">
        <v>21</v>
      </c>
      <c r="P293" s="13">
        <v>7</v>
      </c>
      <c r="Q293" s="13">
        <v>46</v>
      </c>
      <c r="R293" s="13">
        <v>25</v>
      </c>
      <c r="S293" s="13">
        <v>1</v>
      </c>
      <c r="T293" s="23">
        <v>46247.51798611111</v>
      </c>
      <c r="U293" s="55">
        <f t="shared" si="12"/>
        <v>0.83333333333333337</v>
      </c>
      <c r="V293" s="55">
        <f t="shared" si="13"/>
        <v>1</v>
      </c>
      <c r="W293" s="56">
        <f t="shared" si="14"/>
        <v>13080.666666666666</v>
      </c>
    </row>
    <row r="294" spans="1:23" x14ac:dyDescent="0.3">
      <c r="A294" s="13" t="s">
        <v>0</v>
      </c>
      <c r="B294">
        <v>1</v>
      </c>
      <c r="C294" s="13">
        <v>1</v>
      </c>
      <c r="D294" s="13">
        <v>0</v>
      </c>
      <c r="E294" s="13">
        <v>134912</v>
      </c>
      <c r="F294" s="13">
        <v>122152</v>
      </c>
      <c r="G294" s="13">
        <v>492</v>
      </c>
      <c r="H294" s="13">
        <v>2275184</v>
      </c>
      <c r="I294" s="13">
        <v>1</v>
      </c>
      <c r="J294" s="13">
        <v>0</v>
      </c>
      <c r="K294" s="13">
        <v>13037</v>
      </c>
      <c r="L294" s="13">
        <v>47</v>
      </c>
      <c r="M294" s="13">
        <v>2397</v>
      </c>
      <c r="N294" s="13">
        <v>1259</v>
      </c>
      <c r="O294" s="13">
        <v>19</v>
      </c>
      <c r="P294" s="13">
        <v>5</v>
      </c>
      <c r="Q294" s="13">
        <v>47</v>
      </c>
      <c r="R294" s="13">
        <v>26</v>
      </c>
      <c r="S294" s="13">
        <v>2</v>
      </c>
      <c r="T294" s="23">
        <v>46247.518101851849</v>
      </c>
      <c r="U294" s="55">
        <f t="shared" si="12"/>
        <v>0.83333333333333337</v>
      </c>
      <c r="V294" s="55">
        <f t="shared" si="13"/>
        <v>1</v>
      </c>
      <c r="W294" s="56">
        <f t="shared" si="14"/>
        <v>12849</v>
      </c>
    </row>
    <row r="295" spans="1:23" x14ac:dyDescent="0.3">
      <c r="A295" s="13" t="s">
        <v>0</v>
      </c>
      <c r="B295">
        <v>1</v>
      </c>
      <c r="C295" s="13">
        <v>0</v>
      </c>
      <c r="D295" s="13">
        <v>1</v>
      </c>
      <c r="E295" s="13">
        <v>134912</v>
      </c>
      <c r="F295" s="13">
        <v>121944</v>
      </c>
      <c r="G295" s="13">
        <v>516</v>
      </c>
      <c r="H295" s="13">
        <v>2275568</v>
      </c>
      <c r="I295" s="13">
        <v>0</v>
      </c>
      <c r="J295" s="13">
        <v>0</v>
      </c>
      <c r="K295" s="13">
        <v>11171</v>
      </c>
      <c r="L295" s="13">
        <v>33</v>
      </c>
      <c r="M295" s="13">
        <v>2643</v>
      </c>
      <c r="N295" s="13">
        <v>1626</v>
      </c>
      <c r="O295" s="13">
        <v>20</v>
      </c>
      <c r="P295" s="13">
        <v>7</v>
      </c>
      <c r="Q295" s="13">
        <v>46</v>
      </c>
      <c r="R295" s="13">
        <v>24</v>
      </c>
      <c r="S295" s="13">
        <v>2</v>
      </c>
      <c r="T295" s="23">
        <v>46247.518217592595</v>
      </c>
      <c r="U295" s="55">
        <f t="shared" si="12"/>
        <v>0.33333333333333331</v>
      </c>
      <c r="V295" s="55">
        <f t="shared" si="13"/>
        <v>0.66666666666666663</v>
      </c>
      <c r="W295" s="56">
        <f t="shared" si="14"/>
        <v>12992.833333333334</v>
      </c>
    </row>
    <row r="296" spans="1:23" x14ac:dyDescent="0.3">
      <c r="A296" s="13" t="s">
        <v>0</v>
      </c>
      <c r="B296">
        <v>1</v>
      </c>
      <c r="C296" s="13">
        <v>1</v>
      </c>
      <c r="D296" s="13">
        <v>0</v>
      </c>
      <c r="E296" s="13">
        <v>134912</v>
      </c>
      <c r="F296" s="13">
        <v>165112</v>
      </c>
      <c r="G296" s="13">
        <v>528</v>
      </c>
      <c r="H296" s="13">
        <v>2238284</v>
      </c>
      <c r="I296" s="13">
        <v>1</v>
      </c>
      <c r="J296" s="13">
        <v>0</v>
      </c>
      <c r="K296" s="13">
        <v>12778</v>
      </c>
      <c r="L296" s="13">
        <v>9</v>
      </c>
      <c r="M296" s="13">
        <v>2278</v>
      </c>
      <c r="N296" s="13">
        <v>1243</v>
      </c>
      <c r="O296" s="13">
        <v>20</v>
      </c>
      <c r="P296" s="13">
        <v>5</v>
      </c>
      <c r="Q296" s="13">
        <v>48</v>
      </c>
      <c r="R296" s="13">
        <v>26</v>
      </c>
      <c r="S296" s="13">
        <v>2</v>
      </c>
      <c r="T296" s="23">
        <v>46247.518333333333</v>
      </c>
      <c r="U296" s="55">
        <f t="shared" si="12"/>
        <v>0.5</v>
      </c>
      <c r="V296" s="55">
        <f t="shared" si="13"/>
        <v>0.5</v>
      </c>
      <c r="W296" s="56">
        <f t="shared" si="14"/>
        <v>12891.833333333334</v>
      </c>
    </row>
    <row r="297" spans="1:23" x14ac:dyDescent="0.3">
      <c r="A297" s="13" t="s">
        <v>0</v>
      </c>
      <c r="B297">
        <v>1</v>
      </c>
      <c r="C297" s="13">
        <v>1</v>
      </c>
      <c r="D297" s="13">
        <v>0</v>
      </c>
      <c r="E297" s="13">
        <v>134912</v>
      </c>
      <c r="F297" s="13">
        <v>103972</v>
      </c>
      <c r="G297" s="13">
        <v>544</v>
      </c>
      <c r="H297" s="13">
        <v>2286708</v>
      </c>
      <c r="I297" s="13">
        <v>0</v>
      </c>
      <c r="J297" s="13">
        <v>0</v>
      </c>
      <c r="K297" s="13">
        <v>15921</v>
      </c>
      <c r="L297" s="13">
        <v>13</v>
      </c>
      <c r="M297" s="13">
        <v>2509</v>
      </c>
      <c r="N297" s="13">
        <v>1458</v>
      </c>
      <c r="O297" s="13">
        <v>20</v>
      </c>
      <c r="P297" s="13">
        <v>6</v>
      </c>
      <c r="Q297" s="13">
        <v>48</v>
      </c>
      <c r="R297" s="13">
        <v>25</v>
      </c>
      <c r="S297" s="13">
        <v>1</v>
      </c>
      <c r="T297" s="23">
        <v>46247.518449074072</v>
      </c>
      <c r="U297" s="55">
        <f t="shared" si="12"/>
        <v>0.66666666666666663</v>
      </c>
      <c r="V297" s="55">
        <f t="shared" si="13"/>
        <v>0.33333333333333331</v>
      </c>
      <c r="W297" s="56">
        <f t="shared" si="14"/>
        <v>13121.833333333334</v>
      </c>
    </row>
    <row r="298" spans="1:23" x14ac:dyDescent="0.3">
      <c r="A298" s="13" t="s">
        <v>0</v>
      </c>
      <c r="B298">
        <v>1</v>
      </c>
      <c r="C298" s="13">
        <v>0</v>
      </c>
      <c r="D298" s="13">
        <v>1</v>
      </c>
      <c r="E298" s="13">
        <v>134912</v>
      </c>
      <c r="F298" s="13">
        <v>129932</v>
      </c>
      <c r="G298" s="13">
        <v>556</v>
      </c>
      <c r="H298" s="13">
        <v>2262192</v>
      </c>
      <c r="I298" s="13">
        <v>1</v>
      </c>
      <c r="J298" s="13">
        <v>0</v>
      </c>
      <c r="K298" s="13">
        <v>13800</v>
      </c>
      <c r="L298" s="13">
        <v>20</v>
      </c>
      <c r="M298" s="13">
        <v>2901</v>
      </c>
      <c r="N298" s="13">
        <v>1876</v>
      </c>
      <c r="O298" s="13">
        <v>22</v>
      </c>
      <c r="P298" s="13">
        <v>7</v>
      </c>
      <c r="Q298" s="13">
        <v>46</v>
      </c>
      <c r="R298" s="13">
        <v>24</v>
      </c>
      <c r="S298" s="13">
        <v>1</v>
      </c>
      <c r="T298" s="23">
        <v>46247.518564814818</v>
      </c>
      <c r="U298" s="55">
        <f t="shared" si="12"/>
        <v>0.5</v>
      </c>
      <c r="V298" s="55">
        <f t="shared" si="13"/>
        <v>0.5</v>
      </c>
      <c r="W298" s="56">
        <f t="shared" si="14"/>
        <v>13438.666666666666</v>
      </c>
    </row>
    <row r="299" spans="1:23" x14ac:dyDescent="0.3">
      <c r="A299" s="13" t="s">
        <v>0</v>
      </c>
      <c r="B299">
        <v>1</v>
      </c>
      <c r="C299" s="13">
        <v>0</v>
      </c>
      <c r="D299" s="13">
        <v>1</v>
      </c>
      <c r="E299" s="13">
        <v>134912</v>
      </c>
      <c r="F299" s="13">
        <v>148120</v>
      </c>
      <c r="G299" s="13">
        <v>580</v>
      </c>
      <c r="H299" s="13">
        <v>2250952</v>
      </c>
      <c r="I299" s="13">
        <v>0</v>
      </c>
      <c r="J299" s="13">
        <v>0</v>
      </c>
      <c r="K299" s="13">
        <v>15084</v>
      </c>
      <c r="L299" s="13">
        <v>19</v>
      </c>
      <c r="M299" s="13">
        <v>2515</v>
      </c>
      <c r="N299" s="13">
        <v>1414</v>
      </c>
      <c r="O299" s="13">
        <v>20</v>
      </c>
      <c r="P299" s="13">
        <v>6</v>
      </c>
      <c r="Q299" s="13">
        <v>48</v>
      </c>
      <c r="R299" s="13">
        <v>25</v>
      </c>
      <c r="S299" s="13">
        <v>1</v>
      </c>
      <c r="T299" s="23">
        <v>46247.518680555557</v>
      </c>
      <c r="U299" s="55">
        <f t="shared" si="12"/>
        <v>0.5</v>
      </c>
      <c r="V299" s="55">
        <f t="shared" si="13"/>
        <v>0.5</v>
      </c>
      <c r="W299" s="56">
        <f t="shared" si="14"/>
        <v>13631.833333333334</v>
      </c>
    </row>
    <row r="300" spans="1:23" x14ac:dyDescent="0.3">
      <c r="A300" s="13" t="s">
        <v>0</v>
      </c>
      <c r="B300">
        <v>1</v>
      </c>
      <c r="C300" s="13">
        <v>2</v>
      </c>
      <c r="D300" s="13">
        <v>0</v>
      </c>
      <c r="E300" s="13">
        <v>134912</v>
      </c>
      <c r="F300" s="13">
        <v>153424</v>
      </c>
      <c r="G300" s="13">
        <v>604</v>
      </c>
      <c r="H300" s="13">
        <v>2248440</v>
      </c>
      <c r="I300" s="13">
        <v>4</v>
      </c>
      <c r="J300" s="13">
        <v>0</v>
      </c>
      <c r="K300" s="13">
        <v>14344</v>
      </c>
      <c r="L300" s="13">
        <v>24</v>
      </c>
      <c r="M300" s="13">
        <v>3020</v>
      </c>
      <c r="N300" s="13">
        <v>1850</v>
      </c>
      <c r="O300" s="13">
        <v>21</v>
      </c>
      <c r="P300" s="13">
        <v>7</v>
      </c>
      <c r="Q300" s="13">
        <v>46</v>
      </c>
      <c r="R300" s="13">
        <v>25</v>
      </c>
      <c r="S300" s="13">
        <v>1</v>
      </c>
      <c r="T300" s="23">
        <v>46247.518796296295</v>
      </c>
      <c r="U300" s="55">
        <f t="shared" si="12"/>
        <v>0.66666666666666663</v>
      </c>
      <c r="V300" s="55">
        <f t="shared" si="13"/>
        <v>0.5</v>
      </c>
      <c r="W300" s="56">
        <f t="shared" si="14"/>
        <v>13849.666666666666</v>
      </c>
    </row>
    <row r="301" spans="1:23" x14ac:dyDescent="0.3">
      <c r="A301" s="13" t="s">
        <v>0</v>
      </c>
      <c r="B301">
        <v>1</v>
      </c>
      <c r="C301" s="13">
        <v>0</v>
      </c>
      <c r="D301" s="13">
        <v>1</v>
      </c>
      <c r="E301" s="13">
        <v>134912</v>
      </c>
      <c r="F301" s="13">
        <v>111608</v>
      </c>
      <c r="G301" s="13">
        <v>612</v>
      </c>
      <c r="H301" s="13">
        <v>2280596</v>
      </c>
      <c r="I301" s="13">
        <v>0</v>
      </c>
      <c r="J301" s="13">
        <v>0</v>
      </c>
      <c r="K301" s="13">
        <v>14788</v>
      </c>
      <c r="L301" s="13">
        <v>16</v>
      </c>
      <c r="M301" s="13">
        <v>2508</v>
      </c>
      <c r="N301" s="13">
        <v>1374</v>
      </c>
      <c r="O301" s="13">
        <v>20</v>
      </c>
      <c r="P301" s="13">
        <v>5</v>
      </c>
      <c r="Q301" s="13">
        <v>48</v>
      </c>
      <c r="R301" s="13">
        <v>25</v>
      </c>
      <c r="S301" s="13">
        <v>1</v>
      </c>
      <c r="T301" s="23">
        <v>46247.518912037034</v>
      </c>
      <c r="U301" s="55">
        <f t="shared" si="12"/>
        <v>0.66666666666666663</v>
      </c>
      <c r="V301" s="55">
        <f t="shared" si="13"/>
        <v>0.5</v>
      </c>
      <c r="W301" s="56">
        <f t="shared" si="14"/>
        <v>14452.5</v>
      </c>
    </row>
    <row r="302" spans="1:23" x14ac:dyDescent="0.3">
      <c r="A302" s="13" t="s">
        <v>0</v>
      </c>
      <c r="B302">
        <v>1</v>
      </c>
      <c r="C302" s="13">
        <v>1</v>
      </c>
      <c r="D302" s="13">
        <v>0</v>
      </c>
      <c r="E302" s="13">
        <v>134912</v>
      </c>
      <c r="F302" s="13">
        <v>140340</v>
      </c>
      <c r="G302" s="13">
        <v>620</v>
      </c>
      <c r="H302" s="13">
        <v>2252772</v>
      </c>
      <c r="I302" s="13">
        <v>0</v>
      </c>
      <c r="J302" s="13">
        <v>0</v>
      </c>
      <c r="K302" s="13">
        <v>14312</v>
      </c>
      <c r="L302" s="13">
        <v>25</v>
      </c>
      <c r="M302" s="13">
        <v>2522</v>
      </c>
      <c r="N302" s="13">
        <v>1357</v>
      </c>
      <c r="O302" s="13">
        <v>20</v>
      </c>
      <c r="P302" s="13">
        <v>5</v>
      </c>
      <c r="Q302" s="13">
        <v>48</v>
      </c>
      <c r="R302" s="13">
        <v>26</v>
      </c>
      <c r="S302" s="13">
        <v>1</v>
      </c>
      <c r="T302" s="23">
        <v>46247.51902777778</v>
      </c>
      <c r="U302" s="55">
        <f t="shared" si="12"/>
        <v>0.66666666666666663</v>
      </c>
      <c r="V302" s="55">
        <f t="shared" si="13"/>
        <v>0.5</v>
      </c>
      <c r="W302" s="56">
        <f t="shared" si="14"/>
        <v>14708.166666666666</v>
      </c>
    </row>
    <row r="303" spans="1:23" x14ac:dyDescent="0.3">
      <c r="A303" s="13" t="s">
        <v>0</v>
      </c>
      <c r="B303">
        <v>1</v>
      </c>
      <c r="C303" s="13">
        <v>0</v>
      </c>
      <c r="D303" s="13">
        <v>1</v>
      </c>
      <c r="E303" s="13">
        <v>131072</v>
      </c>
      <c r="F303" s="13">
        <v>117064</v>
      </c>
      <c r="G303" s="13">
        <v>628</v>
      </c>
      <c r="H303" s="13">
        <v>2271484</v>
      </c>
      <c r="I303" s="13">
        <v>360</v>
      </c>
      <c r="J303" s="13">
        <v>0</v>
      </c>
      <c r="K303" s="13">
        <v>14186</v>
      </c>
      <c r="L303" s="13">
        <v>13</v>
      </c>
      <c r="M303" s="13">
        <v>2995</v>
      </c>
      <c r="N303" s="13">
        <v>1948</v>
      </c>
      <c r="O303" s="13">
        <v>20</v>
      </c>
      <c r="P303" s="13">
        <v>8</v>
      </c>
      <c r="Q303" s="13">
        <v>46</v>
      </c>
      <c r="R303" s="13">
        <v>24</v>
      </c>
      <c r="S303" s="13">
        <v>1</v>
      </c>
      <c r="T303" s="23">
        <v>46247.519143518519</v>
      </c>
      <c r="U303" s="55">
        <f t="shared" si="12"/>
        <v>0.5</v>
      </c>
      <c r="V303" s="55">
        <f t="shared" si="13"/>
        <v>0.66666666666666663</v>
      </c>
      <c r="W303" s="56">
        <f t="shared" si="14"/>
        <v>14419</v>
      </c>
    </row>
    <row r="304" spans="1:23" x14ac:dyDescent="0.3">
      <c r="A304" s="13" t="s">
        <v>0</v>
      </c>
      <c r="B304">
        <v>1</v>
      </c>
      <c r="C304" s="13">
        <v>1</v>
      </c>
      <c r="D304" s="13">
        <v>0</v>
      </c>
      <c r="E304" s="13">
        <v>131072</v>
      </c>
      <c r="F304" s="13">
        <v>152224</v>
      </c>
      <c r="G304" s="13">
        <v>636</v>
      </c>
      <c r="H304" s="13">
        <v>2234080</v>
      </c>
      <c r="I304" s="13">
        <v>0</v>
      </c>
      <c r="J304" s="13">
        <v>0</v>
      </c>
      <c r="K304" s="13">
        <v>16796</v>
      </c>
      <c r="L304" s="13">
        <v>14</v>
      </c>
      <c r="M304" s="13">
        <v>2548</v>
      </c>
      <c r="N304" s="13">
        <v>1502</v>
      </c>
      <c r="O304" s="13">
        <v>21</v>
      </c>
      <c r="P304" s="13">
        <v>6</v>
      </c>
      <c r="Q304" s="13">
        <v>47</v>
      </c>
      <c r="R304" s="13">
        <v>25</v>
      </c>
      <c r="S304" s="13">
        <v>1</v>
      </c>
      <c r="T304" s="23">
        <v>46247.519259259258</v>
      </c>
      <c r="U304" s="55">
        <f t="shared" si="12"/>
        <v>0.66666666666666663</v>
      </c>
      <c r="V304" s="55">
        <f t="shared" si="13"/>
        <v>0.5</v>
      </c>
      <c r="W304" s="56">
        <f t="shared" si="14"/>
        <v>14918.333333333334</v>
      </c>
    </row>
    <row r="305" spans="1:23" x14ac:dyDescent="0.3">
      <c r="A305" s="13" t="s">
        <v>0</v>
      </c>
      <c r="B305">
        <v>1</v>
      </c>
      <c r="C305" s="13">
        <v>1</v>
      </c>
      <c r="D305" s="13">
        <v>0</v>
      </c>
      <c r="E305" s="13">
        <v>131072</v>
      </c>
      <c r="F305" s="13">
        <v>126668</v>
      </c>
      <c r="G305" s="13">
        <v>644</v>
      </c>
      <c r="H305" s="13">
        <v>2265692</v>
      </c>
      <c r="I305" s="13">
        <v>0</v>
      </c>
      <c r="J305" s="13">
        <v>0</v>
      </c>
      <c r="K305" s="13">
        <v>13456</v>
      </c>
      <c r="L305" s="13">
        <v>18</v>
      </c>
      <c r="M305" s="13">
        <v>3138</v>
      </c>
      <c r="N305" s="13">
        <v>2012</v>
      </c>
      <c r="O305" s="13">
        <v>21</v>
      </c>
      <c r="P305" s="13">
        <v>8</v>
      </c>
      <c r="Q305" s="13">
        <v>46</v>
      </c>
      <c r="R305" s="13">
        <v>24</v>
      </c>
      <c r="S305" s="13">
        <v>1</v>
      </c>
      <c r="T305" s="23">
        <v>46247.519375000003</v>
      </c>
      <c r="U305" s="55">
        <f t="shared" si="12"/>
        <v>0.83333333333333337</v>
      </c>
      <c r="V305" s="55">
        <f t="shared" si="13"/>
        <v>0.33333333333333331</v>
      </c>
      <c r="W305" s="56">
        <f t="shared" si="14"/>
        <v>14647</v>
      </c>
    </row>
    <row r="306" spans="1:23" x14ac:dyDescent="0.3">
      <c r="A306" s="13" t="s">
        <v>0</v>
      </c>
      <c r="B306">
        <v>1</v>
      </c>
      <c r="C306" s="13">
        <v>0</v>
      </c>
      <c r="D306" s="13">
        <v>1</v>
      </c>
      <c r="E306" s="13">
        <v>131072</v>
      </c>
      <c r="F306" s="13">
        <v>126324</v>
      </c>
      <c r="G306" s="13">
        <v>672</v>
      </c>
      <c r="H306" s="13">
        <v>2263628</v>
      </c>
      <c r="I306" s="13">
        <v>1</v>
      </c>
      <c r="J306" s="13">
        <v>0</v>
      </c>
      <c r="K306" s="13">
        <v>14119</v>
      </c>
      <c r="L306" s="13">
        <v>32</v>
      </c>
      <c r="M306" s="13">
        <v>2554</v>
      </c>
      <c r="N306" s="13">
        <v>1488</v>
      </c>
      <c r="O306" s="13">
        <v>20</v>
      </c>
      <c r="P306" s="13">
        <v>6</v>
      </c>
      <c r="Q306" s="13">
        <v>47</v>
      </c>
      <c r="R306" s="13">
        <v>26</v>
      </c>
      <c r="S306" s="13">
        <v>2</v>
      </c>
      <c r="T306" s="23">
        <v>46247.519490740742</v>
      </c>
      <c r="U306" s="55">
        <f t="shared" si="12"/>
        <v>0.5</v>
      </c>
      <c r="V306" s="55">
        <f t="shared" si="13"/>
        <v>0.5</v>
      </c>
      <c r="W306" s="56">
        <f t="shared" si="14"/>
        <v>14609.5</v>
      </c>
    </row>
    <row r="307" spans="1:23" x14ac:dyDescent="0.3">
      <c r="A307" s="13" t="s">
        <v>0</v>
      </c>
      <c r="B307">
        <v>1</v>
      </c>
      <c r="C307" s="13">
        <v>1</v>
      </c>
      <c r="D307" s="13">
        <v>0</v>
      </c>
      <c r="E307" s="13">
        <v>131072</v>
      </c>
      <c r="F307" s="13">
        <v>107920</v>
      </c>
      <c r="G307" s="13">
        <v>680</v>
      </c>
      <c r="H307" s="13">
        <v>2266748</v>
      </c>
      <c r="I307" s="13">
        <v>0</v>
      </c>
      <c r="J307" s="13">
        <v>0</v>
      </c>
      <c r="K307" s="13">
        <v>14674</v>
      </c>
      <c r="L307" s="13">
        <v>26</v>
      </c>
      <c r="M307" s="13">
        <v>2490</v>
      </c>
      <c r="N307" s="13">
        <v>1343</v>
      </c>
      <c r="O307" s="13">
        <v>19</v>
      </c>
      <c r="P307" s="13">
        <v>6</v>
      </c>
      <c r="Q307" s="13">
        <v>48</v>
      </c>
      <c r="R307" s="13">
        <v>27</v>
      </c>
      <c r="S307" s="13">
        <v>1</v>
      </c>
      <c r="T307" s="23">
        <v>46247.519606481481</v>
      </c>
      <c r="U307" s="55">
        <f t="shared" si="12"/>
        <v>0.66666666666666663</v>
      </c>
      <c r="V307" s="55">
        <f t="shared" si="13"/>
        <v>0.33333333333333331</v>
      </c>
      <c r="W307" s="56">
        <f t="shared" si="14"/>
        <v>14590.5</v>
      </c>
    </row>
    <row r="308" spans="1:23" x14ac:dyDescent="0.3">
      <c r="A308" s="13" t="s">
        <v>0</v>
      </c>
      <c r="B308">
        <v>1</v>
      </c>
      <c r="C308" s="13">
        <v>0</v>
      </c>
      <c r="D308" s="13">
        <v>1</v>
      </c>
      <c r="E308" s="13">
        <v>131072</v>
      </c>
      <c r="F308" s="13">
        <v>107008</v>
      </c>
      <c r="G308" s="13">
        <v>688</v>
      </c>
      <c r="H308" s="13">
        <v>2281028</v>
      </c>
      <c r="I308" s="13">
        <v>0</v>
      </c>
      <c r="J308" s="13">
        <v>0</v>
      </c>
      <c r="K308" s="13">
        <v>10620</v>
      </c>
      <c r="L308" s="13">
        <v>13</v>
      </c>
      <c r="M308" s="13">
        <v>2619</v>
      </c>
      <c r="N308" s="13">
        <v>1696</v>
      </c>
      <c r="O308" s="13">
        <v>19</v>
      </c>
      <c r="P308" s="13">
        <v>8</v>
      </c>
      <c r="Q308" s="13">
        <v>46</v>
      </c>
      <c r="R308" s="13">
        <v>25</v>
      </c>
      <c r="S308" s="13">
        <v>2</v>
      </c>
      <c r="T308" s="23">
        <v>46247.51972222222</v>
      </c>
      <c r="U308" s="55">
        <f t="shared" si="12"/>
        <v>0.5</v>
      </c>
      <c r="V308" s="55">
        <f t="shared" si="13"/>
        <v>0.5</v>
      </c>
      <c r="W308" s="56">
        <f t="shared" si="14"/>
        <v>13975.166666666666</v>
      </c>
    </row>
    <row r="309" spans="1:23" x14ac:dyDescent="0.3">
      <c r="A309" s="13" t="s">
        <v>0</v>
      </c>
      <c r="B309">
        <v>1</v>
      </c>
      <c r="C309" s="13">
        <v>0</v>
      </c>
      <c r="D309" s="13">
        <v>1</v>
      </c>
      <c r="E309" s="13">
        <v>131072</v>
      </c>
      <c r="F309" s="13">
        <v>152888</v>
      </c>
      <c r="G309" s="13">
        <v>452</v>
      </c>
      <c r="H309" s="13">
        <v>2237460</v>
      </c>
      <c r="I309" s="13">
        <v>0</v>
      </c>
      <c r="J309" s="13">
        <v>2</v>
      </c>
      <c r="K309" s="13">
        <v>17730</v>
      </c>
      <c r="L309" s="13">
        <v>22</v>
      </c>
      <c r="M309" s="13">
        <v>2592</v>
      </c>
      <c r="N309" s="13">
        <v>1538</v>
      </c>
      <c r="O309" s="13">
        <v>21</v>
      </c>
      <c r="P309" s="13">
        <v>6</v>
      </c>
      <c r="Q309" s="13">
        <v>47</v>
      </c>
      <c r="R309" s="13">
        <v>25</v>
      </c>
      <c r="S309" s="13">
        <v>0</v>
      </c>
      <c r="T309" s="23">
        <v>46247.519837962966</v>
      </c>
      <c r="U309" s="55">
        <f t="shared" si="12"/>
        <v>0.5</v>
      </c>
      <c r="V309" s="55">
        <f t="shared" si="13"/>
        <v>0.5</v>
      </c>
      <c r="W309" s="56">
        <f t="shared" si="14"/>
        <v>14565.833333333334</v>
      </c>
    </row>
    <row r="310" spans="1:23" x14ac:dyDescent="0.3">
      <c r="A310" s="13" t="s">
        <v>0</v>
      </c>
      <c r="B310">
        <v>1</v>
      </c>
      <c r="C310" s="13">
        <v>0</v>
      </c>
      <c r="D310" s="13">
        <v>1</v>
      </c>
      <c r="E310" s="13">
        <v>131072</v>
      </c>
      <c r="F310" s="13">
        <v>150496</v>
      </c>
      <c r="G310" s="13">
        <v>160</v>
      </c>
      <c r="H310" s="13">
        <v>2248400</v>
      </c>
      <c r="I310" s="13">
        <v>0</v>
      </c>
      <c r="J310" s="13">
        <v>6</v>
      </c>
      <c r="K310" s="13">
        <v>15668</v>
      </c>
      <c r="L310" s="13">
        <v>23</v>
      </c>
      <c r="M310" s="13">
        <v>3073</v>
      </c>
      <c r="N310" s="13">
        <v>2007</v>
      </c>
      <c r="O310" s="13">
        <v>22</v>
      </c>
      <c r="P310" s="13">
        <v>8</v>
      </c>
      <c r="Q310" s="13">
        <v>46</v>
      </c>
      <c r="R310" s="13">
        <v>24</v>
      </c>
      <c r="S310" s="13">
        <v>0</v>
      </c>
      <c r="T310" s="23">
        <v>46247.519953703704</v>
      </c>
      <c r="U310" s="55">
        <f t="shared" si="12"/>
        <v>0.33333333333333331</v>
      </c>
      <c r="V310" s="55">
        <f t="shared" si="13"/>
        <v>0.66666666666666663</v>
      </c>
      <c r="W310" s="56">
        <f t="shared" si="14"/>
        <v>14377.833333333334</v>
      </c>
    </row>
    <row r="311" spans="1:23" x14ac:dyDescent="0.3">
      <c r="A311" s="13" t="s">
        <v>0</v>
      </c>
      <c r="B311">
        <v>1</v>
      </c>
      <c r="C311" s="13">
        <v>0</v>
      </c>
      <c r="D311" s="13">
        <v>1</v>
      </c>
      <c r="E311" s="13">
        <v>131072</v>
      </c>
      <c r="F311" s="13">
        <v>139108</v>
      </c>
      <c r="G311" s="13">
        <v>300</v>
      </c>
      <c r="H311" s="13">
        <v>2260500</v>
      </c>
      <c r="I311" s="13">
        <v>5</v>
      </c>
      <c r="J311" s="13">
        <v>0</v>
      </c>
      <c r="K311" s="13">
        <v>15000</v>
      </c>
      <c r="L311" s="13">
        <v>13</v>
      </c>
      <c r="M311" s="13">
        <v>2750</v>
      </c>
      <c r="N311" s="13">
        <v>1690</v>
      </c>
      <c r="O311" s="13">
        <v>20</v>
      </c>
      <c r="P311" s="13">
        <v>7</v>
      </c>
      <c r="Q311" s="13">
        <v>46</v>
      </c>
      <c r="R311" s="13">
        <v>25</v>
      </c>
      <c r="S311" s="13">
        <v>1</v>
      </c>
      <c r="T311" s="23">
        <v>46247.520069444443</v>
      </c>
      <c r="U311" s="55">
        <f t="shared" si="12"/>
        <v>0.16666666666666666</v>
      </c>
      <c r="V311" s="55">
        <f t="shared" si="13"/>
        <v>0.83333333333333337</v>
      </c>
      <c r="W311" s="56">
        <f t="shared" si="14"/>
        <v>14635.166666666666</v>
      </c>
    </row>
    <row r="312" spans="1:23" x14ac:dyDescent="0.3">
      <c r="A312" s="13" t="s">
        <v>0</v>
      </c>
      <c r="B312">
        <v>1</v>
      </c>
      <c r="C312" s="13">
        <v>1</v>
      </c>
      <c r="D312" s="13">
        <v>0</v>
      </c>
      <c r="E312" s="13">
        <v>131072</v>
      </c>
      <c r="F312" s="13">
        <v>117624</v>
      </c>
      <c r="G312" s="13">
        <v>500</v>
      </c>
      <c r="H312" s="13">
        <v>2278972</v>
      </c>
      <c r="I312" s="13">
        <v>1</v>
      </c>
      <c r="J312" s="13">
        <v>0</v>
      </c>
      <c r="K312" s="13">
        <v>15989</v>
      </c>
      <c r="L312" s="13">
        <v>59</v>
      </c>
      <c r="M312" s="13">
        <v>2858</v>
      </c>
      <c r="N312" s="13">
        <v>1771</v>
      </c>
      <c r="O312" s="13">
        <v>20</v>
      </c>
      <c r="P312" s="13">
        <v>7</v>
      </c>
      <c r="Q312" s="13">
        <v>47</v>
      </c>
      <c r="R312" s="13">
        <v>25</v>
      </c>
      <c r="S312" s="13">
        <v>1</v>
      </c>
      <c r="T312" s="23">
        <v>46247.520185185182</v>
      </c>
      <c r="U312" s="55">
        <f t="shared" si="12"/>
        <v>0.33333333333333331</v>
      </c>
      <c r="V312" s="55">
        <f t="shared" si="13"/>
        <v>0.66666666666666663</v>
      </c>
      <c r="W312" s="56">
        <f t="shared" si="14"/>
        <v>14946.833333333334</v>
      </c>
    </row>
    <row r="313" spans="1:23" x14ac:dyDescent="0.3">
      <c r="A313" s="13" t="s">
        <v>0</v>
      </c>
      <c r="B313">
        <v>1</v>
      </c>
      <c r="C313" s="13">
        <v>0</v>
      </c>
      <c r="D313" s="13">
        <v>1</v>
      </c>
      <c r="E313" s="13">
        <v>131072</v>
      </c>
      <c r="F313" s="13">
        <v>104848</v>
      </c>
      <c r="G313" s="13">
        <v>512</v>
      </c>
      <c r="H313" s="13">
        <v>2278396</v>
      </c>
      <c r="I313" s="13">
        <v>0</v>
      </c>
      <c r="J313" s="13">
        <v>0</v>
      </c>
      <c r="K313" s="13">
        <v>13452</v>
      </c>
      <c r="L313" s="13">
        <v>6</v>
      </c>
      <c r="M313" s="13">
        <v>2936</v>
      </c>
      <c r="N313" s="13">
        <v>1899</v>
      </c>
      <c r="O313" s="13">
        <v>22</v>
      </c>
      <c r="P313" s="13">
        <v>8</v>
      </c>
      <c r="Q313" s="13">
        <v>46</v>
      </c>
      <c r="R313" s="13">
        <v>23</v>
      </c>
      <c r="S313" s="13">
        <v>1</v>
      </c>
      <c r="T313" s="23">
        <v>46247.520300925928</v>
      </c>
      <c r="U313" s="55">
        <f t="shared" si="12"/>
        <v>0.16666666666666666</v>
      </c>
      <c r="V313" s="55">
        <f t="shared" si="13"/>
        <v>0.83333333333333337</v>
      </c>
      <c r="W313" s="56">
        <f t="shared" si="14"/>
        <v>14743.166666666666</v>
      </c>
    </row>
    <row r="314" spans="1:23" x14ac:dyDescent="0.3">
      <c r="A314" s="13" t="s">
        <v>0</v>
      </c>
      <c r="B314">
        <v>1</v>
      </c>
      <c r="C314" s="13">
        <v>1</v>
      </c>
      <c r="D314" s="13">
        <v>0</v>
      </c>
      <c r="E314" s="13">
        <v>131072</v>
      </c>
      <c r="F314" s="13">
        <v>118444</v>
      </c>
      <c r="G314" s="13">
        <v>520</v>
      </c>
      <c r="H314" s="13">
        <v>2254664</v>
      </c>
      <c r="I314" s="13">
        <v>1</v>
      </c>
      <c r="J314" s="13">
        <v>0</v>
      </c>
      <c r="K314" s="13">
        <v>14372</v>
      </c>
      <c r="L314" s="13">
        <v>29</v>
      </c>
      <c r="M314" s="13">
        <v>2397</v>
      </c>
      <c r="N314" s="13">
        <v>1329</v>
      </c>
      <c r="O314" s="13">
        <v>20</v>
      </c>
      <c r="P314" s="13">
        <v>6</v>
      </c>
      <c r="Q314" s="13">
        <v>47</v>
      </c>
      <c r="R314" s="13">
        <v>26</v>
      </c>
      <c r="S314" s="13">
        <v>2</v>
      </c>
      <c r="T314" s="23">
        <v>46247.520416666666</v>
      </c>
      <c r="U314" s="55">
        <f t="shared" si="12"/>
        <v>0.33333333333333331</v>
      </c>
      <c r="V314" s="55">
        <f t="shared" si="13"/>
        <v>0.66666666666666663</v>
      </c>
      <c r="W314" s="56">
        <f t="shared" si="14"/>
        <v>15368.5</v>
      </c>
    </row>
    <row r="315" spans="1:23" x14ac:dyDescent="0.3">
      <c r="A315" s="13" t="s">
        <v>0</v>
      </c>
      <c r="B315">
        <v>1</v>
      </c>
      <c r="C315" s="13">
        <v>2</v>
      </c>
      <c r="D315" s="13">
        <v>0</v>
      </c>
      <c r="E315" s="13">
        <v>131072</v>
      </c>
      <c r="F315" s="13">
        <v>128936</v>
      </c>
      <c r="G315" s="13">
        <v>536</v>
      </c>
      <c r="H315" s="13">
        <v>2238088</v>
      </c>
      <c r="I315" s="13">
        <v>0</v>
      </c>
      <c r="J315" s="13">
        <v>0</v>
      </c>
      <c r="K315" s="13">
        <v>13955</v>
      </c>
      <c r="L315" s="13">
        <v>10</v>
      </c>
      <c r="M315" s="13">
        <v>2955</v>
      </c>
      <c r="N315" s="13">
        <v>1843</v>
      </c>
      <c r="O315" s="13">
        <v>20</v>
      </c>
      <c r="P315" s="13">
        <v>7</v>
      </c>
      <c r="Q315" s="13">
        <v>46</v>
      </c>
      <c r="R315" s="13">
        <v>25</v>
      </c>
      <c r="S315" s="13">
        <v>1</v>
      </c>
      <c r="T315" s="23">
        <v>46247.520532407405</v>
      </c>
      <c r="U315" s="55">
        <f t="shared" si="12"/>
        <v>0.66666666666666663</v>
      </c>
      <c r="V315" s="55">
        <f t="shared" si="13"/>
        <v>0.5</v>
      </c>
      <c r="W315" s="56">
        <f t="shared" si="14"/>
        <v>14739.333333333334</v>
      </c>
    </row>
    <row r="316" spans="1:23" x14ac:dyDescent="0.3">
      <c r="A316" s="13" t="s">
        <v>0</v>
      </c>
      <c r="B316">
        <v>1</v>
      </c>
      <c r="C316" s="13">
        <v>1</v>
      </c>
      <c r="D316" s="13">
        <v>1</v>
      </c>
      <c r="E316" s="13">
        <v>126464</v>
      </c>
      <c r="F316" s="13">
        <v>125360</v>
      </c>
      <c r="G316" s="13">
        <v>544</v>
      </c>
      <c r="H316" s="13">
        <v>2253008</v>
      </c>
      <c r="I316" s="13">
        <v>470</v>
      </c>
      <c r="J316" s="13">
        <v>0</v>
      </c>
      <c r="K316" s="13">
        <v>15930</v>
      </c>
      <c r="L316" s="13">
        <v>16</v>
      </c>
      <c r="M316" s="13">
        <v>2650</v>
      </c>
      <c r="N316" s="13">
        <v>1613</v>
      </c>
      <c r="O316" s="13">
        <v>21</v>
      </c>
      <c r="P316" s="13">
        <v>6</v>
      </c>
      <c r="Q316" s="13">
        <v>48</v>
      </c>
      <c r="R316" s="13">
        <v>25</v>
      </c>
      <c r="S316" s="13">
        <v>1</v>
      </c>
      <c r="T316" s="23">
        <v>46247.520648148151</v>
      </c>
      <c r="U316" s="55">
        <f t="shared" si="12"/>
        <v>0.83333333333333337</v>
      </c>
      <c r="V316" s="55">
        <f t="shared" si="13"/>
        <v>0.5</v>
      </c>
      <c r="W316" s="56">
        <f t="shared" si="14"/>
        <v>14783</v>
      </c>
    </row>
    <row r="317" spans="1:23" x14ac:dyDescent="0.3">
      <c r="A317" s="13" t="s">
        <v>0</v>
      </c>
      <c r="B317">
        <v>1</v>
      </c>
      <c r="C317" s="13">
        <v>1</v>
      </c>
      <c r="D317" s="13">
        <v>0</v>
      </c>
      <c r="E317" s="13">
        <v>126464</v>
      </c>
      <c r="F317" s="13">
        <v>168804</v>
      </c>
      <c r="G317" s="13">
        <v>560</v>
      </c>
      <c r="H317" s="13">
        <v>2217288</v>
      </c>
      <c r="I317" s="13">
        <v>0</v>
      </c>
      <c r="J317" s="13">
        <v>0</v>
      </c>
      <c r="K317" s="13">
        <v>15580</v>
      </c>
      <c r="L317" s="13">
        <v>16</v>
      </c>
      <c r="M317" s="13">
        <v>2513</v>
      </c>
      <c r="N317" s="13">
        <v>1432</v>
      </c>
      <c r="O317" s="13">
        <v>20</v>
      </c>
      <c r="P317" s="13">
        <v>6</v>
      </c>
      <c r="Q317" s="13">
        <v>48</v>
      </c>
      <c r="R317" s="13">
        <v>25</v>
      </c>
      <c r="S317" s="13">
        <v>1</v>
      </c>
      <c r="T317" s="23">
        <v>46247.52076388889</v>
      </c>
      <c r="U317" s="55">
        <f t="shared" si="12"/>
        <v>1</v>
      </c>
      <c r="V317" s="55">
        <f t="shared" si="13"/>
        <v>0.33333333333333331</v>
      </c>
      <c r="W317" s="56">
        <f t="shared" si="14"/>
        <v>14879.666666666666</v>
      </c>
    </row>
    <row r="318" spans="1:23" x14ac:dyDescent="0.3">
      <c r="A318" s="13" t="s">
        <v>0</v>
      </c>
      <c r="B318">
        <v>1</v>
      </c>
      <c r="C318" s="13">
        <v>1</v>
      </c>
      <c r="D318" s="13">
        <v>0</v>
      </c>
      <c r="E318" s="13">
        <v>126464</v>
      </c>
      <c r="F318" s="13">
        <v>151580</v>
      </c>
      <c r="G318" s="13">
        <v>584</v>
      </c>
      <c r="H318" s="13">
        <v>2233080</v>
      </c>
      <c r="I318" s="13">
        <v>1</v>
      </c>
      <c r="J318" s="13">
        <v>0</v>
      </c>
      <c r="K318" s="13">
        <v>12273</v>
      </c>
      <c r="L318" s="13">
        <v>24</v>
      </c>
      <c r="M318" s="13">
        <v>2861</v>
      </c>
      <c r="N318" s="13">
        <v>1879</v>
      </c>
      <c r="O318" s="13">
        <v>20</v>
      </c>
      <c r="P318" s="13">
        <v>8</v>
      </c>
      <c r="Q318" s="13">
        <v>46</v>
      </c>
      <c r="R318" s="13">
        <v>24</v>
      </c>
      <c r="S318" s="13">
        <v>2</v>
      </c>
      <c r="T318" s="23">
        <v>46247.520879629628</v>
      </c>
      <c r="U318" s="55">
        <f t="shared" si="12"/>
        <v>1</v>
      </c>
      <c r="V318" s="55">
        <f t="shared" si="13"/>
        <v>0.33333333333333331</v>
      </c>
      <c r="W318" s="56">
        <f t="shared" si="14"/>
        <v>14260.333333333334</v>
      </c>
    </row>
    <row r="319" spans="1:23" x14ac:dyDescent="0.3">
      <c r="A319" s="13" t="s">
        <v>0</v>
      </c>
      <c r="B319">
        <v>1</v>
      </c>
      <c r="C319" s="13">
        <v>1</v>
      </c>
      <c r="D319" s="13">
        <v>0</v>
      </c>
      <c r="E319" s="13">
        <v>126464</v>
      </c>
      <c r="F319" s="13">
        <v>111980</v>
      </c>
      <c r="G319" s="13">
        <v>592</v>
      </c>
      <c r="H319" s="13">
        <v>2273604</v>
      </c>
      <c r="I319" s="13">
        <v>0</v>
      </c>
      <c r="J319" s="13">
        <v>0</v>
      </c>
      <c r="K319" s="13">
        <v>14656</v>
      </c>
      <c r="L319" s="13">
        <v>8</v>
      </c>
      <c r="M319" s="13">
        <v>2636</v>
      </c>
      <c r="N319" s="13">
        <v>1523</v>
      </c>
      <c r="O319" s="13">
        <v>20</v>
      </c>
      <c r="P319" s="13">
        <v>6</v>
      </c>
      <c r="Q319" s="13">
        <v>47</v>
      </c>
      <c r="R319" s="13">
        <v>25</v>
      </c>
      <c r="S319" s="13">
        <v>2</v>
      </c>
      <c r="T319" s="23">
        <v>46247.520995370367</v>
      </c>
      <c r="U319" s="55">
        <f t="shared" si="12"/>
        <v>1.1666666666666667</v>
      </c>
      <c r="V319" s="55">
        <f t="shared" si="13"/>
        <v>0.16666666666666666</v>
      </c>
      <c r="W319" s="56">
        <f t="shared" si="14"/>
        <v>14461</v>
      </c>
    </row>
    <row r="320" spans="1:23" x14ac:dyDescent="0.3">
      <c r="A320" s="13" t="s">
        <v>0</v>
      </c>
      <c r="B320">
        <v>1</v>
      </c>
      <c r="C320" s="13">
        <v>0</v>
      </c>
      <c r="D320" s="13">
        <v>1</v>
      </c>
      <c r="E320" s="13">
        <v>126464</v>
      </c>
      <c r="F320" s="13">
        <v>121428</v>
      </c>
      <c r="G320" s="13">
        <v>600</v>
      </c>
      <c r="H320" s="13">
        <v>2266372</v>
      </c>
      <c r="I320" s="13">
        <v>0</v>
      </c>
      <c r="J320" s="13">
        <v>0</v>
      </c>
      <c r="K320" s="13">
        <v>14987</v>
      </c>
      <c r="L320" s="13">
        <v>34</v>
      </c>
      <c r="M320" s="13">
        <v>2839</v>
      </c>
      <c r="N320" s="13">
        <v>1690</v>
      </c>
      <c r="O320" s="13">
        <v>20</v>
      </c>
      <c r="P320" s="13">
        <v>6</v>
      </c>
      <c r="Q320" s="13">
        <v>47</v>
      </c>
      <c r="R320" s="13">
        <v>26</v>
      </c>
      <c r="S320" s="13">
        <v>1</v>
      </c>
      <c r="T320" s="23">
        <v>46247.521111111113</v>
      </c>
      <c r="U320" s="55">
        <f t="shared" si="12"/>
        <v>1</v>
      </c>
      <c r="V320" s="55">
        <f t="shared" si="13"/>
        <v>0.33333333333333331</v>
      </c>
      <c r="W320" s="56">
        <f t="shared" si="14"/>
        <v>14563.5</v>
      </c>
    </row>
    <row r="321" spans="1:23" x14ac:dyDescent="0.3">
      <c r="A321" s="13" t="s">
        <v>0</v>
      </c>
      <c r="B321">
        <v>1</v>
      </c>
      <c r="C321" s="13">
        <v>1</v>
      </c>
      <c r="D321" s="13">
        <v>0</v>
      </c>
      <c r="E321" s="13">
        <v>126464</v>
      </c>
      <c r="F321" s="13">
        <v>156756</v>
      </c>
      <c r="G321" s="13">
        <v>616</v>
      </c>
      <c r="H321" s="13">
        <v>2227140</v>
      </c>
      <c r="I321" s="13">
        <v>0</v>
      </c>
      <c r="J321" s="13">
        <v>0</v>
      </c>
      <c r="K321" s="13">
        <v>16206</v>
      </c>
      <c r="L321" s="13">
        <v>11</v>
      </c>
      <c r="M321" s="13">
        <v>2824</v>
      </c>
      <c r="N321" s="13">
        <v>1660</v>
      </c>
      <c r="O321" s="13">
        <v>21</v>
      </c>
      <c r="P321" s="13">
        <v>7</v>
      </c>
      <c r="Q321" s="13">
        <v>47</v>
      </c>
      <c r="R321" s="13">
        <v>25</v>
      </c>
      <c r="S321" s="13">
        <v>1</v>
      </c>
      <c r="T321" s="23">
        <v>46247.521226851852</v>
      </c>
      <c r="U321" s="55">
        <f t="shared" si="12"/>
        <v>0.83333333333333337</v>
      </c>
      <c r="V321" s="55">
        <f t="shared" si="13"/>
        <v>0.33333333333333331</v>
      </c>
      <c r="W321" s="56">
        <f t="shared" si="14"/>
        <v>14938.666666666666</v>
      </c>
    </row>
    <row r="322" spans="1:23" x14ac:dyDescent="0.3">
      <c r="A322" s="13" t="s">
        <v>0</v>
      </c>
      <c r="B322">
        <v>1</v>
      </c>
      <c r="C322" s="13">
        <v>1</v>
      </c>
      <c r="D322" s="13">
        <v>0</v>
      </c>
      <c r="E322" s="13">
        <v>126464</v>
      </c>
      <c r="F322" s="13">
        <v>134208</v>
      </c>
      <c r="G322" s="13">
        <v>624</v>
      </c>
      <c r="H322" s="13">
        <v>2250940</v>
      </c>
      <c r="I322" s="13">
        <v>2</v>
      </c>
      <c r="J322" s="13">
        <v>0</v>
      </c>
      <c r="K322" s="13">
        <v>17004</v>
      </c>
      <c r="L322" s="13">
        <v>26</v>
      </c>
      <c r="M322" s="13">
        <v>2622</v>
      </c>
      <c r="N322" s="13">
        <v>1544</v>
      </c>
      <c r="O322" s="13">
        <v>21</v>
      </c>
      <c r="P322" s="13">
        <v>5</v>
      </c>
      <c r="Q322" s="13">
        <v>48</v>
      </c>
      <c r="R322" s="13">
        <v>25</v>
      </c>
      <c r="S322" s="13">
        <v>1</v>
      </c>
      <c r="T322" s="23">
        <v>46247.52134259259</v>
      </c>
      <c r="U322" s="55">
        <f t="shared" si="12"/>
        <v>0.83333333333333337</v>
      </c>
      <c r="V322" s="55">
        <f t="shared" si="13"/>
        <v>0.16666666666666666</v>
      </c>
      <c r="W322" s="56">
        <f t="shared" si="14"/>
        <v>15117.666666666666</v>
      </c>
    </row>
    <row r="323" spans="1:23" x14ac:dyDescent="0.3">
      <c r="A323" s="13" t="s">
        <v>0</v>
      </c>
      <c r="B323">
        <v>1</v>
      </c>
      <c r="C323" s="13">
        <v>0</v>
      </c>
      <c r="D323" s="13">
        <v>1</v>
      </c>
      <c r="E323" s="13">
        <v>126464</v>
      </c>
      <c r="F323" s="13">
        <v>127948</v>
      </c>
      <c r="G323" s="13">
        <v>636</v>
      </c>
      <c r="H323" s="13">
        <v>2262980</v>
      </c>
      <c r="I323" s="13">
        <v>2</v>
      </c>
      <c r="J323" s="13">
        <v>0</v>
      </c>
      <c r="K323" s="13">
        <v>16043</v>
      </c>
      <c r="L323" s="13">
        <v>11</v>
      </c>
      <c r="M323" s="13">
        <v>3003</v>
      </c>
      <c r="N323" s="13">
        <v>1912</v>
      </c>
      <c r="O323" s="13">
        <v>21</v>
      </c>
      <c r="P323" s="13">
        <v>9</v>
      </c>
      <c r="Q323" s="13">
        <v>45</v>
      </c>
      <c r="R323" s="13">
        <v>24</v>
      </c>
      <c r="S323" s="13">
        <v>1</v>
      </c>
      <c r="T323" s="23">
        <v>46247.521458333336</v>
      </c>
      <c r="U323" s="55">
        <f t="shared" si="12"/>
        <v>0.66666666666666663</v>
      </c>
      <c r="V323" s="55">
        <f t="shared" si="13"/>
        <v>0.33333333333333331</v>
      </c>
      <c r="W323" s="56">
        <f t="shared" si="14"/>
        <v>15194.833333333334</v>
      </c>
    </row>
    <row r="324" spans="1:23" x14ac:dyDescent="0.3">
      <c r="A324" s="13" t="s">
        <v>0</v>
      </c>
      <c r="B324">
        <v>1</v>
      </c>
      <c r="C324" s="13">
        <v>1</v>
      </c>
      <c r="D324" s="13">
        <v>0</v>
      </c>
      <c r="E324" s="13">
        <v>126464</v>
      </c>
      <c r="F324" s="13">
        <v>134924</v>
      </c>
      <c r="G324" s="13">
        <v>672</v>
      </c>
      <c r="H324" s="13">
        <v>2258420</v>
      </c>
      <c r="I324" s="13">
        <v>1</v>
      </c>
      <c r="J324" s="13">
        <v>0</v>
      </c>
      <c r="K324" s="13">
        <v>17564</v>
      </c>
      <c r="L324" s="13">
        <v>36</v>
      </c>
      <c r="M324" s="13">
        <v>2782</v>
      </c>
      <c r="N324" s="13">
        <v>1757</v>
      </c>
      <c r="O324" s="13">
        <v>21</v>
      </c>
      <c r="P324" s="13">
        <v>7</v>
      </c>
      <c r="Q324" s="13">
        <v>47</v>
      </c>
      <c r="R324" s="13">
        <v>25</v>
      </c>
      <c r="S324" s="13">
        <v>1</v>
      </c>
      <c r="T324" s="23">
        <v>46247.521574074075</v>
      </c>
      <c r="U324" s="55">
        <f t="shared" si="12"/>
        <v>0.66666666666666663</v>
      </c>
      <c r="V324" s="55">
        <f t="shared" si="13"/>
        <v>0.33333333333333331</v>
      </c>
      <c r="W324" s="56">
        <f t="shared" si="14"/>
        <v>16076.666666666666</v>
      </c>
    </row>
    <row r="325" spans="1:23" x14ac:dyDescent="0.3">
      <c r="A325" s="13" t="s">
        <v>0</v>
      </c>
      <c r="B325">
        <v>1</v>
      </c>
      <c r="C325" s="13">
        <v>0</v>
      </c>
      <c r="D325" s="13">
        <v>1</v>
      </c>
      <c r="E325" s="13">
        <v>124672</v>
      </c>
      <c r="F325" s="13">
        <v>129116</v>
      </c>
      <c r="G325" s="13">
        <v>680</v>
      </c>
      <c r="H325" s="13">
        <v>2259144</v>
      </c>
      <c r="I325" s="13">
        <v>188</v>
      </c>
      <c r="J325" s="13">
        <v>0</v>
      </c>
      <c r="K325" s="13">
        <v>14568</v>
      </c>
      <c r="L325" s="13">
        <v>21</v>
      </c>
      <c r="M325" s="13">
        <v>2846</v>
      </c>
      <c r="N325" s="13">
        <v>1754</v>
      </c>
      <c r="O325" s="13">
        <v>19</v>
      </c>
      <c r="P325" s="13">
        <v>7</v>
      </c>
      <c r="Q325" s="13">
        <v>47</v>
      </c>
      <c r="R325" s="13">
        <v>26</v>
      </c>
      <c r="S325" s="13">
        <v>1</v>
      </c>
      <c r="T325" s="23">
        <v>46247.521689814814</v>
      </c>
      <c r="U325" s="55">
        <f t="shared" si="12"/>
        <v>0.5</v>
      </c>
      <c r="V325" s="55">
        <f t="shared" si="13"/>
        <v>0.5</v>
      </c>
      <c r="W325" s="56">
        <f t="shared" si="14"/>
        <v>16062</v>
      </c>
    </row>
    <row r="326" spans="1:23" x14ac:dyDescent="0.3">
      <c r="A326" s="13" t="s">
        <v>0</v>
      </c>
      <c r="B326">
        <v>1</v>
      </c>
      <c r="C326" s="13">
        <v>0</v>
      </c>
      <c r="D326" s="13">
        <v>1</v>
      </c>
      <c r="E326" s="13">
        <v>124672</v>
      </c>
      <c r="F326" s="13">
        <v>114804</v>
      </c>
      <c r="G326" s="13">
        <v>588</v>
      </c>
      <c r="H326" s="13">
        <v>2274324</v>
      </c>
      <c r="I326" s="13">
        <v>0</v>
      </c>
      <c r="J326" s="13">
        <v>0</v>
      </c>
      <c r="K326" s="13">
        <v>16094</v>
      </c>
      <c r="L326" s="13">
        <v>17</v>
      </c>
      <c r="M326" s="13">
        <v>2606</v>
      </c>
      <c r="N326" s="13">
        <v>1434</v>
      </c>
      <c r="O326" s="13">
        <v>20</v>
      </c>
      <c r="P326" s="13">
        <v>6</v>
      </c>
      <c r="Q326" s="13">
        <v>48</v>
      </c>
      <c r="R326" s="13">
        <v>26</v>
      </c>
      <c r="S326" s="13">
        <v>1</v>
      </c>
      <c r="T326" s="23">
        <v>46247.521805555552</v>
      </c>
      <c r="U326" s="55">
        <f t="shared" si="12"/>
        <v>0.5</v>
      </c>
      <c r="V326" s="55">
        <f t="shared" si="13"/>
        <v>0.5</v>
      </c>
      <c r="W326" s="56">
        <f t="shared" si="14"/>
        <v>16246.5</v>
      </c>
    </row>
    <row r="327" spans="1:23" x14ac:dyDescent="0.3">
      <c r="A327" s="13" t="s">
        <v>0</v>
      </c>
      <c r="B327">
        <v>1</v>
      </c>
      <c r="C327" s="13">
        <v>1</v>
      </c>
      <c r="D327" s="13">
        <v>0</v>
      </c>
      <c r="E327" s="13">
        <v>124672</v>
      </c>
      <c r="F327" s="13">
        <v>130844</v>
      </c>
      <c r="G327" s="13">
        <v>588</v>
      </c>
      <c r="H327" s="13">
        <v>2257600</v>
      </c>
      <c r="I327" s="13">
        <v>0</v>
      </c>
      <c r="J327" s="13">
        <v>0</v>
      </c>
      <c r="K327" s="13">
        <v>17194</v>
      </c>
      <c r="L327" s="13">
        <v>15</v>
      </c>
      <c r="M327" s="13">
        <v>2905</v>
      </c>
      <c r="N327" s="13">
        <v>1780</v>
      </c>
      <c r="O327" s="13">
        <v>21</v>
      </c>
      <c r="P327" s="13">
        <v>7</v>
      </c>
      <c r="Q327" s="13">
        <v>47</v>
      </c>
      <c r="R327" s="13">
        <v>25</v>
      </c>
      <c r="S327" s="13">
        <v>0</v>
      </c>
      <c r="T327" s="23">
        <v>46247.521921296298</v>
      </c>
      <c r="U327" s="55">
        <f t="shared" si="12"/>
        <v>0.5</v>
      </c>
      <c r="V327" s="55">
        <f t="shared" si="13"/>
        <v>0.5</v>
      </c>
      <c r="W327" s="56">
        <f t="shared" si="14"/>
        <v>16411.166666666668</v>
      </c>
    </row>
    <row r="328" spans="1:23" x14ac:dyDescent="0.3">
      <c r="A328" s="13" t="s">
        <v>0</v>
      </c>
      <c r="B328">
        <v>1</v>
      </c>
      <c r="C328" s="13">
        <v>0</v>
      </c>
      <c r="D328" s="13">
        <v>1</v>
      </c>
      <c r="E328" s="13">
        <v>124672</v>
      </c>
      <c r="F328" s="13">
        <v>115896</v>
      </c>
      <c r="G328" s="13">
        <v>604</v>
      </c>
      <c r="H328" s="13">
        <v>2272188</v>
      </c>
      <c r="I328" s="13">
        <v>1</v>
      </c>
      <c r="J328" s="13">
        <v>0</v>
      </c>
      <c r="K328" s="13">
        <v>15565</v>
      </c>
      <c r="L328" s="13">
        <v>36</v>
      </c>
      <c r="M328" s="13">
        <v>3087</v>
      </c>
      <c r="N328" s="13">
        <v>1927</v>
      </c>
      <c r="O328" s="13">
        <v>21</v>
      </c>
      <c r="P328" s="13">
        <v>8</v>
      </c>
      <c r="Q328" s="13">
        <v>46</v>
      </c>
      <c r="R328" s="13">
        <v>24</v>
      </c>
      <c r="S328" s="13">
        <v>1</v>
      </c>
      <c r="T328" s="23">
        <v>46247.522037037037</v>
      </c>
      <c r="U328" s="55">
        <f t="shared" si="12"/>
        <v>0.33333333333333331</v>
      </c>
      <c r="V328" s="55">
        <f t="shared" si="13"/>
        <v>0.66666666666666663</v>
      </c>
      <c r="W328" s="56">
        <f t="shared" si="14"/>
        <v>16171.333333333334</v>
      </c>
    </row>
    <row r="329" spans="1:23" x14ac:dyDescent="0.3">
      <c r="A329" s="13" t="s">
        <v>0</v>
      </c>
      <c r="B329">
        <v>1</v>
      </c>
      <c r="C329" s="13">
        <v>1</v>
      </c>
      <c r="D329" s="13">
        <v>0</v>
      </c>
      <c r="E329" s="13">
        <v>124672</v>
      </c>
      <c r="F329" s="13">
        <v>155364</v>
      </c>
      <c r="G329" s="13">
        <v>620</v>
      </c>
      <c r="H329" s="13">
        <v>2236352</v>
      </c>
      <c r="I329" s="13">
        <v>0</v>
      </c>
      <c r="J329" s="13">
        <v>0</v>
      </c>
      <c r="K329" s="13">
        <v>15872</v>
      </c>
      <c r="L329" s="13">
        <v>13</v>
      </c>
      <c r="M329" s="13">
        <v>2593</v>
      </c>
      <c r="N329" s="13">
        <v>1425</v>
      </c>
      <c r="O329" s="13">
        <v>20</v>
      </c>
      <c r="P329" s="13">
        <v>6</v>
      </c>
      <c r="Q329" s="13">
        <v>47</v>
      </c>
      <c r="R329" s="13">
        <v>26</v>
      </c>
      <c r="S329" s="13">
        <v>1</v>
      </c>
      <c r="T329" s="23">
        <v>46247.522152777776</v>
      </c>
      <c r="U329" s="55">
        <f t="shared" ref="U329:U392" si="15">AVERAGE(C324:C329)</f>
        <v>0.5</v>
      </c>
      <c r="V329" s="55">
        <f t="shared" ref="V329:V392" si="16">AVERAGE(D324:D329)</f>
        <v>0.5</v>
      </c>
      <c r="W329" s="56">
        <f t="shared" ref="W329:W392" si="17">AVERAGE(K324:K329)</f>
        <v>16142.833333333334</v>
      </c>
    </row>
    <row r="330" spans="1:23" x14ac:dyDescent="0.3">
      <c r="A330" s="13" t="s">
        <v>0</v>
      </c>
      <c r="B330">
        <v>1</v>
      </c>
      <c r="C330" s="13">
        <v>0</v>
      </c>
      <c r="D330" s="13">
        <v>1</v>
      </c>
      <c r="E330" s="13">
        <v>124672</v>
      </c>
      <c r="F330" s="13">
        <v>117940</v>
      </c>
      <c r="G330" s="13">
        <v>652</v>
      </c>
      <c r="H330" s="13">
        <v>2275484</v>
      </c>
      <c r="I330" s="13">
        <v>2</v>
      </c>
      <c r="J330" s="13">
        <v>0</v>
      </c>
      <c r="K330" s="13">
        <v>13510</v>
      </c>
      <c r="L330" s="13">
        <v>32</v>
      </c>
      <c r="M330" s="13">
        <v>2833</v>
      </c>
      <c r="N330" s="13">
        <v>1788</v>
      </c>
      <c r="O330" s="13">
        <v>21</v>
      </c>
      <c r="P330" s="13">
        <v>7</v>
      </c>
      <c r="Q330" s="13">
        <v>46</v>
      </c>
      <c r="R330" s="13">
        <v>24</v>
      </c>
      <c r="S330" s="13">
        <v>1</v>
      </c>
      <c r="T330" s="23">
        <v>46247.522268518522</v>
      </c>
      <c r="U330" s="55">
        <f t="shared" si="15"/>
        <v>0.33333333333333331</v>
      </c>
      <c r="V330" s="55">
        <f t="shared" si="16"/>
        <v>0.66666666666666663</v>
      </c>
      <c r="W330" s="56">
        <f t="shared" si="17"/>
        <v>15467.166666666666</v>
      </c>
    </row>
    <row r="331" spans="1:23" x14ac:dyDescent="0.3">
      <c r="A331" s="13" t="s">
        <v>0</v>
      </c>
      <c r="B331">
        <v>1</v>
      </c>
      <c r="C331" s="13">
        <v>1</v>
      </c>
      <c r="D331" s="13">
        <v>0</v>
      </c>
      <c r="E331" s="13">
        <v>124672</v>
      </c>
      <c r="F331" s="13">
        <v>109828</v>
      </c>
      <c r="G331" s="13">
        <v>660</v>
      </c>
      <c r="H331" s="13">
        <v>2275856</v>
      </c>
      <c r="I331" s="13">
        <v>0</v>
      </c>
      <c r="J331" s="13">
        <v>0</v>
      </c>
      <c r="K331" s="13">
        <v>13631</v>
      </c>
      <c r="L331" s="13">
        <v>10</v>
      </c>
      <c r="M331" s="13">
        <v>2177</v>
      </c>
      <c r="N331" s="13">
        <v>1249</v>
      </c>
      <c r="O331" s="13">
        <v>19</v>
      </c>
      <c r="P331" s="13">
        <v>5</v>
      </c>
      <c r="Q331" s="13">
        <v>49</v>
      </c>
      <c r="R331" s="13">
        <v>25</v>
      </c>
      <c r="S331" s="13">
        <v>1</v>
      </c>
      <c r="T331" s="23">
        <v>46247.52238425926</v>
      </c>
      <c r="U331" s="55">
        <f t="shared" si="15"/>
        <v>0.5</v>
      </c>
      <c r="V331" s="55">
        <f t="shared" si="16"/>
        <v>0.5</v>
      </c>
      <c r="W331" s="56">
        <f t="shared" si="17"/>
        <v>15311</v>
      </c>
    </row>
    <row r="332" spans="1:23" x14ac:dyDescent="0.3">
      <c r="A332" s="13" t="s">
        <v>0</v>
      </c>
      <c r="B332">
        <v>1</v>
      </c>
      <c r="C332" s="13">
        <v>1</v>
      </c>
      <c r="D332" s="13">
        <v>0</v>
      </c>
      <c r="E332" s="13">
        <v>124672</v>
      </c>
      <c r="F332" s="13">
        <v>155072</v>
      </c>
      <c r="G332" s="13">
        <v>328</v>
      </c>
      <c r="H332" s="13">
        <v>2241472</v>
      </c>
      <c r="I332" s="13">
        <v>0</v>
      </c>
      <c r="J332" s="13">
        <v>3</v>
      </c>
      <c r="K332" s="13">
        <v>14288</v>
      </c>
      <c r="L332" s="13">
        <v>16</v>
      </c>
      <c r="M332" s="13">
        <v>2264</v>
      </c>
      <c r="N332" s="13">
        <v>1320</v>
      </c>
      <c r="O332" s="13">
        <v>19</v>
      </c>
      <c r="P332" s="13">
        <v>6</v>
      </c>
      <c r="Q332" s="13">
        <v>50</v>
      </c>
      <c r="R332" s="13">
        <v>24</v>
      </c>
      <c r="S332" s="13">
        <v>1</v>
      </c>
      <c r="T332" s="23">
        <v>46247.522499999999</v>
      </c>
      <c r="U332" s="55">
        <f t="shared" si="15"/>
        <v>0.66666666666666663</v>
      </c>
      <c r="V332" s="55">
        <f t="shared" si="16"/>
        <v>0.33333333333333331</v>
      </c>
      <c r="W332" s="56">
        <f t="shared" si="17"/>
        <v>15010</v>
      </c>
    </row>
    <row r="333" spans="1:23" x14ac:dyDescent="0.3">
      <c r="A333" s="13" t="s">
        <v>0</v>
      </c>
      <c r="B333">
        <v>1</v>
      </c>
      <c r="C333" s="13">
        <v>5</v>
      </c>
      <c r="D333" s="13">
        <v>0</v>
      </c>
      <c r="E333" s="13">
        <v>135680</v>
      </c>
      <c r="F333" s="13">
        <v>730800</v>
      </c>
      <c r="G333" s="13">
        <v>332</v>
      </c>
      <c r="H333" s="13">
        <v>1617160</v>
      </c>
      <c r="I333" s="13">
        <v>0</v>
      </c>
      <c r="J333" s="13">
        <v>1110</v>
      </c>
      <c r="K333" s="13">
        <v>8251</v>
      </c>
      <c r="L333" s="13">
        <v>1121</v>
      </c>
      <c r="M333" s="13">
        <v>2379</v>
      </c>
      <c r="N333" s="13">
        <v>1522</v>
      </c>
      <c r="O333" s="13">
        <v>22</v>
      </c>
      <c r="P333" s="13">
        <v>15</v>
      </c>
      <c r="Q333" s="13">
        <v>44</v>
      </c>
      <c r="R333" s="13">
        <v>19</v>
      </c>
      <c r="S333" s="13">
        <v>1</v>
      </c>
      <c r="T333" s="23">
        <v>46247.522615740738</v>
      </c>
      <c r="U333" s="55">
        <f t="shared" si="15"/>
        <v>1.3333333333333333</v>
      </c>
      <c r="V333" s="55">
        <f t="shared" si="16"/>
        <v>0.33333333333333331</v>
      </c>
      <c r="W333" s="56">
        <f t="shared" si="17"/>
        <v>13519.5</v>
      </c>
    </row>
    <row r="334" spans="1:23" x14ac:dyDescent="0.3">
      <c r="A334" s="13" t="s">
        <v>0</v>
      </c>
      <c r="B334">
        <v>1</v>
      </c>
      <c r="C334" s="13">
        <v>1</v>
      </c>
      <c r="D334" s="13">
        <v>0</v>
      </c>
      <c r="E334" s="13">
        <v>135680</v>
      </c>
      <c r="F334" s="13">
        <v>622272</v>
      </c>
      <c r="G334" s="13">
        <v>340</v>
      </c>
      <c r="H334" s="13">
        <v>1761268</v>
      </c>
      <c r="I334" s="13">
        <v>1</v>
      </c>
      <c r="J334" s="13">
        <v>0</v>
      </c>
      <c r="K334" s="13">
        <v>14410</v>
      </c>
      <c r="L334" s="13">
        <v>12</v>
      </c>
      <c r="M334" s="13">
        <v>2366</v>
      </c>
      <c r="N334" s="13">
        <v>1346</v>
      </c>
      <c r="O334" s="13">
        <v>17</v>
      </c>
      <c r="P334" s="13">
        <v>8</v>
      </c>
      <c r="Q334" s="13">
        <v>50</v>
      </c>
      <c r="R334" s="13">
        <v>25</v>
      </c>
      <c r="S334" s="13">
        <v>0</v>
      </c>
      <c r="T334" s="23">
        <v>46247.522731481484</v>
      </c>
      <c r="U334" s="55">
        <f t="shared" si="15"/>
        <v>1.5</v>
      </c>
      <c r="V334" s="55">
        <f t="shared" si="16"/>
        <v>0.16666666666666666</v>
      </c>
      <c r="W334" s="56">
        <f t="shared" si="17"/>
        <v>13327</v>
      </c>
    </row>
    <row r="335" spans="1:23" x14ac:dyDescent="0.3">
      <c r="A335" s="13" t="s">
        <v>0</v>
      </c>
      <c r="B335">
        <v>1</v>
      </c>
      <c r="C335" s="13">
        <v>1</v>
      </c>
      <c r="D335" s="13">
        <v>0</v>
      </c>
      <c r="E335" s="13">
        <v>135680</v>
      </c>
      <c r="F335" s="13">
        <v>488592</v>
      </c>
      <c r="G335" s="13">
        <v>368</v>
      </c>
      <c r="H335" s="13">
        <v>1902512</v>
      </c>
      <c r="I335" s="13">
        <v>0</v>
      </c>
      <c r="J335" s="13">
        <v>0</v>
      </c>
      <c r="K335" s="13">
        <v>14127</v>
      </c>
      <c r="L335" s="13">
        <v>25</v>
      </c>
      <c r="M335" s="13">
        <v>2379</v>
      </c>
      <c r="N335" s="13">
        <v>1344</v>
      </c>
      <c r="O335" s="13">
        <v>17</v>
      </c>
      <c r="P335" s="13">
        <v>8</v>
      </c>
      <c r="Q335" s="13">
        <v>50</v>
      </c>
      <c r="R335" s="13">
        <v>25</v>
      </c>
      <c r="S335" s="13">
        <v>1</v>
      </c>
      <c r="T335" s="23">
        <v>46247.522847222222</v>
      </c>
      <c r="U335" s="55">
        <f t="shared" si="15"/>
        <v>1.5</v>
      </c>
      <c r="V335" s="55">
        <f t="shared" si="16"/>
        <v>0.16666666666666666</v>
      </c>
      <c r="W335" s="56">
        <f t="shared" si="17"/>
        <v>13036.166666666666</v>
      </c>
    </row>
    <row r="336" spans="1:23" x14ac:dyDescent="0.3">
      <c r="A336" s="13" t="s">
        <v>0</v>
      </c>
      <c r="B336">
        <v>1</v>
      </c>
      <c r="C336" s="13">
        <v>1</v>
      </c>
      <c r="D336" s="13">
        <v>0</v>
      </c>
      <c r="E336" s="13">
        <v>135680</v>
      </c>
      <c r="F336" s="13">
        <v>359316</v>
      </c>
      <c r="G336" s="13">
        <v>392</v>
      </c>
      <c r="H336" s="13">
        <v>2026612</v>
      </c>
      <c r="I336" s="13">
        <v>1</v>
      </c>
      <c r="J336" s="13">
        <v>0</v>
      </c>
      <c r="K336" s="13">
        <v>12404</v>
      </c>
      <c r="L336" s="13">
        <v>24</v>
      </c>
      <c r="M336" s="13">
        <v>2311</v>
      </c>
      <c r="N336" s="13">
        <v>1431</v>
      </c>
      <c r="O336" s="13">
        <v>17</v>
      </c>
      <c r="P336" s="13">
        <v>8</v>
      </c>
      <c r="Q336" s="13">
        <v>50</v>
      </c>
      <c r="R336" s="13">
        <v>25</v>
      </c>
      <c r="S336" s="13">
        <v>0</v>
      </c>
      <c r="T336" s="23">
        <v>46247.522962962961</v>
      </c>
      <c r="U336" s="55">
        <f t="shared" si="15"/>
        <v>1.6666666666666667</v>
      </c>
      <c r="V336" s="55">
        <f t="shared" si="16"/>
        <v>0</v>
      </c>
      <c r="W336" s="56">
        <f t="shared" si="17"/>
        <v>12851.833333333334</v>
      </c>
    </row>
    <row r="337" spans="1:23" x14ac:dyDescent="0.3">
      <c r="A337" s="13" t="s">
        <v>0</v>
      </c>
      <c r="B337">
        <v>1</v>
      </c>
      <c r="C337" s="13">
        <v>0</v>
      </c>
      <c r="D337" s="13">
        <v>1</v>
      </c>
      <c r="E337" s="13">
        <v>135680</v>
      </c>
      <c r="F337" s="13">
        <v>242896</v>
      </c>
      <c r="G337" s="13">
        <v>400</v>
      </c>
      <c r="H337" s="13">
        <v>2145640</v>
      </c>
      <c r="I337" s="13">
        <v>0</v>
      </c>
      <c r="J337" s="13">
        <v>0</v>
      </c>
      <c r="K337" s="13">
        <v>11896</v>
      </c>
      <c r="L337" s="13">
        <v>16</v>
      </c>
      <c r="M337" s="13">
        <v>2155</v>
      </c>
      <c r="N337" s="13">
        <v>1191</v>
      </c>
      <c r="O337" s="13">
        <v>18</v>
      </c>
      <c r="P337" s="13">
        <v>7</v>
      </c>
      <c r="Q337" s="13">
        <v>51</v>
      </c>
      <c r="R337" s="13">
        <v>23</v>
      </c>
      <c r="S337" s="13">
        <v>1</v>
      </c>
      <c r="T337" s="23">
        <v>46247.523078703707</v>
      </c>
      <c r="U337" s="55">
        <f t="shared" si="15"/>
        <v>1.5</v>
      </c>
      <c r="V337" s="55">
        <f t="shared" si="16"/>
        <v>0.16666666666666666</v>
      </c>
      <c r="W337" s="56">
        <f t="shared" si="17"/>
        <v>12562.666666666666</v>
      </c>
    </row>
    <row r="338" spans="1:23" x14ac:dyDescent="0.3">
      <c r="A338" s="13" t="s">
        <v>0</v>
      </c>
      <c r="B338">
        <v>1</v>
      </c>
      <c r="C338" s="13">
        <v>1</v>
      </c>
      <c r="D338" s="13">
        <v>0</v>
      </c>
      <c r="E338" s="13">
        <v>135680</v>
      </c>
      <c r="F338" s="13">
        <v>108076</v>
      </c>
      <c r="G338" s="13">
        <v>408</v>
      </c>
      <c r="H338" s="13">
        <v>2276148</v>
      </c>
      <c r="I338" s="13">
        <v>0</v>
      </c>
      <c r="J338" s="13">
        <v>0</v>
      </c>
      <c r="K338" s="13">
        <v>13050</v>
      </c>
      <c r="L338" s="13">
        <v>36</v>
      </c>
      <c r="M338" s="13">
        <v>2186</v>
      </c>
      <c r="N338" s="13">
        <v>1233</v>
      </c>
      <c r="O338" s="13">
        <v>19</v>
      </c>
      <c r="P338" s="13">
        <v>6</v>
      </c>
      <c r="Q338" s="13">
        <v>51</v>
      </c>
      <c r="R338" s="13">
        <v>23</v>
      </c>
      <c r="S338" s="13">
        <v>1</v>
      </c>
      <c r="T338" s="23">
        <v>46247.523194444446</v>
      </c>
      <c r="U338" s="55">
        <f t="shared" si="15"/>
        <v>1.5</v>
      </c>
      <c r="V338" s="55">
        <f t="shared" si="16"/>
        <v>0.16666666666666666</v>
      </c>
      <c r="W338" s="56">
        <f t="shared" si="17"/>
        <v>12356.333333333334</v>
      </c>
    </row>
    <row r="339" spans="1:23" x14ac:dyDescent="0.3">
      <c r="A339" s="13" t="s">
        <v>0</v>
      </c>
      <c r="B339">
        <v>1</v>
      </c>
      <c r="C339" s="13">
        <v>1</v>
      </c>
      <c r="D339" s="13">
        <v>0</v>
      </c>
      <c r="E339" s="13">
        <v>135680</v>
      </c>
      <c r="F339" s="13">
        <v>99408</v>
      </c>
      <c r="G339" s="13">
        <v>424</v>
      </c>
      <c r="H339" s="13">
        <v>2283724</v>
      </c>
      <c r="I339" s="13">
        <v>0</v>
      </c>
      <c r="J339" s="13">
        <v>0</v>
      </c>
      <c r="K339" s="13">
        <v>11740</v>
      </c>
      <c r="L339" s="13">
        <v>19</v>
      </c>
      <c r="M339" s="13">
        <v>2301</v>
      </c>
      <c r="N339" s="13">
        <v>1307</v>
      </c>
      <c r="O339" s="13">
        <v>20</v>
      </c>
      <c r="P339" s="13">
        <v>6</v>
      </c>
      <c r="Q339" s="13">
        <v>50</v>
      </c>
      <c r="R339" s="13">
        <v>24</v>
      </c>
      <c r="S339" s="13">
        <v>1</v>
      </c>
      <c r="T339" s="23">
        <v>46247.523310185185</v>
      </c>
      <c r="U339" s="55">
        <f t="shared" si="15"/>
        <v>0.83333333333333337</v>
      </c>
      <c r="V339" s="55">
        <f t="shared" si="16"/>
        <v>0.16666666666666666</v>
      </c>
      <c r="W339" s="56">
        <f t="shared" si="17"/>
        <v>12937.833333333334</v>
      </c>
    </row>
    <row r="340" spans="1:23" x14ac:dyDescent="0.3">
      <c r="A340" s="13" t="s">
        <v>0</v>
      </c>
      <c r="B340">
        <v>1</v>
      </c>
      <c r="C340" s="13">
        <v>0</v>
      </c>
      <c r="D340" s="13">
        <v>1</v>
      </c>
      <c r="E340" s="13">
        <v>135680</v>
      </c>
      <c r="F340" s="13">
        <v>148248</v>
      </c>
      <c r="G340" s="13">
        <v>444</v>
      </c>
      <c r="H340" s="13">
        <v>2239476</v>
      </c>
      <c r="I340" s="13">
        <v>0</v>
      </c>
      <c r="J340" s="13">
        <v>0</v>
      </c>
      <c r="K340" s="13">
        <v>11906</v>
      </c>
      <c r="L340" s="13">
        <v>35</v>
      </c>
      <c r="M340" s="13">
        <v>2124</v>
      </c>
      <c r="N340" s="13">
        <v>1271</v>
      </c>
      <c r="O340" s="13">
        <v>19</v>
      </c>
      <c r="P340" s="13">
        <v>6</v>
      </c>
      <c r="Q340" s="13">
        <v>50</v>
      </c>
      <c r="R340" s="13">
        <v>24</v>
      </c>
      <c r="S340" s="13">
        <v>1</v>
      </c>
      <c r="T340" s="23">
        <v>46247.523425925923</v>
      </c>
      <c r="U340" s="55">
        <f t="shared" si="15"/>
        <v>0.66666666666666663</v>
      </c>
      <c r="V340" s="55">
        <f t="shared" si="16"/>
        <v>0.33333333333333331</v>
      </c>
      <c r="W340" s="56">
        <f t="shared" si="17"/>
        <v>12520.5</v>
      </c>
    </row>
    <row r="341" spans="1:23" x14ac:dyDescent="0.3">
      <c r="A341" s="13" t="s">
        <v>0</v>
      </c>
      <c r="B341">
        <v>1</v>
      </c>
      <c r="C341" s="13">
        <v>0</v>
      </c>
      <c r="D341" s="13">
        <v>1</v>
      </c>
      <c r="E341" s="13">
        <v>135680</v>
      </c>
      <c r="F341" s="13">
        <v>127000</v>
      </c>
      <c r="G341" s="13">
        <v>452</v>
      </c>
      <c r="H341" s="13">
        <v>2260408</v>
      </c>
      <c r="I341" s="13">
        <v>0</v>
      </c>
      <c r="J341" s="13">
        <v>0</v>
      </c>
      <c r="K341" s="13">
        <v>13164</v>
      </c>
      <c r="L341" s="13">
        <v>10</v>
      </c>
      <c r="M341" s="13">
        <v>2174</v>
      </c>
      <c r="N341" s="13">
        <v>1247</v>
      </c>
      <c r="O341" s="13">
        <v>19</v>
      </c>
      <c r="P341" s="13">
        <v>5</v>
      </c>
      <c r="Q341" s="13">
        <v>50</v>
      </c>
      <c r="R341" s="13">
        <v>24</v>
      </c>
      <c r="S341" s="13">
        <v>1</v>
      </c>
      <c r="T341" s="23">
        <v>46247.523541666669</v>
      </c>
      <c r="U341" s="55">
        <f t="shared" si="15"/>
        <v>0.5</v>
      </c>
      <c r="V341" s="55">
        <f t="shared" si="16"/>
        <v>0.5</v>
      </c>
      <c r="W341" s="56">
        <f t="shared" si="17"/>
        <v>12360</v>
      </c>
    </row>
    <row r="342" spans="1:23" x14ac:dyDescent="0.3">
      <c r="A342" s="13" t="s">
        <v>0</v>
      </c>
      <c r="B342">
        <v>1</v>
      </c>
      <c r="C342" s="13">
        <v>0</v>
      </c>
      <c r="D342" s="13">
        <v>1</v>
      </c>
      <c r="E342" s="13">
        <v>135680</v>
      </c>
      <c r="F342" s="13">
        <v>125228</v>
      </c>
      <c r="G342" s="13">
        <v>484</v>
      </c>
      <c r="H342" s="13">
        <v>2257188</v>
      </c>
      <c r="I342" s="13">
        <v>1</v>
      </c>
      <c r="J342" s="13">
        <v>0</v>
      </c>
      <c r="K342" s="13">
        <v>10699</v>
      </c>
      <c r="L342" s="13">
        <v>37</v>
      </c>
      <c r="M342" s="13">
        <v>2343</v>
      </c>
      <c r="N342" s="13">
        <v>1485</v>
      </c>
      <c r="O342" s="13">
        <v>20</v>
      </c>
      <c r="P342" s="13">
        <v>7</v>
      </c>
      <c r="Q342" s="13">
        <v>50</v>
      </c>
      <c r="R342" s="13">
        <v>22</v>
      </c>
      <c r="S342" s="13">
        <v>1</v>
      </c>
      <c r="T342" s="23">
        <v>46247.523657407408</v>
      </c>
      <c r="U342" s="55">
        <f t="shared" si="15"/>
        <v>0.33333333333333331</v>
      </c>
      <c r="V342" s="55">
        <f t="shared" si="16"/>
        <v>0.66666666666666663</v>
      </c>
      <c r="W342" s="56">
        <f t="shared" si="17"/>
        <v>12075.833333333334</v>
      </c>
    </row>
    <row r="343" spans="1:23" x14ac:dyDescent="0.3">
      <c r="A343" s="13" t="s">
        <v>0</v>
      </c>
      <c r="B343">
        <v>1</v>
      </c>
      <c r="C343" s="13">
        <v>1</v>
      </c>
      <c r="D343" s="13">
        <v>0</v>
      </c>
      <c r="E343" s="13">
        <v>135680</v>
      </c>
      <c r="F343" s="13">
        <v>109532</v>
      </c>
      <c r="G343" s="13">
        <v>492</v>
      </c>
      <c r="H343" s="13">
        <v>2286652</v>
      </c>
      <c r="I343" s="13">
        <v>2</v>
      </c>
      <c r="J343" s="13">
        <v>0</v>
      </c>
      <c r="K343" s="13">
        <v>13976</v>
      </c>
      <c r="L343" s="13">
        <v>13</v>
      </c>
      <c r="M343" s="13">
        <v>2357</v>
      </c>
      <c r="N343" s="13">
        <v>1428</v>
      </c>
      <c r="O343" s="13">
        <v>19</v>
      </c>
      <c r="P343" s="13">
        <v>6</v>
      </c>
      <c r="Q343" s="13">
        <v>51</v>
      </c>
      <c r="R343" s="13">
        <v>23</v>
      </c>
      <c r="S343" s="13">
        <v>1</v>
      </c>
      <c r="T343" s="23">
        <v>46247.523773148147</v>
      </c>
      <c r="U343" s="55">
        <f t="shared" si="15"/>
        <v>0.5</v>
      </c>
      <c r="V343" s="55">
        <f t="shared" si="16"/>
        <v>0.5</v>
      </c>
      <c r="W343" s="56">
        <f t="shared" si="17"/>
        <v>12422.5</v>
      </c>
    </row>
    <row r="344" spans="1:23" x14ac:dyDescent="0.3">
      <c r="A344" s="13" t="s">
        <v>0</v>
      </c>
      <c r="B344">
        <v>1</v>
      </c>
      <c r="C344" s="13">
        <v>1</v>
      </c>
      <c r="D344" s="13">
        <v>0</v>
      </c>
      <c r="E344" s="13">
        <v>135680</v>
      </c>
      <c r="F344" s="13">
        <v>156348</v>
      </c>
      <c r="G344" s="13">
        <v>500</v>
      </c>
      <c r="H344" s="13">
        <v>2250960</v>
      </c>
      <c r="I344" s="13">
        <v>0</v>
      </c>
      <c r="J344" s="13">
        <v>0</v>
      </c>
      <c r="K344" s="13">
        <v>13182</v>
      </c>
      <c r="L344" s="13">
        <v>6</v>
      </c>
      <c r="M344" s="13">
        <v>2294</v>
      </c>
      <c r="N344" s="13">
        <v>1405</v>
      </c>
      <c r="O344" s="13">
        <v>19</v>
      </c>
      <c r="P344" s="13">
        <v>6</v>
      </c>
      <c r="Q344" s="13">
        <v>51</v>
      </c>
      <c r="R344" s="13">
        <v>24</v>
      </c>
      <c r="S344" s="13">
        <v>1</v>
      </c>
      <c r="T344" s="23">
        <v>46247.523888888885</v>
      </c>
      <c r="U344" s="55">
        <f t="shared" si="15"/>
        <v>0.5</v>
      </c>
      <c r="V344" s="55">
        <f t="shared" si="16"/>
        <v>0.5</v>
      </c>
      <c r="W344" s="56">
        <f t="shared" si="17"/>
        <v>12444.5</v>
      </c>
    </row>
    <row r="345" spans="1:23" x14ac:dyDescent="0.3">
      <c r="A345" s="13" t="s">
        <v>0</v>
      </c>
      <c r="B345">
        <v>1</v>
      </c>
      <c r="C345" s="13">
        <v>0</v>
      </c>
      <c r="D345" s="13">
        <v>1</v>
      </c>
      <c r="E345" s="13">
        <v>135680</v>
      </c>
      <c r="F345" s="13">
        <v>145132</v>
      </c>
      <c r="G345" s="13">
        <v>512</v>
      </c>
      <c r="H345" s="13">
        <v>2258208</v>
      </c>
      <c r="I345" s="13">
        <v>0</v>
      </c>
      <c r="J345" s="13">
        <v>0</v>
      </c>
      <c r="K345" s="13">
        <v>11699</v>
      </c>
      <c r="L345" s="13">
        <v>16</v>
      </c>
      <c r="M345" s="13">
        <v>2353</v>
      </c>
      <c r="N345" s="13">
        <v>1526</v>
      </c>
      <c r="O345" s="13">
        <v>21</v>
      </c>
      <c r="P345" s="13">
        <v>7</v>
      </c>
      <c r="Q345" s="13">
        <v>50</v>
      </c>
      <c r="R345" s="13">
        <v>22</v>
      </c>
      <c r="S345" s="13">
        <v>1</v>
      </c>
      <c r="T345" s="23">
        <v>46247.524004629631</v>
      </c>
      <c r="U345" s="55">
        <f t="shared" si="15"/>
        <v>0.33333333333333331</v>
      </c>
      <c r="V345" s="55">
        <f t="shared" si="16"/>
        <v>0.66666666666666663</v>
      </c>
      <c r="W345" s="56">
        <f t="shared" si="17"/>
        <v>12437.666666666666</v>
      </c>
    </row>
    <row r="346" spans="1:23" x14ac:dyDescent="0.3">
      <c r="A346" s="13" t="s">
        <v>0</v>
      </c>
      <c r="B346">
        <v>1</v>
      </c>
      <c r="C346" s="13">
        <v>0</v>
      </c>
      <c r="D346" s="13">
        <v>1</v>
      </c>
      <c r="E346" s="13">
        <v>135680</v>
      </c>
      <c r="F346" s="13">
        <v>105680</v>
      </c>
      <c r="G346" s="13">
        <v>524</v>
      </c>
      <c r="H346" s="13">
        <v>2293512</v>
      </c>
      <c r="I346" s="13">
        <v>1</v>
      </c>
      <c r="J346" s="13">
        <v>0</v>
      </c>
      <c r="K346" s="13">
        <v>14509</v>
      </c>
      <c r="L346" s="13">
        <v>28</v>
      </c>
      <c r="M346" s="13">
        <v>2372</v>
      </c>
      <c r="N346" s="13">
        <v>1348</v>
      </c>
      <c r="O346" s="13">
        <v>19</v>
      </c>
      <c r="P346" s="13">
        <v>5</v>
      </c>
      <c r="Q346" s="13">
        <v>51</v>
      </c>
      <c r="R346" s="13">
        <v>24</v>
      </c>
      <c r="S346" s="13">
        <v>0</v>
      </c>
      <c r="T346" s="23">
        <v>46247.52412037037</v>
      </c>
      <c r="U346" s="55">
        <f t="shared" si="15"/>
        <v>0.33333333333333331</v>
      </c>
      <c r="V346" s="55">
        <f t="shared" si="16"/>
        <v>0.66666666666666663</v>
      </c>
      <c r="W346" s="56">
        <f t="shared" si="17"/>
        <v>12871.5</v>
      </c>
    </row>
    <row r="347" spans="1:23" x14ac:dyDescent="0.3">
      <c r="A347" s="13" t="s">
        <v>0</v>
      </c>
      <c r="B347">
        <v>1</v>
      </c>
      <c r="C347" s="13">
        <v>1</v>
      </c>
      <c r="D347" s="13">
        <v>0</v>
      </c>
      <c r="E347" s="13">
        <v>135680</v>
      </c>
      <c r="F347" s="13">
        <v>147436</v>
      </c>
      <c r="G347" s="13">
        <v>532</v>
      </c>
      <c r="H347" s="13">
        <v>2253148</v>
      </c>
      <c r="I347" s="13">
        <v>0</v>
      </c>
      <c r="J347" s="13">
        <v>0</v>
      </c>
      <c r="K347" s="13">
        <v>12168</v>
      </c>
      <c r="L347" s="13">
        <v>8</v>
      </c>
      <c r="M347" s="13">
        <v>2361</v>
      </c>
      <c r="N347" s="13">
        <v>1473</v>
      </c>
      <c r="O347" s="13">
        <v>19</v>
      </c>
      <c r="P347" s="13">
        <v>6</v>
      </c>
      <c r="Q347" s="13">
        <v>51</v>
      </c>
      <c r="R347" s="13">
        <v>23</v>
      </c>
      <c r="S347" s="13">
        <v>1</v>
      </c>
      <c r="T347" s="23">
        <v>46247.524236111109</v>
      </c>
      <c r="U347" s="55">
        <f t="shared" si="15"/>
        <v>0.5</v>
      </c>
      <c r="V347" s="55">
        <f t="shared" si="16"/>
        <v>0.5</v>
      </c>
      <c r="W347" s="56">
        <f t="shared" si="17"/>
        <v>12705.5</v>
      </c>
    </row>
    <row r="348" spans="1:23" x14ac:dyDescent="0.3">
      <c r="A348" s="13" t="s">
        <v>0</v>
      </c>
      <c r="B348">
        <v>1</v>
      </c>
      <c r="C348" s="13">
        <v>1</v>
      </c>
      <c r="D348" s="13">
        <v>0</v>
      </c>
      <c r="E348" s="13">
        <v>135680</v>
      </c>
      <c r="F348" s="13">
        <v>154572</v>
      </c>
      <c r="G348" s="13">
        <v>564</v>
      </c>
      <c r="H348" s="13">
        <v>2247032</v>
      </c>
      <c r="I348" s="13">
        <v>1</v>
      </c>
      <c r="J348" s="13">
        <v>0</v>
      </c>
      <c r="K348" s="13">
        <v>9749</v>
      </c>
      <c r="L348" s="13">
        <v>26</v>
      </c>
      <c r="M348" s="13">
        <v>2191</v>
      </c>
      <c r="N348" s="13">
        <v>1358</v>
      </c>
      <c r="O348" s="13">
        <v>19</v>
      </c>
      <c r="P348" s="13">
        <v>6</v>
      </c>
      <c r="Q348" s="13">
        <v>50</v>
      </c>
      <c r="R348" s="13">
        <v>23</v>
      </c>
      <c r="S348" s="13">
        <v>2</v>
      </c>
      <c r="T348" s="23">
        <v>46247.524351851855</v>
      </c>
      <c r="U348" s="55">
        <f t="shared" si="15"/>
        <v>0.66666666666666663</v>
      </c>
      <c r="V348" s="55">
        <f t="shared" si="16"/>
        <v>0.33333333333333331</v>
      </c>
      <c r="W348" s="56">
        <f t="shared" si="17"/>
        <v>12547.166666666666</v>
      </c>
    </row>
    <row r="349" spans="1:23" x14ac:dyDescent="0.3">
      <c r="A349" s="13" t="s">
        <v>0</v>
      </c>
      <c r="B349">
        <v>1</v>
      </c>
      <c r="C349" s="13">
        <v>0</v>
      </c>
      <c r="D349" s="13">
        <v>1</v>
      </c>
      <c r="E349" s="13">
        <v>135680</v>
      </c>
      <c r="F349" s="13">
        <v>130160</v>
      </c>
      <c r="G349" s="13">
        <v>572</v>
      </c>
      <c r="H349" s="13">
        <v>2265648</v>
      </c>
      <c r="I349" s="13">
        <v>0</v>
      </c>
      <c r="J349" s="13">
        <v>0</v>
      </c>
      <c r="K349" s="13">
        <v>11740</v>
      </c>
      <c r="L349" s="13">
        <v>6</v>
      </c>
      <c r="M349" s="13">
        <v>2402</v>
      </c>
      <c r="N349" s="13">
        <v>1488</v>
      </c>
      <c r="O349" s="13">
        <v>19</v>
      </c>
      <c r="P349" s="13">
        <v>7</v>
      </c>
      <c r="Q349" s="13">
        <v>49</v>
      </c>
      <c r="R349" s="13">
        <v>24</v>
      </c>
      <c r="S349" s="13">
        <v>1</v>
      </c>
      <c r="T349" s="23">
        <v>46247.524467592593</v>
      </c>
      <c r="U349" s="55">
        <f t="shared" si="15"/>
        <v>0.5</v>
      </c>
      <c r="V349" s="55">
        <f t="shared" si="16"/>
        <v>0.5</v>
      </c>
      <c r="W349" s="56">
        <f t="shared" si="17"/>
        <v>12174.5</v>
      </c>
    </row>
    <row r="350" spans="1:23" x14ac:dyDescent="0.3">
      <c r="A350" s="13" t="s">
        <v>0</v>
      </c>
      <c r="B350">
        <v>1</v>
      </c>
      <c r="C350" s="13">
        <v>2</v>
      </c>
      <c r="D350" s="13">
        <v>0</v>
      </c>
      <c r="E350" s="13">
        <v>135680</v>
      </c>
      <c r="F350" s="13">
        <v>148156</v>
      </c>
      <c r="G350" s="13">
        <v>580</v>
      </c>
      <c r="H350" s="13">
        <v>2249316</v>
      </c>
      <c r="I350" s="13">
        <v>2</v>
      </c>
      <c r="J350" s="13">
        <v>0</v>
      </c>
      <c r="K350" s="13">
        <v>12350</v>
      </c>
      <c r="L350" s="13">
        <v>16</v>
      </c>
      <c r="M350" s="13">
        <v>2177</v>
      </c>
      <c r="N350" s="13">
        <v>1232</v>
      </c>
      <c r="O350" s="13">
        <v>19</v>
      </c>
      <c r="P350" s="13">
        <v>5</v>
      </c>
      <c r="Q350" s="13">
        <v>51</v>
      </c>
      <c r="R350" s="13">
        <v>24</v>
      </c>
      <c r="S350" s="13">
        <v>1</v>
      </c>
      <c r="T350" s="23">
        <v>46247.524583333332</v>
      </c>
      <c r="U350" s="55">
        <f t="shared" si="15"/>
        <v>0.66666666666666663</v>
      </c>
      <c r="V350" s="55">
        <f t="shared" si="16"/>
        <v>0.5</v>
      </c>
      <c r="W350" s="56">
        <f t="shared" si="17"/>
        <v>12035.833333333334</v>
      </c>
    </row>
    <row r="351" spans="1:23" x14ac:dyDescent="0.3">
      <c r="A351" s="13" t="s">
        <v>0</v>
      </c>
      <c r="B351">
        <v>1</v>
      </c>
      <c r="C351" s="13">
        <v>1</v>
      </c>
      <c r="D351" s="13">
        <v>0</v>
      </c>
      <c r="E351" s="13">
        <v>135168</v>
      </c>
      <c r="F351" s="13">
        <v>115680</v>
      </c>
      <c r="G351" s="13">
        <v>596</v>
      </c>
      <c r="H351" s="13">
        <v>2280860</v>
      </c>
      <c r="I351" s="13">
        <v>67</v>
      </c>
      <c r="J351" s="13">
        <v>0</v>
      </c>
      <c r="K351" s="13">
        <v>12635</v>
      </c>
      <c r="L351" s="13">
        <v>10</v>
      </c>
      <c r="M351" s="13">
        <v>2368</v>
      </c>
      <c r="N351" s="13">
        <v>1502</v>
      </c>
      <c r="O351" s="13">
        <v>19</v>
      </c>
      <c r="P351" s="13">
        <v>6</v>
      </c>
      <c r="Q351" s="13">
        <v>48</v>
      </c>
      <c r="R351" s="13">
        <v>25</v>
      </c>
      <c r="S351" s="13">
        <v>1</v>
      </c>
      <c r="T351" s="23">
        <v>46247.524699074071</v>
      </c>
      <c r="U351" s="55">
        <f t="shared" si="15"/>
        <v>0.83333333333333337</v>
      </c>
      <c r="V351" s="55">
        <f t="shared" si="16"/>
        <v>0.33333333333333331</v>
      </c>
      <c r="W351" s="56">
        <f t="shared" si="17"/>
        <v>12191.833333333334</v>
      </c>
    </row>
    <row r="352" spans="1:23" x14ac:dyDescent="0.3">
      <c r="A352" s="13" t="s">
        <v>0</v>
      </c>
      <c r="B352">
        <v>1</v>
      </c>
      <c r="C352" s="13">
        <v>0</v>
      </c>
      <c r="D352" s="13">
        <v>0</v>
      </c>
      <c r="E352" s="13">
        <v>135168</v>
      </c>
      <c r="F352" s="13">
        <v>140860</v>
      </c>
      <c r="G352" s="13">
        <v>600</v>
      </c>
      <c r="H352" s="13">
        <v>2263524</v>
      </c>
      <c r="I352" s="13">
        <v>0</v>
      </c>
      <c r="J352" s="13">
        <v>0</v>
      </c>
      <c r="K352" s="13">
        <v>13964</v>
      </c>
      <c r="L352" s="13">
        <v>38</v>
      </c>
      <c r="M352" s="13">
        <v>2297</v>
      </c>
      <c r="N352" s="13">
        <v>1306</v>
      </c>
      <c r="O352" s="13">
        <v>19</v>
      </c>
      <c r="P352" s="13">
        <v>5</v>
      </c>
      <c r="Q352" s="13">
        <v>50</v>
      </c>
      <c r="R352" s="13">
        <v>25</v>
      </c>
      <c r="S352" s="13">
        <v>1</v>
      </c>
      <c r="T352" s="23">
        <v>46247.524814814817</v>
      </c>
      <c r="U352" s="55">
        <f t="shared" si="15"/>
        <v>0.83333333333333337</v>
      </c>
      <c r="V352" s="55">
        <f t="shared" si="16"/>
        <v>0.16666666666666666</v>
      </c>
      <c r="W352" s="56">
        <f t="shared" si="17"/>
        <v>12101</v>
      </c>
    </row>
    <row r="353" spans="1:23" x14ac:dyDescent="0.3">
      <c r="A353" s="13" t="s">
        <v>0</v>
      </c>
      <c r="B353">
        <v>1</v>
      </c>
      <c r="C353" s="13">
        <v>0</v>
      </c>
      <c r="D353" s="13">
        <v>1</v>
      </c>
      <c r="E353" s="13">
        <v>135168</v>
      </c>
      <c r="F353" s="13">
        <v>184144</v>
      </c>
      <c r="G353" s="13">
        <v>612</v>
      </c>
      <c r="H353" s="13">
        <v>2199468</v>
      </c>
      <c r="I353" s="13">
        <v>0</v>
      </c>
      <c r="J353" s="13">
        <v>0</v>
      </c>
      <c r="K353" s="13">
        <v>12712</v>
      </c>
      <c r="L353" s="13">
        <v>7</v>
      </c>
      <c r="M353" s="13">
        <v>2451</v>
      </c>
      <c r="N353" s="13">
        <v>1678</v>
      </c>
      <c r="O353" s="13">
        <v>19</v>
      </c>
      <c r="P353" s="13">
        <v>8</v>
      </c>
      <c r="Q353" s="13">
        <v>50</v>
      </c>
      <c r="R353" s="13">
        <v>23</v>
      </c>
      <c r="S353" s="13">
        <v>1</v>
      </c>
      <c r="T353" s="23">
        <v>46247.524930555555</v>
      </c>
      <c r="U353" s="55">
        <f t="shared" si="15"/>
        <v>0.66666666666666663</v>
      </c>
      <c r="V353" s="55">
        <f t="shared" si="16"/>
        <v>0.33333333333333331</v>
      </c>
      <c r="W353" s="56">
        <f t="shared" si="17"/>
        <v>12191.666666666666</v>
      </c>
    </row>
    <row r="354" spans="1:23" x14ac:dyDescent="0.3">
      <c r="A354" s="13" t="s">
        <v>0</v>
      </c>
      <c r="B354">
        <v>1</v>
      </c>
      <c r="C354" s="13">
        <v>0</v>
      </c>
      <c r="D354" s="13">
        <v>1</v>
      </c>
      <c r="E354" s="13">
        <v>135168</v>
      </c>
      <c r="F354" s="13">
        <v>104680</v>
      </c>
      <c r="G354" s="13">
        <v>644</v>
      </c>
      <c r="H354" s="13">
        <v>2293692</v>
      </c>
      <c r="I354" s="13">
        <v>1</v>
      </c>
      <c r="J354" s="13">
        <v>0</v>
      </c>
      <c r="K354" s="13">
        <v>12545</v>
      </c>
      <c r="L354" s="13">
        <v>51</v>
      </c>
      <c r="M354" s="13">
        <v>2561</v>
      </c>
      <c r="N354" s="13">
        <v>1703</v>
      </c>
      <c r="O354" s="13">
        <v>19</v>
      </c>
      <c r="P354" s="13">
        <v>7</v>
      </c>
      <c r="Q354" s="13">
        <v>50</v>
      </c>
      <c r="R354" s="13">
        <v>23</v>
      </c>
      <c r="S354" s="13">
        <v>1</v>
      </c>
      <c r="T354" s="23">
        <v>46247.525046296294</v>
      </c>
      <c r="U354" s="55">
        <f t="shared" si="15"/>
        <v>0.5</v>
      </c>
      <c r="V354" s="55">
        <f t="shared" si="16"/>
        <v>0.5</v>
      </c>
      <c r="W354" s="56">
        <f t="shared" si="17"/>
        <v>12657.666666666666</v>
      </c>
    </row>
    <row r="355" spans="1:23" x14ac:dyDescent="0.3">
      <c r="A355" s="13" t="s">
        <v>0</v>
      </c>
      <c r="B355">
        <v>1</v>
      </c>
      <c r="C355" s="13">
        <v>1</v>
      </c>
      <c r="D355" s="13">
        <v>0</v>
      </c>
      <c r="E355" s="13">
        <v>135168</v>
      </c>
      <c r="F355" s="13">
        <v>106984</v>
      </c>
      <c r="G355" s="13">
        <v>652</v>
      </c>
      <c r="H355" s="13">
        <v>2294088</v>
      </c>
      <c r="I355" s="13">
        <v>0</v>
      </c>
      <c r="J355" s="13">
        <v>0</v>
      </c>
      <c r="K355" s="13">
        <v>14272</v>
      </c>
      <c r="L355" s="13">
        <v>7</v>
      </c>
      <c r="M355" s="13">
        <v>2264</v>
      </c>
      <c r="N355" s="13">
        <v>1320</v>
      </c>
      <c r="O355" s="13">
        <v>20</v>
      </c>
      <c r="P355" s="13">
        <v>5</v>
      </c>
      <c r="Q355" s="13">
        <v>50</v>
      </c>
      <c r="R355" s="13">
        <v>24</v>
      </c>
      <c r="S355" s="13">
        <v>1</v>
      </c>
      <c r="T355" s="23">
        <v>46247.52516203704</v>
      </c>
      <c r="U355" s="55">
        <f t="shared" si="15"/>
        <v>0.66666666666666663</v>
      </c>
      <c r="V355" s="55">
        <f t="shared" si="16"/>
        <v>0.33333333333333331</v>
      </c>
      <c r="W355" s="56">
        <f t="shared" si="17"/>
        <v>13079.666666666666</v>
      </c>
    </row>
    <row r="356" spans="1:23" x14ac:dyDescent="0.3">
      <c r="A356" s="13" t="s">
        <v>0</v>
      </c>
      <c r="B356">
        <v>1</v>
      </c>
      <c r="C356" s="13">
        <v>0</v>
      </c>
      <c r="D356" s="13">
        <v>1</v>
      </c>
      <c r="E356" s="13">
        <v>135168</v>
      </c>
      <c r="F356" s="13">
        <v>115076</v>
      </c>
      <c r="G356" s="13">
        <v>660</v>
      </c>
      <c r="H356" s="13">
        <v>2276000</v>
      </c>
      <c r="I356" s="13">
        <v>0</v>
      </c>
      <c r="J356" s="13">
        <v>0</v>
      </c>
      <c r="K356" s="13">
        <v>12451</v>
      </c>
      <c r="L356" s="13">
        <v>11</v>
      </c>
      <c r="M356" s="13">
        <v>2563</v>
      </c>
      <c r="N356" s="13">
        <v>1675</v>
      </c>
      <c r="O356" s="13">
        <v>19</v>
      </c>
      <c r="P356" s="13">
        <v>7</v>
      </c>
      <c r="Q356" s="13">
        <v>50</v>
      </c>
      <c r="R356" s="13">
        <v>23</v>
      </c>
      <c r="S356" s="13">
        <v>0</v>
      </c>
      <c r="T356" s="23">
        <v>46247.525277777779</v>
      </c>
      <c r="U356" s="55">
        <f t="shared" si="15"/>
        <v>0.33333333333333331</v>
      </c>
      <c r="V356" s="55">
        <f t="shared" si="16"/>
        <v>0.5</v>
      </c>
      <c r="W356" s="56">
        <f t="shared" si="17"/>
        <v>13096.5</v>
      </c>
    </row>
    <row r="357" spans="1:23" x14ac:dyDescent="0.3">
      <c r="A357" s="13" t="s">
        <v>0</v>
      </c>
      <c r="B357">
        <v>1</v>
      </c>
      <c r="C357" s="13">
        <v>0</v>
      </c>
      <c r="D357" s="13">
        <v>1</v>
      </c>
      <c r="E357" s="13">
        <v>135168</v>
      </c>
      <c r="F357" s="13">
        <v>106620</v>
      </c>
      <c r="G357" s="13">
        <v>680</v>
      </c>
      <c r="H357" s="13">
        <v>2288760</v>
      </c>
      <c r="I357" s="13">
        <v>0</v>
      </c>
      <c r="J357" s="13">
        <v>0</v>
      </c>
      <c r="K357" s="13">
        <v>13333</v>
      </c>
      <c r="L357" s="13">
        <v>20</v>
      </c>
      <c r="M357" s="13">
        <v>2218</v>
      </c>
      <c r="N357" s="13">
        <v>1279</v>
      </c>
      <c r="O357" s="13">
        <v>19</v>
      </c>
      <c r="P357" s="13">
        <v>5</v>
      </c>
      <c r="Q357" s="13">
        <v>50</v>
      </c>
      <c r="R357" s="13">
        <v>25</v>
      </c>
      <c r="S357" s="13">
        <v>1</v>
      </c>
      <c r="T357" s="23">
        <v>46247.525393518517</v>
      </c>
      <c r="U357" s="55">
        <f t="shared" si="15"/>
        <v>0.16666666666666666</v>
      </c>
      <c r="V357" s="55">
        <f t="shared" si="16"/>
        <v>0.66666666666666663</v>
      </c>
      <c r="W357" s="56">
        <f t="shared" si="17"/>
        <v>13212.833333333334</v>
      </c>
    </row>
    <row r="358" spans="1:23" x14ac:dyDescent="0.3">
      <c r="A358" s="13" t="s">
        <v>0</v>
      </c>
      <c r="B358">
        <v>1</v>
      </c>
      <c r="C358" s="13">
        <v>0</v>
      </c>
      <c r="D358" s="13">
        <v>1</v>
      </c>
      <c r="E358" s="13">
        <v>135168</v>
      </c>
      <c r="F358" s="13">
        <v>150744</v>
      </c>
      <c r="G358" s="13">
        <v>688</v>
      </c>
      <c r="H358" s="13">
        <v>2251748</v>
      </c>
      <c r="I358" s="13">
        <v>0</v>
      </c>
      <c r="J358" s="13">
        <v>0</v>
      </c>
      <c r="K358" s="13">
        <v>15506</v>
      </c>
      <c r="L358" s="13">
        <v>13</v>
      </c>
      <c r="M358" s="13">
        <v>2307</v>
      </c>
      <c r="N358" s="13">
        <v>1371</v>
      </c>
      <c r="O358" s="13">
        <v>19</v>
      </c>
      <c r="P358" s="13">
        <v>5</v>
      </c>
      <c r="Q358" s="13">
        <v>51</v>
      </c>
      <c r="R358" s="13">
        <v>24</v>
      </c>
      <c r="S358" s="13">
        <v>0</v>
      </c>
      <c r="T358" s="23">
        <v>46247.525509259256</v>
      </c>
      <c r="U358" s="55">
        <f t="shared" si="15"/>
        <v>0.16666666666666666</v>
      </c>
      <c r="V358" s="55">
        <f t="shared" si="16"/>
        <v>0.83333333333333337</v>
      </c>
      <c r="W358" s="56">
        <f t="shared" si="17"/>
        <v>13469.833333333334</v>
      </c>
    </row>
    <row r="359" spans="1:23" x14ac:dyDescent="0.3">
      <c r="A359" s="13" t="s">
        <v>0</v>
      </c>
      <c r="B359">
        <v>1</v>
      </c>
      <c r="C359" s="13">
        <v>1</v>
      </c>
      <c r="D359" s="13">
        <v>0</v>
      </c>
      <c r="E359" s="13">
        <v>135168</v>
      </c>
      <c r="F359" s="13">
        <v>129804</v>
      </c>
      <c r="G359" s="13">
        <v>696</v>
      </c>
      <c r="H359" s="13">
        <v>2272520</v>
      </c>
      <c r="I359" s="13">
        <v>21</v>
      </c>
      <c r="J359" s="13">
        <v>0</v>
      </c>
      <c r="K359" s="13">
        <v>11794</v>
      </c>
      <c r="L359" s="13">
        <v>22</v>
      </c>
      <c r="M359" s="13">
        <v>2644</v>
      </c>
      <c r="N359" s="13">
        <v>1851</v>
      </c>
      <c r="O359" s="13">
        <v>19</v>
      </c>
      <c r="P359" s="13">
        <v>8</v>
      </c>
      <c r="Q359" s="13">
        <v>49</v>
      </c>
      <c r="R359" s="13">
        <v>23</v>
      </c>
      <c r="S359" s="13">
        <v>0</v>
      </c>
      <c r="T359" s="23">
        <v>46247.525625000002</v>
      </c>
      <c r="U359" s="55">
        <f t="shared" si="15"/>
        <v>0.33333333333333331</v>
      </c>
      <c r="V359" s="55">
        <f t="shared" si="16"/>
        <v>0.66666666666666663</v>
      </c>
      <c r="W359" s="56">
        <f t="shared" si="17"/>
        <v>13316.833333333334</v>
      </c>
    </row>
    <row r="360" spans="1:23" x14ac:dyDescent="0.3">
      <c r="A360" s="13" t="s">
        <v>0</v>
      </c>
      <c r="B360">
        <v>1</v>
      </c>
      <c r="C360" s="13">
        <v>1</v>
      </c>
      <c r="D360" s="13">
        <v>0</v>
      </c>
      <c r="E360" s="13">
        <v>135424</v>
      </c>
      <c r="F360" s="13">
        <v>117576</v>
      </c>
      <c r="G360" s="13">
        <v>252</v>
      </c>
      <c r="H360" s="13">
        <v>2273788</v>
      </c>
      <c r="I360" s="13">
        <v>1</v>
      </c>
      <c r="J360" s="13">
        <v>32</v>
      </c>
      <c r="K360" s="13">
        <v>15378</v>
      </c>
      <c r="L360" s="13">
        <v>61</v>
      </c>
      <c r="M360" s="13">
        <v>2450</v>
      </c>
      <c r="N360" s="13">
        <v>1529</v>
      </c>
      <c r="O360" s="13">
        <v>19</v>
      </c>
      <c r="P360" s="13">
        <v>7</v>
      </c>
      <c r="Q360" s="13">
        <v>50</v>
      </c>
      <c r="R360" s="13">
        <v>23</v>
      </c>
      <c r="S360" s="13">
        <v>0</v>
      </c>
      <c r="T360" s="23">
        <v>46247.525740740741</v>
      </c>
      <c r="U360" s="55">
        <f t="shared" si="15"/>
        <v>0.5</v>
      </c>
      <c r="V360" s="55">
        <f t="shared" si="16"/>
        <v>0.5</v>
      </c>
      <c r="W360" s="56">
        <f t="shared" si="17"/>
        <v>13789</v>
      </c>
    </row>
    <row r="361" spans="1:23" x14ac:dyDescent="0.3">
      <c r="A361" s="13" t="s">
        <v>0</v>
      </c>
      <c r="B361">
        <v>1</v>
      </c>
      <c r="C361" s="13">
        <v>0</v>
      </c>
      <c r="D361" s="13">
        <v>1</v>
      </c>
      <c r="E361" s="13">
        <v>135424</v>
      </c>
      <c r="F361" s="13">
        <v>133936</v>
      </c>
      <c r="G361" s="13">
        <v>252</v>
      </c>
      <c r="H361" s="13">
        <v>2262244</v>
      </c>
      <c r="I361" s="13">
        <v>0</v>
      </c>
      <c r="J361" s="13">
        <v>2</v>
      </c>
      <c r="K361" s="13">
        <v>13572</v>
      </c>
      <c r="L361" s="13">
        <v>9</v>
      </c>
      <c r="M361" s="13">
        <v>2432</v>
      </c>
      <c r="N361" s="13">
        <v>1434</v>
      </c>
      <c r="O361" s="13">
        <v>19</v>
      </c>
      <c r="P361" s="13">
        <v>6</v>
      </c>
      <c r="Q361" s="13">
        <v>51</v>
      </c>
      <c r="R361" s="13">
        <v>24</v>
      </c>
      <c r="S361" s="13">
        <v>1</v>
      </c>
      <c r="T361" s="23">
        <v>46247.525856481479</v>
      </c>
      <c r="U361" s="55">
        <f t="shared" si="15"/>
        <v>0.33333333333333331</v>
      </c>
      <c r="V361" s="55">
        <f t="shared" si="16"/>
        <v>0.66666666666666663</v>
      </c>
      <c r="W361" s="56">
        <f t="shared" si="17"/>
        <v>13672.333333333334</v>
      </c>
    </row>
    <row r="362" spans="1:23" x14ac:dyDescent="0.3">
      <c r="A362" s="13" t="str" cm="1">
        <f t="array" ref="A362:B362">INDEX(BenchmarkResults!$B$1:$D$35,SUMPRODUCT((T362&gt;=BenchmarkResults!$F$3:$F$35)*(mongodb_hardware_log!T362&lt;BenchmarkResults!$G$3:$G$35)*ROW(BenchmarkResults!$F$3:$F$35)),{1,3})</f>
        <v>q2_avg_order_city</v>
      </c>
      <c r="B362">
        <v>1</v>
      </c>
      <c r="C362" s="13">
        <v>2</v>
      </c>
      <c r="D362" s="13">
        <v>0</v>
      </c>
      <c r="E362" s="13">
        <v>135424</v>
      </c>
      <c r="F362" s="13">
        <v>141784</v>
      </c>
      <c r="G362" s="13">
        <v>260</v>
      </c>
      <c r="H362" s="13">
        <v>2264696</v>
      </c>
      <c r="I362" s="13">
        <v>48</v>
      </c>
      <c r="J362" s="13">
        <v>0</v>
      </c>
      <c r="K362" s="13">
        <v>13536</v>
      </c>
      <c r="L362" s="13">
        <v>12</v>
      </c>
      <c r="M362" s="13">
        <v>2446</v>
      </c>
      <c r="N362" s="13">
        <v>1565</v>
      </c>
      <c r="O362" s="13">
        <v>20</v>
      </c>
      <c r="P362" s="13">
        <v>7</v>
      </c>
      <c r="Q362" s="13">
        <v>49</v>
      </c>
      <c r="R362" s="13">
        <v>24</v>
      </c>
      <c r="S362" s="13">
        <v>1</v>
      </c>
      <c r="T362" s="23">
        <v>46247.525972222225</v>
      </c>
      <c r="U362" s="55">
        <f t="shared" si="15"/>
        <v>0.66666666666666663</v>
      </c>
      <c r="V362" s="55">
        <f t="shared" si="16"/>
        <v>0.5</v>
      </c>
      <c r="W362" s="56">
        <f t="shared" si="17"/>
        <v>13853.166666666666</v>
      </c>
    </row>
    <row r="363" spans="1:23" x14ac:dyDescent="0.3">
      <c r="A363" s="13" t="str" cm="1">
        <f t="array" ref="A363:B363">INDEX(BenchmarkResults!$B$1:$D$35,SUMPRODUCT((T363&gt;=BenchmarkResults!$F$3:$F$35)*(mongodb_hardware_log!T363&lt;BenchmarkResults!$G$3:$G$35)*ROW(BenchmarkResults!$F$3:$F$35)),{1,3})</f>
        <v>q2_avg_order_city</v>
      </c>
      <c r="B363">
        <v>1</v>
      </c>
      <c r="C363" s="13">
        <v>1</v>
      </c>
      <c r="D363" s="13">
        <v>0</v>
      </c>
      <c r="E363" s="13">
        <v>135168</v>
      </c>
      <c r="F363" s="13">
        <v>123900</v>
      </c>
      <c r="G363" s="13">
        <v>408</v>
      </c>
      <c r="H363" s="13">
        <v>2277976</v>
      </c>
      <c r="I363" s="13">
        <v>8</v>
      </c>
      <c r="J363" s="13">
        <v>0</v>
      </c>
      <c r="K363" s="13">
        <v>1350</v>
      </c>
      <c r="L363" s="13">
        <v>40</v>
      </c>
      <c r="M363" s="13">
        <v>769</v>
      </c>
      <c r="N363" s="13">
        <v>251</v>
      </c>
      <c r="O363" s="13">
        <v>34</v>
      </c>
      <c r="P363" s="13">
        <v>1</v>
      </c>
      <c r="Q363" s="13">
        <v>64</v>
      </c>
      <c r="R363" s="13">
        <v>1</v>
      </c>
      <c r="S363" s="13">
        <v>0</v>
      </c>
      <c r="T363" s="23">
        <v>46247.526087962964</v>
      </c>
      <c r="U363" s="55">
        <f t="shared" si="15"/>
        <v>0.83333333333333337</v>
      </c>
      <c r="V363" s="55">
        <f t="shared" si="16"/>
        <v>0.33333333333333331</v>
      </c>
      <c r="W363" s="56">
        <f t="shared" si="17"/>
        <v>11856</v>
      </c>
    </row>
    <row r="364" spans="1:23" x14ac:dyDescent="0.3">
      <c r="A364" s="13" t="str" cm="1">
        <f t="array" ref="A364:B364">INDEX(BenchmarkResults!$B$1:$D$35,SUMPRODUCT((T364&gt;=BenchmarkResults!$F$3:$F$35)*(mongodb_hardware_log!T364&lt;BenchmarkResults!$G$3:$G$35)*ROW(BenchmarkResults!$F$3:$F$35)),{1,3})</f>
        <v>q2_avg_order_city</v>
      </c>
      <c r="B364">
        <v>1</v>
      </c>
      <c r="C364" s="13">
        <v>1</v>
      </c>
      <c r="D364" s="13">
        <v>0</v>
      </c>
      <c r="E364" s="13">
        <v>135168</v>
      </c>
      <c r="F364" s="13">
        <v>116116</v>
      </c>
      <c r="G364" s="13">
        <v>416</v>
      </c>
      <c r="H364" s="13">
        <v>2283708</v>
      </c>
      <c r="I364" s="13">
        <v>0</v>
      </c>
      <c r="J364" s="13">
        <v>0</v>
      </c>
      <c r="K364" s="13">
        <v>573</v>
      </c>
      <c r="L364" s="13">
        <v>14</v>
      </c>
      <c r="M364" s="13">
        <v>713</v>
      </c>
      <c r="N364" s="13">
        <v>217</v>
      </c>
      <c r="O364" s="13">
        <v>33</v>
      </c>
      <c r="P364" s="13">
        <v>1</v>
      </c>
      <c r="Q364" s="13">
        <v>65</v>
      </c>
      <c r="R364" s="13">
        <v>0</v>
      </c>
      <c r="S364" s="13">
        <v>0</v>
      </c>
      <c r="T364" s="23">
        <v>46247.526203703703</v>
      </c>
      <c r="U364" s="55">
        <f t="shared" si="15"/>
        <v>1</v>
      </c>
      <c r="V364" s="55">
        <f t="shared" si="16"/>
        <v>0.16666666666666666</v>
      </c>
      <c r="W364" s="56">
        <f t="shared" si="17"/>
        <v>9367.1666666666661</v>
      </c>
    </row>
    <row r="365" spans="1:23" x14ac:dyDescent="0.3">
      <c r="A365" s="13" t="str" cm="1">
        <f t="array" ref="A365:B365">INDEX(BenchmarkResults!$B$1:$D$35,SUMPRODUCT((T365&gt;=BenchmarkResults!$F$3:$F$35)*(mongodb_hardware_log!T365&lt;BenchmarkResults!$G$3:$G$35)*ROW(BenchmarkResults!$F$3:$F$35)),{1,3})</f>
        <v>q2_avg_order_city</v>
      </c>
      <c r="B365">
        <v>1</v>
      </c>
      <c r="C365" s="13">
        <v>1</v>
      </c>
      <c r="D365" s="13">
        <v>0</v>
      </c>
      <c r="E365" s="13">
        <v>135168</v>
      </c>
      <c r="F365" s="13">
        <v>114224</v>
      </c>
      <c r="G365" s="13">
        <v>440</v>
      </c>
      <c r="H365" s="13">
        <v>2289064</v>
      </c>
      <c r="I365" s="13">
        <v>8</v>
      </c>
      <c r="J365" s="13">
        <v>0</v>
      </c>
      <c r="K365" s="13">
        <v>566</v>
      </c>
      <c r="L365" s="13">
        <v>30</v>
      </c>
      <c r="M365" s="13">
        <v>742</v>
      </c>
      <c r="N365" s="13">
        <v>252</v>
      </c>
      <c r="O365" s="13">
        <v>34</v>
      </c>
      <c r="P365" s="13">
        <v>1</v>
      </c>
      <c r="Q365" s="13">
        <v>64</v>
      </c>
      <c r="R365" s="13">
        <v>0</v>
      </c>
      <c r="S365" s="13">
        <v>0</v>
      </c>
      <c r="T365" s="23">
        <v>46247.526319444441</v>
      </c>
      <c r="U365" s="55">
        <f t="shared" si="15"/>
        <v>1</v>
      </c>
      <c r="V365" s="55">
        <f t="shared" si="16"/>
        <v>0.16666666666666666</v>
      </c>
      <c r="W365" s="56">
        <f t="shared" si="17"/>
        <v>7495.833333333333</v>
      </c>
    </row>
    <row r="366" spans="1:23" x14ac:dyDescent="0.3">
      <c r="A366" s="13" t="str" cm="1">
        <f t="array" ref="A366:B366">INDEX(BenchmarkResults!$B$1:$D$35,SUMPRODUCT((T366&gt;=BenchmarkResults!$F$3:$F$35)*(mongodb_hardware_log!T366&lt;BenchmarkResults!$G$3:$G$35)*ROW(BenchmarkResults!$F$3:$F$35)),{1,3})</f>
        <v>q2_avg_order_city</v>
      </c>
      <c r="B366">
        <v>1</v>
      </c>
      <c r="C366" s="13">
        <v>1</v>
      </c>
      <c r="D366" s="13">
        <v>0</v>
      </c>
      <c r="E366" s="13">
        <v>134912</v>
      </c>
      <c r="F366" s="13">
        <v>111636</v>
      </c>
      <c r="G366" s="13">
        <v>612</v>
      </c>
      <c r="H366" s="13">
        <v>2293804</v>
      </c>
      <c r="I366" s="13">
        <v>8</v>
      </c>
      <c r="J366" s="13">
        <v>0</v>
      </c>
      <c r="K366" s="13">
        <v>482</v>
      </c>
      <c r="L366" s="13">
        <v>43</v>
      </c>
      <c r="M366" s="13">
        <v>731</v>
      </c>
      <c r="N366" s="13">
        <v>224</v>
      </c>
      <c r="O366" s="13">
        <v>33</v>
      </c>
      <c r="P366" s="13">
        <v>1</v>
      </c>
      <c r="Q366" s="13">
        <v>65</v>
      </c>
      <c r="R366" s="13">
        <v>0</v>
      </c>
      <c r="S366" s="13">
        <v>0</v>
      </c>
      <c r="T366" s="23">
        <v>46247.526435185187</v>
      </c>
      <c r="U366" s="55">
        <f t="shared" si="15"/>
        <v>1</v>
      </c>
      <c r="V366" s="55">
        <f t="shared" si="16"/>
        <v>0.16666666666666666</v>
      </c>
      <c r="W366" s="56">
        <f t="shared" si="17"/>
        <v>5013.166666666667</v>
      </c>
    </row>
    <row r="367" spans="1:23" x14ac:dyDescent="0.3">
      <c r="A367" s="13" t="str" cm="1">
        <f t="array" ref="A367:B367">INDEX(BenchmarkResults!$B$1:$D$35,SUMPRODUCT((T367&gt;=BenchmarkResults!$F$3:$F$35)*(mongodb_hardware_log!T367&lt;BenchmarkResults!$G$3:$G$35)*ROW(BenchmarkResults!$F$3:$F$35)),{1,3})</f>
        <v>q2_avg_order_city</v>
      </c>
      <c r="B367">
        <v>1</v>
      </c>
      <c r="C367" s="13">
        <v>1</v>
      </c>
      <c r="D367" s="13">
        <v>0</v>
      </c>
      <c r="E367" s="13">
        <v>134912</v>
      </c>
      <c r="F367" s="13">
        <v>145528</v>
      </c>
      <c r="G367" s="13">
        <v>628</v>
      </c>
      <c r="H367" s="13">
        <v>2259004</v>
      </c>
      <c r="I367" s="13">
        <v>0</v>
      </c>
      <c r="J367" s="13">
        <v>0</v>
      </c>
      <c r="K367" s="13">
        <v>744</v>
      </c>
      <c r="L367" s="13">
        <v>38</v>
      </c>
      <c r="M367" s="13">
        <v>820</v>
      </c>
      <c r="N367" s="13">
        <v>318</v>
      </c>
      <c r="O367" s="13">
        <v>34</v>
      </c>
      <c r="P367" s="13">
        <v>1</v>
      </c>
      <c r="Q367" s="13">
        <v>64</v>
      </c>
      <c r="R367" s="13">
        <v>0</v>
      </c>
      <c r="S367" s="13">
        <v>0</v>
      </c>
      <c r="T367" s="23">
        <v>46247.526550925926</v>
      </c>
      <c r="U367" s="55">
        <f t="shared" si="15"/>
        <v>1.1666666666666667</v>
      </c>
      <c r="V367" s="55">
        <f t="shared" si="16"/>
        <v>0</v>
      </c>
      <c r="W367" s="56">
        <f t="shared" si="17"/>
        <v>2875.1666666666665</v>
      </c>
    </row>
    <row r="368" spans="1:23" x14ac:dyDescent="0.3">
      <c r="A368" s="13" t="str" cm="1">
        <f t="array" ref="A368:B368">INDEX(BenchmarkResults!$B$1:$D$35,SUMPRODUCT((T368&gt;=BenchmarkResults!$F$3:$F$35)*(mongodb_hardware_log!T368&lt;BenchmarkResults!$G$3:$G$35)*ROW(BenchmarkResults!$F$3:$F$35)),{1,3})</f>
        <v>q2_avg_order_city</v>
      </c>
      <c r="B368">
        <v>1</v>
      </c>
      <c r="C368" s="13">
        <v>1</v>
      </c>
      <c r="D368" s="13">
        <v>0</v>
      </c>
      <c r="E368" s="13">
        <v>134912</v>
      </c>
      <c r="F368" s="13">
        <v>139228</v>
      </c>
      <c r="G368" s="13">
        <v>636</v>
      </c>
      <c r="H368" s="13">
        <v>2265344</v>
      </c>
      <c r="I368" s="13">
        <v>0</v>
      </c>
      <c r="J368" s="13">
        <v>0</v>
      </c>
      <c r="K368" s="13">
        <v>638</v>
      </c>
      <c r="L368" s="13">
        <v>12</v>
      </c>
      <c r="M368" s="13">
        <v>717</v>
      </c>
      <c r="N368" s="13">
        <v>214</v>
      </c>
      <c r="O368" s="13">
        <v>33</v>
      </c>
      <c r="P368" s="13">
        <v>1</v>
      </c>
      <c r="Q368" s="13">
        <v>65</v>
      </c>
      <c r="R368" s="13">
        <v>0</v>
      </c>
      <c r="S368" s="13">
        <v>0</v>
      </c>
      <c r="T368" s="23">
        <v>46247.526666666665</v>
      </c>
      <c r="U368" s="55">
        <f t="shared" si="15"/>
        <v>1</v>
      </c>
      <c r="V368" s="55">
        <f t="shared" si="16"/>
        <v>0</v>
      </c>
      <c r="W368" s="56">
        <f t="shared" si="17"/>
        <v>725.5</v>
      </c>
    </row>
    <row r="369" spans="1:23" x14ac:dyDescent="0.3">
      <c r="A369" s="13" t="str" cm="1">
        <f t="array" ref="A369:B369">INDEX(BenchmarkResults!$B$1:$D$35,SUMPRODUCT((T369&gt;=BenchmarkResults!$F$3:$F$35)*(mongodb_hardware_log!T369&lt;BenchmarkResults!$G$3:$G$35)*ROW(BenchmarkResults!$F$3:$F$35)),{1,3})</f>
        <v>q2_avg_order_city</v>
      </c>
      <c r="B369">
        <v>1</v>
      </c>
      <c r="C369" s="13">
        <v>1</v>
      </c>
      <c r="D369" s="13">
        <v>0</v>
      </c>
      <c r="E369" s="13">
        <v>134912</v>
      </c>
      <c r="F369" s="13">
        <v>131416</v>
      </c>
      <c r="G369" s="13">
        <v>648</v>
      </c>
      <c r="H369" s="13">
        <v>2272628</v>
      </c>
      <c r="I369" s="13">
        <v>0</v>
      </c>
      <c r="J369" s="13">
        <v>0</v>
      </c>
      <c r="K369" s="13">
        <v>724</v>
      </c>
      <c r="L369" s="13">
        <v>14</v>
      </c>
      <c r="M369" s="13">
        <v>712</v>
      </c>
      <c r="N369" s="13">
        <v>212</v>
      </c>
      <c r="O369" s="13">
        <v>34</v>
      </c>
      <c r="P369" s="13">
        <v>1</v>
      </c>
      <c r="Q369" s="13">
        <v>65</v>
      </c>
      <c r="R369" s="13">
        <v>0</v>
      </c>
      <c r="S369" s="13">
        <v>0</v>
      </c>
      <c r="T369" s="23">
        <v>46247.526782407411</v>
      </c>
      <c r="U369" s="55">
        <f t="shared" si="15"/>
        <v>1</v>
      </c>
      <c r="V369" s="55">
        <f t="shared" si="16"/>
        <v>0</v>
      </c>
      <c r="W369" s="56">
        <f t="shared" si="17"/>
        <v>621.16666666666663</v>
      </c>
    </row>
    <row r="370" spans="1:23" x14ac:dyDescent="0.3">
      <c r="A370" s="13" t="str" cm="1">
        <f t="array" ref="A370:B370">INDEX(BenchmarkResults!$B$1:$D$35,SUMPRODUCT((T370&gt;=BenchmarkResults!$F$3:$F$35)*(mongodb_hardware_log!T370&lt;BenchmarkResults!$G$3:$G$35)*ROW(BenchmarkResults!$F$3:$F$35)),{1,3})</f>
        <v>q2_avg_order_city</v>
      </c>
      <c r="B370">
        <v>1</v>
      </c>
      <c r="C370" s="13">
        <v>1</v>
      </c>
      <c r="D370" s="13">
        <v>0</v>
      </c>
      <c r="E370" s="13">
        <v>134912</v>
      </c>
      <c r="F370" s="13">
        <v>128360</v>
      </c>
      <c r="G370" s="13">
        <v>656</v>
      </c>
      <c r="H370" s="13">
        <v>2276988</v>
      </c>
      <c r="I370" s="13">
        <v>0</v>
      </c>
      <c r="J370" s="13">
        <v>0</v>
      </c>
      <c r="K370" s="13">
        <v>436</v>
      </c>
      <c r="L370" s="13">
        <v>16</v>
      </c>
      <c r="M370" s="13">
        <v>713</v>
      </c>
      <c r="N370" s="13">
        <v>214</v>
      </c>
      <c r="O370" s="13">
        <v>34</v>
      </c>
      <c r="P370" s="13">
        <v>1</v>
      </c>
      <c r="Q370" s="13">
        <v>65</v>
      </c>
      <c r="R370" s="13">
        <v>0</v>
      </c>
      <c r="S370" s="13">
        <v>0</v>
      </c>
      <c r="T370" s="23">
        <v>46247.526898148149</v>
      </c>
      <c r="U370" s="55">
        <f t="shared" si="15"/>
        <v>1</v>
      </c>
      <c r="V370" s="55">
        <f t="shared" si="16"/>
        <v>0</v>
      </c>
      <c r="W370" s="56">
        <f t="shared" si="17"/>
        <v>598.33333333333337</v>
      </c>
    </row>
    <row r="371" spans="1:23" x14ac:dyDescent="0.3">
      <c r="A371" s="13" t="str" cm="1">
        <f t="array" ref="A371:B371">INDEX(BenchmarkResults!$B$1:$D$35,SUMPRODUCT((T371&gt;=BenchmarkResults!$F$3:$F$35)*(mongodb_hardware_log!T371&lt;BenchmarkResults!$G$3:$G$35)*ROW(BenchmarkResults!$F$3:$F$35)),{1,3})</f>
        <v>q2_avg_order_city</v>
      </c>
      <c r="B371">
        <v>1</v>
      </c>
      <c r="C371" s="13">
        <v>1</v>
      </c>
      <c r="D371" s="13">
        <v>0</v>
      </c>
      <c r="E371" s="13">
        <v>134912</v>
      </c>
      <c r="F371" s="13">
        <v>121052</v>
      </c>
      <c r="G371" s="13">
        <v>664</v>
      </c>
      <c r="H371" s="13">
        <v>2284240</v>
      </c>
      <c r="I371" s="13">
        <v>1</v>
      </c>
      <c r="J371" s="13">
        <v>0</v>
      </c>
      <c r="K371" s="13">
        <v>726</v>
      </c>
      <c r="L371" s="13">
        <v>12</v>
      </c>
      <c r="M371" s="13">
        <v>725</v>
      </c>
      <c r="N371" s="13">
        <v>221</v>
      </c>
      <c r="O371" s="13">
        <v>33</v>
      </c>
      <c r="P371" s="13">
        <v>1</v>
      </c>
      <c r="Q371" s="13">
        <v>65</v>
      </c>
      <c r="R371" s="13">
        <v>0</v>
      </c>
      <c r="S371" s="13">
        <v>1</v>
      </c>
      <c r="T371" s="23">
        <v>46247.527013888888</v>
      </c>
      <c r="U371" s="55">
        <f t="shared" si="15"/>
        <v>1</v>
      </c>
      <c r="V371" s="55">
        <f t="shared" si="16"/>
        <v>0</v>
      </c>
      <c r="W371" s="56">
        <f t="shared" si="17"/>
        <v>625</v>
      </c>
    </row>
    <row r="372" spans="1:23" x14ac:dyDescent="0.3">
      <c r="A372" s="13" t="str" cm="1">
        <f t="array" ref="A372:B372">INDEX(BenchmarkResults!$B$1:$D$35,SUMPRODUCT((T372&gt;=BenchmarkResults!$F$3:$F$35)*(mongodb_hardware_log!T372&lt;BenchmarkResults!$G$3:$G$35)*ROW(BenchmarkResults!$F$3:$F$35)),{1,3})</f>
        <v>q2_avg_order_city</v>
      </c>
      <c r="B372">
        <v>1</v>
      </c>
      <c r="C372" s="13">
        <v>1</v>
      </c>
      <c r="D372" s="13">
        <v>0</v>
      </c>
      <c r="E372" s="13">
        <v>134912</v>
      </c>
      <c r="F372" s="13">
        <v>108704</v>
      </c>
      <c r="G372" s="13">
        <v>732</v>
      </c>
      <c r="H372" s="13">
        <v>2290544</v>
      </c>
      <c r="I372" s="13">
        <v>5</v>
      </c>
      <c r="J372" s="13">
        <v>0</v>
      </c>
      <c r="K372" s="13">
        <v>630</v>
      </c>
      <c r="L372" s="13">
        <v>42</v>
      </c>
      <c r="M372" s="13">
        <v>745</v>
      </c>
      <c r="N372" s="13">
        <v>235</v>
      </c>
      <c r="O372" s="13">
        <v>33</v>
      </c>
      <c r="P372" s="13">
        <v>1</v>
      </c>
      <c r="Q372" s="13">
        <v>63</v>
      </c>
      <c r="R372" s="13">
        <v>2</v>
      </c>
      <c r="S372" s="13">
        <v>1</v>
      </c>
      <c r="T372" s="23">
        <v>46247.527129629627</v>
      </c>
      <c r="U372" s="55">
        <f t="shared" si="15"/>
        <v>1</v>
      </c>
      <c r="V372" s="55">
        <f t="shared" si="16"/>
        <v>0</v>
      </c>
      <c r="W372" s="56">
        <f t="shared" si="17"/>
        <v>649.66666666666663</v>
      </c>
    </row>
    <row r="373" spans="1:23" x14ac:dyDescent="0.3">
      <c r="A373" s="13" t="str" cm="1">
        <f t="array" ref="A373:B373">INDEX(BenchmarkResults!$B$1:$D$35,SUMPRODUCT((T373&gt;=BenchmarkResults!$F$3:$F$35)*(mongodb_hardware_log!T373&lt;BenchmarkResults!$G$3:$G$35)*ROW(BenchmarkResults!$F$3:$F$35)),{1,3})</f>
        <v>q2_avg_order_city</v>
      </c>
      <c r="B373">
        <v>1</v>
      </c>
      <c r="C373" s="13">
        <v>1</v>
      </c>
      <c r="D373" s="13">
        <v>0</v>
      </c>
      <c r="E373" s="13">
        <v>134912</v>
      </c>
      <c r="F373" s="13">
        <v>108960</v>
      </c>
      <c r="G373" s="13">
        <v>740</v>
      </c>
      <c r="H373" s="13">
        <v>2295440</v>
      </c>
      <c r="I373" s="13">
        <v>0</v>
      </c>
      <c r="J373" s="13">
        <v>0</v>
      </c>
      <c r="K373" s="13">
        <v>488</v>
      </c>
      <c r="L373" s="13">
        <v>2</v>
      </c>
      <c r="M373" s="13">
        <v>731</v>
      </c>
      <c r="N373" s="13">
        <v>225</v>
      </c>
      <c r="O373" s="13">
        <v>33</v>
      </c>
      <c r="P373" s="13">
        <v>1</v>
      </c>
      <c r="Q373" s="13">
        <v>65</v>
      </c>
      <c r="R373" s="13">
        <v>0</v>
      </c>
      <c r="S373" s="13">
        <v>1</v>
      </c>
      <c r="T373" s="23">
        <v>46247.527245370373</v>
      </c>
      <c r="U373" s="55">
        <f t="shared" si="15"/>
        <v>1</v>
      </c>
      <c r="V373" s="55">
        <f t="shared" si="16"/>
        <v>0</v>
      </c>
      <c r="W373" s="56">
        <f t="shared" si="17"/>
        <v>607</v>
      </c>
    </row>
    <row r="374" spans="1:23" x14ac:dyDescent="0.3">
      <c r="A374" s="13" t="str" cm="1">
        <f t="array" ref="A374:B374">INDEX(BenchmarkResults!$B$1:$D$35,SUMPRODUCT((T374&gt;=BenchmarkResults!$F$3:$F$35)*(mongodb_hardware_log!T374&lt;BenchmarkResults!$G$3:$G$35)*ROW(BenchmarkResults!$F$3:$F$35)),{1,3})</f>
        <v>q2_avg_order_city</v>
      </c>
      <c r="B374">
        <v>1</v>
      </c>
      <c r="C374" s="13">
        <v>1</v>
      </c>
      <c r="D374" s="13">
        <v>0</v>
      </c>
      <c r="E374" s="13">
        <v>134912</v>
      </c>
      <c r="F374" s="13">
        <v>148936</v>
      </c>
      <c r="G374" s="13">
        <v>748</v>
      </c>
      <c r="H374" s="13">
        <v>2255540</v>
      </c>
      <c r="I374" s="13">
        <v>0</v>
      </c>
      <c r="J374" s="13">
        <v>0</v>
      </c>
      <c r="K374" s="13">
        <v>490</v>
      </c>
      <c r="L374" s="13">
        <v>6</v>
      </c>
      <c r="M374" s="13">
        <v>709</v>
      </c>
      <c r="N374" s="13">
        <v>208</v>
      </c>
      <c r="O374" s="13">
        <v>34</v>
      </c>
      <c r="P374" s="13">
        <v>1</v>
      </c>
      <c r="Q374" s="13">
        <v>65</v>
      </c>
      <c r="R374" s="13">
        <v>0</v>
      </c>
      <c r="S374" s="13">
        <v>0</v>
      </c>
      <c r="T374" s="23">
        <v>46247.527361111112</v>
      </c>
      <c r="U374" s="55">
        <f t="shared" si="15"/>
        <v>1</v>
      </c>
      <c r="V374" s="55">
        <f t="shared" si="16"/>
        <v>0</v>
      </c>
      <c r="W374" s="56">
        <f t="shared" si="17"/>
        <v>582.33333333333337</v>
      </c>
    </row>
    <row r="375" spans="1:23" x14ac:dyDescent="0.3">
      <c r="A375" s="13" t="str" cm="1">
        <f t="array" ref="A375:B375">INDEX(BenchmarkResults!$B$1:$D$35,SUMPRODUCT((T375&gt;=BenchmarkResults!$F$3:$F$35)*(mongodb_hardware_log!T375&lt;BenchmarkResults!$G$3:$G$35)*ROW(BenchmarkResults!$F$3:$F$35)),{1,3})</f>
        <v>q2_avg_order_city</v>
      </c>
      <c r="B375">
        <v>1</v>
      </c>
      <c r="C375" s="13">
        <v>1</v>
      </c>
      <c r="D375" s="13">
        <v>0</v>
      </c>
      <c r="E375" s="13">
        <v>134912</v>
      </c>
      <c r="F375" s="13">
        <v>136840</v>
      </c>
      <c r="G375" s="13">
        <v>756</v>
      </c>
      <c r="H375" s="13">
        <v>2263240</v>
      </c>
      <c r="I375" s="13">
        <v>0</v>
      </c>
      <c r="J375" s="13">
        <v>0</v>
      </c>
      <c r="K375" s="13">
        <v>780</v>
      </c>
      <c r="L375" s="13">
        <v>17</v>
      </c>
      <c r="M375" s="13">
        <v>709</v>
      </c>
      <c r="N375" s="13">
        <v>211</v>
      </c>
      <c r="O375" s="13">
        <v>33</v>
      </c>
      <c r="P375" s="13">
        <v>1</v>
      </c>
      <c r="Q375" s="13">
        <v>65</v>
      </c>
      <c r="R375" s="13">
        <v>0</v>
      </c>
      <c r="S375" s="13">
        <v>0</v>
      </c>
      <c r="T375" s="23">
        <v>46247.52747685185</v>
      </c>
      <c r="U375" s="55">
        <f t="shared" si="15"/>
        <v>1</v>
      </c>
      <c r="V375" s="55">
        <f t="shared" si="16"/>
        <v>0</v>
      </c>
      <c r="W375" s="56">
        <f t="shared" si="17"/>
        <v>591.66666666666663</v>
      </c>
    </row>
    <row r="376" spans="1:23" x14ac:dyDescent="0.3">
      <c r="A376" s="13" t="str" cm="1">
        <f t="array" ref="A376:B376">INDEX(BenchmarkResults!$B$1:$D$35,SUMPRODUCT((T376&gt;=BenchmarkResults!$F$3:$F$35)*(mongodb_hardware_log!T376&lt;BenchmarkResults!$G$3:$G$35)*ROW(BenchmarkResults!$F$3:$F$35)),{1,3})</f>
        <v>q2_avg_order_city</v>
      </c>
      <c r="B376">
        <v>1</v>
      </c>
      <c r="C376" s="13">
        <v>1</v>
      </c>
      <c r="D376" s="13">
        <v>0</v>
      </c>
      <c r="E376" s="13">
        <v>134912</v>
      </c>
      <c r="F376" s="13">
        <v>129028</v>
      </c>
      <c r="G376" s="13">
        <v>768</v>
      </c>
      <c r="H376" s="13">
        <v>2270116</v>
      </c>
      <c r="I376" s="13">
        <v>0</v>
      </c>
      <c r="J376" s="13">
        <v>0</v>
      </c>
      <c r="K376" s="13">
        <v>681</v>
      </c>
      <c r="L376" s="13">
        <v>18</v>
      </c>
      <c r="M376" s="13">
        <v>730</v>
      </c>
      <c r="N376" s="13">
        <v>233</v>
      </c>
      <c r="O376" s="13">
        <v>34</v>
      </c>
      <c r="P376" s="13">
        <v>1</v>
      </c>
      <c r="Q376" s="13">
        <v>65</v>
      </c>
      <c r="R376" s="13">
        <v>0</v>
      </c>
      <c r="S376" s="13">
        <v>0</v>
      </c>
      <c r="T376" s="23">
        <v>46247.527592592596</v>
      </c>
      <c r="U376" s="55">
        <f t="shared" si="15"/>
        <v>1</v>
      </c>
      <c r="V376" s="55">
        <f t="shared" si="16"/>
        <v>0</v>
      </c>
      <c r="W376" s="56">
        <f t="shared" si="17"/>
        <v>632.5</v>
      </c>
    </row>
    <row r="377" spans="1:23" x14ac:dyDescent="0.3">
      <c r="A377" s="13" t="str" cm="1">
        <f t="array" ref="A377:B377">INDEX(BenchmarkResults!$B$1:$D$35,SUMPRODUCT((T377&gt;=BenchmarkResults!$F$3:$F$35)*(mongodb_hardware_log!T377&lt;BenchmarkResults!$G$3:$G$35)*ROW(BenchmarkResults!$F$3:$F$35)),{1,3})</f>
        <v>q2_avg_order_city</v>
      </c>
      <c r="B377">
        <v>1</v>
      </c>
      <c r="C377" s="13">
        <v>2</v>
      </c>
      <c r="D377" s="13">
        <v>0</v>
      </c>
      <c r="E377" s="13">
        <v>134912</v>
      </c>
      <c r="F377" s="13">
        <v>123988</v>
      </c>
      <c r="G377" s="13">
        <v>776</v>
      </c>
      <c r="H377" s="13">
        <v>2275604</v>
      </c>
      <c r="I377" s="13">
        <v>0</v>
      </c>
      <c r="J377" s="13">
        <v>0</v>
      </c>
      <c r="K377" s="13">
        <v>546</v>
      </c>
      <c r="L377" s="13">
        <v>8</v>
      </c>
      <c r="M377" s="13">
        <v>722</v>
      </c>
      <c r="N377" s="13">
        <v>217</v>
      </c>
      <c r="O377" s="13">
        <v>33</v>
      </c>
      <c r="P377" s="13">
        <v>1</v>
      </c>
      <c r="Q377" s="13">
        <v>65</v>
      </c>
      <c r="R377" s="13">
        <v>0</v>
      </c>
      <c r="S377" s="13">
        <v>1</v>
      </c>
      <c r="T377" s="23">
        <v>46247.527708333335</v>
      </c>
      <c r="U377" s="55">
        <f t="shared" si="15"/>
        <v>1.1666666666666667</v>
      </c>
      <c r="V377" s="55">
        <f t="shared" si="16"/>
        <v>0</v>
      </c>
      <c r="W377" s="56">
        <f t="shared" si="17"/>
        <v>602.5</v>
      </c>
    </row>
    <row r="378" spans="1:23" x14ac:dyDescent="0.3">
      <c r="A378" s="13" t="str" cm="1">
        <f t="array" ref="A378:B378">INDEX(BenchmarkResults!$B$1:$D$35,SUMPRODUCT((T378&gt;=BenchmarkResults!$F$3:$F$35)*(mongodb_hardware_log!T378&lt;BenchmarkResults!$G$3:$G$35)*ROW(BenchmarkResults!$F$3:$F$35)),{1,3})</f>
        <v>q2_avg_order_city</v>
      </c>
      <c r="B378">
        <v>1</v>
      </c>
      <c r="C378" s="13">
        <v>1</v>
      </c>
      <c r="D378" s="13">
        <v>0</v>
      </c>
      <c r="E378" s="13">
        <v>134912</v>
      </c>
      <c r="F378" s="13">
        <v>125200</v>
      </c>
      <c r="G378" s="13">
        <v>952</v>
      </c>
      <c r="H378" s="13">
        <v>2279704</v>
      </c>
      <c r="I378" s="13">
        <v>1</v>
      </c>
      <c r="J378" s="13">
        <v>0</v>
      </c>
      <c r="K378" s="13">
        <v>429</v>
      </c>
      <c r="L378" s="13">
        <v>46</v>
      </c>
      <c r="M378" s="13">
        <v>758</v>
      </c>
      <c r="N378" s="13">
        <v>241</v>
      </c>
      <c r="O378" s="13">
        <v>34</v>
      </c>
      <c r="P378" s="13">
        <v>1</v>
      </c>
      <c r="Q378" s="13">
        <v>63</v>
      </c>
      <c r="R378" s="13">
        <v>0</v>
      </c>
      <c r="S378" s="13">
        <v>1</v>
      </c>
      <c r="T378" s="23">
        <v>46247.527824074074</v>
      </c>
      <c r="U378" s="55">
        <f t="shared" si="15"/>
        <v>1.1666666666666667</v>
      </c>
      <c r="V378" s="55">
        <f t="shared" si="16"/>
        <v>0</v>
      </c>
      <c r="W378" s="56">
        <f t="shared" si="17"/>
        <v>569</v>
      </c>
    </row>
    <row r="379" spans="1:23" x14ac:dyDescent="0.3">
      <c r="A379" s="13" t="str" cm="1">
        <f t="array" ref="A379:B379">INDEX(BenchmarkResults!$B$1:$D$35,SUMPRODUCT((T379&gt;=BenchmarkResults!$F$3:$F$35)*(mongodb_hardware_log!T379&lt;BenchmarkResults!$G$3:$G$35)*ROW(BenchmarkResults!$F$3:$F$35)),{1,3})</f>
        <v>q2_avg_order_city</v>
      </c>
      <c r="B379">
        <v>1</v>
      </c>
      <c r="C379" s="13">
        <v>1</v>
      </c>
      <c r="D379" s="13">
        <v>0</v>
      </c>
      <c r="E379" s="13">
        <v>134912</v>
      </c>
      <c r="F379" s="13">
        <v>119908</v>
      </c>
      <c r="G379" s="13">
        <v>960</v>
      </c>
      <c r="H379" s="13">
        <v>2284480</v>
      </c>
      <c r="I379" s="13">
        <v>0</v>
      </c>
      <c r="J379" s="13">
        <v>0</v>
      </c>
      <c r="K379" s="13">
        <v>474</v>
      </c>
      <c r="L379" s="13">
        <v>14</v>
      </c>
      <c r="M379" s="13">
        <v>715</v>
      </c>
      <c r="N379" s="13">
        <v>205</v>
      </c>
      <c r="O379" s="13">
        <v>33</v>
      </c>
      <c r="P379" s="13">
        <v>1</v>
      </c>
      <c r="Q379" s="13">
        <v>64</v>
      </c>
      <c r="R379" s="13">
        <v>0</v>
      </c>
      <c r="S379" s="13">
        <v>1</v>
      </c>
      <c r="T379" s="23">
        <v>46247.527939814812</v>
      </c>
      <c r="U379" s="55">
        <f t="shared" si="15"/>
        <v>1.1666666666666667</v>
      </c>
      <c r="V379" s="55">
        <f t="shared" si="16"/>
        <v>0</v>
      </c>
      <c r="W379" s="56">
        <f t="shared" si="17"/>
        <v>566.66666666666663</v>
      </c>
    </row>
    <row r="380" spans="1:23" x14ac:dyDescent="0.3">
      <c r="A380" s="13" t="str" cm="1">
        <f t="array" ref="A380:B380">INDEX(BenchmarkResults!$B$1:$D$35,SUMPRODUCT((T380&gt;=BenchmarkResults!$F$3:$F$35)*(mongodb_hardware_log!T380&lt;BenchmarkResults!$G$3:$G$35)*ROW(BenchmarkResults!$F$3:$F$35)),{1,3})</f>
        <v>q2_avg_order_city</v>
      </c>
      <c r="B380">
        <v>1</v>
      </c>
      <c r="C380" s="13">
        <v>1</v>
      </c>
      <c r="D380" s="13">
        <v>0</v>
      </c>
      <c r="E380" s="13">
        <v>134912</v>
      </c>
      <c r="F380" s="13">
        <v>112096</v>
      </c>
      <c r="G380" s="13">
        <v>968</v>
      </c>
      <c r="H380" s="13">
        <v>2291296</v>
      </c>
      <c r="I380" s="13">
        <v>0</v>
      </c>
      <c r="J380" s="13">
        <v>0</v>
      </c>
      <c r="K380" s="13">
        <v>682</v>
      </c>
      <c r="L380" s="13">
        <v>8</v>
      </c>
      <c r="M380" s="13">
        <v>721</v>
      </c>
      <c r="N380" s="13">
        <v>209</v>
      </c>
      <c r="O380" s="13">
        <v>34</v>
      </c>
      <c r="P380" s="13">
        <v>1</v>
      </c>
      <c r="Q380" s="13">
        <v>64</v>
      </c>
      <c r="R380" s="13">
        <v>0</v>
      </c>
      <c r="S380" s="13">
        <v>1</v>
      </c>
      <c r="T380" s="23">
        <v>46247.528055555558</v>
      </c>
      <c r="U380" s="55">
        <f t="shared" si="15"/>
        <v>1.1666666666666667</v>
      </c>
      <c r="V380" s="55">
        <f t="shared" si="16"/>
        <v>0</v>
      </c>
      <c r="W380" s="56">
        <f t="shared" si="17"/>
        <v>598.66666666666663</v>
      </c>
    </row>
    <row r="381" spans="1:23" x14ac:dyDescent="0.3">
      <c r="A381" s="13" t="str" cm="1">
        <f t="array" ref="A381:B381">INDEX(BenchmarkResults!$B$1:$D$35,SUMPRODUCT((T381&gt;=BenchmarkResults!$F$3:$F$35)*(mongodb_hardware_log!T381&lt;BenchmarkResults!$G$3:$G$35)*ROW(BenchmarkResults!$F$3:$F$35)),{1,3})</f>
        <v>q2_avg_order_city</v>
      </c>
      <c r="B381">
        <v>1</v>
      </c>
      <c r="C381" s="13">
        <v>1</v>
      </c>
      <c r="D381" s="13">
        <v>0</v>
      </c>
      <c r="E381" s="13">
        <v>134912</v>
      </c>
      <c r="F381" s="13">
        <v>107560</v>
      </c>
      <c r="G381" s="13">
        <v>976</v>
      </c>
      <c r="H381" s="13">
        <v>2297220</v>
      </c>
      <c r="I381" s="13">
        <v>0</v>
      </c>
      <c r="J381" s="13">
        <v>0</v>
      </c>
      <c r="K381" s="13">
        <v>592</v>
      </c>
      <c r="L381" s="13">
        <v>21</v>
      </c>
      <c r="M381" s="13">
        <v>725</v>
      </c>
      <c r="N381" s="13">
        <v>212</v>
      </c>
      <c r="O381" s="13">
        <v>33</v>
      </c>
      <c r="P381" s="13">
        <v>1</v>
      </c>
      <c r="Q381" s="13">
        <v>64</v>
      </c>
      <c r="R381" s="13">
        <v>0</v>
      </c>
      <c r="S381" s="13">
        <v>1</v>
      </c>
      <c r="T381" s="23">
        <v>46247.528171296297</v>
      </c>
      <c r="U381" s="55">
        <f t="shared" si="15"/>
        <v>1.1666666666666667</v>
      </c>
      <c r="V381" s="55">
        <f t="shared" si="16"/>
        <v>0</v>
      </c>
      <c r="W381" s="56">
        <f t="shared" si="17"/>
        <v>567.33333333333337</v>
      </c>
    </row>
    <row r="382" spans="1:23" x14ac:dyDescent="0.3">
      <c r="A382" s="13" t="str" cm="1">
        <f t="array" ref="A382:B382">INDEX(BenchmarkResults!$B$1:$D$35,SUMPRODUCT((T382&gt;=BenchmarkResults!$F$3:$F$35)*(mongodb_hardware_log!T382&lt;BenchmarkResults!$G$3:$G$35)*ROW(BenchmarkResults!$F$3:$F$35)),{1,3})</f>
        <v>q2_avg_order_city</v>
      </c>
      <c r="B382">
        <v>1</v>
      </c>
      <c r="C382" s="13">
        <v>1</v>
      </c>
      <c r="D382" s="13">
        <v>0</v>
      </c>
      <c r="E382" s="13">
        <v>134912</v>
      </c>
      <c r="F382" s="13">
        <v>144916</v>
      </c>
      <c r="G382" s="13">
        <v>984</v>
      </c>
      <c r="H382" s="13">
        <v>2258952</v>
      </c>
      <c r="I382" s="13">
        <v>1</v>
      </c>
      <c r="J382" s="13">
        <v>0</v>
      </c>
      <c r="K382" s="13">
        <v>577</v>
      </c>
      <c r="L382" s="13">
        <v>9</v>
      </c>
      <c r="M382" s="13">
        <v>741</v>
      </c>
      <c r="N382" s="13">
        <v>236</v>
      </c>
      <c r="O382" s="13">
        <v>34</v>
      </c>
      <c r="P382" s="13">
        <v>2</v>
      </c>
      <c r="Q382" s="13">
        <v>63</v>
      </c>
      <c r="R382" s="13">
        <v>0</v>
      </c>
      <c r="S382" s="13">
        <v>1</v>
      </c>
      <c r="T382" s="23">
        <v>46247.528287037036</v>
      </c>
      <c r="U382" s="55">
        <f t="shared" si="15"/>
        <v>1.1666666666666667</v>
      </c>
      <c r="V382" s="55">
        <f t="shared" si="16"/>
        <v>0</v>
      </c>
      <c r="W382" s="56">
        <f t="shared" si="17"/>
        <v>550</v>
      </c>
    </row>
    <row r="383" spans="1:23" x14ac:dyDescent="0.3">
      <c r="A383" s="13" t="str" cm="1">
        <f t="array" ref="A383:B383">INDEX(BenchmarkResults!$B$1:$D$35,SUMPRODUCT((T383&gt;=BenchmarkResults!$F$3:$F$35)*(mongodb_hardware_log!T383&lt;BenchmarkResults!$G$3:$G$35)*ROW(BenchmarkResults!$F$3:$F$35)),{1,3})</f>
        <v>q2_avg_order_city</v>
      </c>
      <c r="B383">
        <v>1</v>
      </c>
      <c r="C383" s="13">
        <v>1</v>
      </c>
      <c r="D383" s="13">
        <v>0</v>
      </c>
      <c r="E383" s="13">
        <v>134912</v>
      </c>
      <c r="F383" s="13">
        <v>138112</v>
      </c>
      <c r="G383" s="13">
        <v>1000</v>
      </c>
      <c r="H383" s="13">
        <v>2265712</v>
      </c>
      <c r="I383" s="13">
        <v>16</v>
      </c>
      <c r="J383" s="13">
        <v>0</v>
      </c>
      <c r="K383" s="13">
        <v>701</v>
      </c>
      <c r="L383" s="13">
        <v>29</v>
      </c>
      <c r="M383" s="13">
        <v>750</v>
      </c>
      <c r="N383" s="13">
        <v>244</v>
      </c>
      <c r="O383" s="13">
        <v>34</v>
      </c>
      <c r="P383" s="13">
        <v>1</v>
      </c>
      <c r="Q383" s="13">
        <v>63</v>
      </c>
      <c r="R383" s="13">
        <v>1</v>
      </c>
      <c r="S383" s="13">
        <v>1</v>
      </c>
      <c r="T383" s="23">
        <v>46247.528402777774</v>
      </c>
      <c r="U383" s="55">
        <f t="shared" si="15"/>
        <v>1</v>
      </c>
      <c r="V383" s="55">
        <f t="shared" si="16"/>
        <v>0</v>
      </c>
      <c r="W383" s="56">
        <f t="shared" si="17"/>
        <v>575.83333333333337</v>
      </c>
    </row>
    <row r="384" spans="1:23" x14ac:dyDescent="0.3">
      <c r="A384" s="13" t="str" cm="1">
        <f t="array" ref="A384:B384">INDEX(BenchmarkResults!$B$1:$D$35,SUMPRODUCT((T384&gt;=BenchmarkResults!$F$3:$F$35)*(mongodb_hardware_log!T384&lt;BenchmarkResults!$G$3:$G$35)*ROW(BenchmarkResults!$F$3:$F$35)),{1,3})</f>
        <v>q2_avg_order_city</v>
      </c>
      <c r="B384">
        <v>1</v>
      </c>
      <c r="C384" s="13">
        <v>1</v>
      </c>
      <c r="D384" s="13">
        <v>0</v>
      </c>
      <c r="E384" s="13">
        <v>134912</v>
      </c>
      <c r="F384" s="13">
        <v>130804</v>
      </c>
      <c r="G384" s="13">
        <v>1024</v>
      </c>
      <c r="H384" s="13">
        <v>2272496</v>
      </c>
      <c r="I384" s="13">
        <v>1</v>
      </c>
      <c r="J384" s="13">
        <v>0</v>
      </c>
      <c r="K384" s="13">
        <v>671</v>
      </c>
      <c r="L384" s="13">
        <v>26</v>
      </c>
      <c r="M384" s="13">
        <v>744</v>
      </c>
      <c r="N384" s="13">
        <v>229</v>
      </c>
      <c r="O384" s="13">
        <v>34</v>
      </c>
      <c r="P384" s="13">
        <v>1</v>
      </c>
      <c r="Q384" s="13">
        <v>64</v>
      </c>
      <c r="R384" s="13">
        <v>1</v>
      </c>
      <c r="S384" s="13">
        <v>1</v>
      </c>
      <c r="T384" s="23">
        <v>46247.52851851852</v>
      </c>
      <c r="U384" s="55">
        <f t="shared" si="15"/>
        <v>1</v>
      </c>
      <c r="V384" s="55">
        <f t="shared" si="16"/>
        <v>0</v>
      </c>
      <c r="W384" s="56">
        <f t="shared" si="17"/>
        <v>616.16666666666663</v>
      </c>
    </row>
    <row r="385" spans="1:23" x14ac:dyDescent="0.3">
      <c r="A385" s="13" t="str" cm="1">
        <f t="array" ref="A385:B385">INDEX(BenchmarkResults!$B$1:$D$35,SUMPRODUCT((T385&gt;=BenchmarkResults!$F$3:$F$35)*(mongodb_hardware_log!T385&lt;BenchmarkResults!$G$3:$G$35)*ROW(BenchmarkResults!$F$3:$F$35)),{1,3})</f>
        <v>q2_avg_order_city</v>
      </c>
      <c r="B385">
        <v>1</v>
      </c>
      <c r="C385" s="13">
        <v>1</v>
      </c>
      <c r="D385" s="13">
        <v>0</v>
      </c>
      <c r="E385" s="13">
        <v>134912</v>
      </c>
      <c r="F385" s="13">
        <v>127096</v>
      </c>
      <c r="G385" s="13">
        <v>1032</v>
      </c>
      <c r="H385" s="13">
        <v>2277716</v>
      </c>
      <c r="I385" s="13">
        <v>0</v>
      </c>
      <c r="J385" s="13">
        <v>0</v>
      </c>
      <c r="K385" s="13">
        <v>522</v>
      </c>
      <c r="L385" s="13">
        <v>6</v>
      </c>
      <c r="M385" s="13">
        <v>735</v>
      </c>
      <c r="N385" s="13">
        <v>224</v>
      </c>
      <c r="O385" s="13">
        <v>33</v>
      </c>
      <c r="P385" s="13">
        <v>1</v>
      </c>
      <c r="Q385" s="13">
        <v>64</v>
      </c>
      <c r="R385" s="13">
        <v>0</v>
      </c>
      <c r="S385" s="13">
        <v>1</v>
      </c>
      <c r="T385" s="23">
        <v>46247.528634259259</v>
      </c>
      <c r="U385" s="55">
        <f t="shared" si="15"/>
        <v>1</v>
      </c>
      <c r="V385" s="55">
        <f t="shared" si="16"/>
        <v>0</v>
      </c>
      <c r="W385" s="56">
        <f t="shared" si="17"/>
        <v>624.16666666666663</v>
      </c>
    </row>
    <row r="386" spans="1:23" x14ac:dyDescent="0.3">
      <c r="A386" s="13" t="str" cm="1">
        <f t="array" ref="A386:B386">INDEX(BenchmarkResults!$B$1:$D$35,SUMPRODUCT((T386&gt;=BenchmarkResults!$F$3:$F$35)*(mongodb_hardware_log!T386&lt;BenchmarkResults!$G$3:$G$35)*ROW(BenchmarkResults!$F$3:$F$35)),{1,3})</f>
        <v>q2_avg_order_city</v>
      </c>
      <c r="B386">
        <v>1</v>
      </c>
      <c r="C386" s="13">
        <v>1</v>
      </c>
      <c r="D386" s="13">
        <v>0</v>
      </c>
      <c r="E386" s="13">
        <v>134912</v>
      </c>
      <c r="F386" s="13">
        <v>121552</v>
      </c>
      <c r="G386" s="13">
        <v>1048</v>
      </c>
      <c r="H386" s="13">
        <v>2283484</v>
      </c>
      <c r="I386" s="13">
        <v>1</v>
      </c>
      <c r="J386" s="13">
        <v>0</v>
      </c>
      <c r="K386" s="13">
        <v>578</v>
      </c>
      <c r="L386" s="13">
        <v>23</v>
      </c>
      <c r="M386" s="13">
        <v>716</v>
      </c>
      <c r="N386" s="13">
        <v>210</v>
      </c>
      <c r="O386" s="13">
        <v>33</v>
      </c>
      <c r="P386" s="13">
        <v>1</v>
      </c>
      <c r="Q386" s="13">
        <v>65</v>
      </c>
      <c r="R386" s="13">
        <v>0</v>
      </c>
      <c r="S386" s="13">
        <v>0</v>
      </c>
      <c r="T386" s="23">
        <v>46247.528749999998</v>
      </c>
      <c r="U386" s="55">
        <f t="shared" si="15"/>
        <v>1</v>
      </c>
      <c r="V386" s="55">
        <f t="shared" si="16"/>
        <v>0</v>
      </c>
      <c r="W386" s="56">
        <f t="shared" si="17"/>
        <v>606.83333333333337</v>
      </c>
    </row>
    <row r="387" spans="1:23" x14ac:dyDescent="0.3">
      <c r="A387" s="13" t="str" cm="1">
        <f t="array" ref="A387:B387">INDEX(BenchmarkResults!$B$1:$D$35,SUMPRODUCT((T387&gt;=BenchmarkResults!$F$3:$F$35)*(mongodb_hardware_log!T387&lt;BenchmarkResults!$G$3:$G$35)*ROW(BenchmarkResults!$F$3:$F$35)),{1,3})</f>
        <v>q2_avg_order_city</v>
      </c>
      <c r="B387">
        <v>1</v>
      </c>
      <c r="C387" s="13">
        <v>1</v>
      </c>
      <c r="D387" s="13">
        <v>0</v>
      </c>
      <c r="E387" s="13">
        <v>134912</v>
      </c>
      <c r="F387" s="13">
        <v>112480</v>
      </c>
      <c r="G387" s="13">
        <v>1064</v>
      </c>
      <c r="H387" s="13">
        <v>2289856</v>
      </c>
      <c r="I387" s="13">
        <v>0</v>
      </c>
      <c r="J387" s="13">
        <v>0</v>
      </c>
      <c r="K387" s="13">
        <v>631</v>
      </c>
      <c r="L387" s="13">
        <v>29</v>
      </c>
      <c r="M387" s="13">
        <v>724</v>
      </c>
      <c r="N387" s="13">
        <v>218</v>
      </c>
      <c r="O387" s="13">
        <v>34</v>
      </c>
      <c r="P387" s="13">
        <v>1</v>
      </c>
      <c r="Q387" s="13">
        <v>65</v>
      </c>
      <c r="R387" s="13">
        <v>0</v>
      </c>
      <c r="S387" s="13">
        <v>0</v>
      </c>
      <c r="T387" s="23">
        <v>46247.528865740744</v>
      </c>
      <c r="U387" s="55">
        <f t="shared" si="15"/>
        <v>1</v>
      </c>
      <c r="V387" s="55">
        <f t="shared" si="16"/>
        <v>0</v>
      </c>
      <c r="W387" s="56">
        <f t="shared" si="17"/>
        <v>613.33333333333337</v>
      </c>
    </row>
    <row r="388" spans="1:23" x14ac:dyDescent="0.3">
      <c r="A388" s="13" t="str" cm="1">
        <f t="array" ref="A388:B388">INDEX(BenchmarkResults!$B$1:$D$35,SUMPRODUCT((T388&gt;=BenchmarkResults!$F$3:$F$35)*(mongodb_hardware_log!T388&lt;BenchmarkResults!$G$3:$G$35)*ROW(BenchmarkResults!$F$3:$F$35)),{1,3})</f>
        <v>q2_avg_order_city</v>
      </c>
      <c r="B388">
        <v>1</v>
      </c>
      <c r="C388" s="13">
        <v>1</v>
      </c>
      <c r="D388" s="13">
        <v>0</v>
      </c>
      <c r="E388" s="13">
        <v>134912</v>
      </c>
      <c r="F388" s="13">
        <v>108196</v>
      </c>
      <c r="G388" s="13">
        <v>1080</v>
      </c>
      <c r="H388" s="13">
        <v>2295876</v>
      </c>
      <c r="I388" s="13">
        <v>0</v>
      </c>
      <c r="J388" s="13">
        <v>0</v>
      </c>
      <c r="K388" s="13">
        <v>602</v>
      </c>
      <c r="L388" s="13">
        <v>19</v>
      </c>
      <c r="M388" s="13">
        <v>728</v>
      </c>
      <c r="N388" s="13">
        <v>228</v>
      </c>
      <c r="O388" s="13">
        <v>34</v>
      </c>
      <c r="P388" s="13">
        <v>1</v>
      </c>
      <c r="Q388" s="13">
        <v>65</v>
      </c>
      <c r="R388" s="13">
        <v>0</v>
      </c>
      <c r="S388" s="13">
        <v>0</v>
      </c>
      <c r="T388" s="23">
        <v>46247.528981481482</v>
      </c>
      <c r="U388" s="55">
        <f t="shared" si="15"/>
        <v>1</v>
      </c>
      <c r="V388" s="55">
        <f t="shared" si="16"/>
        <v>0</v>
      </c>
      <c r="W388" s="56">
        <f t="shared" si="17"/>
        <v>617.5</v>
      </c>
    </row>
    <row r="389" spans="1:23" x14ac:dyDescent="0.3">
      <c r="A389" s="13" t="str" cm="1">
        <f t="array" ref="A389:B389">INDEX(BenchmarkResults!$B$1:$D$35,SUMPRODUCT((T389&gt;=BenchmarkResults!$F$3:$F$35)*(mongodb_hardware_log!T389&lt;BenchmarkResults!$G$3:$G$35)*ROW(BenchmarkResults!$F$3:$F$35)),{1,3})</f>
        <v>q2_avg_order_city</v>
      </c>
      <c r="B389">
        <v>1</v>
      </c>
      <c r="C389" s="13">
        <v>1</v>
      </c>
      <c r="D389" s="13">
        <v>0</v>
      </c>
      <c r="E389" s="13">
        <v>134912</v>
      </c>
      <c r="F389" s="13">
        <v>144868</v>
      </c>
      <c r="G389" s="13">
        <v>1088</v>
      </c>
      <c r="H389" s="13">
        <v>2257080</v>
      </c>
      <c r="I389" s="13">
        <v>0</v>
      </c>
      <c r="J389" s="13">
        <v>0</v>
      </c>
      <c r="K389" s="13">
        <v>513</v>
      </c>
      <c r="L389" s="13">
        <v>27</v>
      </c>
      <c r="M389" s="13">
        <v>737</v>
      </c>
      <c r="N389" s="13">
        <v>230</v>
      </c>
      <c r="O389" s="13">
        <v>33</v>
      </c>
      <c r="P389" s="13">
        <v>1</v>
      </c>
      <c r="Q389" s="13">
        <v>64</v>
      </c>
      <c r="R389" s="13">
        <v>0</v>
      </c>
      <c r="S389" s="13">
        <v>1</v>
      </c>
      <c r="T389" s="23">
        <v>46247.529097222221</v>
      </c>
      <c r="U389" s="55">
        <f t="shared" si="15"/>
        <v>1</v>
      </c>
      <c r="V389" s="55">
        <f t="shared" si="16"/>
        <v>0</v>
      </c>
      <c r="W389" s="56">
        <f t="shared" si="17"/>
        <v>586.16666666666663</v>
      </c>
    </row>
    <row r="390" spans="1:23" x14ac:dyDescent="0.3">
      <c r="A390" s="13" t="str" cm="1">
        <f t="array" ref="A390:B390">INDEX(BenchmarkResults!$B$1:$D$35,SUMPRODUCT((T390&gt;=BenchmarkResults!$F$3:$F$35)*(mongodb_hardware_log!T390&lt;BenchmarkResults!$G$3:$G$35)*ROW(BenchmarkResults!$F$3:$F$35)),{1,3})</f>
        <v>q2_avg_order_city</v>
      </c>
      <c r="B390">
        <v>1</v>
      </c>
      <c r="C390" s="13">
        <v>1</v>
      </c>
      <c r="D390" s="13">
        <v>0</v>
      </c>
      <c r="E390" s="13">
        <v>134912</v>
      </c>
      <c r="F390" s="13">
        <v>140836</v>
      </c>
      <c r="G390" s="13">
        <v>1112</v>
      </c>
      <c r="H390" s="13">
        <v>2263676</v>
      </c>
      <c r="I390" s="13">
        <v>1</v>
      </c>
      <c r="J390" s="13">
        <v>0</v>
      </c>
      <c r="K390" s="13">
        <v>659</v>
      </c>
      <c r="L390" s="13">
        <v>32</v>
      </c>
      <c r="M390" s="13">
        <v>730</v>
      </c>
      <c r="N390" s="13">
        <v>212</v>
      </c>
      <c r="O390" s="13">
        <v>34</v>
      </c>
      <c r="P390" s="13">
        <v>1</v>
      </c>
      <c r="Q390" s="13">
        <v>64</v>
      </c>
      <c r="R390" s="13">
        <v>0</v>
      </c>
      <c r="S390" s="13">
        <v>1</v>
      </c>
      <c r="T390" s="23">
        <v>46247.52921296296</v>
      </c>
      <c r="U390" s="55">
        <f t="shared" si="15"/>
        <v>1</v>
      </c>
      <c r="V390" s="55">
        <f t="shared" si="16"/>
        <v>0</v>
      </c>
      <c r="W390" s="56">
        <f t="shared" si="17"/>
        <v>584.16666666666663</v>
      </c>
    </row>
    <row r="391" spans="1:23" x14ac:dyDescent="0.3">
      <c r="A391" s="13" t="str" cm="1">
        <f t="array" ref="A391:B391">INDEX(BenchmarkResults!$B$1:$D$35,SUMPRODUCT((T391&gt;=BenchmarkResults!$F$3:$F$35)*(mongodb_hardware_log!T391&lt;BenchmarkResults!$G$3:$G$35)*ROW(BenchmarkResults!$F$3:$F$35)),{1,3})</f>
        <v>q2_avg_order_city</v>
      </c>
      <c r="B391">
        <v>1</v>
      </c>
      <c r="C391" s="13">
        <v>1</v>
      </c>
      <c r="D391" s="13">
        <v>0</v>
      </c>
      <c r="E391" s="13">
        <v>134912</v>
      </c>
      <c r="F391" s="13">
        <v>133024</v>
      </c>
      <c r="G391" s="13">
        <v>1120</v>
      </c>
      <c r="H391" s="13">
        <v>2268860</v>
      </c>
      <c r="I391" s="13">
        <v>0</v>
      </c>
      <c r="J391" s="13">
        <v>0</v>
      </c>
      <c r="K391" s="13">
        <v>521</v>
      </c>
      <c r="L391" s="13">
        <v>13</v>
      </c>
      <c r="M391" s="13">
        <v>732</v>
      </c>
      <c r="N391" s="13">
        <v>213</v>
      </c>
      <c r="O391" s="13">
        <v>33</v>
      </c>
      <c r="P391" s="13">
        <v>1</v>
      </c>
      <c r="Q391" s="13">
        <v>64</v>
      </c>
      <c r="R391" s="13">
        <v>1</v>
      </c>
      <c r="S391" s="13">
        <v>2</v>
      </c>
      <c r="T391" s="23">
        <v>46247.529328703706</v>
      </c>
      <c r="U391" s="55">
        <f t="shared" si="15"/>
        <v>1</v>
      </c>
      <c r="V391" s="55">
        <f t="shared" si="16"/>
        <v>0</v>
      </c>
      <c r="W391" s="56">
        <f t="shared" si="17"/>
        <v>584</v>
      </c>
    </row>
    <row r="392" spans="1:23" x14ac:dyDescent="0.3">
      <c r="A392" s="13" t="str" cm="1">
        <f t="array" ref="A392:B392">INDEX(BenchmarkResults!$B$1:$D$35,SUMPRODUCT((T392&gt;=BenchmarkResults!$F$3:$F$35)*(mongodb_hardware_log!T392&lt;BenchmarkResults!$G$3:$G$35)*ROW(BenchmarkResults!$F$3:$F$35)),{1,3})</f>
        <v>q2_avg_order_city</v>
      </c>
      <c r="B392">
        <v>1</v>
      </c>
      <c r="C392" s="13">
        <v>1</v>
      </c>
      <c r="D392" s="13">
        <v>0</v>
      </c>
      <c r="E392" s="13">
        <v>134912</v>
      </c>
      <c r="F392" s="13">
        <v>124960</v>
      </c>
      <c r="G392" s="13">
        <v>1132</v>
      </c>
      <c r="H392" s="13">
        <v>2273904</v>
      </c>
      <c r="I392" s="13">
        <v>0</v>
      </c>
      <c r="J392" s="13">
        <v>0</v>
      </c>
      <c r="K392" s="13">
        <v>502</v>
      </c>
      <c r="L392" s="13">
        <v>18</v>
      </c>
      <c r="M392" s="13">
        <v>711</v>
      </c>
      <c r="N392" s="13">
        <v>209</v>
      </c>
      <c r="O392" s="13">
        <v>33</v>
      </c>
      <c r="P392" s="13">
        <v>1</v>
      </c>
      <c r="Q392" s="13">
        <v>65</v>
      </c>
      <c r="R392" s="13">
        <v>1</v>
      </c>
      <c r="S392" s="13">
        <v>1</v>
      </c>
      <c r="T392" s="23">
        <v>46247.529444444444</v>
      </c>
      <c r="U392" s="55">
        <f t="shared" si="15"/>
        <v>1</v>
      </c>
      <c r="V392" s="55">
        <f t="shared" si="16"/>
        <v>0</v>
      </c>
      <c r="W392" s="56">
        <f t="shared" si="17"/>
        <v>571.33333333333337</v>
      </c>
    </row>
    <row r="393" spans="1:23" x14ac:dyDescent="0.3">
      <c r="A393" s="13" t="str" cm="1">
        <f t="array" ref="A393:B393">INDEX(BenchmarkResults!$B$1:$D$35,SUMPRODUCT((T393&gt;=BenchmarkResults!$F$3:$F$35)*(mongodb_hardware_log!T393&lt;BenchmarkResults!$G$3:$G$35)*ROW(BenchmarkResults!$F$3:$F$35)),{1,3})</f>
        <v>q2_avg_order_city</v>
      </c>
      <c r="B393">
        <v>1</v>
      </c>
      <c r="C393" s="13">
        <v>1</v>
      </c>
      <c r="D393" s="13">
        <v>0</v>
      </c>
      <c r="E393" s="13">
        <v>134912</v>
      </c>
      <c r="F393" s="13">
        <v>124960</v>
      </c>
      <c r="G393" s="13">
        <v>1140</v>
      </c>
      <c r="H393" s="13">
        <v>2278896</v>
      </c>
      <c r="I393" s="13">
        <v>0</v>
      </c>
      <c r="J393" s="13">
        <v>0</v>
      </c>
      <c r="K393" s="13">
        <v>499</v>
      </c>
      <c r="L393" s="13">
        <v>10</v>
      </c>
      <c r="M393" s="13">
        <v>715</v>
      </c>
      <c r="N393" s="13">
        <v>205</v>
      </c>
      <c r="O393" s="13">
        <v>33</v>
      </c>
      <c r="P393" s="13">
        <v>1</v>
      </c>
      <c r="Q393" s="13">
        <v>64</v>
      </c>
      <c r="R393" s="13">
        <v>0</v>
      </c>
      <c r="S393" s="13">
        <v>1</v>
      </c>
      <c r="T393" s="23">
        <v>46247.529560185183</v>
      </c>
      <c r="U393" s="55">
        <f t="shared" ref="U393:U456" si="18">AVERAGE(C388:C393)</f>
        <v>1</v>
      </c>
      <c r="V393" s="55">
        <f t="shared" ref="V393:V456" si="19">AVERAGE(D388:D393)</f>
        <v>0</v>
      </c>
      <c r="W393" s="56">
        <f t="shared" ref="W393:W456" si="20">AVERAGE(K388:K393)</f>
        <v>549.33333333333337</v>
      </c>
    </row>
    <row r="394" spans="1:23" x14ac:dyDescent="0.3">
      <c r="A394" s="13" t="str" cm="1">
        <f t="array" ref="A394:B394">INDEX(BenchmarkResults!$B$1:$D$35,SUMPRODUCT((T394&gt;=BenchmarkResults!$F$3:$F$35)*(mongodb_hardware_log!T394&lt;BenchmarkResults!$G$3:$G$35)*ROW(BenchmarkResults!$F$3:$F$35)),{1,3})</f>
        <v>q2_avg_order_city</v>
      </c>
      <c r="B394">
        <v>1</v>
      </c>
      <c r="C394" s="13">
        <v>1</v>
      </c>
      <c r="D394" s="13">
        <v>0</v>
      </c>
      <c r="E394" s="13">
        <v>135168</v>
      </c>
      <c r="F394" s="13">
        <v>120712</v>
      </c>
      <c r="G394" s="13">
        <v>1148</v>
      </c>
      <c r="H394" s="13">
        <v>1705424</v>
      </c>
      <c r="I394" s="13">
        <v>0</v>
      </c>
      <c r="J394" s="13">
        <v>31</v>
      </c>
      <c r="K394" s="13">
        <v>284</v>
      </c>
      <c r="L394" s="13">
        <v>57</v>
      </c>
      <c r="M394" s="13">
        <v>904</v>
      </c>
      <c r="N394" s="13">
        <v>322</v>
      </c>
      <c r="O394" s="13">
        <v>38</v>
      </c>
      <c r="P394" s="13">
        <v>7</v>
      </c>
      <c r="Q394" s="13">
        <v>54</v>
      </c>
      <c r="R394" s="13">
        <v>0</v>
      </c>
      <c r="S394" s="13">
        <v>1</v>
      </c>
      <c r="T394" s="23">
        <v>46247.529675925929</v>
      </c>
      <c r="U394" s="55">
        <f t="shared" si="18"/>
        <v>1</v>
      </c>
      <c r="V394" s="55">
        <f t="shared" si="19"/>
        <v>0</v>
      </c>
      <c r="W394" s="56">
        <f t="shared" si="20"/>
        <v>496.33333333333331</v>
      </c>
    </row>
    <row r="395" spans="1:23" x14ac:dyDescent="0.3">
      <c r="A395" s="13" t="str" cm="1">
        <f t="array" ref="A395:B395">INDEX(BenchmarkResults!$B$1:$D$35,SUMPRODUCT((T395&gt;=BenchmarkResults!$F$3:$F$35)*(mongodb_hardware_log!T395&lt;BenchmarkResults!$G$3:$G$35)*ROW(BenchmarkResults!$F$3:$F$35)),{1,3})</f>
        <v>q2_avg_order_city</v>
      </c>
      <c r="B395">
        <v>1</v>
      </c>
      <c r="C395" s="13">
        <v>1</v>
      </c>
      <c r="D395" s="13">
        <v>0</v>
      </c>
      <c r="E395" s="13">
        <v>135168</v>
      </c>
      <c r="F395" s="13">
        <v>756884</v>
      </c>
      <c r="G395" s="13">
        <v>1164</v>
      </c>
      <c r="H395" s="13">
        <v>1626500</v>
      </c>
      <c r="I395" s="13">
        <v>0</v>
      </c>
      <c r="J395" s="13">
        <v>0</v>
      </c>
      <c r="K395" s="13">
        <v>607</v>
      </c>
      <c r="L395" s="13">
        <v>13</v>
      </c>
      <c r="M395" s="13">
        <v>875</v>
      </c>
      <c r="N395" s="13">
        <v>374</v>
      </c>
      <c r="O395" s="13">
        <v>35</v>
      </c>
      <c r="P395" s="13">
        <v>5</v>
      </c>
      <c r="Q395" s="13">
        <v>59</v>
      </c>
      <c r="R395" s="13">
        <v>1</v>
      </c>
      <c r="S395" s="13">
        <v>0</v>
      </c>
      <c r="T395" s="23">
        <v>46247.529791666668</v>
      </c>
      <c r="U395" s="55">
        <f t="shared" si="18"/>
        <v>1</v>
      </c>
      <c r="V395" s="55">
        <f t="shared" si="19"/>
        <v>0</v>
      </c>
      <c r="W395" s="56">
        <f t="shared" si="20"/>
        <v>512</v>
      </c>
    </row>
    <row r="396" spans="1:23" x14ac:dyDescent="0.3">
      <c r="A396" s="13" t="str" cm="1">
        <f t="array" ref="A396:B396">INDEX(BenchmarkResults!$B$1:$D$35,SUMPRODUCT((T396&gt;=BenchmarkResults!$F$3:$F$35)*(mongodb_hardware_log!T396&lt;BenchmarkResults!$G$3:$G$35)*ROW(BenchmarkResults!$F$3:$F$35)),{1,3})</f>
        <v>q2_avg_order_city</v>
      </c>
      <c r="B396">
        <v>1</v>
      </c>
      <c r="C396" s="13">
        <v>1</v>
      </c>
      <c r="D396" s="13">
        <v>0</v>
      </c>
      <c r="E396" s="13">
        <v>135168</v>
      </c>
      <c r="F396" s="13">
        <v>748064</v>
      </c>
      <c r="G396" s="13">
        <v>1188</v>
      </c>
      <c r="H396" s="13">
        <v>1633768</v>
      </c>
      <c r="I396" s="13">
        <v>1</v>
      </c>
      <c r="J396" s="13">
        <v>0</v>
      </c>
      <c r="K396" s="13">
        <v>727</v>
      </c>
      <c r="L396" s="13">
        <v>29</v>
      </c>
      <c r="M396" s="13">
        <v>725</v>
      </c>
      <c r="N396" s="13">
        <v>214</v>
      </c>
      <c r="O396" s="13">
        <v>33</v>
      </c>
      <c r="P396" s="13">
        <v>1</v>
      </c>
      <c r="Q396" s="13">
        <v>65</v>
      </c>
      <c r="R396" s="13">
        <v>0</v>
      </c>
      <c r="S396" s="13">
        <v>0</v>
      </c>
      <c r="T396" s="23">
        <v>46247.529907407406</v>
      </c>
      <c r="U396" s="55">
        <f t="shared" si="18"/>
        <v>1</v>
      </c>
      <c r="V396" s="55">
        <f t="shared" si="19"/>
        <v>0</v>
      </c>
      <c r="W396" s="56">
        <f t="shared" si="20"/>
        <v>523.33333333333337</v>
      </c>
    </row>
    <row r="397" spans="1:23" x14ac:dyDescent="0.3">
      <c r="A397" s="13" t="str" cm="1">
        <f t="array" ref="A397:B397">INDEX(BenchmarkResults!$B$1:$D$35,SUMPRODUCT((T397&gt;=BenchmarkResults!$F$3:$F$35)*(mongodb_hardware_log!T397&lt;BenchmarkResults!$G$3:$G$35)*ROW(BenchmarkResults!$F$3:$F$35)),{1,3})</f>
        <v>q2_avg_order_city</v>
      </c>
      <c r="B397">
        <v>1</v>
      </c>
      <c r="C397" s="13">
        <v>1</v>
      </c>
      <c r="D397" s="13">
        <v>0</v>
      </c>
      <c r="E397" s="13">
        <v>135168</v>
      </c>
      <c r="F397" s="13">
        <v>739816</v>
      </c>
      <c r="G397" s="13">
        <v>1204</v>
      </c>
      <c r="H397" s="13">
        <v>1641616</v>
      </c>
      <c r="I397" s="13">
        <v>0</v>
      </c>
      <c r="J397" s="13">
        <v>0</v>
      </c>
      <c r="K397" s="13">
        <v>788</v>
      </c>
      <c r="L397" s="13">
        <v>17</v>
      </c>
      <c r="M397" s="13">
        <v>723</v>
      </c>
      <c r="N397" s="13">
        <v>222</v>
      </c>
      <c r="O397" s="13">
        <v>34</v>
      </c>
      <c r="P397" s="13">
        <v>1</v>
      </c>
      <c r="Q397" s="13">
        <v>65</v>
      </c>
      <c r="R397" s="13">
        <v>0</v>
      </c>
      <c r="S397" s="13">
        <v>0</v>
      </c>
      <c r="T397" s="23">
        <v>46247.530023148145</v>
      </c>
      <c r="U397" s="55">
        <f t="shared" si="18"/>
        <v>1</v>
      </c>
      <c r="V397" s="55">
        <f t="shared" si="19"/>
        <v>0</v>
      </c>
      <c r="W397" s="56">
        <f t="shared" si="20"/>
        <v>567.83333333333337</v>
      </c>
    </row>
    <row r="398" spans="1:23" x14ac:dyDescent="0.3">
      <c r="A398" s="13" t="str" cm="1">
        <f t="array" ref="A398:B398">INDEX(BenchmarkResults!$B$1:$D$35,SUMPRODUCT((T398&gt;=BenchmarkResults!$F$3:$F$35)*(mongodb_hardware_log!T398&lt;BenchmarkResults!$G$3:$G$35)*ROW(BenchmarkResults!$F$3:$F$35)),{1,3})</f>
        <v>q2_avg_order_city</v>
      </c>
      <c r="B398">
        <v>1</v>
      </c>
      <c r="C398" s="13">
        <v>1</v>
      </c>
      <c r="D398" s="13">
        <v>0</v>
      </c>
      <c r="E398" s="13">
        <v>135168</v>
      </c>
      <c r="F398" s="13">
        <v>733012</v>
      </c>
      <c r="G398" s="13">
        <v>1212</v>
      </c>
      <c r="H398" s="13">
        <v>1649692</v>
      </c>
      <c r="I398" s="13">
        <v>0</v>
      </c>
      <c r="J398" s="13">
        <v>0</v>
      </c>
      <c r="K398" s="13">
        <v>805</v>
      </c>
      <c r="L398" s="13">
        <v>31</v>
      </c>
      <c r="M398" s="13">
        <v>717</v>
      </c>
      <c r="N398" s="13">
        <v>214</v>
      </c>
      <c r="O398" s="13">
        <v>33</v>
      </c>
      <c r="P398" s="13">
        <v>1</v>
      </c>
      <c r="Q398" s="13">
        <v>65</v>
      </c>
      <c r="R398" s="13">
        <v>0</v>
      </c>
      <c r="S398" s="13">
        <v>0</v>
      </c>
      <c r="T398" s="23">
        <v>46247.530138888891</v>
      </c>
      <c r="U398" s="55">
        <f t="shared" si="18"/>
        <v>1</v>
      </c>
      <c r="V398" s="55">
        <f t="shared" si="19"/>
        <v>0</v>
      </c>
      <c r="W398" s="56">
        <f t="shared" si="20"/>
        <v>618.33333333333337</v>
      </c>
    </row>
    <row r="399" spans="1:23" x14ac:dyDescent="0.3">
      <c r="A399" s="13" t="str" cm="1">
        <f t="array" ref="A399:B399">INDEX(BenchmarkResults!$B$1:$D$35,SUMPRODUCT((T399&gt;=BenchmarkResults!$F$3:$F$35)*(mongodb_hardware_log!T399&lt;BenchmarkResults!$G$3:$G$35)*ROW(BenchmarkResults!$F$3:$F$35)),{1,3})</f>
        <v>q2_avg_order_city</v>
      </c>
      <c r="B399">
        <v>1</v>
      </c>
      <c r="C399" s="13">
        <v>1</v>
      </c>
      <c r="D399" s="13">
        <v>0</v>
      </c>
      <c r="E399" s="13">
        <v>135168</v>
      </c>
      <c r="F399" s="13">
        <v>720944</v>
      </c>
      <c r="G399" s="13">
        <v>1220</v>
      </c>
      <c r="H399" s="13">
        <v>1658268</v>
      </c>
      <c r="I399" s="13">
        <v>0</v>
      </c>
      <c r="J399" s="13">
        <v>0</v>
      </c>
      <c r="K399" s="13">
        <v>858</v>
      </c>
      <c r="L399" s="13">
        <v>14</v>
      </c>
      <c r="M399" s="13">
        <v>731</v>
      </c>
      <c r="N399" s="13">
        <v>224</v>
      </c>
      <c r="O399" s="13">
        <v>34</v>
      </c>
      <c r="P399" s="13">
        <v>1</v>
      </c>
      <c r="Q399" s="13">
        <v>65</v>
      </c>
      <c r="R399" s="13">
        <v>0</v>
      </c>
      <c r="S399" s="13">
        <v>0</v>
      </c>
      <c r="T399" s="23">
        <v>46247.53025462963</v>
      </c>
      <c r="U399" s="55">
        <f t="shared" si="18"/>
        <v>1</v>
      </c>
      <c r="V399" s="55">
        <f t="shared" si="19"/>
        <v>0</v>
      </c>
      <c r="W399" s="56">
        <f t="shared" si="20"/>
        <v>678.16666666666663</v>
      </c>
    </row>
    <row r="400" spans="1:23" x14ac:dyDescent="0.3">
      <c r="A400" s="13" t="str" cm="1">
        <f t="array" ref="A400:B400">INDEX(BenchmarkResults!$B$1:$D$35,SUMPRODUCT((T400&gt;=BenchmarkResults!$F$3:$F$35)*(mongodb_hardware_log!T400&lt;BenchmarkResults!$G$3:$G$35)*ROW(BenchmarkResults!$F$3:$F$35)),{1,3})</f>
        <v>q2_avg_order_city</v>
      </c>
      <c r="B400">
        <v>1</v>
      </c>
      <c r="C400" s="13">
        <v>1</v>
      </c>
      <c r="D400" s="13">
        <v>0</v>
      </c>
      <c r="E400" s="13">
        <v>135168</v>
      </c>
      <c r="F400" s="13">
        <v>702280</v>
      </c>
      <c r="G400" s="13">
        <v>1228</v>
      </c>
      <c r="H400" s="13">
        <v>1668436</v>
      </c>
      <c r="I400" s="13">
        <v>0</v>
      </c>
      <c r="J400" s="13">
        <v>0</v>
      </c>
      <c r="K400" s="13">
        <v>1017</v>
      </c>
      <c r="L400" s="13">
        <v>28</v>
      </c>
      <c r="M400" s="13">
        <v>735</v>
      </c>
      <c r="N400" s="13">
        <v>236</v>
      </c>
      <c r="O400" s="13">
        <v>34</v>
      </c>
      <c r="P400" s="13">
        <v>1</v>
      </c>
      <c r="Q400" s="13">
        <v>64</v>
      </c>
      <c r="R400" s="13">
        <v>1</v>
      </c>
      <c r="S400" s="13">
        <v>0</v>
      </c>
      <c r="T400" s="23">
        <v>46247.530370370368</v>
      </c>
      <c r="U400" s="55">
        <f t="shared" si="18"/>
        <v>1</v>
      </c>
      <c r="V400" s="55">
        <f t="shared" si="19"/>
        <v>0</v>
      </c>
      <c r="W400" s="56">
        <f t="shared" si="20"/>
        <v>800.33333333333337</v>
      </c>
    </row>
    <row r="401" spans="1:23" x14ac:dyDescent="0.3">
      <c r="A401" s="13" t="str" cm="1">
        <f t="array" ref="A401:B401">INDEX(BenchmarkResults!$B$1:$D$35,SUMPRODUCT((T401&gt;=BenchmarkResults!$F$3:$F$35)*(mongodb_hardware_log!T401&lt;BenchmarkResults!$G$3:$G$35)*ROW(BenchmarkResults!$F$3:$F$35)),{1,3})</f>
        <v>q2_avg_order_city</v>
      </c>
      <c r="B401">
        <v>1</v>
      </c>
      <c r="C401" s="13">
        <v>1</v>
      </c>
      <c r="D401" s="13">
        <v>0</v>
      </c>
      <c r="E401" s="13">
        <v>135168</v>
      </c>
      <c r="F401" s="13">
        <v>699004</v>
      </c>
      <c r="G401" s="13">
        <v>1244</v>
      </c>
      <c r="H401" s="13">
        <v>1675740</v>
      </c>
      <c r="I401" s="13">
        <v>0</v>
      </c>
      <c r="J401" s="13">
        <v>0</v>
      </c>
      <c r="K401" s="13">
        <v>730</v>
      </c>
      <c r="L401" s="13">
        <v>16</v>
      </c>
      <c r="M401" s="13">
        <v>714</v>
      </c>
      <c r="N401" s="13">
        <v>209</v>
      </c>
      <c r="O401" s="13">
        <v>33</v>
      </c>
      <c r="P401" s="13">
        <v>1</v>
      </c>
      <c r="Q401" s="13">
        <v>65</v>
      </c>
      <c r="R401" s="13">
        <v>0</v>
      </c>
      <c r="S401" s="13">
        <v>0</v>
      </c>
      <c r="T401" s="23">
        <v>46247.530486111114</v>
      </c>
      <c r="U401" s="55">
        <f t="shared" si="18"/>
        <v>1</v>
      </c>
      <c r="V401" s="55">
        <f t="shared" si="19"/>
        <v>0</v>
      </c>
      <c r="W401" s="56">
        <f t="shared" si="20"/>
        <v>820.83333333333337</v>
      </c>
    </row>
    <row r="402" spans="1:23" x14ac:dyDescent="0.3">
      <c r="A402" s="13" t="str" cm="1">
        <f t="array" ref="A402:B402">INDEX(BenchmarkResults!$B$1:$D$35,SUMPRODUCT((T402&gt;=BenchmarkResults!$F$3:$F$35)*(mongodb_hardware_log!T402&lt;BenchmarkResults!$G$3:$G$35)*ROW(BenchmarkResults!$F$3:$F$35)),{1,3})</f>
        <v>q2_avg_order_city</v>
      </c>
      <c r="B402">
        <v>1</v>
      </c>
      <c r="C402" s="13">
        <v>1</v>
      </c>
      <c r="D402" s="13">
        <v>0</v>
      </c>
      <c r="E402" s="13">
        <v>135168</v>
      </c>
      <c r="F402" s="13">
        <v>691976</v>
      </c>
      <c r="G402" s="13">
        <v>1284</v>
      </c>
      <c r="H402" s="13">
        <v>1682680</v>
      </c>
      <c r="I402" s="13">
        <v>1</v>
      </c>
      <c r="J402" s="13">
        <v>0</v>
      </c>
      <c r="K402" s="13">
        <v>690</v>
      </c>
      <c r="L402" s="13">
        <v>32</v>
      </c>
      <c r="M402" s="13">
        <v>742</v>
      </c>
      <c r="N402" s="13">
        <v>236</v>
      </c>
      <c r="O402" s="13">
        <v>33</v>
      </c>
      <c r="P402" s="13">
        <v>1</v>
      </c>
      <c r="Q402" s="13">
        <v>65</v>
      </c>
      <c r="R402" s="13">
        <v>0</v>
      </c>
      <c r="S402" s="13">
        <v>0</v>
      </c>
      <c r="T402" s="23">
        <v>46247.530601851853</v>
      </c>
      <c r="U402" s="55">
        <f t="shared" si="18"/>
        <v>1</v>
      </c>
      <c r="V402" s="55">
        <f t="shared" si="19"/>
        <v>0</v>
      </c>
      <c r="W402" s="56">
        <f t="shared" si="20"/>
        <v>814.66666666666663</v>
      </c>
    </row>
    <row r="403" spans="1:23" x14ac:dyDescent="0.3">
      <c r="A403" s="13" t="str" cm="1">
        <f t="array" ref="A403:B403">INDEX(BenchmarkResults!$B$1:$D$35,SUMPRODUCT((T403&gt;=BenchmarkResults!$F$3:$F$35)*(mongodb_hardware_log!T403&lt;BenchmarkResults!$G$3:$G$35)*ROW(BenchmarkResults!$F$3:$F$35)),{1,3})</f>
        <v>q2_avg_order_city</v>
      </c>
      <c r="B403">
        <v>1</v>
      </c>
      <c r="C403" s="13">
        <v>1</v>
      </c>
      <c r="D403" s="13">
        <v>0</v>
      </c>
      <c r="E403" s="13">
        <v>135168</v>
      </c>
      <c r="F403" s="13">
        <v>685172</v>
      </c>
      <c r="G403" s="13">
        <v>1292</v>
      </c>
      <c r="H403" s="13">
        <v>1690252</v>
      </c>
      <c r="I403" s="13">
        <v>0</v>
      </c>
      <c r="J403" s="13">
        <v>0</v>
      </c>
      <c r="K403" s="13">
        <v>758</v>
      </c>
      <c r="L403" s="13">
        <v>22</v>
      </c>
      <c r="M403" s="13">
        <v>710</v>
      </c>
      <c r="N403" s="13">
        <v>206</v>
      </c>
      <c r="O403" s="13">
        <v>33</v>
      </c>
      <c r="P403" s="13">
        <v>1</v>
      </c>
      <c r="Q403" s="13">
        <v>65</v>
      </c>
      <c r="R403" s="13">
        <v>0</v>
      </c>
      <c r="S403" s="13">
        <v>0</v>
      </c>
      <c r="T403" s="23">
        <v>46247.530717592592</v>
      </c>
      <c r="U403" s="55">
        <f t="shared" si="18"/>
        <v>1</v>
      </c>
      <c r="V403" s="55">
        <f t="shared" si="19"/>
        <v>0</v>
      </c>
      <c r="W403" s="56">
        <f t="shared" si="20"/>
        <v>809.66666666666663</v>
      </c>
    </row>
    <row r="404" spans="1:23" x14ac:dyDescent="0.3">
      <c r="A404" s="13" t="str" cm="1">
        <f t="array" ref="A404:B404">INDEX(BenchmarkResults!$B$1:$D$35,SUMPRODUCT((T404&gt;=BenchmarkResults!$F$3:$F$35)*(mongodb_hardware_log!T404&lt;BenchmarkResults!$G$3:$G$35)*ROW(BenchmarkResults!$F$3:$F$35)),{1,3})</f>
        <v>q2_avg_order_city</v>
      </c>
      <c r="B404">
        <v>1</v>
      </c>
      <c r="C404" s="13">
        <v>1</v>
      </c>
      <c r="D404" s="13">
        <v>0</v>
      </c>
      <c r="E404" s="13">
        <v>135168</v>
      </c>
      <c r="F404" s="13">
        <v>677360</v>
      </c>
      <c r="G404" s="13">
        <v>1300</v>
      </c>
      <c r="H404" s="13">
        <v>1697820</v>
      </c>
      <c r="I404" s="13">
        <v>0</v>
      </c>
      <c r="J404" s="13">
        <v>0</v>
      </c>
      <c r="K404" s="13">
        <v>754</v>
      </c>
      <c r="L404" s="13">
        <v>10</v>
      </c>
      <c r="M404" s="13">
        <v>832</v>
      </c>
      <c r="N404" s="13">
        <v>330</v>
      </c>
      <c r="O404" s="13">
        <v>33</v>
      </c>
      <c r="P404" s="13">
        <v>1</v>
      </c>
      <c r="Q404" s="13">
        <v>65</v>
      </c>
      <c r="R404" s="13">
        <v>0</v>
      </c>
      <c r="S404" s="13">
        <v>1</v>
      </c>
      <c r="T404" s="23">
        <v>46247.530833333331</v>
      </c>
      <c r="U404" s="55">
        <f t="shared" si="18"/>
        <v>1</v>
      </c>
      <c r="V404" s="55">
        <f t="shared" si="19"/>
        <v>0</v>
      </c>
      <c r="W404" s="56">
        <f t="shared" si="20"/>
        <v>801.16666666666663</v>
      </c>
    </row>
    <row r="405" spans="1:23" x14ac:dyDescent="0.3">
      <c r="A405" s="13" t="str" cm="1">
        <f t="array" ref="A405:B405">INDEX(BenchmarkResults!$B$1:$D$35,SUMPRODUCT((T405&gt;=BenchmarkResults!$F$3:$F$35)*(mongodb_hardware_log!T405&lt;BenchmarkResults!$G$3:$G$35)*ROW(BenchmarkResults!$F$3:$F$35)),{1,3})</f>
        <v>q2_avg_order_city</v>
      </c>
      <c r="B405">
        <v>1</v>
      </c>
      <c r="C405" s="13">
        <v>0</v>
      </c>
      <c r="D405" s="13">
        <v>1</v>
      </c>
      <c r="E405" s="13">
        <v>135168</v>
      </c>
      <c r="F405" s="13">
        <v>673580</v>
      </c>
      <c r="G405" s="13">
        <v>1308</v>
      </c>
      <c r="H405" s="13">
        <v>1705444</v>
      </c>
      <c r="I405" s="13">
        <v>0</v>
      </c>
      <c r="J405" s="13">
        <v>0</v>
      </c>
      <c r="K405" s="13">
        <v>768</v>
      </c>
      <c r="L405" s="13">
        <v>8</v>
      </c>
      <c r="M405" s="13">
        <v>714</v>
      </c>
      <c r="N405" s="13">
        <v>211</v>
      </c>
      <c r="O405" s="13">
        <v>33</v>
      </c>
      <c r="P405" s="13">
        <v>1</v>
      </c>
      <c r="Q405" s="13">
        <v>65</v>
      </c>
      <c r="R405" s="13">
        <v>1</v>
      </c>
      <c r="S405" s="13">
        <v>0</v>
      </c>
      <c r="T405" s="23">
        <v>46247.530949074076</v>
      </c>
      <c r="U405" s="55">
        <f t="shared" si="18"/>
        <v>0.83333333333333337</v>
      </c>
      <c r="V405" s="55">
        <f t="shared" si="19"/>
        <v>0.16666666666666666</v>
      </c>
      <c r="W405" s="56">
        <f t="shared" si="20"/>
        <v>786.16666666666663</v>
      </c>
    </row>
    <row r="406" spans="1:23" x14ac:dyDescent="0.3">
      <c r="A406" s="13" t="str" cm="1">
        <f t="array" ref="A406:B406">INDEX(BenchmarkResults!$B$1:$D$35,SUMPRODUCT((T406&gt;=BenchmarkResults!$F$3:$F$35)*(mongodb_hardware_log!T406&lt;BenchmarkResults!$G$3:$G$35)*ROW(BenchmarkResults!$F$3:$F$35)),{1,3})</f>
        <v>q2_avg_order_city</v>
      </c>
      <c r="B406">
        <v>1</v>
      </c>
      <c r="C406" s="13">
        <v>1</v>
      </c>
      <c r="D406" s="13">
        <v>0</v>
      </c>
      <c r="E406" s="13">
        <v>135168</v>
      </c>
      <c r="F406" s="13">
        <v>666524</v>
      </c>
      <c r="G406" s="13">
        <v>1316</v>
      </c>
      <c r="H406" s="13">
        <v>1713748</v>
      </c>
      <c r="I406" s="13">
        <v>0</v>
      </c>
      <c r="J406" s="13">
        <v>0</v>
      </c>
      <c r="K406" s="13">
        <v>828</v>
      </c>
      <c r="L406" s="13">
        <v>8</v>
      </c>
      <c r="M406" s="13">
        <v>795</v>
      </c>
      <c r="N406" s="13">
        <v>302</v>
      </c>
      <c r="O406" s="13">
        <v>34</v>
      </c>
      <c r="P406" s="13">
        <v>1</v>
      </c>
      <c r="Q406" s="13">
        <v>64</v>
      </c>
      <c r="R406" s="13">
        <v>0</v>
      </c>
      <c r="S406" s="13">
        <v>0</v>
      </c>
      <c r="T406" s="23">
        <v>46247.531064814815</v>
      </c>
      <c r="U406" s="55">
        <f t="shared" si="18"/>
        <v>0.83333333333333337</v>
      </c>
      <c r="V406" s="55">
        <f t="shared" si="19"/>
        <v>0.16666666666666666</v>
      </c>
      <c r="W406" s="56">
        <f t="shared" si="20"/>
        <v>754.66666666666663</v>
      </c>
    </row>
    <row r="407" spans="1:23" x14ac:dyDescent="0.3">
      <c r="A407" s="13" t="str" cm="1">
        <f t="array" ref="A407:B407">INDEX(BenchmarkResults!$B$1:$D$35,SUMPRODUCT((T407&gt;=BenchmarkResults!$F$3:$F$35)*(mongodb_hardware_log!T407&lt;BenchmarkResults!$G$3:$G$35)*ROW(BenchmarkResults!$F$3:$F$35)),{1,3})</f>
        <v>q2_avg_order_city</v>
      </c>
      <c r="B407">
        <v>1</v>
      </c>
      <c r="C407" s="13">
        <v>1</v>
      </c>
      <c r="D407" s="13">
        <v>0</v>
      </c>
      <c r="E407" s="13">
        <v>135168</v>
      </c>
      <c r="F407" s="13">
        <v>658716</v>
      </c>
      <c r="G407" s="13">
        <v>1324</v>
      </c>
      <c r="H407" s="13">
        <v>1720784</v>
      </c>
      <c r="I407" s="13">
        <v>0</v>
      </c>
      <c r="J407" s="13">
        <v>0</v>
      </c>
      <c r="K407" s="13">
        <v>704</v>
      </c>
      <c r="L407" s="13">
        <v>30</v>
      </c>
      <c r="M407" s="13">
        <v>727</v>
      </c>
      <c r="N407" s="13">
        <v>231</v>
      </c>
      <c r="O407" s="13">
        <v>34</v>
      </c>
      <c r="P407" s="13">
        <v>1</v>
      </c>
      <c r="Q407" s="13">
        <v>64</v>
      </c>
      <c r="R407" s="13">
        <v>0</v>
      </c>
      <c r="S407" s="13">
        <v>1</v>
      </c>
      <c r="T407" s="23">
        <v>46247.531180555554</v>
      </c>
      <c r="U407" s="55">
        <f t="shared" si="18"/>
        <v>0.83333333333333337</v>
      </c>
      <c r="V407" s="55">
        <f t="shared" si="19"/>
        <v>0.16666666666666666</v>
      </c>
      <c r="W407" s="56">
        <f t="shared" si="20"/>
        <v>750.33333333333337</v>
      </c>
    </row>
    <row r="408" spans="1:23" x14ac:dyDescent="0.3">
      <c r="A408" s="13" t="str" cm="1">
        <f t="array" ref="A408:B408">INDEX(BenchmarkResults!$B$1:$D$35,SUMPRODUCT((T408&gt;=BenchmarkResults!$F$3:$F$35)*(mongodb_hardware_log!T408&lt;BenchmarkResults!$G$3:$G$35)*ROW(BenchmarkResults!$F$3:$F$35)),{1,3})</f>
        <v>q2_avg_order_city</v>
      </c>
      <c r="B408">
        <v>1</v>
      </c>
      <c r="C408" s="13">
        <v>1</v>
      </c>
      <c r="D408" s="13">
        <v>0</v>
      </c>
      <c r="E408" s="13">
        <v>135168</v>
      </c>
      <c r="F408" s="13">
        <v>648132</v>
      </c>
      <c r="G408" s="13">
        <v>1348</v>
      </c>
      <c r="H408" s="13">
        <v>1729804</v>
      </c>
      <c r="I408" s="13">
        <v>7</v>
      </c>
      <c r="J408" s="13">
        <v>0</v>
      </c>
      <c r="K408" s="13">
        <v>904</v>
      </c>
      <c r="L408" s="13">
        <v>30</v>
      </c>
      <c r="M408" s="13">
        <v>741</v>
      </c>
      <c r="N408" s="13">
        <v>226</v>
      </c>
      <c r="O408" s="13">
        <v>33</v>
      </c>
      <c r="P408" s="13">
        <v>1</v>
      </c>
      <c r="Q408" s="13">
        <v>65</v>
      </c>
      <c r="R408" s="13">
        <v>0</v>
      </c>
      <c r="S408" s="13">
        <v>1</v>
      </c>
      <c r="T408" s="23">
        <v>46247.5312962963</v>
      </c>
      <c r="U408" s="55">
        <f t="shared" si="18"/>
        <v>0.83333333333333337</v>
      </c>
      <c r="V408" s="55">
        <f t="shared" si="19"/>
        <v>0.16666666666666666</v>
      </c>
      <c r="W408" s="56">
        <f t="shared" si="20"/>
        <v>786</v>
      </c>
    </row>
    <row r="409" spans="1:23" x14ac:dyDescent="0.3">
      <c r="A409" s="13" t="str" cm="1">
        <f t="array" ref="A409:B409">INDEX(BenchmarkResults!$B$1:$D$35,SUMPRODUCT((T409&gt;=BenchmarkResults!$F$3:$F$35)*(mongodb_hardware_log!T409&lt;BenchmarkResults!$G$3:$G$35)*ROW(BenchmarkResults!$F$3:$F$35)),{1,3})</f>
        <v>q2_avg_order_city</v>
      </c>
      <c r="B409">
        <v>1</v>
      </c>
      <c r="C409" s="13">
        <v>1</v>
      </c>
      <c r="D409" s="13">
        <v>0</v>
      </c>
      <c r="E409" s="13">
        <v>135168</v>
      </c>
      <c r="F409" s="13">
        <v>659756</v>
      </c>
      <c r="G409" s="13">
        <v>1356</v>
      </c>
      <c r="H409" s="13">
        <v>1734464</v>
      </c>
      <c r="I409" s="13">
        <v>0</v>
      </c>
      <c r="J409" s="13">
        <v>0</v>
      </c>
      <c r="K409" s="13">
        <v>466</v>
      </c>
      <c r="L409" s="13">
        <v>11</v>
      </c>
      <c r="M409" s="13">
        <v>719</v>
      </c>
      <c r="N409" s="13">
        <v>217</v>
      </c>
      <c r="O409" s="13">
        <v>33</v>
      </c>
      <c r="P409" s="13">
        <v>1</v>
      </c>
      <c r="Q409" s="13">
        <v>65</v>
      </c>
      <c r="R409" s="13">
        <v>0</v>
      </c>
      <c r="S409" s="13">
        <v>1</v>
      </c>
      <c r="T409" s="23">
        <v>46247.531412037039</v>
      </c>
      <c r="U409" s="55">
        <f t="shared" si="18"/>
        <v>0.83333333333333337</v>
      </c>
      <c r="V409" s="55">
        <f t="shared" si="19"/>
        <v>0.16666666666666666</v>
      </c>
      <c r="W409" s="56">
        <f t="shared" si="20"/>
        <v>737.33333333333337</v>
      </c>
    </row>
    <row r="410" spans="1:23" x14ac:dyDescent="0.3">
      <c r="A410" s="13" t="str" cm="1">
        <f t="array" ref="A410:B410">INDEX(BenchmarkResults!$B$1:$D$35,SUMPRODUCT((T410&gt;=BenchmarkResults!$F$3:$F$35)*(mongodb_hardware_log!T410&lt;BenchmarkResults!$G$3:$G$35)*ROW(BenchmarkResults!$F$3:$F$35)),{1,3})</f>
        <v>q2_avg_order_city</v>
      </c>
      <c r="B410">
        <v>1</v>
      </c>
      <c r="C410" s="13">
        <v>1</v>
      </c>
      <c r="D410" s="13">
        <v>0</v>
      </c>
      <c r="E410" s="13">
        <v>135168</v>
      </c>
      <c r="F410" s="13">
        <v>654484</v>
      </c>
      <c r="G410" s="13">
        <v>1376</v>
      </c>
      <c r="H410" s="13">
        <v>1742260</v>
      </c>
      <c r="I410" s="13">
        <v>0</v>
      </c>
      <c r="J410" s="13">
        <v>0</v>
      </c>
      <c r="K410" s="13">
        <v>782</v>
      </c>
      <c r="L410" s="13">
        <v>32</v>
      </c>
      <c r="M410" s="13">
        <v>729</v>
      </c>
      <c r="N410" s="13">
        <v>225</v>
      </c>
      <c r="O410" s="13">
        <v>33</v>
      </c>
      <c r="P410" s="13">
        <v>1</v>
      </c>
      <c r="Q410" s="13">
        <v>65</v>
      </c>
      <c r="R410" s="13">
        <v>0</v>
      </c>
      <c r="S410" s="13">
        <v>0</v>
      </c>
      <c r="T410" s="23">
        <v>46247.531527777777</v>
      </c>
      <c r="U410" s="55">
        <f t="shared" si="18"/>
        <v>0.83333333333333337</v>
      </c>
      <c r="V410" s="55">
        <f t="shared" si="19"/>
        <v>0.16666666666666666</v>
      </c>
      <c r="W410" s="56">
        <f t="shared" si="20"/>
        <v>742</v>
      </c>
    </row>
    <row r="411" spans="1:23" x14ac:dyDescent="0.3">
      <c r="A411" s="13" t="str" cm="1">
        <f t="array" ref="A411:B411">INDEX(BenchmarkResults!$B$1:$D$35,SUMPRODUCT((T411&gt;=BenchmarkResults!$F$3:$F$35)*(mongodb_hardware_log!T411&lt;BenchmarkResults!$G$3:$G$35)*ROW(BenchmarkResults!$F$3:$F$35)),{1,3})</f>
        <v>q2_avg_order_city</v>
      </c>
      <c r="B411">
        <v>1</v>
      </c>
      <c r="C411" s="13">
        <v>1</v>
      </c>
      <c r="D411" s="13">
        <v>0</v>
      </c>
      <c r="E411" s="13">
        <v>135168</v>
      </c>
      <c r="F411" s="13">
        <v>648688</v>
      </c>
      <c r="G411" s="13">
        <v>1384</v>
      </c>
      <c r="H411" s="13">
        <v>1748688</v>
      </c>
      <c r="I411" s="13">
        <v>0</v>
      </c>
      <c r="J411" s="13">
        <v>0</v>
      </c>
      <c r="K411" s="13">
        <v>640</v>
      </c>
      <c r="L411" s="13">
        <v>11</v>
      </c>
      <c r="M411" s="13">
        <v>700</v>
      </c>
      <c r="N411" s="13">
        <v>200</v>
      </c>
      <c r="O411" s="13">
        <v>33</v>
      </c>
      <c r="P411" s="13">
        <v>1</v>
      </c>
      <c r="Q411" s="13">
        <v>65</v>
      </c>
      <c r="R411" s="13">
        <v>0</v>
      </c>
      <c r="S411" s="13">
        <v>0</v>
      </c>
      <c r="T411" s="23">
        <v>46247.531643518516</v>
      </c>
      <c r="U411" s="55">
        <f t="shared" si="18"/>
        <v>1</v>
      </c>
      <c r="V411" s="55">
        <f t="shared" si="19"/>
        <v>0</v>
      </c>
      <c r="W411" s="56">
        <f t="shared" si="20"/>
        <v>720.66666666666663</v>
      </c>
    </row>
    <row r="412" spans="1:23" x14ac:dyDescent="0.3">
      <c r="A412" s="13" t="str" cm="1">
        <f t="array" ref="A412:B412">INDEX(BenchmarkResults!$B$1:$D$35,SUMPRODUCT((T412&gt;=BenchmarkResults!$F$3:$F$35)*(mongodb_hardware_log!T412&lt;BenchmarkResults!$G$3:$G$35)*ROW(BenchmarkResults!$F$3:$F$35)),{1,3})</f>
        <v>q2_avg_order_city</v>
      </c>
      <c r="B412">
        <v>1</v>
      </c>
      <c r="C412" s="13">
        <v>1</v>
      </c>
      <c r="D412" s="13">
        <v>0</v>
      </c>
      <c r="E412" s="13">
        <v>135168</v>
      </c>
      <c r="F412" s="13">
        <v>639616</v>
      </c>
      <c r="G412" s="13">
        <v>1392</v>
      </c>
      <c r="H412" s="13">
        <v>1756308</v>
      </c>
      <c r="I412" s="13">
        <v>0</v>
      </c>
      <c r="J412" s="13">
        <v>0</v>
      </c>
      <c r="K412" s="13">
        <v>767</v>
      </c>
      <c r="L412" s="13">
        <v>9</v>
      </c>
      <c r="M412" s="13">
        <v>722</v>
      </c>
      <c r="N412" s="13">
        <v>219</v>
      </c>
      <c r="O412" s="13">
        <v>34</v>
      </c>
      <c r="P412" s="13">
        <v>1</v>
      </c>
      <c r="Q412" s="13">
        <v>64</v>
      </c>
      <c r="R412" s="13">
        <v>0</v>
      </c>
      <c r="S412" s="13">
        <v>1</v>
      </c>
      <c r="T412" s="23">
        <v>46247.531759259262</v>
      </c>
      <c r="U412" s="55">
        <f t="shared" si="18"/>
        <v>1</v>
      </c>
      <c r="V412" s="55">
        <f t="shared" si="19"/>
        <v>0</v>
      </c>
      <c r="W412" s="56">
        <f t="shared" si="20"/>
        <v>710.5</v>
      </c>
    </row>
    <row r="413" spans="1:23" x14ac:dyDescent="0.3">
      <c r="A413" s="13" t="str" cm="1">
        <f t="array" ref="A413:B413">INDEX(BenchmarkResults!$B$1:$D$35,SUMPRODUCT((T413&gt;=BenchmarkResults!$F$3:$F$35)*(mongodb_hardware_log!T413&lt;BenchmarkResults!$G$3:$G$35)*ROW(BenchmarkResults!$F$3:$F$35)),{1,3})</f>
        <v>q2_avg_order_city</v>
      </c>
      <c r="B413">
        <v>1</v>
      </c>
      <c r="C413" s="13">
        <v>4</v>
      </c>
      <c r="D413" s="13">
        <v>0</v>
      </c>
      <c r="E413" s="13">
        <v>135168</v>
      </c>
      <c r="F413" s="13">
        <v>623652</v>
      </c>
      <c r="G413" s="13">
        <v>1400</v>
      </c>
      <c r="H413" s="13">
        <v>1776980</v>
      </c>
      <c r="I413" s="13">
        <v>4</v>
      </c>
      <c r="J413" s="13">
        <v>0</v>
      </c>
      <c r="K413" s="13">
        <v>2068</v>
      </c>
      <c r="L413" s="13">
        <v>43</v>
      </c>
      <c r="M413" s="13">
        <v>781</v>
      </c>
      <c r="N413" s="13">
        <v>282</v>
      </c>
      <c r="O413" s="13">
        <v>34</v>
      </c>
      <c r="P413" s="13">
        <v>2</v>
      </c>
      <c r="Q413" s="13">
        <v>63</v>
      </c>
      <c r="R413" s="13">
        <v>2</v>
      </c>
      <c r="S413" s="13">
        <v>0</v>
      </c>
      <c r="T413" s="23">
        <v>46247.531875000001</v>
      </c>
      <c r="U413" s="55">
        <f t="shared" si="18"/>
        <v>1.5</v>
      </c>
      <c r="V413" s="55">
        <f t="shared" si="19"/>
        <v>0</v>
      </c>
      <c r="W413" s="56">
        <f t="shared" si="20"/>
        <v>937.83333333333337</v>
      </c>
    </row>
    <row r="414" spans="1:23" x14ac:dyDescent="0.3">
      <c r="A414" s="13" t="str" cm="1">
        <f t="array" ref="A414:B414">INDEX(BenchmarkResults!$B$1:$D$35,SUMPRODUCT((T414&gt;=BenchmarkResults!$F$3:$F$35)*(mongodb_hardware_log!T414&lt;BenchmarkResults!$G$3:$G$35)*ROW(BenchmarkResults!$F$3:$F$35)),{1,3})</f>
        <v>q2_avg_order_city</v>
      </c>
      <c r="B414">
        <v>1</v>
      </c>
      <c r="C414" s="13">
        <v>0</v>
      </c>
      <c r="D414" s="13">
        <v>1</v>
      </c>
      <c r="E414" s="13">
        <v>135168</v>
      </c>
      <c r="F414" s="13">
        <v>611532</v>
      </c>
      <c r="G414" s="13">
        <v>1432</v>
      </c>
      <c r="H414" s="13">
        <v>1789392</v>
      </c>
      <c r="I414" s="13">
        <v>1</v>
      </c>
      <c r="J414" s="13">
        <v>0</v>
      </c>
      <c r="K414" s="13">
        <v>1247</v>
      </c>
      <c r="L414" s="13">
        <v>41</v>
      </c>
      <c r="M414" s="13">
        <v>744</v>
      </c>
      <c r="N414" s="13">
        <v>240</v>
      </c>
      <c r="O414" s="13">
        <v>34</v>
      </c>
      <c r="P414" s="13">
        <v>1</v>
      </c>
      <c r="Q414" s="13">
        <v>64</v>
      </c>
      <c r="R414" s="13">
        <v>1</v>
      </c>
      <c r="S414" s="13">
        <v>0</v>
      </c>
      <c r="T414" s="23">
        <v>46247.531990740739</v>
      </c>
      <c r="U414" s="55">
        <f t="shared" si="18"/>
        <v>1.3333333333333333</v>
      </c>
      <c r="V414" s="55">
        <f t="shared" si="19"/>
        <v>0.16666666666666666</v>
      </c>
      <c r="W414" s="56">
        <f t="shared" si="20"/>
        <v>995</v>
      </c>
    </row>
    <row r="415" spans="1:23" x14ac:dyDescent="0.3">
      <c r="A415" s="13" t="str" cm="1">
        <f t="array" ref="A415:B415">INDEX(BenchmarkResults!$B$1:$D$35,SUMPRODUCT((T415&gt;=BenchmarkResults!$F$3:$F$35)*(mongodb_hardware_log!T415&lt;BenchmarkResults!$G$3:$G$35)*ROW(BenchmarkResults!$F$3:$F$35)),{1,3})</f>
        <v>q2_avg_order_city</v>
      </c>
      <c r="B415">
        <v>1</v>
      </c>
      <c r="C415" s="13">
        <v>2</v>
      </c>
      <c r="D415" s="13">
        <v>0</v>
      </c>
      <c r="E415" s="13">
        <v>135168</v>
      </c>
      <c r="F415" s="13">
        <v>604980</v>
      </c>
      <c r="G415" s="13">
        <v>1440</v>
      </c>
      <c r="H415" s="13">
        <v>1795776</v>
      </c>
      <c r="I415" s="13">
        <v>0</v>
      </c>
      <c r="J415" s="13">
        <v>0</v>
      </c>
      <c r="K415" s="13">
        <v>634</v>
      </c>
      <c r="L415" s="13">
        <v>7</v>
      </c>
      <c r="M415" s="13">
        <v>711</v>
      </c>
      <c r="N415" s="13">
        <v>216</v>
      </c>
      <c r="O415" s="13">
        <v>34</v>
      </c>
      <c r="P415" s="13">
        <v>1</v>
      </c>
      <c r="Q415" s="13">
        <v>65</v>
      </c>
      <c r="R415" s="13">
        <v>0</v>
      </c>
      <c r="S415" s="13">
        <v>0</v>
      </c>
      <c r="T415" s="23">
        <v>46247.532106481478</v>
      </c>
      <c r="U415" s="55">
        <f t="shared" si="18"/>
        <v>1.5</v>
      </c>
      <c r="V415" s="55">
        <f t="shared" si="19"/>
        <v>0.16666666666666666</v>
      </c>
      <c r="W415" s="56">
        <f t="shared" si="20"/>
        <v>1023</v>
      </c>
    </row>
    <row r="416" spans="1:23" x14ac:dyDescent="0.3">
      <c r="A416" s="13" t="str" cm="1">
        <f t="array" ref="A416:B416">INDEX(BenchmarkResults!$B$1:$D$35,SUMPRODUCT((T416&gt;=BenchmarkResults!$F$3:$F$35)*(mongodb_hardware_log!T416&lt;BenchmarkResults!$G$3:$G$35)*ROW(BenchmarkResults!$F$3:$F$35)),{1,3})</f>
        <v>q2_avg_order_city</v>
      </c>
      <c r="B416">
        <v>1</v>
      </c>
      <c r="C416" s="13">
        <v>1</v>
      </c>
      <c r="D416" s="13">
        <v>0</v>
      </c>
      <c r="E416" s="13">
        <v>135168</v>
      </c>
      <c r="F416" s="13">
        <v>596160</v>
      </c>
      <c r="G416" s="13">
        <v>1448</v>
      </c>
      <c r="H416" s="13">
        <v>1803856</v>
      </c>
      <c r="I416" s="13">
        <v>0</v>
      </c>
      <c r="J416" s="13">
        <v>0</v>
      </c>
      <c r="K416" s="13">
        <v>808</v>
      </c>
      <c r="L416" s="13">
        <v>14</v>
      </c>
      <c r="M416" s="13">
        <v>705</v>
      </c>
      <c r="N416" s="13">
        <v>205</v>
      </c>
      <c r="O416" s="13">
        <v>33</v>
      </c>
      <c r="P416" s="13">
        <v>1</v>
      </c>
      <c r="Q416" s="13">
        <v>65</v>
      </c>
      <c r="R416" s="13">
        <v>0</v>
      </c>
      <c r="S416" s="13">
        <v>0</v>
      </c>
      <c r="T416" s="23">
        <v>46247.532222222224</v>
      </c>
      <c r="U416" s="55">
        <f t="shared" si="18"/>
        <v>1.5</v>
      </c>
      <c r="V416" s="55">
        <f t="shared" si="19"/>
        <v>0.16666666666666666</v>
      </c>
      <c r="W416" s="56">
        <f t="shared" si="20"/>
        <v>1027.3333333333333</v>
      </c>
    </row>
    <row r="417" spans="1:23" x14ac:dyDescent="0.3">
      <c r="A417" s="13" t="str" cm="1">
        <f t="array" ref="A417:B417">INDEX(BenchmarkResults!$B$1:$D$35,SUMPRODUCT((T417&gt;=BenchmarkResults!$F$3:$F$35)*(mongodb_hardware_log!T417&lt;BenchmarkResults!$G$3:$G$35)*ROW(BenchmarkResults!$F$3:$F$35)),{1,3})</f>
        <v>q2_avg_order_city</v>
      </c>
      <c r="B417">
        <v>1</v>
      </c>
      <c r="C417" s="13">
        <v>1</v>
      </c>
      <c r="D417" s="13">
        <v>0</v>
      </c>
      <c r="E417" s="13">
        <v>135168</v>
      </c>
      <c r="F417" s="13">
        <v>580284</v>
      </c>
      <c r="G417" s="13">
        <v>1456</v>
      </c>
      <c r="H417" s="13">
        <v>1812864</v>
      </c>
      <c r="I417" s="13">
        <v>0</v>
      </c>
      <c r="J417" s="13">
        <v>0</v>
      </c>
      <c r="K417" s="13">
        <v>903</v>
      </c>
      <c r="L417" s="13">
        <v>10</v>
      </c>
      <c r="M417" s="13">
        <v>704</v>
      </c>
      <c r="N417" s="13">
        <v>202</v>
      </c>
      <c r="O417" s="13">
        <v>33</v>
      </c>
      <c r="P417" s="13">
        <v>1</v>
      </c>
      <c r="Q417" s="13">
        <v>65</v>
      </c>
      <c r="R417" s="13">
        <v>0</v>
      </c>
      <c r="S417" s="13">
        <v>0</v>
      </c>
      <c r="T417" s="23">
        <v>46247.532337962963</v>
      </c>
      <c r="U417" s="55">
        <f t="shared" si="18"/>
        <v>1.5</v>
      </c>
      <c r="V417" s="55">
        <f t="shared" si="19"/>
        <v>0.16666666666666666</v>
      </c>
      <c r="W417" s="56">
        <f t="shared" si="20"/>
        <v>1071.1666666666667</v>
      </c>
    </row>
    <row r="418" spans="1:23" x14ac:dyDescent="0.3">
      <c r="A418" s="13" t="str" cm="1">
        <f t="array" ref="A418:B418">INDEX(BenchmarkResults!$B$1:$D$35,SUMPRODUCT((T418&gt;=BenchmarkResults!$F$3:$F$35)*(mongodb_hardware_log!T418&lt;BenchmarkResults!$G$3:$G$35)*ROW(BenchmarkResults!$F$3:$F$35)),{1,3})</f>
        <v>q2_avg_order_city</v>
      </c>
      <c r="B418">
        <v>1</v>
      </c>
      <c r="C418" s="13">
        <v>1</v>
      </c>
      <c r="D418" s="13">
        <v>0</v>
      </c>
      <c r="E418" s="13">
        <v>135168</v>
      </c>
      <c r="F418" s="13">
        <v>580032</v>
      </c>
      <c r="G418" s="13">
        <v>1464</v>
      </c>
      <c r="H418" s="13">
        <v>1820132</v>
      </c>
      <c r="I418" s="13">
        <v>0</v>
      </c>
      <c r="J418" s="13">
        <v>0</v>
      </c>
      <c r="K418" s="13">
        <v>730</v>
      </c>
      <c r="L418" s="13">
        <v>10</v>
      </c>
      <c r="M418" s="13">
        <v>718</v>
      </c>
      <c r="N418" s="13">
        <v>216</v>
      </c>
      <c r="O418" s="13">
        <v>33</v>
      </c>
      <c r="P418" s="13">
        <v>1</v>
      </c>
      <c r="Q418" s="13">
        <v>65</v>
      </c>
      <c r="R418" s="13">
        <v>0</v>
      </c>
      <c r="S418" s="13">
        <v>0</v>
      </c>
      <c r="T418" s="23">
        <v>46247.532453703701</v>
      </c>
      <c r="U418" s="55">
        <f t="shared" si="18"/>
        <v>1.5</v>
      </c>
      <c r="V418" s="55">
        <f t="shared" si="19"/>
        <v>0.16666666666666666</v>
      </c>
      <c r="W418" s="56">
        <f t="shared" si="20"/>
        <v>1065</v>
      </c>
    </row>
    <row r="419" spans="1:23" x14ac:dyDescent="0.3">
      <c r="A419" s="13" t="str" cm="1">
        <f t="array" ref="A419:B419">INDEX(BenchmarkResults!$B$1:$D$35,SUMPRODUCT((T419&gt;=BenchmarkResults!$F$3:$F$35)*(mongodb_hardware_log!T419&lt;BenchmarkResults!$G$3:$G$35)*ROW(BenchmarkResults!$F$3:$F$35)),{1,3})</f>
        <v>q2_avg_order_city</v>
      </c>
      <c r="B419">
        <v>1</v>
      </c>
      <c r="C419" s="13">
        <v>1</v>
      </c>
      <c r="D419" s="13">
        <v>0</v>
      </c>
      <c r="E419" s="13">
        <v>135168</v>
      </c>
      <c r="F419" s="13">
        <v>564408</v>
      </c>
      <c r="G419" s="13">
        <v>1472</v>
      </c>
      <c r="H419" s="13">
        <v>1832052</v>
      </c>
      <c r="I419" s="13">
        <v>0</v>
      </c>
      <c r="J419" s="13">
        <v>0</v>
      </c>
      <c r="K419" s="13">
        <v>1192</v>
      </c>
      <c r="L419" s="13">
        <v>12</v>
      </c>
      <c r="M419" s="13">
        <v>721</v>
      </c>
      <c r="N419" s="13">
        <v>213</v>
      </c>
      <c r="O419" s="13">
        <v>33</v>
      </c>
      <c r="P419" s="13">
        <v>1</v>
      </c>
      <c r="Q419" s="13">
        <v>65</v>
      </c>
      <c r="R419" s="13">
        <v>0</v>
      </c>
      <c r="S419" s="13">
        <v>0</v>
      </c>
      <c r="T419" s="23">
        <v>46247.532569444447</v>
      </c>
      <c r="U419" s="55">
        <f t="shared" si="18"/>
        <v>1</v>
      </c>
      <c r="V419" s="55">
        <f t="shared" si="19"/>
        <v>0.16666666666666666</v>
      </c>
      <c r="W419" s="56">
        <f t="shared" si="20"/>
        <v>919</v>
      </c>
    </row>
    <row r="420" spans="1:23" x14ac:dyDescent="0.3">
      <c r="A420" s="13" t="str" cm="1">
        <f t="array" ref="A420:B420">INDEX(BenchmarkResults!$B$1:$D$35,SUMPRODUCT((T420&gt;=BenchmarkResults!$F$3:$F$35)*(mongodb_hardware_log!T420&lt;BenchmarkResults!$G$3:$G$35)*ROW(BenchmarkResults!$F$3:$F$35)),{1,3})</f>
        <v>q2_avg_order_city</v>
      </c>
      <c r="B420">
        <v>1</v>
      </c>
      <c r="C420" s="13">
        <v>1</v>
      </c>
      <c r="D420" s="13">
        <v>0</v>
      </c>
      <c r="E420" s="13">
        <v>135168</v>
      </c>
      <c r="F420" s="13">
        <v>561344</v>
      </c>
      <c r="G420" s="13">
        <v>1496</v>
      </c>
      <c r="H420" s="13">
        <v>1839552</v>
      </c>
      <c r="I420" s="13">
        <v>1</v>
      </c>
      <c r="J420" s="13">
        <v>0</v>
      </c>
      <c r="K420" s="13">
        <v>744</v>
      </c>
      <c r="L420" s="13">
        <v>27</v>
      </c>
      <c r="M420" s="13">
        <v>749</v>
      </c>
      <c r="N420" s="13">
        <v>244</v>
      </c>
      <c r="O420" s="13">
        <v>34</v>
      </c>
      <c r="P420" s="13">
        <v>1</v>
      </c>
      <c r="Q420" s="13">
        <v>64</v>
      </c>
      <c r="R420" s="13">
        <v>0</v>
      </c>
      <c r="S420" s="13">
        <v>1</v>
      </c>
      <c r="T420" s="23">
        <v>46247.532685185186</v>
      </c>
      <c r="U420" s="55">
        <f t="shared" si="18"/>
        <v>1.1666666666666667</v>
      </c>
      <c r="V420" s="55">
        <f t="shared" si="19"/>
        <v>0</v>
      </c>
      <c r="W420" s="56">
        <f t="shared" si="20"/>
        <v>835.16666666666663</v>
      </c>
    </row>
    <row r="421" spans="1:23" x14ac:dyDescent="0.3">
      <c r="A421" s="13" t="str" cm="1">
        <f t="array" ref="A421:B421">INDEX(BenchmarkResults!$B$1:$D$35,SUMPRODUCT((T421&gt;=BenchmarkResults!$F$3:$F$35)*(mongodb_hardware_log!T421&lt;BenchmarkResults!$G$3:$G$35)*ROW(BenchmarkResults!$F$3:$F$35)),{1,3})</f>
        <v>q2_avg_order_city</v>
      </c>
      <c r="B421">
        <v>1</v>
      </c>
      <c r="C421" s="13">
        <v>0</v>
      </c>
      <c r="D421" s="13">
        <v>1</v>
      </c>
      <c r="E421" s="13">
        <v>135168</v>
      </c>
      <c r="F421" s="13">
        <v>553532</v>
      </c>
      <c r="G421" s="13">
        <v>1504</v>
      </c>
      <c r="H421" s="13">
        <v>1847752</v>
      </c>
      <c r="I421" s="13">
        <v>0</v>
      </c>
      <c r="J421" s="13">
        <v>0</v>
      </c>
      <c r="K421" s="13">
        <v>821</v>
      </c>
      <c r="L421" s="13">
        <v>32</v>
      </c>
      <c r="M421" s="13">
        <v>723</v>
      </c>
      <c r="N421" s="13">
        <v>213</v>
      </c>
      <c r="O421" s="13">
        <v>33</v>
      </c>
      <c r="P421" s="13">
        <v>1</v>
      </c>
      <c r="Q421" s="13">
        <v>65</v>
      </c>
      <c r="R421" s="13">
        <v>0</v>
      </c>
      <c r="S421" s="13">
        <v>1</v>
      </c>
      <c r="T421" s="23">
        <v>46247.532800925925</v>
      </c>
      <c r="U421" s="55">
        <f t="shared" si="18"/>
        <v>0.83333333333333337</v>
      </c>
      <c r="V421" s="55">
        <f t="shared" si="19"/>
        <v>0.16666666666666666</v>
      </c>
      <c r="W421" s="56">
        <f t="shared" si="20"/>
        <v>866.33333333333337</v>
      </c>
    </row>
    <row r="422" spans="1:23" x14ac:dyDescent="0.3">
      <c r="A422" s="13" t="str" cm="1">
        <f t="array" ref="A422:B422">INDEX(BenchmarkResults!$B$1:$D$35,SUMPRODUCT((T422&gt;=BenchmarkResults!$F$3:$F$35)*(mongodb_hardware_log!T422&lt;BenchmarkResults!$G$3:$G$35)*ROW(BenchmarkResults!$F$3:$F$35)),{1,3})</f>
        <v>q2_avg_order_city</v>
      </c>
      <c r="B422">
        <v>1</v>
      </c>
      <c r="C422" s="13">
        <v>1</v>
      </c>
      <c r="D422" s="13">
        <v>0</v>
      </c>
      <c r="E422" s="13">
        <v>135168</v>
      </c>
      <c r="F422" s="13">
        <v>542444</v>
      </c>
      <c r="G422" s="13">
        <v>1512</v>
      </c>
      <c r="H422" s="13">
        <v>1855300</v>
      </c>
      <c r="I422" s="13">
        <v>0</v>
      </c>
      <c r="J422" s="13">
        <v>0</v>
      </c>
      <c r="K422" s="13">
        <v>754</v>
      </c>
      <c r="L422" s="13">
        <v>11</v>
      </c>
      <c r="M422" s="13">
        <v>717</v>
      </c>
      <c r="N422" s="13">
        <v>215</v>
      </c>
      <c r="O422" s="13">
        <v>34</v>
      </c>
      <c r="P422" s="13">
        <v>1</v>
      </c>
      <c r="Q422" s="13">
        <v>65</v>
      </c>
      <c r="R422" s="13">
        <v>0</v>
      </c>
      <c r="S422" s="13">
        <v>0</v>
      </c>
      <c r="T422" s="23">
        <v>46247.532916666663</v>
      </c>
      <c r="U422" s="55">
        <f t="shared" si="18"/>
        <v>0.83333333333333337</v>
      </c>
      <c r="V422" s="55">
        <f t="shared" si="19"/>
        <v>0.16666666666666666</v>
      </c>
      <c r="W422" s="56">
        <f t="shared" si="20"/>
        <v>857.33333333333337</v>
      </c>
    </row>
    <row r="423" spans="1:23" x14ac:dyDescent="0.3">
      <c r="A423" s="13" t="str" cm="1">
        <f t="array" ref="A423:B423">INDEX(BenchmarkResults!$B$1:$D$35,SUMPRODUCT((T423&gt;=BenchmarkResults!$F$3:$F$35)*(mongodb_hardware_log!T423&lt;BenchmarkResults!$G$3:$G$35)*ROW(BenchmarkResults!$F$3:$F$35)),{1,3})</f>
        <v>q2_avg_order_city</v>
      </c>
      <c r="B423">
        <v>1</v>
      </c>
      <c r="C423" s="13">
        <v>1</v>
      </c>
      <c r="D423" s="13">
        <v>0</v>
      </c>
      <c r="E423" s="13">
        <v>135168</v>
      </c>
      <c r="F423" s="13">
        <v>535164</v>
      </c>
      <c r="G423" s="13">
        <v>1520</v>
      </c>
      <c r="H423" s="13">
        <v>1865288</v>
      </c>
      <c r="I423" s="13">
        <v>0</v>
      </c>
      <c r="J423" s="13">
        <v>0</v>
      </c>
      <c r="K423" s="13">
        <v>1007</v>
      </c>
      <c r="L423" s="13">
        <v>11</v>
      </c>
      <c r="M423" s="13">
        <v>713</v>
      </c>
      <c r="N423" s="13">
        <v>208</v>
      </c>
      <c r="O423" s="13">
        <v>33</v>
      </c>
      <c r="P423" s="13">
        <v>1</v>
      </c>
      <c r="Q423" s="13">
        <v>65</v>
      </c>
      <c r="R423" s="13">
        <v>0</v>
      </c>
      <c r="S423" s="13">
        <v>0</v>
      </c>
      <c r="T423" s="23">
        <v>46247.533032407409</v>
      </c>
      <c r="U423" s="55">
        <f t="shared" si="18"/>
        <v>0.83333333333333337</v>
      </c>
      <c r="V423" s="55">
        <f t="shared" si="19"/>
        <v>0.16666666666666666</v>
      </c>
      <c r="W423" s="56">
        <f t="shared" si="20"/>
        <v>874.66666666666663</v>
      </c>
    </row>
    <row r="424" spans="1:23" x14ac:dyDescent="0.3">
      <c r="A424" s="13" t="str" cm="1">
        <f t="array" ref="A424:B424">INDEX(BenchmarkResults!$B$1:$D$35,SUMPRODUCT((T424&gt;=BenchmarkResults!$F$3:$F$35)*(mongodb_hardware_log!T424&lt;BenchmarkResults!$G$3:$G$35)*ROW(BenchmarkResults!$F$3:$F$35)),{1,3})</f>
        <v>q2_avg_order_city</v>
      </c>
      <c r="B424">
        <v>1</v>
      </c>
      <c r="C424" s="13">
        <v>1</v>
      </c>
      <c r="D424" s="13">
        <v>0</v>
      </c>
      <c r="E424" s="13">
        <v>135168</v>
      </c>
      <c r="F424" s="13">
        <v>527100</v>
      </c>
      <c r="G424" s="13">
        <v>1528</v>
      </c>
      <c r="H424" s="13">
        <v>1872796</v>
      </c>
      <c r="I424" s="13">
        <v>0</v>
      </c>
      <c r="J424" s="13">
        <v>0</v>
      </c>
      <c r="K424" s="13">
        <v>742</v>
      </c>
      <c r="L424" s="13">
        <v>17</v>
      </c>
      <c r="M424" s="13">
        <v>710</v>
      </c>
      <c r="N424" s="13">
        <v>210</v>
      </c>
      <c r="O424" s="13">
        <v>33</v>
      </c>
      <c r="P424" s="13">
        <v>1</v>
      </c>
      <c r="Q424" s="13">
        <v>65</v>
      </c>
      <c r="R424" s="13">
        <v>0</v>
      </c>
      <c r="S424" s="13">
        <v>0</v>
      </c>
      <c r="T424" s="23">
        <v>46247.533148148148</v>
      </c>
      <c r="U424" s="55">
        <f t="shared" si="18"/>
        <v>0.83333333333333337</v>
      </c>
      <c r="V424" s="55">
        <f t="shared" si="19"/>
        <v>0.16666666666666666</v>
      </c>
      <c r="W424" s="56">
        <f t="shared" si="20"/>
        <v>876.66666666666663</v>
      </c>
    </row>
    <row r="425" spans="1:23" x14ac:dyDescent="0.3">
      <c r="A425" s="13" t="str" cm="1">
        <f t="array" ref="A425:B425">INDEX(BenchmarkResults!$B$1:$D$35,SUMPRODUCT((T425&gt;=BenchmarkResults!$F$3:$F$35)*(mongodb_hardware_log!T425&lt;BenchmarkResults!$G$3:$G$35)*ROW(BenchmarkResults!$F$3:$F$35)),{1,3})</f>
        <v>q2_avg_order_city</v>
      </c>
      <c r="B425">
        <v>1</v>
      </c>
      <c r="C425" s="13">
        <v>1</v>
      </c>
      <c r="D425" s="13">
        <v>0</v>
      </c>
      <c r="E425" s="13">
        <v>135168</v>
      </c>
      <c r="F425" s="13">
        <v>520800</v>
      </c>
      <c r="G425" s="13">
        <v>1536</v>
      </c>
      <c r="H425" s="13">
        <v>1881060</v>
      </c>
      <c r="I425" s="13">
        <v>1</v>
      </c>
      <c r="J425" s="13">
        <v>0</v>
      </c>
      <c r="K425" s="13">
        <v>827</v>
      </c>
      <c r="L425" s="13">
        <v>12</v>
      </c>
      <c r="M425" s="13">
        <v>735</v>
      </c>
      <c r="N425" s="13">
        <v>234</v>
      </c>
      <c r="O425" s="13">
        <v>33</v>
      </c>
      <c r="P425" s="13">
        <v>1</v>
      </c>
      <c r="Q425" s="13">
        <v>65</v>
      </c>
      <c r="R425" s="13">
        <v>0</v>
      </c>
      <c r="S425" s="13">
        <v>0</v>
      </c>
      <c r="T425" s="23">
        <v>46247.533263888887</v>
      </c>
      <c r="U425" s="55">
        <f t="shared" si="18"/>
        <v>0.83333333333333337</v>
      </c>
      <c r="V425" s="55">
        <f t="shared" si="19"/>
        <v>0.16666666666666666</v>
      </c>
      <c r="W425" s="56">
        <f t="shared" si="20"/>
        <v>815.83333333333337</v>
      </c>
    </row>
    <row r="426" spans="1:23" x14ac:dyDescent="0.3">
      <c r="A426" s="13" t="str" cm="1">
        <f t="array" ref="A426:B426">INDEX(BenchmarkResults!$B$1:$D$35,SUMPRODUCT((T426&gt;=BenchmarkResults!$F$3:$F$35)*(mongodb_hardware_log!T426&lt;BenchmarkResults!$G$3:$G$35)*ROW(BenchmarkResults!$F$3:$F$35)),{1,3})</f>
        <v>q2_avg_order_city</v>
      </c>
      <c r="B426">
        <v>1</v>
      </c>
      <c r="C426" s="13">
        <v>1</v>
      </c>
      <c r="D426" s="13">
        <v>0</v>
      </c>
      <c r="E426" s="13">
        <v>135168</v>
      </c>
      <c r="F426" s="13">
        <v>507948</v>
      </c>
      <c r="G426" s="13">
        <v>1568</v>
      </c>
      <c r="H426" s="13">
        <v>1892108</v>
      </c>
      <c r="I426" s="13">
        <v>1</v>
      </c>
      <c r="J426" s="13">
        <v>0</v>
      </c>
      <c r="K426" s="13">
        <v>1111</v>
      </c>
      <c r="L426" s="13">
        <v>35</v>
      </c>
      <c r="M426" s="13">
        <v>729</v>
      </c>
      <c r="N426" s="13">
        <v>220</v>
      </c>
      <c r="O426" s="13">
        <v>33</v>
      </c>
      <c r="P426" s="13">
        <v>1</v>
      </c>
      <c r="Q426" s="13">
        <v>65</v>
      </c>
      <c r="R426" s="13">
        <v>0</v>
      </c>
      <c r="S426" s="13">
        <v>0</v>
      </c>
      <c r="T426" s="23">
        <v>46247.533379629633</v>
      </c>
      <c r="U426" s="55">
        <f t="shared" si="18"/>
        <v>0.83333333333333337</v>
      </c>
      <c r="V426" s="55">
        <f t="shared" si="19"/>
        <v>0.16666666666666666</v>
      </c>
      <c r="W426" s="56">
        <f t="shared" si="20"/>
        <v>877</v>
      </c>
    </row>
    <row r="427" spans="1:23" x14ac:dyDescent="0.3">
      <c r="A427" s="13" t="str" cm="1">
        <f t="array" ref="A427:B427">INDEX(BenchmarkResults!$B$1:$D$35,SUMPRODUCT((T427&gt;=BenchmarkResults!$F$3:$F$35)*(mongodb_hardware_log!T427&lt;BenchmarkResults!$G$3:$G$35)*ROW(BenchmarkResults!$F$3:$F$35)),{1,3})</f>
        <v>q2_avg_order_city</v>
      </c>
      <c r="B427">
        <v>1</v>
      </c>
      <c r="C427" s="13">
        <v>1</v>
      </c>
      <c r="D427" s="13">
        <v>0</v>
      </c>
      <c r="E427" s="13">
        <v>135168</v>
      </c>
      <c r="F427" s="13">
        <v>500388</v>
      </c>
      <c r="G427" s="13">
        <v>1584</v>
      </c>
      <c r="H427" s="13">
        <v>1900800</v>
      </c>
      <c r="I427" s="13">
        <v>0</v>
      </c>
      <c r="J427" s="13">
        <v>0</v>
      </c>
      <c r="K427" s="13">
        <v>863</v>
      </c>
      <c r="L427" s="13">
        <v>18</v>
      </c>
      <c r="M427" s="13">
        <v>720</v>
      </c>
      <c r="N427" s="13">
        <v>217</v>
      </c>
      <c r="O427" s="13">
        <v>34</v>
      </c>
      <c r="P427" s="13">
        <v>1</v>
      </c>
      <c r="Q427" s="13">
        <v>65</v>
      </c>
      <c r="R427" s="13">
        <v>0</v>
      </c>
      <c r="S427" s="13">
        <v>0</v>
      </c>
      <c r="T427" s="23">
        <v>46247.533495370371</v>
      </c>
      <c r="U427" s="55">
        <f t="shared" si="18"/>
        <v>1</v>
      </c>
      <c r="V427" s="55">
        <f t="shared" si="19"/>
        <v>0</v>
      </c>
      <c r="W427" s="56">
        <f t="shared" si="20"/>
        <v>884</v>
      </c>
    </row>
    <row r="428" spans="1:23" x14ac:dyDescent="0.3">
      <c r="A428" s="13" t="str" cm="1">
        <f t="array" ref="A428:B428">INDEX(BenchmarkResults!$B$1:$D$35,SUMPRODUCT((T428&gt;=BenchmarkResults!$F$3:$F$35)*(mongodb_hardware_log!T428&lt;BenchmarkResults!$G$3:$G$35)*ROW(BenchmarkResults!$F$3:$F$35)),{1,3})</f>
        <v>q2_avg_order_city</v>
      </c>
      <c r="B428">
        <v>1</v>
      </c>
      <c r="C428" s="13">
        <v>1</v>
      </c>
      <c r="D428" s="13">
        <v>0</v>
      </c>
      <c r="E428" s="13">
        <v>135168</v>
      </c>
      <c r="F428" s="13">
        <v>490812</v>
      </c>
      <c r="G428" s="13">
        <v>1592</v>
      </c>
      <c r="H428" s="13">
        <v>1908272</v>
      </c>
      <c r="I428" s="13">
        <v>0</v>
      </c>
      <c r="J428" s="13">
        <v>0</v>
      </c>
      <c r="K428" s="13">
        <v>748</v>
      </c>
      <c r="L428" s="13">
        <v>12</v>
      </c>
      <c r="M428" s="13">
        <v>725</v>
      </c>
      <c r="N428" s="13">
        <v>219</v>
      </c>
      <c r="O428" s="13">
        <v>33</v>
      </c>
      <c r="P428" s="13">
        <v>1</v>
      </c>
      <c r="Q428" s="13">
        <v>65</v>
      </c>
      <c r="R428" s="13">
        <v>1</v>
      </c>
      <c r="S428" s="13">
        <v>0</v>
      </c>
      <c r="T428" s="23">
        <v>46247.53361111111</v>
      </c>
      <c r="U428" s="55">
        <f t="shared" si="18"/>
        <v>1</v>
      </c>
      <c r="V428" s="55">
        <f t="shared" si="19"/>
        <v>0</v>
      </c>
      <c r="W428" s="56">
        <f t="shared" si="20"/>
        <v>883</v>
      </c>
    </row>
    <row r="429" spans="1:23" x14ac:dyDescent="0.3">
      <c r="A429" s="13" t="str" cm="1">
        <f t="array" ref="A429:B429">INDEX(BenchmarkResults!$B$1:$D$35,SUMPRODUCT((T429&gt;=BenchmarkResults!$F$3:$F$35)*(mongodb_hardware_log!T429&lt;BenchmarkResults!$G$3:$G$35)*ROW(BenchmarkResults!$F$3:$F$35)),{1,3})</f>
        <v>q2_avg_order_city</v>
      </c>
      <c r="B429">
        <v>1</v>
      </c>
      <c r="C429" s="13">
        <v>1</v>
      </c>
      <c r="D429" s="13">
        <v>0</v>
      </c>
      <c r="E429" s="13">
        <v>135168</v>
      </c>
      <c r="F429" s="13">
        <v>484884</v>
      </c>
      <c r="G429" s="13">
        <v>1608</v>
      </c>
      <c r="H429" s="13">
        <v>1916864</v>
      </c>
      <c r="I429" s="13">
        <v>0</v>
      </c>
      <c r="J429" s="13">
        <v>0</v>
      </c>
      <c r="K429" s="13">
        <v>858</v>
      </c>
      <c r="L429" s="13">
        <v>24</v>
      </c>
      <c r="M429" s="13">
        <v>726</v>
      </c>
      <c r="N429" s="13">
        <v>219</v>
      </c>
      <c r="O429" s="13">
        <v>34</v>
      </c>
      <c r="P429" s="13">
        <v>1</v>
      </c>
      <c r="Q429" s="13">
        <v>63</v>
      </c>
      <c r="R429" s="13">
        <v>1</v>
      </c>
      <c r="S429" s="13">
        <v>0</v>
      </c>
      <c r="T429" s="23">
        <v>46247.533726851849</v>
      </c>
      <c r="U429" s="55">
        <f t="shared" si="18"/>
        <v>1</v>
      </c>
      <c r="V429" s="55">
        <f t="shared" si="19"/>
        <v>0</v>
      </c>
      <c r="W429" s="56">
        <f t="shared" si="20"/>
        <v>858.16666666666663</v>
      </c>
    </row>
    <row r="430" spans="1:23" x14ac:dyDescent="0.3">
      <c r="A430" s="13" t="str" cm="1">
        <f t="array" ref="A430:B430">INDEX(BenchmarkResults!$B$1:$D$35,SUMPRODUCT((T430&gt;=BenchmarkResults!$F$3:$F$35)*(mongodb_hardware_log!T430&lt;BenchmarkResults!$G$3:$G$35)*ROW(BenchmarkResults!$F$3:$F$35)),{1,3})</f>
        <v>q2_avg_order_city</v>
      </c>
      <c r="B430">
        <v>1</v>
      </c>
      <c r="C430" s="13">
        <v>1</v>
      </c>
      <c r="D430" s="13">
        <v>0</v>
      </c>
      <c r="E430" s="13">
        <v>135168</v>
      </c>
      <c r="F430" s="13">
        <v>481396</v>
      </c>
      <c r="G430" s="13">
        <v>1616</v>
      </c>
      <c r="H430" s="13">
        <v>1923748</v>
      </c>
      <c r="I430" s="13">
        <v>0</v>
      </c>
      <c r="J430" s="13">
        <v>0</v>
      </c>
      <c r="K430" s="13">
        <v>688</v>
      </c>
      <c r="L430" s="13">
        <v>26</v>
      </c>
      <c r="M430" s="13">
        <v>744</v>
      </c>
      <c r="N430" s="13">
        <v>237</v>
      </c>
      <c r="O430" s="13">
        <v>34</v>
      </c>
      <c r="P430" s="13">
        <v>2</v>
      </c>
      <c r="Q430" s="13">
        <v>64</v>
      </c>
      <c r="R430" s="13">
        <v>0</v>
      </c>
      <c r="S430" s="13">
        <v>0</v>
      </c>
      <c r="T430" s="23">
        <v>46247.533842592595</v>
      </c>
      <c r="U430" s="55">
        <f t="shared" si="18"/>
        <v>1</v>
      </c>
      <c r="V430" s="55">
        <f t="shared" si="19"/>
        <v>0</v>
      </c>
      <c r="W430" s="56">
        <f t="shared" si="20"/>
        <v>849.16666666666663</v>
      </c>
    </row>
    <row r="431" spans="1:23" x14ac:dyDescent="0.3">
      <c r="A431" s="13" t="str" cm="1">
        <f t="array" ref="A431:B431">INDEX(BenchmarkResults!$B$1:$D$35,SUMPRODUCT((T431&gt;=BenchmarkResults!$F$3:$F$35)*(mongodb_hardware_log!T431&lt;BenchmarkResults!$G$3:$G$35)*ROW(BenchmarkResults!$F$3:$F$35)),{1,3})</f>
        <v>q2_avg_order_city</v>
      </c>
      <c r="B431">
        <v>1</v>
      </c>
      <c r="C431" s="13">
        <v>1</v>
      </c>
      <c r="D431" s="13">
        <v>0</v>
      </c>
      <c r="E431" s="13">
        <v>135168</v>
      </c>
      <c r="F431" s="13">
        <v>470180</v>
      </c>
      <c r="G431" s="13">
        <v>1632</v>
      </c>
      <c r="H431" s="13">
        <v>1932704</v>
      </c>
      <c r="I431" s="13">
        <v>0</v>
      </c>
      <c r="J431" s="13">
        <v>0</v>
      </c>
      <c r="K431" s="13">
        <v>896</v>
      </c>
      <c r="L431" s="13">
        <v>22</v>
      </c>
      <c r="M431" s="13">
        <v>719</v>
      </c>
      <c r="N431" s="13">
        <v>216</v>
      </c>
      <c r="O431" s="13">
        <v>34</v>
      </c>
      <c r="P431" s="13">
        <v>1</v>
      </c>
      <c r="Q431" s="13">
        <v>65</v>
      </c>
      <c r="R431" s="13">
        <v>0</v>
      </c>
      <c r="S431" s="13">
        <v>0</v>
      </c>
      <c r="T431" s="23">
        <v>46247.533958333333</v>
      </c>
      <c r="U431" s="55">
        <f t="shared" si="18"/>
        <v>1</v>
      </c>
      <c r="V431" s="55">
        <f t="shared" si="19"/>
        <v>0</v>
      </c>
      <c r="W431" s="56">
        <f t="shared" si="20"/>
        <v>860.66666666666663</v>
      </c>
    </row>
    <row r="432" spans="1:23" x14ac:dyDescent="0.3">
      <c r="A432" s="13" t="str" cm="1">
        <f t="array" ref="A432:B432">INDEX(BenchmarkResults!$B$1:$D$35,SUMPRODUCT((T432&gt;=BenchmarkResults!$F$3:$F$35)*(mongodb_hardware_log!T432&lt;BenchmarkResults!$G$3:$G$35)*ROW(BenchmarkResults!$F$3:$F$35)),{1,3})</f>
        <v>q2_avg_order_city</v>
      </c>
      <c r="B432">
        <v>1</v>
      </c>
      <c r="C432" s="13">
        <v>1</v>
      </c>
      <c r="D432" s="13">
        <v>0</v>
      </c>
      <c r="E432" s="13">
        <v>135168</v>
      </c>
      <c r="F432" s="13">
        <v>456068</v>
      </c>
      <c r="G432" s="13">
        <v>1696</v>
      </c>
      <c r="H432" s="13">
        <v>1945496</v>
      </c>
      <c r="I432" s="13">
        <v>2</v>
      </c>
      <c r="J432" s="13">
        <v>0</v>
      </c>
      <c r="K432" s="13">
        <v>1285</v>
      </c>
      <c r="L432" s="13">
        <v>40</v>
      </c>
      <c r="M432" s="13">
        <v>753</v>
      </c>
      <c r="N432" s="13">
        <v>249</v>
      </c>
      <c r="O432" s="13">
        <v>33</v>
      </c>
      <c r="P432" s="13">
        <v>1</v>
      </c>
      <c r="Q432" s="13">
        <v>65</v>
      </c>
      <c r="R432" s="13">
        <v>1</v>
      </c>
      <c r="S432" s="13">
        <v>0</v>
      </c>
      <c r="T432" s="23">
        <v>46247.534074074072</v>
      </c>
      <c r="U432" s="55">
        <f t="shared" si="18"/>
        <v>1</v>
      </c>
      <c r="V432" s="55">
        <f t="shared" si="19"/>
        <v>0</v>
      </c>
      <c r="W432" s="56">
        <f t="shared" si="20"/>
        <v>889.66666666666663</v>
      </c>
    </row>
    <row r="433" spans="1:23" x14ac:dyDescent="0.3">
      <c r="A433" s="13" t="str" cm="1">
        <f t="array" ref="A433:B433">INDEX(BenchmarkResults!$B$1:$D$35,SUMPRODUCT((T433&gt;=BenchmarkResults!$F$3:$F$35)*(mongodb_hardware_log!T433&lt;BenchmarkResults!$G$3:$G$35)*ROW(BenchmarkResults!$F$3:$F$35)),{1,3})</f>
        <v>q2_avg_order_city</v>
      </c>
      <c r="B433">
        <v>1</v>
      </c>
      <c r="C433" s="13">
        <v>1</v>
      </c>
      <c r="D433" s="13">
        <v>0</v>
      </c>
      <c r="E433" s="13">
        <v>135168</v>
      </c>
      <c r="F433" s="13">
        <v>453788</v>
      </c>
      <c r="G433" s="13">
        <v>1704</v>
      </c>
      <c r="H433" s="13">
        <v>1950968</v>
      </c>
      <c r="I433" s="13">
        <v>0</v>
      </c>
      <c r="J433" s="13">
        <v>0</v>
      </c>
      <c r="K433" s="13">
        <v>536</v>
      </c>
      <c r="L433" s="13">
        <v>22</v>
      </c>
      <c r="M433" s="13">
        <v>759</v>
      </c>
      <c r="N433" s="13">
        <v>262</v>
      </c>
      <c r="O433" s="13">
        <v>34</v>
      </c>
      <c r="P433" s="13">
        <v>1</v>
      </c>
      <c r="Q433" s="13">
        <v>64</v>
      </c>
      <c r="R433" s="13">
        <v>0</v>
      </c>
      <c r="S433" s="13">
        <v>0</v>
      </c>
      <c r="T433" s="23">
        <v>46247.534189814818</v>
      </c>
      <c r="U433" s="55">
        <f t="shared" si="18"/>
        <v>1</v>
      </c>
      <c r="V433" s="55">
        <f t="shared" si="19"/>
        <v>0</v>
      </c>
      <c r="W433" s="56">
        <f t="shared" si="20"/>
        <v>835.16666666666663</v>
      </c>
    </row>
    <row r="434" spans="1:23" x14ac:dyDescent="0.3">
      <c r="A434" s="13" t="str" cm="1">
        <f t="array" ref="A434:B434">INDEX(BenchmarkResults!$B$1:$D$35,SUMPRODUCT((T434&gt;=BenchmarkResults!$F$3:$F$35)*(mongodb_hardware_log!T434&lt;BenchmarkResults!$G$3:$G$35)*ROW(BenchmarkResults!$F$3:$F$35)),{1,3})</f>
        <v>q2_avg_order_city</v>
      </c>
      <c r="B434">
        <v>1</v>
      </c>
      <c r="C434" s="13">
        <v>1</v>
      </c>
      <c r="D434" s="13">
        <v>0</v>
      </c>
      <c r="E434" s="13">
        <v>135168</v>
      </c>
      <c r="F434" s="13">
        <v>442196</v>
      </c>
      <c r="G434" s="13">
        <v>1720</v>
      </c>
      <c r="H434" s="13">
        <v>1958544</v>
      </c>
      <c r="I434" s="13">
        <v>0</v>
      </c>
      <c r="J434" s="13">
        <v>0</v>
      </c>
      <c r="K434" s="13">
        <v>758</v>
      </c>
      <c r="L434" s="13">
        <v>17</v>
      </c>
      <c r="M434" s="13">
        <v>723</v>
      </c>
      <c r="N434" s="13">
        <v>220</v>
      </c>
      <c r="O434" s="13">
        <v>33</v>
      </c>
      <c r="P434" s="13">
        <v>1</v>
      </c>
      <c r="Q434" s="13">
        <v>65</v>
      </c>
      <c r="R434" s="13">
        <v>0</v>
      </c>
      <c r="S434" s="13">
        <v>1</v>
      </c>
      <c r="T434" s="23">
        <v>46247.534305555557</v>
      </c>
      <c r="U434" s="55">
        <f t="shared" si="18"/>
        <v>1</v>
      </c>
      <c r="V434" s="55">
        <f t="shared" si="19"/>
        <v>0</v>
      </c>
      <c r="W434" s="56">
        <f t="shared" si="20"/>
        <v>836.83333333333337</v>
      </c>
    </row>
    <row r="435" spans="1:23" x14ac:dyDescent="0.3">
      <c r="A435" s="13" t="str" cm="1">
        <f t="array" ref="A435:B435">INDEX(BenchmarkResults!$B$1:$D$35,SUMPRODUCT((T435&gt;=BenchmarkResults!$F$3:$F$35)*(mongodb_hardware_log!T435&lt;BenchmarkResults!$G$3:$G$35)*ROW(BenchmarkResults!$F$3:$F$35)),{1,3})</f>
        <v>q2_avg_order_city</v>
      </c>
      <c r="B435">
        <v>1</v>
      </c>
      <c r="C435" s="13">
        <v>1</v>
      </c>
      <c r="D435" s="13">
        <v>0</v>
      </c>
      <c r="E435" s="13">
        <v>135168</v>
      </c>
      <c r="F435" s="13">
        <v>431108</v>
      </c>
      <c r="G435" s="13">
        <v>1728</v>
      </c>
      <c r="H435" s="13">
        <v>1966604</v>
      </c>
      <c r="I435" s="13">
        <v>0</v>
      </c>
      <c r="J435" s="13">
        <v>0</v>
      </c>
      <c r="K435" s="13">
        <v>807</v>
      </c>
      <c r="L435" s="13">
        <v>14</v>
      </c>
      <c r="M435" s="13">
        <v>701</v>
      </c>
      <c r="N435" s="13">
        <v>197</v>
      </c>
      <c r="O435" s="13">
        <v>33</v>
      </c>
      <c r="P435" s="13">
        <v>1</v>
      </c>
      <c r="Q435" s="13">
        <v>65</v>
      </c>
      <c r="R435" s="13">
        <v>0</v>
      </c>
      <c r="S435" s="13">
        <v>0</v>
      </c>
      <c r="T435" s="23">
        <v>46247.534421296295</v>
      </c>
      <c r="U435" s="55">
        <f t="shared" si="18"/>
        <v>1</v>
      </c>
      <c r="V435" s="55">
        <f t="shared" si="19"/>
        <v>0</v>
      </c>
      <c r="W435" s="56">
        <f t="shared" si="20"/>
        <v>828.33333333333337</v>
      </c>
    </row>
    <row r="436" spans="1:23" x14ac:dyDescent="0.3">
      <c r="A436" s="13" t="str" cm="1">
        <f t="array" ref="A436:B436">INDEX(BenchmarkResults!$B$1:$D$35,SUMPRODUCT((T436&gt;=BenchmarkResults!$F$3:$F$35)*(mongodb_hardware_log!T436&lt;BenchmarkResults!$G$3:$G$35)*ROW(BenchmarkResults!$F$3:$F$35)),{1,3})</f>
        <v>q2_avg_order_city</v>
      </c>
      <c r="B436">
        <v>1</v>
      </c>
      <c r="C436" s="13">
        <v>1</v>
      </c>
      <c r="D436" s="13">
        <v>0</v>
      </c>
      <c r="E436" s="13">
        <v>135168</v>
      </c>
      <c r="F436" s="13">
        <v>422036</v>
      </c>
      <c r="G436" s="13">
        <v>1744</v>
      </c>
      <c r="H436" s="13">
        <v>1977196</v>
      </c>
      <c r="I436" s="13">
        <v>0</v>
      </c>
      <c r="J436" s="13">
        <v>0</v>
      </c>
      <c r="K436" s="13">
        <v>1058</v>
      </c>
      <c r="L436" s="13">
        <v>18</v>
      </c>
      <c r="M436" s="13">
        <v>744</v>
      </c>
      <c r="N436" s="13">
        <v>227</v>
      </c>
      <c r="O436" s="13">
        <v>33</v>
      </c>
      <c r="P436" s="13">
        <v>1</v>
      </c>
      <c r="Q436" s="13">
        <v>63</v>
      </c>
      <c r="R436" s="13">
        <v>1</v>
      </c>
      <c r="S436" s="13">
        <v>1</v>
      </c>
      <c r="T436" s="23">
        <v>46247.534537037034</v>
      </c>
      <c r="U436" s="55">
        <f t="shared" si="18"/>
        <v>1</v>
      </c>
      <c r="V436" s="55">
        <f t="shared" si="19"/>
        <v>0</v>
      </c>
      <c r="W436" s="56">
        <f t="shared" si="20"/>
        <v>890</v>
      </c>
    </row>
    <row r="437" spans="1:23" x14ac:dyDescent="0.3">
      <c r="A437" s="13" t="str" cm="1">
        <f t="array" ref="A437:B437">INDEX(BenchmarkResults!$B$1:$D$35,SUMPRODUCT((T437&gt;=BenchmarkResults!$F$3:$F$35)*(mongodb_hardware_log!T437&lt;BenchmarkResults!$G$3:$G$35)*ROW(BenchmarkResults!$F$3:$F$35)),{1,3})</f>
        <v>q2_avg_order_city</v>
      </c>
      <c r="B437">
        <v>1</v>
      </c>
      <c r="C437" s="13">
        <v>1</v>
      </c>
      <c r="D437" s="13">
        <v>0</v>
      </c>
      <c r="E437" s="13">
        <v>135168</v>
      </c>
      <c r="F437" s="13">
        <v>420524</v>
      </c>
      <c r="G437" s="13">
        <v>1752</v>
      </c>
      <c r="H437" s="13">
        <v>1981612</v>
      </c>
      <c r="I437" s="13">
        <v>0</v>
      </c>
      <c r="J437" s="13">
        <v>0</v>
      </c>
      <c r="K437" s="13">
        <v>450</v>
      </c>
      <c r="L437" s="13">
        <v>4</v>
      </c>
      <c r="M437" s="13">
        <v>710</v>
      </c>
      <c r="N437" s="13">
        <v>207</v>
      </c>
      <c r="O437" s="13">
        <v>33</v>
      </c>
      <c r="P437" s="13">
        <v>1</v>
      </c>
      <c r="Q437" s="13">
        <v>65</v>
      </c>
      <c r="R437" s="13">
        <v>0</v>
      </c>
      <c r="S437" s="13">
        <v>1</v>
      </c>
      <c r="T437" s="23">
        <v>46247.53465277778</v>
      </c>
      <c r="U437" s="55">
        <f t="shared" si="18"/>
        <v>1</v>
      </c>
      <c r="V437" s="55">
        <f t="shared" si="19"/>
        <v>0</v>
      </c>
      <c r="W437" s="56">
        <f t="shared" si="20"/>
        <v>815.66666666666663</v>
      </c>
    </row>
    <row r="438" spans="1:23" x14ac:dyDescent="0.3">
      <c r="A438" s="13" t="str" cm="1">
        <f t="array" ref="A438:B438">INDEX(BenchmarkResults!$B$1:$D$35,SUMPRODUCT((T438&gt;=BenchmarkResults!$F$3:$F$35)*(mongodb_hardware_log!T438&lt;BenchmarkResults!$G$3:$G$35)*ROW(BenchmarkResults!$F$3:$F$35)),{1,3})</f>
        <v>q2_avg_order_city</v>
      </c>
      <c r="B438">
        <v>1</v>
      </c>
      <c r="C438" s="13">
        <v>1</v>
      </c>
      <c r="D438" s="13">
        <v>0</v>
      </c>
      <c r="E438" s="13">
        <v>135168</v>
      </c>
      <c r="F438" s="13">
        <v>411704</v>
      </c>
      <c r="G438" s="13">
        <v>1776</v>
      </c>
      <c r="H438" s="13">
        <v>1990352</v>
      </c>
      <c r="I438" s="13">
        <v>1</v>
      </c>
      <c r="J438" s="13">
        <v>0</v>
      </c>
      <c r="K438" s="13">
        <v>872</v>
      </c>
      <c r="L438" s="13">
        <v>32</v>
      </c>
      <c r="M438" s="13">
        <v>724</v>
      </c>
      <c r="N438" s="13">
        <v>209</v>
      </c>
      <c r="O438" s="13">
        <v>33</v>
      </c>
      <c r="P438" s="13">
        <v>1</v>
      </c>
      <c r="Q438" s="13">
        <v>65</v>
      </c>
      <c r="R438" s="13">
        <v>0</v>
      </c>
      <c r="S438" s="13">
        <v>1</v>
      </c>
      <c r="T438" s="23">
        <v>46247.534768518519</v>
      </c>
      <c r="U438" s="55">
        <f t="shared" si="18"/>
        <v>1</v>
      </c>
      <c r="V438" s="55">
        <f t="shared" si="19"/>
        <v>0</v>
      </c>
      <c r="W438" s="56">
        <f t="shared" si="20"/>
        <v>746.83333333333337</v>
      </c>
    </row>
    <row r="439" spans="1:23" x14ac:dyDescent="0.3">
      <c r="A439" s="13" t="str" cm="1">
        <f t="array" ref="A439:B439">INDEX(BenchmarkResults!$B$1:$D$35,SUMPRODUCT((T439&gt;=BenchmarkResults!$F$3:$F$35)*(mongodb_hardware_log!T439&lt;BenchmarkResults!$G$3:$G$35)*ROW(BenchmarkResults!$F$3:$F$35)),{1,3})</f>
        <v>q2_avg_order_city</v>
      </c>
      <c r="B439">
        <v>1</v>
      </c>
      <c r="C439" s="13">
        <v>1</v>
      </c>
      <c r="D439" s="13">
        <v>0</v>
      </c>
      <c r="E439" s="13">
        <v>135168</v>
      </c>
      <c r="F439" s="13">
        <v>403892</v>
      </c>
      <c r="G439" s="13">
        <v>1784</v>
      </c>
      <c r="H439" s="13">
        <v>1998900</v>
      </c>
      <c r="I439" s="13">
        <v>0</v>
      </c>
      <c r="J439" s="13">
        <v>0</v>
      </c>
      <c r="K439" s="13">
        <v>856</v>
      </c>
      <c r="L439" s="13">
        <v>9</v>
      </c>
      <c r="M439" s="13">
        <v>711</v>
      </c>
      <c r="N439" s="13">
        <v>205</v>
      </c>
      <c r="O439" s="13">
        <v>33</v>
      </c>
      <c r="P439" s="13">
        <v>1</v>
      </c>
      <c r="Q439" s="13">
        <v>65</v>
      </c>
      <c r="R439" s="13">
        <v>0</v>
      </c>
      <c r="S439" s="13">
        <v>0</v>
      </c>
      <c r="T439" s="23">
        <v>46247.534884259258</v>
      </c>
      <c r="U439" s="55">
        <f t="shared" si="18"/>
        <v>1</v>
      </c>
      <c r="V439" s="55">
        <f t="shared" si="19"/>
        <v>0</v>
      </c>
      <c r="W439" s="56">
        <f t="shared" si="20"/>
        <v>800.16666666666663</v>
      </c>
    </row>
    <row r="440" spans="1:23" x14ac:dyDescent="0.3">
      <c r="A440" s="13" t="str" cm="1">
        <f t="array" ref="A440:B440">INDEX(BenchmarkResults!$B$1:$D$35,SUMPRODUCT((T440&gt;=BenchmarkResults!$F$3:$F$35)*(mongodb_hardware_log!T440&lt;BenchmarkResults!$G$3:$G$35)*ROW(BenchmarkResults!$F$3:$F$35)),{1,3})</f>
        <v>q2_avg_order_city</v>
      </c>
      <c r="B440">
        <v>1</v>
      </c>
      <c r="C440" s="13">
        <v>1</v>
      </c>
      <c r="D440" s="13">
        <v>0</v>
      </c>
      <c r="E440" s="13">
        <v>135168</v>
      </c>
      <c r="F440" s="13">
        <v>397304</v>
      </c>
      <c r="G440" s="13">
        <v>1792</v>
      </c>
      <c r="H440" s="13">
        <v>2006608</v>
      </c>
      <c r="I440" s="13">
        <v>0</v>
      </c>
      <c r="J440" s="13">
        <v>0</v>
      </c>
      <c r="K440" s="13">
        <v>773</v>
      </c>
      <c r="L440" s="13">
        <v>9</v>
      </c>
      <c r="M440" s="13">
        <v>721</v>
      </c>
      <c r="N440" s="13">
        <v>218</v>
      </c>
      <c r="O440" s="13">
        <v>33</v>
      </c>
      <c r="P440" s="13">
        <v>1</v>
      </c>
      <c r="Q440" s="13">
        <v>65</v>
      </c>
      <c r="R440" s="13">
        <v>0</v>
      </c>
      <c r="S440" s="13">
        <v>0</v>
      </c>
      <c r="T440" s="23">
        <v>46247.535000000003</v>
      </c>
      <c r="U440" s="55">
        <f t="shared" si="18"/>
        <v>1</v>
      </c>
      <c r="V440" s="55">
        <f t="shared" si="19"/>
        <v>0</v>
      </c>
      <c r="W440" s="56">
        <f t="shared" si="20"/>
        <v>802.66666666666663</v>
      </c>
    </row>
    <row r="441" spans="1:23" x14ac:dyDescent="0.3">
      <c r="A441" s="13" t="str" cm="1">
        <f t="array" ref="A441:B441">INDEX(BenchmarkResults!$B$1:$D$35,SUMPRODUCT((T441&gt;=BenchmarkResults!$F$3:$F$35)*(mongodb_hardware_log!T441&lt;BenchmarkResults!$G$3:$G$35)*ROW(BenchmarkResults!$F$3:$F$35)),{1,3})</f>
        <v>q2_avg_order_city</v>
      </c>
      <c r="B441">
        <v>1</v>
      </c>
      <c r="C441" s="13">
        <v>1</v>
      </c>
      <c r="D441" s="13">
        <v>0</v>
      </c>
      <c r="E441" s="13">
        <v>135168</v>
      </c>
      <c r="F441" s="13">
        <v>389744</v>
      </c>
      <c r="G441" s="13">
        <v>1808</v>
      </c>
      <c r="H441" s="13">
        <v>2014312</v>
      </c>
      <c r="I441" s="13">
        <v>0</v>
      </c>
      <c r="J441" s="13">
        <v>0</v>
      </c>
      <c r="K441" s="13">
        <v>763</v>
      </c>
      <c r="L441" s="13">
        <v>30</v>
      </c>
      <c r="M441" s="13">
        <v>709</v>
      </c>
      <c r="N441" s="13">
        <v>203</v>
      </c>
      <c r="O441" s="13">
        <v>33</v>
      </c>
      <c r="P441" s="13">
        <v>1</v>
      </c>
      <c r="Q441" s="13">
        <v>65</v>
      </c>
      <c r="R441" s="13">
        <v>0</v>
      </c>
      <c r="S441" s="13">
        <v>1</v>
      </c>
      <c r="T441" s="23">
        <v>46247.535115740742</v>
      </c>
      <c r="U441" s="55">
        <f t="shared" si="18"/>
        <v>1</v>
      </c>
      <c r="V441" s="55">
        <f t="shared" si="19"/>
        <v>0</v>
      </c>
      <c r="W441" s="56">
        <f t="shared" si="20"/>
        <v>795.33333333333337</v>
      </c>
    </row>
    <row r="442" spans="1:23" x14ac:dyDescent="0.3">
      <c r="A442" s="13" t="str" cm="1">
        <f t="array" ref="A442:B442">INDEX(BenchmarkResults!$B$1:$D$35,SUMPRODUCT((T442&gt;=BenchmarkResults!$F$3:$F$35)*(mongodb_hardware_log!T442&lt;BenchmarkResults!$G$3:$G$35)*ROW(BenchmarkResults!$F$3:$F$35)),{1,3})</f>
        <v>q2_avg_order_city</v>
      </c>
      <c r="B442">
        <v>1</v>
      </c>
      <c r="C442" s="13">
        <v>1</v>
      </c>
      <c r="D442" s="13">
        <v>0</v>
      </c>
      <c r="E442" s="13">
        <v>135168</v>
      </c>
      <c r="F442" s="13">
        <v>374624</v>
      </c>
      <c r="G442" s="13">
        <v>1816</v>
      </c>
      <c r="H442" s="13">
        <v>2023312</v>
      </c>
      <c r="I442" s="13">
        <v>0</v>
      </c>
      <c r="J442" s="13">
        <v>0</v>
      </c>
      <c r="K442" s="13">
        <v>900</v>
      </c>
      <c r="L442" s="13">
        <v>5</v>
      </c>
      <c r="M442" s="13">
        <v>715</v>
      </c>
      <c r="N442" s="13">
        <v>212</v>
      </c>
      <c r="O442" s="13">
        <v>33</v>
      </c>
      <c r="P442" s="13">
        <v>1</v>
      </c>
      <c r="Q442" s="13">
        <v>65</v>
      </c>
      <c r="R442" s="13">
        <v>0</v>
      </c>
      <c r="S442" s="13">
        <v>0</v>
      </c>
      <c r="T442" s="23">
        <v>46247.535231481481</v>
      </c>
      <c r="U442" s="55">
        <f t="shared" si="18"/>
        <v>1</v>
      </c>
      <c r="V442" s="55">
        <f t="shared" si="19"/>
        <v>0</v>
      </c>
      <c r="W442" s="56">
        <f t="shared" si="20"/>
        <v>769</v>
      </c>
    </row>
    <row r="443" spans="1:23" x14ac:dyDescent="0.3">
      <c r="A443" s="13" t="str" cm="1">
        <f t="array" ref="A443:B443">INDEX(BenchmarkResults!$B$1:$D$35,SUMPRODUCT((T443&gt;=BenchmarkResults!$F$3:$F$35)*(mongodb_hardware_log!T443&lt;BenchmarkResults!$G$3:$G$35)*ROW(BenchmarkResults!$F$3:$F$35)),{1,3})</f>
        <v>q2_avg_order_city</v>
      </c>
      <c r="B443">
        <v>1</v>
      </c>
      <c r="C443" s="13">
        <v>1</v>
      </c>
      <c r="D443" s="13">
        <v>0</v>
      </c>
      <c r="E443" s="13">
        <v>135168</v>
      </c>
      <c r="F443" s="13">
        <v>373112</v>
      </c>
      <c r="G443" s="13">
        <v>1824</v>
      </c>
      <c r="H443" s="13">
        <v>2031040</v>
      </c>
      <c r="I443" s="13">
        <v>1</v>
      </c>
      <c r="J443" s="13">
        <v>0</v>
      </c>
      <c r="K443" s="13">
        <v>774</v>
      </c>
      <c r="L443" s="13">
        <v>18</v>
      </c>
      <c r="M443" s="13">
        <v>712</v>
      </c>
      <c r="N443" s="13">
        <v>210</v>
      </c>
      <c r="O443" s="13">
        <v>33</v>
      </c>
      <c r="P443" s="13">
        <v>1</v>
      </c>
      <c r="Q443" s="13">
        <v>65</v>
      </c>
      <c r="R443" s="13">
        <v>0</v>
      </c>
      <c r="S443" s="13">
        <v>0</v>
      </c>
      <c r="T443" s="23">
        <v>46247.53534722222</v>
      </c>
      <c r="U443" s="55">
        <f t="shared" si="18"/>
        <v>1</v>
      </c>
      <c r="V443" s="55">
        <f t="shared" si="19"/>
        <v>0</v>
      </c>
      <c r="W443" s="56">
        <f t="shared" si="20"/>
        <v>823</v>
      </c>
    </row>
    <row r="444" spans="1:23" x14ac:dyDescent="0.3">
      <c r="A444" s="13" t="str" cm="1">
        <f t="array" ref="A444:B444">INDEX(BenchmarkResults!$B$1:$D$35,SUMPRODUCT((T444&gt;=BenchmarkResults!$F$3:$F$35)*(mongodb_hardware_log!T444&lt;BenchmarkResults!$G$3:$G$35)*ROW(BenchmarkResults!$F$3:$F$35)),{1,3})</f>
        <v>q2_avg_order_city</v>
      </c>
      <c r="B444">
        <v>1</v>
      </c>
      <c r="C444" s="13">
        <v>1</v>
      </c>
      <c r="D444" s="13">
        <v>0</v>
      </c>
      <c r="E444" s="13">
        <v>135168</v>
      </c>
      <c r="F444" s="13">
        <v>365048</v>
      </c>
      <c r="G444" s="13">
        <v>1856</v>
      </c>
      <c r="H444" s="13">
        <v>2039668</v>
      </c>
      <c r="I444" s="13">
        <v>1</v>
      </c>
      <c r="J444" s="13">
        <v>0</v>
      </c>
      <c r="K444" s="13">
        <v>865</v>
      </c>
      <c r="L444" s="13">
        <v>30</v>
      </c>
      <c r="M444" s="13">
        <v>742</v>
      </c>
      <c r="N444" s="13">
        <v>235</v>
      </c>
      <c r="O444" s="13">
        <v>33</v>
      </c>
      <c r="P444" s="13">
        <v>1</v>
      </c>
      <c r="Q444" s="13">
        <v>65</v>
      </c>
      <c r="R444" s="13">
        <v>1</v>
      </c>
      <c r="S444" s="13">
        <v>0</v>
      </c>
      <c r="T444" s="23">
        <v>46247.535462962966</v>
      </c>
      <c r="U444" s="55">
        <f t="shared" si="18"/>
        <v>1</v>
      </c>
      <c r="V444" s="55">
        <f t="shared" si="19"/>
        <v>0</v>
      </c>
      <c r="W444" s="56">
        <f t="shared" si="20"/>
        <v>821.83333333333337</v>
      </c>
    </row>
    <row r="445" spans="1:23" x14ac:dyDescent="0.3">
      <c r="A445" s="13" t="str" cm="1">
        <f t="array" ref="A445:B445">INDEX(BenchmarkResults!$B$1:$D$35,SUMPRODUCT((T445&gt;=BenchmarkResults!$F$3:$F$35)*(mongodb_hardware_log!T445&lt;BenchmarkResults!$G$3:$G$35)*ROW(BenchmarkResults!$F$3:$F$35)),{1,3})</f>
        <v>q2_avg_order_city</v>
      </c>
      <c r="B445">
        <v>1</v>
      </c>
      <c r="C445" s="13">
        <v>1</v>
      </c>
      <c r="D445" s="13">
        <v>0</v>
      </c>
      <c r="E445" s="13">
        <v>135168</v>
      </c>
      <c r="F445" s="13">
        <v>353544</v>
      </c>
      <c r="G445" s="13">
        <v>1864</v>
      </c>
      <c r="H445" s="13">
        <v>2047128</v>
      </c>
      <c r="I445" s="13">
        <v>0</v>
      </c>
      <c r="J445" s="13">
        <v>0</v>
      </c>
      <c r="K445" s="13">
        <v>746</v>
      </c>
      <c r="L445" s="13">
        <v>32</v>
      </c>
      <c r="M445" s="13">
        <v>736</v>
      </c>
      <c r="N445" s="13">
        <v>234</v>
      </c>
      <c r="O445" s="13">
        <v>34</v>
      </c>
      <c r="P445" s="13">
        <v>1</v>
      </c>
      <c r="Q445" s="13">
        <v>64</v>
      </c>
      <c r="R445" s="13">
        <v>0</v>
      </c>
      <c r="S445" s="13">
        <v>0</v>
      </c>
      <c r="T445" s="23">
        <v>46247.535578703704</v>
      </c>
      <c r="U445" s="55">
        <f t="shared" si="18"/>
        <v>1</v>
      </c>
      <c r="V445" s="55">
        <f t="shared" si="19"/>
        <v>0</v>
      </c>
      <c r="W445" s="56">
        <f t="shared" si="20"/>
        <v>803.5</v>
      </c>
    </row>
    <row r="446" spans="1:23" x14ac:dyDescent="0.3">
      <c r="A446" s="13" t="str" cm="1">
        <f t="array" ref="A446:B446">INDEX(BenchmarkResults!$B$1:$D$35,SUMPRODUCT((T446&gt;=BenchmarkResults!$F$3:$F$35)*(mongodb_hardware_log!T446&lt;BenchmarkResults!$G$3:$G$35)*ROW(BenchmarkResults!$F$3:$F$35)),{1,3})</f>
        <v>q2_avg_order_city</v>
      </c>
      <c r="B446">
        <v>1</v>
      </c>
      <c r="C446" s="13">
        <v>1</v>
      </c>
      <c r="D446" s="13">
        <v>0</v>
      </c>
      <c r="E446" s="13">
        <v>135168</v>
      </c>
      <c r="F446" s="13">
        <v>345676</v>
      </c>
      <c r="G446" s="13">
        <v>1880</v>
      </c>
      <c r="H446" s="13">
        <v>2055772</v>
      </c>
      <c r="I446" s="13">
        <v>0</v>
      </c>
      <c r="J446" s="13">
        <v>0</v>
      </c>
      <c r="K446" s="13">
        <v>868</v>
      </c>
      <c r="L446" s="13">
        <v>22</v>
      </c>
      <c r="M446" s="13">
        <v>714</v>
      </c>
      <c r="N446" s="13">
        <v>211</v>
      </c>
      <c r="O446" s="13">
        <v>33</v>
      </c>
      <c r="P446" s="13">
        <v>1</v>
      </c>
      <c r="Q446" s="13">
        <v>65</v>
      </c>
      <c r="R446" s="13">
        <v>0</v>
      </c>
      <c r="S446" s="13">
        <v>0</v>
      </c>
      <c r="T446" s="23">
        <v>46247.535694444443</v>
      </c>
      <c r="U446" s="55">
        <f t="shared" si="18"/>
        <v>1</v>
      </c>
      <c r="V446" s="55">
        <f t="shared" si="19"/>
        <v>0</v>
      </c>
      <c r="W446" s="56">
        <f t="shared" si="20"/>
        <v>819.33333333333337</v>
      </c>
    </row>
    <row r="447" spans="1:23" x14ac:dyDescent="0.3">
      <c r="A447" s="13" t="str" cm="1">
        <f t="array" ref="A447:B447">INDEX(BenchmarkResults!$B$1:$D$35,SUMPRODUCT((T447&gt;=BenchmarkResults!$F$3:$F$35)*(mongodb_hardware_log!T447&lt;BenchmarkResults!$G$3:$G$35)*ROW(BenchmarkResults!$F$3:$F$35)),{1,3})</f>
        <v>q2_avg_order_city</v>
      </c>
      <c r="B447">
        <v>1</v>
      </c>
      <c r="C447" s="13">
        <v>1</v>
      </c>
      <c r="D447" s="13">
        <v>0</v>
      </c>
      <c r="E447" s="13">
        <v>135168</v>
      </c>
      <c r="F447" s="13">
        <v>340888</v>
      </c>
      <c r="G447" s="13">
        <v>1888</v>
      </c>
      <c r="H447" s="13">
        <v>2063292</v>
      </c>
      <c r="I447" s="13">
        <v>0</v>
      </c>
      <c r="J447" s="13">
        <v>0</v>
      </c>
      <c r="K447" s="13">
        <v>749</v>
      </c>
      <c r="L447" s="13">
        <v>6</v>
      </c>
      <c r="M447" s="13">
        <v>710</v>
      </c>
      <c r="N447" s="13">
        <v>207</v>
      </c>
      <c r="O447" s="13">
        <v>33</v>
      </c>
      <c r="P447" s="13">
        <v>1</v>
      </c>
      <c r="Q447" s="13">
        <v>65</v>
      </c>
      <c r="R447" s="13">
        <v>0</v>
      </c>
      <c r="S447" s="13">
        <v>0</v>
      </c>
      <c r="T447" s="23">
        <v>46247.535810185182</v>
      </c>
      <c r="U447" s="55">
        <f t="shared" si="18"/>
        <v>1</v>
      </c>
      <c r="V447" s="55">
        <f t="shared" si="19"/>
        <v>0</v>
      </c>
      <c r="W447" s="56">
        <f t="shared" si="20"/>
        <v>817</v>
      </c>
    </row>
    <row r="448" spans="1:23" x14ac:dyDescent="0.3">
      <c r="A448" s="13" t="str" cm="1">
        <f t="array" ref="A448:B448">INDEX(BenchmarkResults!$B$1:$D$35,SUMPRODUCT((T448&gt;=BenchmarkResults!$F$3:$F$35)*(mongodb_hardware_log!T448&lt;BenchmarkResults!$G$3:$G$35)*ROW(BenchmarkResults!$F$3:$F$35)),{1,3})</f>
        <v>q2_avg_order_city</v>
      </c>
      <c r="B448">
        <v>1</v>
      </c>
      <c r="C448" s="13">
        <v>1</v>
      </c>
      <c r="D448" s="13">
        <v>0</v>
      </c>
      <c r="E448" s="13">
        <v>135168</v>
      </c>
      <c r="F448" s="13">
        <v>329296</v>
      </c>
      <c r="G448" s="13">
        <v>1896</v>
      </c>
      <c r="H448" s="13">
        <v>2071756</v>
      </c>
      <c r="I448" s="13">
        <v>0</v>
      </c>
      <c r="J448" s="13">
        <v>0</v>
      </c>
      <c r="K448" s="13">
        <v>846</v>
      </c>
      <c r="L448" s="13">
        <v>24</v>
      </c>
      <c r="M448" s="13">
        <v>716</v>
      </c>
      <c r="N448" s="13">
        <v>212</v>
      </c>
      <c r="O448" s="13">
        <v>33</v>
      </c>
      <c r="P448" s="13">
        <v>1</v>
      </c>
      <c r="Q448" s="13">
        <v>65</v>
      </c>
      <c r="R448" s="13">
        <v>0</v>
      </c>
      <c r="S448" s="13">
        <v>1</v>
      </c>
      <c r="T448" s="23">
        <v>46247.535925925928</v>
      </c>
      <c r="U448" s="55">
        <f t="shared" si="18"/>
        <v>1</v>
      </c>
      <c r="V448" s="55">
        <f t="shared" si="19"/>
        <v>0</v>
      </c>
      <c r="W448" s="56">
        <f t="shared" si="20"/>
        <v>808</v>
      </c>
    </row>
    <row r="449" spans="1:23" x14ac:dyDescent="0.3">
      <c r="A449" s="13" t="str" cm="1">
        <f t="array" ref="A449:B449">INDEX(BenchmarkResults!$B$1:$D$35,SUMPRODUCT((T449&gt;=BenchmarkResults!$F$3:$F$35)*(mongodb_hardware_log!T449&lt;BenchmarkResults!$G$3:$G$35)*ROW(BenchmarkResults!$F$3:$F$35)),{1,3})</f>
        <v>q2_avg_order_city</v>
      </c>
      <c r="B449">
        <v>1</v>
      </c>
      <c r="C449" s="13">
        <v>1</v>
      </c>
      <c r="D449" s="13">
        <v>0</v>
      </c>
      <c r="E449" s="13">
        <v>135168</v>
      </c>
      <c r="F449" s="13">
        <v>322492</v>
      </c>
      <c r="G449" s="13">
        <v>1904</v>
      </c>
      <c r="H449" s="13">
        <v>2081868</v>
      </c>
      <c r="I449" s="13">
        <v>0</v>
      </c>
      <c r="J449" s="13">
        <v>0</v>
      </c>
      <c r="K449" s="13">
        <v>1011</v>
      </c>
      <c r="L449" s="13">
        <v>10</v>
      </c>
      <c r="M449" s="13">
        <v>723</v>
      </c>
      <c r="N449" s="13">
        <v>216</v>
      </c>
      <c r="O449" s="13">
        <v>33</v>
      </c>
      <c r="P449" s="13">
        <v>1</v>
      </c>
      <c r="Q449" s="13">
        <v>65</v>
      </c>
      <c r="R449" s="13">
        <v>0</v>
      </c>
      <c r="S449" s="13">
        <v>1</v>
      </c>
      <c r="T449" s="23">
        <v>46247.536041666666</v>
      </c>
      <c r="U449" s="55">
        <f t="shared" si="18"/>
        <v>1</v>
      </c>
      <c r="V449" s="55">
        <f t="shared" si="19"/>
        <v>0</v>
      </c>
      <c r="W449" s="56">
        <f t="shared" si="20"/>
        <v>847.5</v>
      </c>
    </row>
    <row r="450" spans="1:23" x14ac:dyDescent="0.3">
      <c r="A450" s="13" t="str" cm="1">
        <f t="array" ref="A450:B450">INDEX(BenchmarkResults!$B$1:$D$35,SUMPRODUCT((T450&gt;=BenchmarkResults!$F$3:$F$35)*(mongodb_hardware_log!T450&lt;BenchmarkResults!$G$3:$G$35)*ROW(BenchmarkResults!$F$3:$F$35)),{1,3})</f>
        <v>q2_avg_order_city</v>
      </c>
      <c r="B450">
        <v>1</v>
      </c>
      <c r="C450" s="13">
        <v>1</v>
      </c>
      <c r="D450" s="13">
        <v>0</v>
      </c>
      <c r="E450" s="13">
        <v>135168</v>
      </c>
      <c r="F450" s="13">
        <v>313672</v>
      </c>
      <c r="G450" s="13">
        <v>1928</v>
      </c>
      <c r="H450" s="13">
        <v>2090508</v>
      </c>
      <c r="I450" s="13">
        <v>1</v>
      </c>
      <c r="J450" s="13">
        <v>0</v>
      </c>
      <c r="K450" s="13">
        <v>865</v>
      </c>
      <c r="L450" s="13">
        <v>29</v>
      </c>
      <c r="M450" s="13">
        <v>736</v>
      </c>
      <c r="N450" s="13">
        <v>215</v>
      </c>
      <c r="O450" s="13">
        <v>33</v>
      </c>
      <c r="P450" s="13">
        <v>1</v>
      </c>
      <c r="Q450" s="13">
        <v>64</v>
      </c>
      <c r="R450" s="13">
        <v>0</v>
      </c>
      <c r="S450" s="13">
        <v>1</v>
      </c>
      <c r="T450" s="23">
        <v>46247.536157407405</v>
      </c>
      <c r="U450" s="55">
        <f t="shared" si="18"/>
        <v>1</v>
      </c>
      <c r="V450" s="55">
        <f t="shared" si="19"/>
        <v>0</v>
      </c>
      <c r="W450" s="56">
        <f t="shared" si="20"/>
        <v>847.5</v>
      </c>
    </row>
    <row r="451" spans="1:23" x14ac:dyDescent="0.3">
      <c r="A451" s="13" t="str" cm="1">
        <f t="array" ref="A451:B451">INDEX(BenchmarkResults!$B$1:$D$35,SUMPRODUCT((T451&gt;=BenchmarkResults!$F$3:$F$35)*(mongodb_hardware_log!T451&lt;BenchmarkResults!$G$3:$G$35)*ROW(BenchmarkResults!$F$3:$F$35)),{1,3})</f>
        <v>q2_avg_order_city</v>
      </c>
      <c r="B451">
        <v>1</v>
      </c>
      <c r="C451" s="13">
        <v>1</v>
      </c>
      <c r="D451" s="13">
        <v>0</v>
      </c>
      <c r="E451" s="13">
        <v>135168</v>
      </c>
      <c r="F451" s="13">
        <v>305476</v>
      </c>
      <c r="G451" s="13">
        <v>1936</v>
      </c>
      <c r="H451" s="13">
        <v>2099056</v>
      </c>
      <c r="I451" s="13">
        <v>0</v>
      </c>
      <c r="J451" s="13">
        <v>0</v>
      </c>
      <c r="K451" s="13">
        <v>864</v>
      </c>
      <c r="L451" s="13">
        <v>23</v>
      </c>
      <c r="M451" s="13">
        <v>728</v>
      </c>
      <c r="N451" s="13">
        <v>219</v>
      </c>
      <c r="O451" s="13">
        <v>34</v>
      </c>
      <c r="P451" s="13">
        <v>1</v>
      </c>
      <c r="Q451" s="13">
        <v>64</v>
      </c>
      <c r="R451" s="13">
        <v>0</v>
      </c>
      <c r="S451" s="13">
        <v>0</v>
      </c>
      <c r="T451" s="23">
        <v>46247.536273148151</v>
      </c>
      <c r="U451" s="55">
        <f t="shared" si="18"/>
        <v>1</v>
      </c>
      <c r="V451" s="55">
        <f t="shared" si="19"/>
        <v>0</v>
      </c>
      <c r="W451" s="56">
        <f t="shared" si="20"/>
        <v>867.16666666666663</v>
      </c>
    </row>
    <row r="452" spans="1:23" x14ac:dyDescent="0.3">
      <c r="A452" s="13" t="str" cm="1">
        <f t="array" ref="A452:B452">INDEX(BenchmarkResults!$B$1:$D$35,SUMPRODUCT((T452&gt;=BenchmarkResults!$F$3:$F$35)*(mongodb_hardware_log!T452&lt;BenchmarkResults!$G$3:$G$35)*ROW(BenchmarkResults!$F$3:$F$35)),{1,3})</f>
        <v>q2_avg_order_city</v>
      </c>
      <c r="B452">
        <v>1</v>
      </c>
      <c r="C452" s="13">
        <v>1</v>
      </c>
      <c r="D452" s="13">
        <v>0</v>
      </c>
      <c r="E452" s="13">
        <v>135168</v>
      </c>
      <c r="F452" s="13">
        <v>293380</v>
      </c>
      <c r="G452" s="13">
        <v>1944</v>
      </c>
      <c r="H452" s="13">
        <v>2109848</v>
      </c>
      <c r="I452" s="13">
        <v>0</v>
      </c>
      <c r="J452" s="13">
        <v>0</v>
      </c>
      <c r="K452" s="13">
        <v>1078</v>
      </c>
      <c r="L452" s="13">
        <v>11</v>
      </c>
      <c r="M452" s="13">
        <v>733</v>
      </c>
      <c r="N452" s="13">
        <v>218</v>
      </c>
      <c r="O452" s="13">
        <v>33</v>
      </c>
      <c r="P452" s="13">
        <v>1</v>
      </c>
      <c r="Q452" s="13">
        <v>65</v>
      </c>
      <c r="R452" s="13">
        <v>1</v>
      </c>
      <c r="S452" s="13">
        <v>0</v>
      </c>
      <c r="T452" s="23">
        <v>46247.53638888889</v>
      </c>
      <c r="U452" s="55">
        <f t="shared" si="18"/>
        <v>1</v>
      </c>
      <c r="V452" s="55">
        <f t="shared" si="19"/>
        <v>0</v>
      </c>
      <c r="W452" s="56">
        <f t="shared" si="20"/>
        <v>902.16666666666663</v>
      </c>
    </row>
    <row r="453" spans="1:23" x14ac:dyDescent="0.3">
      <c r="A453" s="13" t="str" cm="1">
        <f t="array" ref="A453:B453">INDEX(BenchmarkResults!$B$1:$D$35,SUMPRODUCT((T453&gt;=BenchmarkResults!$F$3:$F$35)*(mongodb_hardware_log!T453&lt;BenchmarkResults!$G$3:$G$35)*ROW(BenchmarkResults!$F$3:$F$35)),{1,3})</f>
        <v>q2_avg_order_city</v>
      </c>
      <c r="B453">
        <v>1</v>
      </c>
      <c r="C453" s="13">
        <v>1</v>
      </c>
      <c r="D453" s="13">
        <v>0</v>
      </c>
      <c r="E453" s="13">
        <v>134912</v>
      </c>
      <c r="F453" s="13">
        <v>283300</v>
      </c>
      <c r="G453" s="13">
        <v>1952</v>
      </c>
      <c r="H453" s="13">
        <v>2120640</v>
      </c>
      <c r="I453" s="13">
        <v>40</v>
      </c>
      <c r="J453" s="13">
        <v>0</v>
      </c>
      <c r="K453" s="13">
        <v>1108</v>
      </c>
      <c r="L453" s="13">
        <v>18</v>
      </c>
      <c r="M453" s="13">
        <v>758</v>
      </c>
      <c r="N453" s="13">
        <v>241</v>
      </c>
      <c r="O453" s="13">
        <v>33</v>
      </c>
      <c r="P453" s="13">
        <v>1</v>
      </c>
      <c r="Q453" s="13">
        <v>63</v>
      </c>
      <c r="R453" s="13">
        <v>3</v>
      </c>
      <c r="S453" s="13">
        <v>0</v>
      </c>
      <c r="T453" s="23">
        <v>46247.536504629628</v>
      </c>
      <c r="U453" s="55">
        <f t="shared" si="18"/>
        <v>1</v>
      </c>
      <c r="V453" s="55">
        <f t="shared" si="19"/>
        <v>0</v>
      </c>
      <c r="W453" s="56">
        <f t="shared" si="20"/>
        <v>962</v>
      </c>
    </row>
    <row r="454" spans="1:23" x14ac:dyDescent="0.3">
      <c r="A454" s="13" t="str" cm="1">
        <f t="array" ref="A454:B454">INDEX(BenchmarkResults!$B$1:$D$35,SUMPRODUCT((T454&gt;=BenchmarkResults!$F$3:$F$35)*(mongodb_hardware_log!T454&lt;BenchmarkResults!$G$3:$G$35)*ROW(BenchmarkResults!$F$3:$F$35)),{1,3})</f>
        <v>q2_avg_order_city</v>
      </c>
      <c r="B454">
        <v>1</v>
      </c>
      <c r="C454" s="13">
        <v>1</v>
      </c>
      <c r="D454" s="13">
        <v>0</v>
      </c>
      <c r="E454" s="13">
        <v>134912</v>
      </c>
      <c r="F454" s="13">
        <v>272464</v>
      </c>
      <c r="G454" s="13">
        <v>1960</v>
      </c>
      <c r="H454" s="13">
        <v>2129872</v>
      </c>
      <c r="I454" s="13">
        <v>0</v>
      </c>
      <c r="J454" s="13">
        <v>0</v>
      </c>
      <c r="K454" s="13">
        <v>923</v>
      </c>
      <c r="L454" s="13">
        <v>11</v>
      </c>
      <c r="M454" s="13">
        <v>736</v>
      </c>
      <c r="N454" s="13">
        <v>231</v>
      </c>
      <c r="O454" s="13">
        <v>33</v>
      </c>
      <c r="P454" s="13">
        <v>1</v>
      </c>
      <c r="Q454" s="13">
        <v>65</v>
      </c>
      <c r="R454" s="13">
        <v>1</v>
      </c>
      <c r="S454" s="13">
        <v>1</v>
      </c>
      <c r="T454" s="23">
        <v>46247.536620370367</v>
      </c>
      <c r="U454" s="55">
        <f t="shared" si="18"/>
        <v>1</v>
      </c>
      <c r="V454" s="55">
        <f t="shared" si="19"/>
        <v>0</v>
      </c>
      <c r="W454" s="56">
        <f t="shared" si="20"/>
        <v>974.83333333333337</v>
      </c>
    </row>
    <row r="455" spans="1:23" x14ac:dyDescent="0.3">
      <c r="A455" s="13" t="str" cm="1">
        <f t="array" ref="A455:B455">INDEX(BenchmarkResults!$B$1:$D$35,SUMPRODUCT((T455&gt;=BenchmarkResults!$F$3:$F$35)*(mongodb_hardware_log!T455&lt;BenchmarkResults!$G$3:$G$35)*ROW(BenchmarkResults!$F$3:$F$35)),{1,3})</f>
        <v>q2_avg_order_city</v>
      </c>
      <c r="B455">
        <v>1</v>
      </c>
      <c r="C455" s="13">
        <v>2</v>
      </c>
      <c r="D455" s="13">
        <v>0</v>
      </c>
      <c r="E455" s="13">
        <v>134912</v>
      </c>
      <c r="F455" s="13">
        <v>123948</v>
      </c>
      <c r="G455" s="13">
        <v>1968</v>
      </c>
      <c r="H455" s="13">
        <v>1757624</v>
      </c>
      <c r="I455" s="13">
        <v>0</v>
      </c>
      <c r="J455" s="13">
        <v>0</v>
      </c>
      <c r="K455" s="13">
        <v>234</v>
      </c>
      <c r="L455" s="13">
        <v>26</v>
      </c>
      <c r="M455" s="13">
        <v>906</v>
      </c>
      <c r="N455" s="13">
        <v>313</v>
      </c>
      <c r="O455" s="13">
        <v>36</v>
      </c>
      <c r="P455" s="13">
        <v>7</v>
      </c>
      <c r="Q455" s="13">
        <v>56</v>
      </c>
      <c r="R455" s="13">
        <v>0</v>
      </c>
      <c r="S455" s="13">
        <v>0</v>
      </c>
      <c r="T455" s="23">
        <v>46247.536736111113</v>
      </c>
      <c r="U455" s="55">
        <f t="shared" si="18"/>
        <v>1.1666666666666667</v>
      </c>
      <c r="V455" s="55">
        <f t="shared" si="19"/>
        <v>0</v>
      </c>
      <c r="W455" s="56">
        <f t="shared" si="20"/>
        <v>845.33333333333337</v>
      </c>
    </row>
    <row r="456" spans="1:23" x14ac:dyDescent="0.3">
      <c r="A456" s="13" t="str" cm="1">
        <f t="array" ref="A456:B456">INDEX(BenchmarkResults!$B$1:$D$35,SUMPRODUCT((T456&gt;=BenchmarkResults!$F$3:$F$35)*(mongodb_hardware_log!T456&lt;BenchmarkResults!$G$3:$G$35)*ROW(BenchmarkResults!$F$3:$F$35)),{1,3})</f>
        <v>q2_avg_order_city</v>
      </c>
      <c r="B456">
        <v>1</v>
      </c>
      <c r="C456" s="13">
        <v>1</v>
      </c>
      <c r="D456" s="13">
        <v>0</v>
      </c>
      <c r="E456" s="13">
        <v>134912</v>
      </c>
      <c r="F456" s="13">
        <v>857840</v>
      </c>
      <c r="G456" s="13">
        <v>2000</v>
      </c>
      <c r="H456" s="13">
        <v>1528792</v>
      </c>
      <c r="I456" s="13">
        <v>1</v>
      </c>
      <c r="J456" s="13">
        <v>0</v>
      </c>
      <c r="K456" s="13">
        <v>793</v>
      </c>
      <c r="L456" s="13">
        <v>31</v>
      </c>
      <c r="M456" s="13">
        <v>899</v>
      </c>
      <c r="N456" s="13">
        <v>397</v>
      </c>
      <c r="O456" s="13">
        <v>35</v>
      </c>
      <c r="P456" s="13">
        <v>5</v>
      </c>
      <c r="Q456" s="13">
        <v>59</v>
      </c>
      <c r="R456" s="13">
        <v>0</v>
      </c>
      <c r="S456" s="13">
        <v>1</v>
      </c>
      <c r="T456" s="23">
        <v>46247.536851851852</v>
      </c>
      <c r="U456" s="55">
        <f t="shared" si="18"/>
        <v>1.1666666666666667</v>
      </c>
      <c r="V456" s="55">
        <f t="shared" si="19"/>
        <v>0</v>
      </c>
      <c r="W456" s="56">
        <f t="shared" si="20"/>
        <v>833.33333333333337</v>
      </c>
    </row>
    <row r="457" spans="1:23" x14ac:dyDescent="0.3">
      <c r="A457" s="13" t="str" cm="1">
        <f t="array" ref="A457:B457">INDEX(BenchmarkResults!$B$1:$D$35,SUMPRODUCT((T457&gt;=BenchmarkResults!$F$3:$F$35)*(mongodb_hardware_log!T457&lt;BenchmarkResults!$G$3:$G$35)*ROW(BenchmarkResults!$F$3:$F$35)),{1,3})</f>
        <v>q2_avg_order_city</v>
      </c>
      <c r="B457">
        <v>1</v>
      </c>
      <c r="C457" s="13">
        <v>2</v>
      </c>
      <c r="D457" s="13">
        <v>0</v>
      </c>
      <c r="E457" s="13">
        <v>134912</v>
      </c>
      <c r="F457" s="13">
        <v>842468</v>
      </c>
      <c r="G457" s="13">
        <v>2008</v>
      </c>
      <c r="H457" s="13">
        <v>1539132</v>
      </c>
      <c r="I457" s="13">
        <v>0</v>
      </c>
      <c r="J457" s="13">
        <v>0</v>
      </c>
      <c r="K457" s="13">
        <v>1032</v>
      </c>
      <c r="L457" s="13">
        <v>16</v>
      </c>
      <c r="M457" s="13">
        <v>802</v>
      </c>
      <c r="N457" s="13">
        <v>299</v>
      </c>
      <c r="O457" s="13">
        <v>34</v>
      </c>
      <c r="P457" s="13">
        <v>1</v>
      </c>
      <c r="Q457" s="13">
        <v>64</v>
      </c>
      <c r="R457" s="13">
        <v>0</v>
      </c>
      <c r="S457" s="13">
        <v>1</v>
      </c>
      <c r="T457" s="23">
        <v>46247.53696759259</v>
      </c>
      <c r="U457" s="55">
        <f t="shared" ref="U457:U520" si="21">AVERAGE(C452:C457)</f>
        <v>1.3333333333333333</v>
      </c>
      <c r="V457" s="55">
        <f t="shared" ref="V457:V520" si="22">AVERAGE(D452:D457)</f>
        <v>0</v>
      </c>
      <c r="W457" s="56">
        <f t="shared" ref="W457:W520" si="23">AVERAGE(K452:K457)</f>
        <v>861.33333333333337</v>
      </c>
    </row>
    <row r="458" spans="1:23" x14ac:dyDescent="0.3">
      <c r="A458" s="13" t="str" cm="1">
        <f t="array" ref="A458:B458">INDEX(BenchmarkResults!$B$1:$D$35,SUMPRODUCT((T458&gt;=BenchmarkResults!$F$3:$F$35)*(mongodb_hardware_log!T458&lt;BenchmarkResults!$G$3:$G$35)*ROW(BenchmarkResults!$F$3:$F$35)),{1,3})</f>
        <v>q2_avg_order_city</v>
      </c>
      <c r="B458">
        <v>1</v>
      </c>
      <c r="C458" s="13">
        <v>1</v>
      </c>
      <c r="D458" s="13">
        <v>0</v>
      </c>
      <c r="E458" s="13">
        <v>134912</v>
      </c>
      <c r="F458" s="13">
        <v>837008</v>
      </c>
      <c r="G458" s="13">
        <v>2024</v>
      </c>
      <c r="H458" s="13">
        <v>1547584</v>
      </c>
      <c r="I458" s="13">
        <v>0</v>
      </c>
      <c r="J458" s="13">
        <v>0</v>
      </c>
      <c r="K458" s="13">
        <v>851</v>
      </c>
      <c r="L458" s="13">
        <v>32</v>
      </c>
      <c r="M458" s="13">
        <v>715</v>
      </c>
      <c r="N458" s="13">
        <v>215</v>
      </c>
      <c r="O458" s="13">
        <v>34</v>
      </c>
      <c r="P458" s="13">
        <v>1</v>
      </c>
      <c r="Q458" s="13">
        <v>64</v>
      </c>
      <c r="R458" s="13">
        <v>0</v>
      </c>
      <c r="S458" s="13">
        <v>0</v>
      </c>
      <c r="T458" s="23">
        <v>46247.537083333336</v>
      </c>
      <c r="U458" s="55">
        <f t="shared" si="21"/>
        <v>1.3333333333333333</v>
      </c>
      <c r="V458" s="55">
        <f t="shared" si="22"/>
        <v>0</v>
      </c>
      <c r="W458" s="56">
        <f t="shared" si="23"/>
        <v>823.5</v>
      </c>
    </row>
    <row r="459" spans="1:23" x14ac:dyDescent="0.3">
      <c r="A459" s="13" t="str" cm="1">
        <f t="array" ref="A459:B459">INDEX(BenchmarkResults!$B$1:$D$35,SUMPRODUCT((T459&gt;=BenchmarkResults!$F$3:$F$35)*(mongodb_hardware_log!T459&lt;BenchmarkResults!$G$3:$G$35)*ROW(BenchmarkResults!$F$3:$F$35)),{1,3})</f>
        <v>q2_avg_order_city</v>
      </c>
      <c r="B459">
        <v>1</v>
      </c>
      <c r="C459" s="13">
        <v>1</v>
      </c>
      <c r="D459" s="13">
        <v>0</v>
      </c>
      <c r="E459" s="13">
        <v>134912</v>
      </c>
      <c r="F459" s="13">
        <v>826676</v>
      </c>
      <c r="G459" s="13">
        <v>2040</v>
      </c>
      <c r="H459" s="13">
        <v>1556928</v>
      </c>
      <c r="I459" s="13">
        <v>0</v>
      </c>
      <c r="J459" s="13">
        <v>0</v>
      </c>
      <c r="K459" s="13">
        <v>931</v>
      </c>
      <c r="L459" s="13">
        <v>14</v>
      </c>
      <c r="M459" s="13">
        <v>709</v>
      </c>
      <c r="N459" s="13">
        <v>205</v>
      </c>
      <c r="O459" s="13">
        <v>33</v>
      </c>
      <c r="P459" s="13">
        <v>1</v>
      </c>
      <c r="Q459" s="13">
        <v>65</v>
      </c>
      <c r="R459" s="13">
        <v>0</v>
      </c>
      <c r="S459" s="13">
        <v>0</v>
      </c>
      <c r="T459" s="23">
        <v>46247.537199074075</v>
      </c>
      <c r="U459" s="55">
        <f t="shared" si="21"/>
        <v>1.3333333333333333</v>
      </c>
      <c r="V459" s="55">
        <f t="shared" si="22"/>
        <v>0</v>
      </c>
      <c r="W459" s="56">
        <f t="shared" si="23"/>
        <v>794</v>
      </c>
    </row>
    <row r="460" spans="1:23" x14ac:dyDescent="0.3">
      <c r="A460" s="13" t="str" cm="1">
        <f t="array" ref="A460:B460">INDEX(BenchmarkResults!$B$1:$D$35,SUMPRODUCT((T460&gt;=BenchmarkResults!$F$3:$F$35)*(mongodb_hardware_log!T460&lt;BenchmarkResults!$G$3:$G$35)*ROW(BenchmarkResults!$F$3:$F$35)),{1,3})</f>
        <v>q2_avg_order_city</v>
      </c>
      <c r="B460">
        <v>1</v>
      </c>
      <c r="C460" s="13">
        <v>1</v>
      </c>
      <c r="D460" s="13">
        <v>0</v>
      </c>
      <c r="E460" s="13">
        <v>134912</v>
      </c>
      <c r="F460" s="13">
        <v>825924</v>
      </c>
      <c r="G460" s="13">
        <v>2056</v>
      </c>
      <c r="H460" s="13">
        <v>1567588</v>
      </c>
      <c r="I460" s="13">
        <v>0</v>
      </c>
      <c r="J460" s="13">
        <v>0</v>
      </c>
      <c r="K460" s="13">
        <v>1068</v>
      </c>
      <c r="L460" s="13">
        <v>10</v>
      </c>
      <c r="M460" s="13">
        <v>763</v>
      </c>
      <c r="N460" s="13">
        <v>237</v>
      </c>
      <c r="O460" s="13">
        <v>33</v>
      </c>
      <c r="P460" s="13">
        <v>1</v>
      </c>
      <c r="Q460" s="13">
        <v>64</v>
      </c>
      <c r="R460" s="13">
        <v>0</v>
      </c>
      <c r="S460" s="13">
        <v>2</v>
      </c>
      <c r="T460" s="23">
        <v>46247.537314814814</v>
      </c>
      <c r="U460" s="55">
        <f t="shared" si="21"/>
        <v>1.3333333333333333</v>
      </c>
      <c r="V460" s="55">
        <f t="shared" si="22"/>
        <v>0</v>
      </c>
      <c r="W460" s="56">
        <f t="shared" si="23"/>
        <v>818.16666666666663</v>
      </c>
    </row>
    <row r="461" spans="1:23" x14ac:dyDescent="0.3">
      <c r="A461" s="13" t="str" cm="1">
        <f t="array" ref="A461:B461">INDEX(BenchmarkResults!$B$1:$D$35,SUMPRODUCT((T461&gt;=BenchmarkResults!$F$3:$F$35)*(mongodb_hardware_log!T461&lt;BenchmarkResults!$G$3:$G$35)*ROW(BenchmarkResults!$F$3:$F$35)),{1,3})</f>
        <v>q2_avg_order_city</v>
      </c>
      <c r="B461">
        <v>1</v>
      </c>
      <c r="C461" s="13">
        <v>1</v>
      </c>
      <c r="D461" s="13">
        <v>0</v>
      </c>
      <c r="E461" s="13">
        <v>134912</v>
      </c>
      <c r="F461" s="13">
        <v>813272</v>
      </c>
      <c r="G461" s="13">
        <v>2072</v>
      </c>
      <c r="H461" s="13">
        <v>1577452</v>
      </c>
      <c r="I461" s="13">
        <v>0</v>
      </c>
      <c r="J461" s="13">
        <v>0</v>
      </c>
      <c r="K461" s="13">
        <v>989</v>
      </c>
      <c r="L461" s="13">
        <v>16</v>
      </c>
      <c r="M461" s="13">
        <v>743</v>
      </c>
      <c r="N461" s="13">
        <v>238</v>
      </c>
      <c r="O461" s="13">
        <v>33</v>
      </c>
      <c r="P461" s="13">
        <v>1</v>
      </c>
      <c r="Q461" s="13">
        <v>65</v>
      </c>
      <c r="R461" s="13">
        <v>1</v>
      </c>
      <c r="S461" s="13">
        <v>0</v>
      </c>
      <c r="T461" s="23">
        <v>46247.537430555552</v>
      </c>
      <c r="U461" s="55">
        <f t="shared" si="21"/>
        <v>1.1666666666666667</v>
      </c>
      <c r="V461" s="55">
        <f t="shared" si="22"/>
        <v>0</v>
      </c>
      <c r="W461" s="56">
        <f t="shared" si="23"/>
        <v>944</v>
      </c>
    </row>
    <row r="462" spans="1:23" x14ac:dyDescent="0.3">
      <c r="A462" s="13" t="str" cm="1">
        <f t="array" ref="A462:B462">INDEX(BenchmarkResults!$B$1:$D$35,SUMPRODUCT((T462&gt;=BenchmarkResults!$F$3:$F$35)*(mongodb_hardware_log!T462&lt;BenchmarkResults!$G$3:$G$35)*ROW(BenchmarkResults!$F$3:$F$35)),{1,3})</f>
        <v>q2_avg_order_city</v>
      </c>
      <c r="B462">
        <v>1</v>
      </c>
      <c r="C462" s="13">
        <v>2</v>
      </c>
      <c r="D462" s="13">
        <v>0</v>
      </c>
      <c r="E462" s="13">
        <v>134912</v>
      </c>
      <c r="F462" s="13">
        <v>811552</v>
      </c>
      <c r="G462" s="13">
        <v>2108</v>
      </c>
      <c r="H462" s="13">
        <v>1589432</v>
      </c>
      <c r="I462" s="13">
        <v>2</v>
      </c>
      <c r="J462" s="13">
        <v>0</v>
      </c>
      <c r="K462" s="13">
        <v>1190</v>
      </c>
      <c r="L462" s="13">
        <v>35</v>
      </c>
      <c r="M462" s="13">
        <v>772</v>
      </c>
      <c r="N462" s="13">
        <v>263</v>
      </c>
      <c r="O462" s="13">
        <v>33</v>
      </c>
      <c r="P462" s="13">
        <v>1</v>
      </c>
      <c r="Q462" s="13">
        <v>65</v>
      </c>
      <c r="R462" s="13">
        <v>1</v>
      </c>
      <c r="S462" s="13">
        <v>0</v>
      </c>
      <c r="T462" s="23">
        <v>46247.537546296298</v>
      </c>
      <c r="U462" s="55">
        <f t="shared" si="21"/>
        <v>1.3333333333333333</v>
      </c>
      <c r="V462" s="55">
        <f t="shared" si="22"/>
        <v>0</v>
      </c>
      <c r="W462" s="56">
        <f t="shared" si="23"/>
        <v>1010.1666666666666</v>
      </c>
    </row>
    <row r="463" spans="1:23" x14ac:dyDescent="0.3">
      <c r="A463" s="13" t="str" cm="1">
        <f t="array" ref="A463:B463">INDEX(BenchmarkResults!$B$1:$D$35,SUMPRODUCT((T463&gt;=BenchmarkResults!$F$3:$F$35)*(mongodb_hardware_log!T463&lt;BenchmarkResults!$G$3:$G$35)*ROW(BenchmarkResults!$F$3:$F$35)),{1,3})</f>
        <v>q2_avg_order_city</v>
      </c>
      <c r="B463">
        <v>1</v>
      </c>
      <c r="C463" s="13">
        <v>1</v>
      </c>
      <c r="D463" s="13">
        <v>0</v>
      </c>
      <c r="E463" s="13">
        <v>134912</v>
      </c>
      <c r="F463" s="13">
        <v>803992</v>
      </c>
      <c r="G463" s="13">
        <v>2116</v>
      </c>
      <c r="H463" s="13">
        <v>1598580</v>
      </c>
      <c r="I463" s="13">
        <v>0</v>
      </c>
      <c r="J463" s="13">
        <v>0</v>
      </c>
      <c r="K463" s="13">
        <v>912</v>
      </c>
      <c r="L463" s="13">
        <v>19</v>
      </c>
      <c r="M463" s="13">
        <v>750</v>
      </c>
      <c r="N463" s="13">
        <v>253</v>
      </c>
      <c r="O463" s="13">
        <v>33</v>
      </c>
      <c r="P463" s="13">
        <v>1</v>
      </c>
      <c r="Q463" s="13">
        <v>65</v>
      </c>
      <c r="R463" s="13">
        <v>0</v>
      </c>
      <c r="S463" s="13">
        <v>0</v>
      </c>
      <c r="T463" s="23">
        <v>46247.537662037037</v>
      </c>
      <c r="U463" s="55">
        <f t="shared" si="21"/>
        <v>1.1666666666666667</v>
      </c>
      <c r="V463" s="55">
        <f t="shared" si="22"/>
        <v>0</v>
      </c>
      <c r="W463" s="56">
        <f t="shared" si="23"/>
        <v>990.16666666666663</v>
      </c>
    </row>
    <row r="464" spans="1:23" x14ac:dyDescent="0.3">
      <c r="A464" s="13" t="str" cm="1">
        <f t="array" ref="A464:B464">INDEX(BenchmarkResults!$B$1:$D$35,SUMPRODUCT((T464&gt;=BenchmarkResults!$F$3:$F$35)*(mongodb_hardware_log!T464&lt;BenchmarkResults!$G$3:$G$35)*ROW(BenchmarkResults!$F$3:$F$35)),{1,3})</f>
        <v>q2_avg_order_city</v>
      </c>
      <c r="B464">
        <v>1</v>
      </c>
      <c r="C464" s="13">
        <v>1</v>
      </c>
      <c r="D464" s="13">
        <v>0</v>
      </c>
      <c r="E464" s="13">
        <v>134912</v>
      </c>
      <c r="F464" s="13">
        <v>788116</v>
      </c>
      <c r="G464" s="13">
        <v>2124</v>
      </c>
      <c r="H464" s="13">
        <v>1607932</v>
      </c>
      <c r="I464" s="13">
        <v>0</v>
      </c>
      <c r="J464" s="13">
        <v>0</v>
      </c>
      <c r="K464" s="13">
        <v>941</v>
      </c>
      <c r="L464" s="13">
        <v>6</v>
      </c>
      <c r="M464" s="13">
        <v>715</v>
      </c>
      <c r="N464" s="13">
        <v>209</v>
      </c>
      <c r="O464" s="13">
        <v>33</v>
      </c>
      <c r="P464" s="13">
        <v>1</v>
      </c>
      <c r="Q464" s="13">
        <v>65</v>
      </c>
      <c r="R464" s="13">
        <v>0</v>
      </c>
      <c r="S464" s="13">
        <v>0</v>
      </c>
      <c r="T464" s="23">
        <v>46247.537777777776</v>
      </c>
      <c r="U464" s="55">
        <f t="shared" si="21"/>
        <v>1.1666666666666667</v>
      </c>
      <c r="V464" s="55">
        <f t="shared" si="22"/>
        <v>0</v>
      </c>
      <c r="W464" s="56">
        <f t="shared" si="23"/>
        <v>1005.1666666666666</v>
      </c>
    </row>
    <row r="465" spans="1:23" x14ac:dyDescent="0.3">
      <c r="A465" s="13" t="str" cm="1">
        <f t="array" ref="A465:B465">INDEX(BenchmarkResults!$B$1:$D$35,SUMPRODUCT((T465&gt;=BenchmarkResults!$F$3:$F$35)*(mongodb_hardware_log!T465&lt;BenchmarkResults!$G$3:$G$35)*ROW(BenchmarkResults!$F$3:$F$35)),{1,3})</f>
        <v>q2_avg_order_city</v>
      </c>
      <c r="B465">
        <v>1</v>
      </c>
      <c r="C465" s="13">
        <v>1</v>
      </c>
      <c r="D465" s="13">
        <v>0</v>
      </c>
      <c r="E465" s="13">
        <v>134912</v>
      </c>
      <c r="F465" s="13">
        <v>777280</v>
      </c>
      <c r="G465" s="13">
        <v>2132</v>
      </c>
      <c r="H465" s="13">
        <v>1617184</v>
      </c>
      <c r="I465" s="13">
        <v>0</v>
      </c>
      <c r="J465" s="13">
        <v>0</v>
      </c>
      <c r="K465" s="13">
        <v>919</v>
      </c>
      <c r="L465" s="13">
        <v>28</v>
      </c>
      <c r="M465" s="13">
        <v>711</v>
      </c>
      <c r="N465" s="13">
        <v>207</v>
      </c>
      <c r="O465" s="13">
        <v>33</v>
      </c>
      <c r="P465" s="13">
        <v>1</v>
      </c>
      <c r="Q465" s="13">
        <v>65</v>
      </c>
      <c r="R465" s="13">
        <v>0</v>
      </c>
      <c r="S465" s="13">
        <v>0</v>
      </c>
      <c r="T465" s="23">
        <v>46247.537893518522</v>
      </c>
      <c r="U465" s="55">
        <f t="shared" si="21"/>
        <v>1.1666666666666667</v>
      </c>
      <c r="V465" s="55">
        <f t="shared" si="22"/>
        <v>0</v>
      </c>
      <c r="W465" s="56">
        <f t="shared" si="23"/>
        <v>1003.1666666666666</v>
      </c>
    </row>
    <row r="466" spans="1:23" x14ac:dyDescent="0.3">
      <c r="A466" s="13" t="str" cm="1">
        <f t="array" ref="A466:B466">INDEX(BenchmarkResults!$B$1:$D$35,SUMPRODUCT((T466&gt;=BenchmarkResults!$F$3:$F$35)*(mongodb_hardware_log!T466&lt;BenchmarkResults!$G$3:$G$35)*ROW(BenchmarkResults!$F$3:$F$35)),{1,3})</f>
        <v>q2_avg_order_city</v>
      </c>
      <c r="B466">
        <v>1</v>
      </c>
      <c r="C466" s="13">
        <v>1</v>
      </c>
      <c r="D466" s="13">
        <v>0</v>
      </c>
      <c r="E466" s="13">
        <v>134912</v>
      </c>
      <c r="F466" s="13">
        <v>767200</v>
      </c>
      <c r="G466" s="13">
        <v>2140</v>
      </c>
      <c r="H466" s="13">
        <v>1626956</v>
      </c>
      <c r="I466" s="13">
        <v>0</v>
      </c>
      <c r="J466" s="13">
        <v>0</v>
      </c>
      <c r="K466" s="13">
        <v>980</v>
      </c>
      <c r="L466" s="13">
        <v>16</v>
      </c>
      <c r="M466" s="13">
        <v>706</v>
      </c>
      <c r="N466" s="13">
        <v>207</v>
      </c>
      <c r="O466" s="13">
        <v>33</v>
      </c>
      <c r="P466" s="13">
        <v>1</v>
      </c>
      <c r="Q466" s="13">
        <v>65</v>
      </c>
      <c r="R466" s="13">
        <v>0</v>
      </c>
      <c r="S466" s="13">
        <v>0</v>
      </c>
      <c r="T466" s="23">
        <v>46247.53800925926</v>
      </c>
      <c r="U466" s="55">
        <f t="shared" si="21"/>
        <v>1.1666666666666667</v>
      </c>
      <c r="V466" s="55">
        <f t="shared" si="22"/>
        <v>0</v>
      </c>
      <c r="W466" s="56">
        <f t="shared" si="23"/>
        <v>988.5</v>
      </c>
    </row>
    <row r="467" spans="1:23" x14ac:dyDescent="0.3">
      <c r="A467" s="13" t="str" cm="1">
        <f t="array" ref="A467:B467">INDEX(BenchmarkResults!$B$1:$D$35,SUMPRODUCT((T467&gt;=BenchmarkResults!$F$3:$F$35)*(mongodb_hardware_log!T467&lt;BenchmarkResults!$G$3:$G$35)*ROW(BenchmarkResults!$F$3:$F$35)),{1,3})</f>
        <v>q2_avg_order_city</v>
      </c>
      <c r="B467">
        <v>1</v>
      </c>
      <c r="C467" s="13">
        <v>1</v>
      </c>
      <c r="D467" s="13">
        <v>0</v>
      </c>
      <c r="E467" s="13">
        <v>134912</v>
      </c>
      <c r="F467" s="13">
        <v>759136</v>
      </c>
      <c r="G467" s="13">
        <v>2148</v>
      </c>
      <c r="H467" s="13">
        <v>1634976</v>
      </c>
      <c r="I467" s="13">
        <v>1</v>
      </c>
      <c r="J467" s="13">
        <v>0</v>
      </c>
      <c r="K467" s="13">
        <v>802</v>
      </c>
      <c r="L467" s="13">
        <v>8</v>
      </c>
      <c r="M467" s="13">
        <v>715</v>
      </c>
      <c r="N467" s="13">
        <v>216</v>
      </c>
      <c r="O467" s="13">
        <v>33</v>
      </c>
      <c r="P467" s="13">
        <v>1</v>
      </c>
      <c r="Q467" s="13">
        <v>65</v>
      </c>
      <c r="R467" s="13">
        <v>1</v>
      </c>
      <c r="S467" s="13">
        <v>1</v>
      </c>
      <c r="T467" s="23">
        <v>46247.538124999999</v>
      </c>
      <c r="U467" s="55">
        <f t="shared" si="21"/>
        <v>1.1666666666666667</v>
      </c>
      <c r="V467" s="55">
        <f t="shared" si="22"/>
        <v>0</v>
      </c>
      <c r="W467" s="56">
        <f t="shared" si="23"/>
        <v>957.33333333333337</v>
      </c>
    </row>
    <row r="468" spans="1:23" x14ac:dyDescent="0.3">
      <c r="A468" s="13" t="str" cm="1">
        <f t="array" ref="A468:B468">INDEX(BenchmarkResults!$B$1:$D$35,SUMPRODUCT((T468&gt;=BenchmarkResults!$F$3:$F$35)*(mongodb_hardware_log!T468&lt;BenchmarkResults!$G$3:$G$35)*ROW(BenchmarkResults!$F$3:$F$35)),{1,3})</f>
        <v>q2_avg_order_city</v>
      </c>
      <c r="B468">
        <v>1</v>
      </c>
      <c r="C468" s="13">
        <v>1</v>
      </c>
      <c r="D468" s="13">
        <v>0</v>
      </c>
      <c r="E468" s="13">
        <v>134912</v>
      </c>
      <c r="F468" s="13">
        <v>757624</v>
      </c>
      <c r="G468" s="13">
        <v>2172</v>
      </c>
      <c r="H468" s="13">
        <v>1643284</v>
      </c>
      <c r="I468" s="13">
        <v>1</v>
      </c>
      <c r="J468" s="13">
        <v>0</v>
      </c>
      <c r="K468" s="13">
        <v>828</v>
      </c>
      <c r="L468" s="13">
        <v>25</v>
      </c>
      <c r="M468" s="13">
        <v>792</v>
      </c>
      <c r="N468" s="13">
        <v>239</v>
      </c>
      <c r="O468" s="13">
        <v>32</v>
      </c>
      <c r="P468" s="13">
        <v>1</v>
      </c>
      <c r="Q468" s="13">
        <v>62</v>
      </c>
      <c r="R468" s="13">
        <v>1</v>
      </c>
      <c r="S468" s="13">
        <v>4</v>
      </c>
      <c r="T468" s="23">
        <v>46247.538240740738</v>
      </c>
      <c r="U468" s="55">
        <f t="shared" si="21"/>
        <v>1</v>
      </c>
      <c r="V468" s="55">
        <f t="shared" si="22"/>
        <v>0</v>
      </c>
      <c r="W468" s="56">
        <f t="shared" si="23"/>
        <v>897</v>
      </c>
    </row>
    <row r="469" spans="1:23" x14ac:dyDescent="0.3">
      <c r="A469" s="13" t="str" cm="1">
        <f t="array" ref="A469:B469">INDEX(BenchmarkResults!$B$1:$D$35,SUMPRODUCT((T469&gt;=BenchmarkResults!$F$3:$F$35)*(mongodb_hardware_log!T469&lt;BenchmarkResults!$G$3:$G$35)*ROW(BenchmarkResults!$F$3:$F$35)),{1,3})</f>
        <v>q2_avg_order_city</v>
      </c>
      <c r="B469">
        <v>1</v>
      </c>
      <c r="C469" s="13">
        <v>6</v>
      </c>
      <c r="D469" s="13">
        <v>0</v>
      </c>
      <c r="E469" s="13">
        <v>134912</v>
      </c>
      <c r="F469" s="13">
        <v>749812</v>
      </c>
      <c r="G469" s="13">
        <v>2180</v>
      </c>
      <c r="H469" s="13">
        <v>1651940</v>
      </c>
      <c r="I469" s="13">
        <v>0</v>
      </c>
      <c r="J469" s="13">
        <v>0</v>
      </c>
      <c r="K469" s="13">
        <v>866</v>
      </c>
      <c r="L469" s="13">
        <v>9</v>
      </c>
      <c r="M469" s="13">
        <v>731</v>
      </c>
      <c r="N469" s="13">
        <v>206</v>
      </c>
      <c r="O469" s="13">
        <v>33</v>
      </c>
      <c r="P469" s="13">
        <v>1</v>
      </c>
      <c r="Q469" s="13">
        <v>63</v>
      </c>
      <c r="R469" s="13">
        <v>0</v>
      </c>
      <c r="S469" s="13">
        <v>2</v>
      </c>
      <c r="T469" s="23">
        <v>46247.538368055553</v>
      </c>
      <c r="U469" s="55">
        <f t="shared" si="21"/>
        <v>1.8333333333333333</v>
      </c>
      <c r="V469" s="55">
        <f t="shared" si="22"/>
        <v>0</v>
      </c>
      <c r="W469" s="56">
        <f t="shared" si="23"/>
        <v>889.33333333333337</v>
      </c>
    </row>
    <row r="470" spans="1:23" x14ac:dyDescent="0.3">
      <c r="A470" s="13" t="str" cm="1">
        <f t="array" ref="A470:B470">INDEX(BenchmarkResults!$B$1:$D$35,SUMPRODUCT((T470&gt;=BenchmarkResults!$F$3:$F$35)*(mongodb_hardware_log!T470&lt;BenchmarkResults!$G$3:$G$35)*ROW(BenchmarkResults!$F$3:$F$35)),{1,3})</f>
        <v>q2_avg_order_city</v>
      </c>
      <c r="B470">
        <v>1</v>
      </c>
      <c r="C470" s="13">
        <v>3</v>
      </c>
      <c r="D470" s="13">
        <v>0</v>
      </c>
      <c r="E470" s="13">
        <v>134912</v>
      </c>
      <c r="F470" s="13">
        <v>742032</v>
      </c>
      <c r="G470" s="13">
        <v>2188</v>
      </c>
      <c r="H470" s="13">
        <v>1661188</v>
      </c>
      <c r="I470" s="13">
        <v>0</v>
      </c>
      <c r="J470" s="13">
        <v>0</v>
      </c>
      <c r="K470" s="13">
        <v>924</v>
      </c>
      <c r="L470" s="13">
        <v>10</v>
      </c>
      <c r="M470" s="13">
        <v>740</v>
      </c>
      <c r="N470" s="13">
        <v>240</v>
      </c>
      <c r="O470" s="13">
        <v>33</v>
      </c>
      <c r="P470" s="13">
        <v>1</v>
      </c>
      <c r="Q470" s="13">
        <v>64</v>
      </c>
      <c r="R470" s="13">
        <v>0</v>
      </c>
      <c r="S470" s="13">
        <v>1</v>
      </c>
      <c r="T470" s="23">
        <v>46247.538483796299</v>
      </c>
      <c r="U470" s="55">
        <f t="shared" si="21"/>
        <v>2.1666666666666665</v>
      </c>
      <c r="V470" s="55">
        <f t="shared" si="22"/>
        <v>0</v>
      </c>
      <c r="W470" s="56">
        <f t="shared" si="23"/>
        <v>886.5</v>
      </c>
    </row>
    <row r="471" spans="1:23" x14ac:dyDescent="0.3">
      <c r="A471" s="13" t="str" cm="1">
        <f t="array" ref="A471:B471">INDEX(BenchmarkResults!$B$1:$D$35,SUMPRODUCT((T471&gt;=BenchmarkResults!$F$3:$F$35)*(mongodb_hardware_log!T471&lt;BenchmarkResults!$G$3:$G$35)*ROW(BenchmarkResults!$F$3:$F$35)),{1,3})</f>
        <v>q2_avg_order_city</v>
      </c>
      <c r="B471">
        <v>1</v>
      </c>
      <c r="C471" s="13">
        <v>4</v>
      </c>
      <c r="D471" s="13">
        <v>0</v>
      </c>
      <c r="E471" s="13">
        <v>134912</v>
      </c>
      <c r="F471" s="13">
        <v>732708</v>
      </c>
      <c r="G471" s="13">
        <v>2196</v>
      </c>
      <c r="H471" s="13">
        <v>1670524</v>
      </c>
      <c r="I471" s="13">
        <v>0</v>
      </c>
      <c r="J471" s="13">
        <v>0</v>
      </c>
      <c r="K471" s="13">
        <v>940</v>
      </c>
      <c r="L471" s="13">
        <v>9</v>
      </c>
      <c r="M471" s="13">
        <v>717</v>
      </c>
      <c r="N471" s="13">
        <v>211</v>
      </c>
      <c r="O471" s="13">
        <v>33</v>
      </c>
      <c r="P471" s="13">
        <v>1</v>
      </c>
      <c r="Q471" s="13">
        <v>65</v>
      </c>
      <c r="R471" s="13">
        <v>1</v>
      </c>
      <c r="S471" s="13">
        <v>1</v>
      </c>
      <c r="T471" s="23">
        <v>46247.538599537038</v>
      </c>
      <c r="U471" s="55">
        <f t="shared" si="21"/>
        <v>2.6666666666666665</v>
      </c>
      <c r="V471" s="55">
        <f t="shared" si="22"/>
        <v>0</v>
      </c>
      <c r="W471" s="56">
        <f t="shared" si="23"/>
        <v>890</v>
      </c>
    </row>
    <row r="472" spans="1:23" x14ac:dyDescent="0.3">
      <c r="A472" s="13" t="str" cm="1">
        <f t="array" ref="A472:B472">INDEX(BenchmarkResults!$B$1:$D$35,SUMPRODUCT((T472&gt;=BenchmarkResults!$F$3:$F$35)*(mongodb_hardware_log!T472&lt;BenchmarkResults!$G$3:$G$35)*ROW(BenchmarkResults!$F$3:$F$35)),{1,3})</f>
        <v>q2_avg_order_city</v>
      </c>
      <c r="B472">
        <v>1</v>
      </c>
      <c r="C472" s="13">
        <v>4</v>
      </c>
      <c r="D472" s="13">
        <v>0</v>
      </c>
      <c r="E472" s="13">
        <v>134912</v>
      </c>
      <c r="F472" s="13">
        <v>727504</v>
      </c>
      <c r="G472" s="13">
        <v>2204</v>
      </c>
      <c r="H472" s="13">
        <v>1676320</v>
      </c>
      <c r="I472" s="13">
        <v>0</v>
      </c>
      <c r="J472" s="13">
        <v>0</v>
      </c>
      <c r="K472" s="13">
        <v>579</v>
      </c>
      <c r="L472" s="13">
        <v>12</v>
      </c>
      <c r="M472" s="13">
        <v>764</v>
      </c>
      <c r="N472" s="13">
        <v>228</v>
      </c>
      <c r="O472" s="13">
        <v>32</v>
      </c>
      <c r="P472" s="13">
        <v>1</v>
      </c>
      <c r="Q472" s="13">
        <v>63</v>
      </c>
      <c r="R472" s="13">
        <v>1</v>
      </c>
      <c r="S472" s="13">
        <v>3</v>
      </c>
      <c r="T472" s="23">
        <v>46247.538715277777</v>
      </c>
      <c r="U472" s="55">
        <f t="shared" si="21"/>
        <v>3.1666666666666665</v>
      </c>
      <c r="V472" s="55">
        <f t="shared" si="22"/>
        <v>0</v>
      </c>
      <c r="W472" s="56">
        <f t="shared" si="23"/>
        <v>823.16666666666663</v>
      </c>
    </row>
    <row r="473" spans="1:23" x14ac:dyDescent="0.3">
      <c r="A473" s="13" t="str" cm="1">
        <f t="array" ref="A473:B473">INDEX(BenchmarkResults!$B$1:$D$35,SUMPRODUCT((T473&gt;=BenchmarkResults!$F$3:$F$35)*(mongodb_hardware_log!T473&lt;BenchmarkResults!$G$3:$G$35)*ROW(BenchmarkResults!$F$3:$F$35)),{1,3})</f>
        <v>q2_avg_order_city</v>
      </c>
      <c r="B473">
        <v>1</v>
      </c>
      <c r="C473" s="13">
        <v>2</v>
      </c>
      <c r="D473" s="13">
        <v>0</v>
      </c>
      <c r="E473" s="13">
        <v>134912</v>
      </c>
      <c r="F473" s="13">
        <v>716924</v>
      </c>
      <c r="G473" s="13">
        <v>2220</v>
      </c>
      <c r="H473" s="13">
        <v>1686340</v>
      </c>
      <c r="I473" s="13">
        <v>0</v>
      </c>
      <c r="J473" s="13">
        <v>0</v>
      </c>
      <c r="K473" s="13">
        <v>994</v>
      </c>
      <c r="L473" s="13">
        <v>39</v>
      </c>
      <c r="M473" s="13">
        <v>752</v>
      </c>
      <c r="N473" s="13">
        <v>245</v>
      </c>
      <c r="O473" s="13">
        <v>33</v>
      </c>
      <c r="P473" s="13">
        <v>1</v>
      </c>
      <c r="Q473" s="13">
        <v>63</v>
      </c>
      <c r="R473" s="13">
        <v>0</v>
      </c>
      <c r="S473" s="13">
        <v>2</v>
      </c>
      <c r="T473" s="23">
        <v>46247.538831018515</v>
      </c>
      <c r="U473" s="55">
        <f t="shared" si="21"/>
        <v>3.3333333333333335</v>
      </c>
      <c r="V473" s="55">
        <f t="shared" si="22"/>
        <v>0</v>
      </c>
      <c r="W473" s="56">
        <f t="shared" si="23"/>
        <v>855.16666666666663</v>
      </c>
    </row>
    <row r="474" spans="1:23" x14ac:dyDescent="0.3">
      <c r="A474" s="13" t="str" cm="1">
        <f t="array" ref="A474:B474">INDEX(BenchmarkResults!$B$1:$D$35,SUMPRODUCT((T474&gt;=BenchmarkResults!$F$3:$F$35)*(mongodb_hardware_log!T474&lt;BenchmarkResults!$G$3:$G$35)*ROW(BenchmarkResults!$F$3:$F$35)),{1,3})</f>
        <v>q2_avg_order_city</v>
      </c>
      <c r="B474">
        <v>1</v>
      </c>
      <c r="C474" s="13">
        <v>2</v>
      </c>
      <c r="D474" s="13">
        <v>0</v>
      </c>
      <c r="E474" s="13">
        <v>134912</v>
      </c>
      <c r="F474" s="13">
        <v>709364</v>
      </c>
      <c r="G474" s="13">
        <v>2260</v>
      </c>
      <c r="H474" s="13">
        <v>1694504</v>
      </c>
      <c r="I474" s="13">
        <v>1</v>
      </c>
      <c r="J474" s="13">
        <v>0</v>
      </c>
      <c r="K474" s="13">
        <v>819</v>
      </c>
      <c r="L474" s="13">
        <v>27</v>
      </c>
      <c r="M474" s="13">
        <v>720</v>
      </c>
      <c r="N474" s="13">
        <v>213</v>
      </c>
      <c r="O474" s="13">
        <v>33</v>
      </c>
      <c r="P474" s="13">
        <v>1</v>
      </c>
      <c r="Q474" s="13">
        <v>65</v>
      </c>
      <c r="R474" s="13">
        <v>0</v>
      </c>
      <c r="S474" s="13">
        <v>1</v>
      </c>
      <c r="T474" s="23">
        <v>46247.538946759261</v>
      </c>
      <c r="U474" s="55">
        <f t="shared" si="21"/>
        <v>3.5</v>
      </c>
      <c r="V474" s="55">
        <f t="shared" si="22"/>
        <v>0</v>
      </c>
      <c r="W474" s="56">
        <f t="shared" si="23"/>
        <v>853.66666666666663</v>
      </c>
    </row>
    <row r="475" spans="1:23" x14ac:dyDescent="0.3">
      <c r="A475" s="13" t="str" cm="1">
        <f t="array" ref="A475:B475">INDEX(BenchmarkResults!$B$1:$D$35,SUMPRODUCT((T475&gt;=BenchmarkResults!$F$3:$F$35)*(mongodb_hardware_log!T475&lt;BenchmarkResults!$G$3:$G$35)*ROW(BenchmarkResults!$F$3:$F$35)),{1,3})</f>
        <v>q2_avg_order_city</v>
      </c>
      <c r="B475">
        <v>1</v>
      </c>
      <c r="C475" s="13">
        <v>2</v>
      </c>
      <c r="D475" s="13">
        <v>0</v>
      </c>
      <c r="E475" s="13">
        <v>134912</v>
      </c>
      <c r="F475" s="13">
        <v>699860</v>
      </c>
      <c r="G475" s="13">
        <v>2268</v>
      </c>
      <c r="H475" s="13">
        <v>1703484</v>
      </c>
      <c r="I475" s="13">
        <v>0</v>
      </c>
      <c r="J475" s="13">
        <v>0</v>
      </c>
      <c r="K475" s="13">
        <v>898</v>
      </c>
      <c r="L475" s="13">
        <v>7</v>
      </c>
      <c r="M475" s="13">
        <v>736</v>
      </c>
      <c r="N475" s="13">
        <v>231</v>
      </c>
      <c r="O475" s="13">
        <v>34</v>
      </c>
      <c r="P475" s="13">
        <v>1</v>
      </c>
      <c r="Q475" s="13">
        <v>64</v>
      </c>
      <c r="R475" s="13">
        <v>0</v>
      </c>
      <c r="S475" s="13">
        <v>0</v>
      </c>
      <c r="T475" s="23">
        <v>46247.5390625</v>
      </c>
      <c r="U475" s="55">
        <f t="shared" si="21"/>
        <v>2.8333333333333335</v>
      </c>
      <c r="V475" s="55">
        <f t="shared" si="22"/>
        <v>0</v>
      </c>
      <c r="W475" s="56">
        <f t="shared" si="23"/>
        <v>859</v>
      </c>
    </row>
    <row r="476" spans="1:23" x14ac:dyDescent="0.3">
      <c r="A476" s="13" t="str" cm="1">
        <f t="array" ref="A476:B476">INDEX(BenchmarkResults!$B$1:$D$35,SUMPRODUCT((T476&gt;=BenchmarkResults!$F$3:$F$35)*(mongodb_hardware_log!T476&lt;BenchmarkResults!$G$3:$G$35)*ROW(BenchmarkResults!$F$3:$F$35)),{1,3})</f>
        <v>q2_avg_order_city</v>
      </c>
      <c r="B476">
        <v>1</v>
      </c>
      <c r="C476" s="13">
        <v>3</v>
      </c>
      <c r="D476" s="13">
        <v>0</v>
      </c>
      <c r="E476" s="13">
        <v>134912</v>
      </c>
      <c r="F476" s="13">
        <v>689276</v>
      </c>
      <c r="G476" s="13">
        <v>2284</v>
      </c>
      <c r="H476" s="13">
        <v>1713308</v>
      </c>
      <c r="I476" s="13">
        <v>0</v>
      </c>
      <c r="J476" s="13">
        <v>0</v>
      </c>
      <c r="K476" s="13">
        <v>984</v>
      </c>
      <c r="L476" s="13">
        <v>42</v>
      </c>
      <c r="M476" s="13">
        <v>704</v>
      </c>
      <c r="N476" s="13">
        <v>201</v>
      </c>
      <c r="O476" s="13">
        <v>33</v>
      </c>
      <c r="P476" s="13">
        <v>1</v>
      </c>
      <c r="Q476" s="13">
        <v>65</v>
      </c>
      <c r="R476" s="13">
        <v>0</v>
      </c>
      <c r="S476" s="13">
        <v>0</v>
      </c>
      <c r="T476" s="23">
        <v>46247.539178240739</v>
      </c>
      <c r="U476" s="55">
        <f t="shared" si="21"/>
        <v>2.8333333333333335</v>
      </c>
      <c r="V476" s="55">
        <f t="shared" si="22"/>
        <v>0</v>
      </c>
      <c r="W476" s="56">
        <f t="shared" si="23"/>
        <v>869</v>
      </c>
    </row>
    <row r="477" spans="1:23" x14ac:dyDescent="0.3">
      <c r="A477" s="13" t="str" cm="1">
        <f t="array" ref="A477:B477">INDEX(BenchmarkResults!$B$1:$D$35,SUMPRODUCT((T477&gt;=BenchmarkResults!$F$3:$F$35)*(mongodb_hardware_log!T477&lt;BenchmarkResults!$G$3:$G$35)*ROW(BenchmarkResults!$F$3:$F$35)),{1,3})</f>
        <v>q2_avg_order_city</v>
      </c>
      <c r="B477">
        <v>1</v>
      </c>
      <c r="C477" s="13">
        <v>2</v>
      </c>
      <c r="D477" s="13">
        <v>0</v>
      </c>
      <c r="E477" s="13">
        <v>134912</v>
      </c>
      <c r="F477" s="13">
        <v>678972</v>
      </c>
      <c r="G477" s="13">
        <v>2292</v>
      </c>
      <c r="H477" s="13">
        <v>1723532</v>
      </c>
      <c r="I477" s="13">
        <v>0</v>
      </c>
      <c r="J477" s="13">
        <v>0</v>
      </c>
      <c r="K477" s="13">
        <v>1026</v>
      </c>
      <c r="L477" s="13">
        <v>15</v>
      </c>
      <c r="M477" s="13">
        <v>712</v>
      </c>
      <c r="N477" s="13">
        <v>209</v>
      </c>
      <c r="O477" s="13">
        <v>33</v>
      </c>
      <c r="P477" s="13">
        <v>1</v>
      </c>
      <c r="Q477" s="13">
        <v>65</v>
      </c>
      <c r="R477" s="13">
        <v>0</v>
      </c>
      <c r="S477" s="13">
        <v>0</v>
      </c>
      <c r="T477" s="23">
        <v>46247.539293981485</v>
      </c>
      <c r="U477" s="55">
        <f t="shared" si="21"/>
        <v>2.5</v>
      </c>
      <c r="V477" s="55">
        <f t="shared" si="22"/>
        <v>0</v>
      </c>
      <c r="W477" s="56">
        <f t="shared" si="23"/>
        <v>883.33333333333337</v>
      </c>
    </row>
    <row r="478" spans="1:23" x14ac:dyDescent="0.3">
      <c r="A478" s="13" t="str" cm="1">
        <f t="array" ref="A478:B478">INDEX(BenchmarkResults!$B$1:$D$35,SUMPRODUCT((T478&gt;=BenchmarkResults!$F$3:$F$35)*(mongodb_hardware_log!T478&lt;BenchmarkResults!$G$3:$G$35)*ROW(BenchmarkResults!$F$3:$F$35)),{1,3})</f>
        <v>q2_avg_order_city</v>
      </c>
      <c r="B478">
        <v>1</v>
      </c>
      <c r="C478" s="13">
        <v>2</v>
      </c>
      <c r="D478" s="13">
        <v>0</v>
      </c>
      <c r="E478" s="13">
        <v>134912</v>
      </c>
      <c r="F478" s="13">
        <v>667632</v>
      </c>
      <c r="G478" s="13">
        <v>2300</v>
      </c>
      <c r="H478" s="13">
        <v>1736048</v>
      </c>
      <c r="I478" s="13">
        <v>1</v>
      </c>
      <c r="J478" s="13">
        <v>0</v>
      </c>
      <c r="K478" s="13">
        <v>1259</v>
      </c>
      <c r="L478" s="13">
        <v>10</v>
      </c>
      <c r="M478" s="13">
        <v>724</v>
      </c>
      <c r="N478" s="13">
        <v>218</v>
      </c>
      <c r="O478" s="13">
        <v>33</v>
      </c>
      <c r="P478" s="13">
        <v>1</v>
      </c>
      <c r="Q478" s="13">
        <v>65</v>
      </c>
      <c r="R478" s="13">
        <v>0</v>
      </c>
      <c r="S478" s="13">
        <v>0</v>
      </c>
      <c r="T478" s="23">
        <v>46247.539409722223</v>
      </c>
      <c r="U478" s="55">
        <f t="shared" si="21"/>
        <v>2.1666666666666665</v>
      </c>
      <c r="V478" s="55">
        <f t="shared" si="22"/>
        <v>0</v>
      </c>
      <c r="W478" s="56">
        <f t="shared" si="23"/>
        <v>996.66666666666663</v>
      </c>
    </row>
    <row r="479" spans="1:23" x14ac:dyDescent="0.3">
      <c r="A479" s="13" t="str" cm="1">
        <f t="array" ref="A479:B479">INDEX(BenchmarkResults!$B$1:$D$35,SUMPRODUCT((T479&gt;=BenchmarkResults!$F$3:$F$35)*(mongodb_hardware_log!T479&lt;BenchmarkResults!$G$3:$G$35)*ROW(BenchmarkResults!$F$3:$F$35)),{1,3})</f>
        <v>q2_avg_order_city</v>
      </c>
      <c r="B479">
        <v>1</v>
      </c>
      <c r="C479" s="13">
        <v>4</v>
      </c>
      <c r="D479" s="13">
        <v>0</v>
      </c>
      <c r="E479" s="13">
        <v>134912</v>
      </c>
      <c r="F479" s="13">
        <v>648908</v>
      </c>
      <c r="G479" s="13">
        <v>2316</v>
      </c>
      <c r="H479" s="13">
        <v>1747984</v>
      </c>
      <c r="I479" s="13">
        <v>0</v>
      </c>
      <c r="J479" s="13">
        <v>0</v>
      </c>
      <c r="K479" s="13">
        <v>1187</v>
      </c>
      <c r="L479" s="13">
        <v>18</v>
      </c>
      <c r="M479" s="13">
        <v>738</v>
      </c>
      <c r="N479" s="13">
        <v>233</v>
      </c>
      <c r="O479" s="13">
        <v>34</v>
      </c>
      <c r="P479" s="13">
        <v>1</v>
      </c>
      <c r="Q479" s="13">
        <v>64</v>
      </c>
      <c r="R479" s="13">
        <v>0</v>
      </c>
      <c r="S479" s="13">
        <v>0</v>
      </c>
      <c r="T479" s="23">
        <v>46247.539525462962</v>
      </c>
      <c r="U479" s="55">
        <f t="shared" si="21"/>
        <v>2.5</v>
      </c>
      <c r="V479" s="55">
        <f t="shared" si="22"/>
        <v>0</v>
      </c>
      <c r="W479" s="56">
        <f t="shared" si="23"/>
        <v>1028.8333333333333</v>
      </c>
    </row>
    <row r="480" spans="1:23" x14ac:dyDescent="0.3">
      <c r="A480" s="13" t="str" cm="1">
        <f t="array" ref="A480:B480">INDEX(BenchmarkResults!$B$1:$D$35,SUMPRODUCT((T480&gt;=BenchmarkResults!$F$3:$F$35)*(mongodb_hardware_log!T480&lt;BenchmarkResults!$G$3:$G$35)*ROW(BenchmarkResults!$F$3:$F$35)),{1,3})</f>
        <v>q2_avg_order_city</v>
      </c>
      <c r="B480">
        <v>1</v>
      </c>
      <c r="C480" s="13">
        <v>3</v>
      </c>
      <c r="D480" s="13">
        <v>0</v>
      </c>
      <c r="E480" s="13">
        <v>134656</v>
      </c>
      <c r="F480" s="13">
        <v>640844</v>
      </c>
      <c r="G480" s="13">
        <v>2340</v>
      </c>
      <c r="H480" s="13">
        <v>1757556</v>
      </c>
      <c r="I480" s="13">
        <v>1</v>
      </c>
      <c r="J480" s="13">
        <v>0</v>
      </c>
      <c r="K480" s="13">
        <v>952</v>
      </c>
      <c r="L480" s="13">
        <v>27</v>
      </c>
      <c r="M480" s="13">
        <v>742</v>
      </c>
      <c r="N480" s="13">
        <v>224</v>
      </c>
      <c r="O480" s="13">
        <v>33</v>
      </c>
      <c r="P480" s="13">
        <v>1</v>
      </c>
      <c r="Q480" s="13">
        <v>64</v>
      </c>
      <c r="R480" s="13">
        <v>1</v>
      </c>
      <c r="S480" s="13">
        <v>1</v>
      </c>
      <c r="T480" s="23">
        <v>46247.539641203701</v>
      </c>
      <c r="U480" s="55">
        <f t="shared" si="21"/>
        <v>2.6666666666666665</v>
      </c>
      <c r="V480" s="55">
        <f t="shared" si="22"/>
        <v>0</v>
      </c>
      <c r="W480" s="56">
        <f t="shared" si="23"/>
        <v>1051</v>
      </c>
    </row>
    <row r="481" spans="1:23" x14ac:dyDescent="0.3">
      <c r="A481" s="13" t="str" cm="1">
        <f t="array" ref="A481:B481">INDEX(BenchmarkResults!$B$1:$D$35,SUMPRODUCT((T481&gt;=BenchmarkResults!$F$3:$F$35)*(mongodb_hardware_log!T481&lt;BenchmarkResults!$G$3:$G$35)*ROW(BenchmarkResults!$F$3:$F$35)),{1,3})</f>
        <v>q2_avg_order_city</v>
      </c>
      <c r="B481">
        <v>1</v>
      </c>
      <c r="C481" s="13">
        <v>0</v>
      </c>
      <c r="D481" s="13">
        <v>1</v>
      </c>
      <c r="E481" s="13">
        <v>134656</v>
      </c>
      <c r="F481" s="13">
        <v>637064</v>
      </c>
      <c r="G481" s="13">
        <v>2348</v>
      </c>
      <c r="H481" s="13">
        <v>1763980</v>
      </c>
      <c r="I481" s="13">
        <v>0</v>
      </c>
      <c r="J481" s="13">
        <v>0</v>
      </c>
      <c r="K481" s="13">
        <v>647</v>
      </c>
      <c r="L481" s="13">
        <v>8</v>
      </c>
      <c r="M481" s="13">
        <v>719</v>
      </c>
      <c r="N481" s="13">
        <v>206</v>
      </c>
      <c r="O481" s="13">
        <v>33</v>
      </c>
      <c r="P481" s="13">
        <v>1</v>
      </c>
      <c r="Q481" s="13">
        <v>64</v>
      </c>
      <c r="R481" s="13">
        <v>0</v>
      </c>
      <c r="S481" s="13">
        <v>2</v>
      </c>
      <c r="T481" s="23">
        <v>46247.539756944447</v>
      </c>
      <c r="U481" s="55">
        <f t="shared" si="21"/>
        <v>2.3333333333333335</v>
      </c>
      <c r="V481" s="55">
        <f t="shared" si="22"/>
        <v>0.16666666666666666</v>
      </c>
      <c r="W481" s="56">
        <f t="shared" si="23"/>
        <v>1009.1666666666666</v>
      </c>
    </row>
    <row r="482" spans="1:23" x14ac:dyDescent="0.3">
      <c r="A482" s="13" t="str" cm="1">
        <f t="array" ref="A482:B482">INDEX(BenchmarkResults!$B$1:$D$35,SUMPRODUCT((T482&gt;=BenchmarkResults!$F$3:$F$35)*(mongodb_hardware_log!T482&lt;BenchmarkResults!$G$3:$G$35)*ROW(BenchmarkResults!$F$3:$F$35)),{1,3})</f>
        <v>q2_avg_order_city</v>
      </c>
      <c r="B482">
        <v>1</v>
      </c>
      <c r="C482" s="13">
        <v>1</v>
      </c>
      <c r="D482" s="13">
        <v>0</v>
      </c>
      <c r="E482" s="13">
        <v>134656</v>
      </c>
      <c r="F482" s="13">
        <v>630684</v>
      </c>
      <c r="G482" s="13">
        <v>2364</v>
      </c>
      <c r="H482" s="13">
        <v>1772576</v>
      </c>
      <c r="I482" s="13">
        <v>0</v>
      </c>
      <c r="J482" s="13">
        <v>0</v>
      </c>
      <c r="K482" s="13">
        <v>863</v>
      </c>
      <c r="L482" s="13">
        <v>31</v>
      </c>
      <c r="M482" s="13">
        <v>762</v>
      </c>
      <c r="N482" s="13">
        <v>252</v>
      </c>
      <c r="O482" s="13">
        <v>33</v>
      </c>
      <c r="P482" s="13">
        <v>1</v>
      </c>
      <c r="Q482" s="13">
        <v>63</v>
      </c>
      <c r="R482" s="13">
        <v>1</v>
      </c>
      <c r="S482" s="13">
        <v>1</v>
      </c>
      <c r="T482" s="23">
        <v>46247.539872685185</v>
      </c>
      <c r="U482" s="55">
        <f t="shared" si="21"/>
        <v>2</v>
      </c>
      <c r="V482" s="55">
        <f t="shared" si="22"/>
        <v>0.16666666666666666</v>
      </c>
      <c r="W482" s="56">
        <f t="shared" si="23"/>
        <v>989</v>
      </c>
    </row>
    <row r="483" spans="1:23" x14ac:dyDescent="0.3">
      <c r="A483" s="13" t="str" cm="1">
        <f t="array" ref="A483:B483">INDEX(BenchmarkResults!$B$1:$D$35,SUMPRODUCT((T483&gt;=BenchmarkResults!$F$3:$F$35)*(mongodb_hardware_log!T483&lt;BenchmarkResults!$G$3:$G$35)*ROW(BenchmarkResults!$F$3:$F$35)),{1,3})</f>
        <v>q2_avg_order_city</v>
      </c>
      <c r="B483">
        <v>1</v>
      </c>
      <c r="C483" s="13">
        <v>1</v>
      </c>
      <c r="D483" s="13">
        <v>0</v>
      </c>
      <c r="E483" s="13">
        <v>134656</v>
      </c>
      <c r="F483" s="13">
        <v>614808</v>
      </c>
      <c r="G483" s="13">
        <v>2372</v>
      </c>
      <c r="H483" s="13">
        <v>1781692</v>
      </c>
      <c r="I483" s="13">
        <v>0</v>
      </c>
      <c r="J483" s="13">
        <v>0</v>
      </c>
      <c r="K483" s="13">
        <v>903</v>
      </c>
      <c r="L483" s="13">
        <v>15</v>
      </c>
      <c r="M483" s="13">
        <v>710</v>
      </c>
      <c r="N483" s="13">
        <v>202</v>
      </c>
      <c r="O483" s="13">
        <v>33</v>
      </c>
      <c r="P483" s="13">
        <v>1</v>
      </c>
      <c r="Q483" s="13">
        <v>65</v>
      </c>
      <c r="R483" s="13">
        <v>0</v>
      </c>
      <c r="S483" s="13">
        <v>1</v>
      </c>
      <c r="T483" s="23">
        <v>46247.539988425924</v>
      </c>
      <c r="U483" s="55">
        <f t="shared" si="21"/>
        <v>1.8333333333333333</v>
      </c>
      <c r="V483" s="55">
        <f t="shared" si="22"/>
        <v>0.16666666666666666</v>
      </c>
      <c r="W483" s="56">
        <f t="shared" si="23"/>
        <v>968.5</v>
      </c>
    </row>
    <row r="484" spans="1:23" x14ac:dyDescent="0.3">
      <c r="A484" s="13" t="str" cm="1">
        <f t="array" ref="A484:B484">INDEX(BenchmarkResults!$B$1:$D$35,SUMPRODUCT((T484&gt;=BenchmarkResults!$F$3:$F$35)*(mongodb_hardware_log!T484&lt;BenchmarkResults!$G$3:$G$35)*ROW(BenchmarkResults!$F$3:$F$35)),{1,3})</f>
        <v>q2_avg_order_city</v>
      </c>
      <c r="B484">
        <v>1</v>
      </c>
      <c r="C484" s="13">
        <v>1</v>
      </c>
      <c r="D484" s="13">
        <v>0</v>
      </c>
      <c r="E484" s="13">
        <v>134656</v>
      </c>
      <c r="F484" s="13">
        <v>603972</v>
      </c>
      <c r="G484" s="13">
        <v>2380</v>
      </c>
      <c r="H484" s="13">
        <v>1791776</v>
      </c>
      <c r="I484" s="13">
        <v>0</v>
      </c>
      <c r="J484" s="13">
        <v>0</v>
      </c>
      <c r="K484" s="13">
        <v>1008</v>
      </c>
      <c r="L484" s="13">
        <v>20</v>
      </c>
      <c r="M484" s="13">
        <v>722</v>
      </c>
      <c r="N484" s="13">
        <v>207</v>
      </c>
      <c r="O484" s="13">
        <v>33</v>
      </c>
      <c r="P484" s="13">
        <v>1</v>
      </c>
      <c r="Q484" s="13">
        <v>65</v>
      </c>
      <c r="R484" s="13">
        <v>0</v>
      </c>
      <c r="S484" s="13">
        <v>1</v>
      </c>
      <c r="T484" s="23">
        <v>46247.54010416667</v>
      </c>
      <c r="U484" s="55">
        <f t="shared" si="21"/>
        <v>1.6666666666666667</v>
      </c>
      <c r="V484" s="55">
        <f t="shared" si="22"/>
        <v>0.16666666666666666</v>
      </c>
      <c r="W484" s="56">
        <f t="shared" si="23"/>
        <v>926.66666666666663</v>
      </c>
    </row>
    <row r="485" spans="1:23" x14ac:dyDescent="0.3">
      <c r="A485" s="13" t="str" cm="1">
        <f t="array" ref="A485:B485">INDEX(BenchmarkResults!$B$1:$D$35,SUMPRODUCT((T485&gt;=BenchmarkResults!$F$3:$F$35)*(mongodb_hardware_log!T485&lt;BenchmarkResults!$G$3:$G$35)*ROW(BenchmarkResults!$F$3:$F$35)),{1,3})</f>
        <v>q2_avg_order_city</v>
      </c>
      <c r="B485">
        <v>1</v>
      </c>
      <c r="C485" s="13">
        <v>1</v>
      </c>
      <c r="D485" s="13">
        <v>0</v>
      </c>
      <c r="E485" s="13">
        <v>134656</v>
      </c>
      <c r="F485" s="13">
        <v>595908</v>
      </c>
      <c r="G485" s="13">
        <v>2388</v>
      </c>
      <c r="H485" s="13">
        <v>1801876</v>
      </c>
      <c r="I485" s="13">
        <v>0</v>
      </c>
      <c r="J485" s="13">
        <v>0</v>
      </c>
      <c r="K485" s="13">
        <v>1010</v>
      </c>
      <c r="L485" s="13">
        <v>28</v>
      </c>
      <c r="M485" s="13">
        <v>722</v>
      </c>
      <c r="N485" s="13">
        <v>226</v>
      </c>
      <c r="O485" s="13">
        <v>33</v>
      </c>
      <c r="P485" s="13">
        <v>1</v>
      </c>
      <c r="Q485" s="13">
        <v>64</v>
      </c>
      <c r="R485" s="13">
        <v>1</v>
      </c>
      <c r="S485" s="13">
        <v>1</v>
      </c>
      <c r="T485" s="23">
        <v>46247.540219907409</v>
      </c>
      <c r="U485" s="55">
        <f t="shared" si="21"/>
        <v>1.1666666666666667</v>
      </c>
      <c r="V485" s="55">
        <f t="shared" si="22"/>
        <v>0.16666666666666666</v>
      </c>
      <c r="W485" s="56">
        <f t="shared" si="23"/>
        <v>897.16666666666663</v>
      </c>
    </row>
    <row r="486" spans="1:23" x14ac:dyDescent="0.3">
      <c r="A486" s="13" t="str" cm="1">
        <f t="array" ref="A486:B486">INDEX(BenchmarkResults!$B$1:$D$35,SUMPRODUCT((T486&gt;=BenchmarkResults!$F$3:$F$35)*(mongodb_hardware_log!T486&lt;BenchmarkResults!$G$3:$G$35)*ROW(BenchmarkResults!$F$3:$F$35)),{1,3})</f>
        <v>q2_avg_order_city</v>
      </c>
      <c r="B486">
        <v>1</v>
      </c>
      <c r="C486" s="13">
        <v>1</v>
      </c>
      <c r="D486" s="13">
        <v>0</v>
      </c>
      <c r="E486" s="13">
        <v>134656</v>
      </c>
      <c r="F486" s="13">
        <v>587340</v>
      </c>
      <c r="G486" s="13">
        <v>2412</v>
      </c>
      <c r="H486" s="13">
        <v>1810564</v>
      </c>
      <c r="I486" s="13">
        <v>1</v>
      </c>
      <c r="J486" s="13">
        <v>0</v>
      </c>
      <c r="K486" s="13">
        <v>869</v>
      </c>
      <c r="L486" s="13">
        <v>29</v>
      </c>
      <c r="M486" s="13">
        <v>721</v>
      </c>
      <c r="N486" s="13">
        <v>206</v>
      </c>
      <c r="O486" s="13">
        <v>33</v>
      </c>
      <c r="P486" s="13">
        <v>1</v>
      </c>
      <c r="Q486" s="13">
        <v>65</v>
      </c>
      <c r="R486" s="13">
        <v>0</v>
      </c>
      <c r="S486" s="13">
        <v>1</v>
      </c>
      <c r="T486" s="23">
        <v>46247.540335648147</v>
      </c>
      <c r="U486" s="55">
        <f t="shared" si="21"/>
        <v>0.83333333333333337</v>
      </c>
      <c r="V486" s="55">
        <f t="shared" si="22"/>
        <v>0.16666666666666666</v>
      </c>
      <c r="W486" s="56">
        <f t="shared" si="23"/>
        <v>883.33333333333337</v>
      </c>
    </row>
    <row r="487" spans="1:23" x14ac:dyDescent="0.3">
      <c r="A487" s="13" t="str" cm="1">
        <f t="array" ref="A487:B487">INDEX(BenchmarkResults!$B$1:$D$35,SUMPRODUCT((T487&gt;=BenchmarkResults!$F$3:$F$35)*(mongodb_hardware_log!T487&lt;BenchmarkResults!$G$3:$G$35)*ROW(BenchmarkResults!$F$3:$F$35)),{1,3})</f>
        <v>q2_avg_order_city</v>
      </c>
      <c r="B487">
        <v>1</v>
      </c>
      <c r="C487" s="13">
        <v>1</v>
      </c>
      <c r="D487" s="13">
        <v>0</v>
      </c>
      <c r="E487" s="13">
        <v>134656</v>
      </c>
      <c r="F487" s="13">
        <v>585100</v>
      </c>
      <c r="G487" s="13">
        <v>2420</v>
      </c>
      <c r="H487" s="13">
        <v>1820864</v>
      </c>
      <c r="I487" s="13">
        <v>0</v>
      </c>
      <c r="J487" s="13">
        <v>0</v>
      </c>
      <c r="K487" s="13">
        <v>1041</v>
      </c>
      <c r="L487" s="13">
        <v>13</v>
      </c>
      <c r="M487" s="13">
        <v>716</v>
      </c>
      <c r="N487" s="13">
        <v>206</v>
      </c>
      <c r="O487" s="13">
        <v>33</v>
      </c>
      <c r="P487" s="13">
        <v>1</v>
      </c>
      <c r="Q487" s="13">
        <v>64</v>
      </c>
      <c r="R487" s="13">
        <v>0</v>
      </c>
      <c r="S487" s="13">
        <v>1</v>
      </c>
      <c r="T487" s="23">
        <v>46247.540451388886</v>
      </c>
      <c r="U487" s="55">
        <f t="shared" si="21"/>
        <v>1</v>
      </c>
      <c r="V487" s="55">
        <f t="shared" si="22"/>
        <v>0</v>
      </c>
      <c r="W487" s="56">
        <f t="shared" si="23"/>
        <v>949</v>
      </c>
    </row>
    <row r="488" spans="1:23" x14ac:dyDescent="0.3">
      <c r="A488" s="13" t="str" cm="1">
        <f t="array" ref="A488:B488">INDEX(BenchmarkResults!$B$1:$D$35,SUMPRODUCT((T488&gt;=BenchmarkResults!$F$3:$F$35)*(mongodb_hardware_log!T488&lt;BenchmarkResults!$G$3:$G$35)*ROW(BenchmarkResults!$F$3:$F$35)),{1,3})</f>
        <v>q2_avg_order_city</v>
      </c>
      <c r="B488">
        <v>1</v>
      </c>
      <c r="C488" s="13">
        <v>1</v>
      </c>
      <c r="D488" s="13">
        <v>0</v>
      </c>
      <c r="E488" s="13">
        <v>134656</v>
      </c>
      <c r="F488" s="13">
        <v>569224</v>
      </c>
      <c r="G488" s="13">
        <v>2428</v>
      </c>
      <c r="H488" s="13">
        <v>1830396</v>
      </c>
      <c r="I488" s="13">
        <v>0</v>
      </c>
      <c r="J488" s="13">
        <v>0</v>
      </c>
      <c r="K488" s="13">
        <v>942</v>
      </c>
      <c r="L488" s="13">
        <v>12</v>
      </c>
      <c r="M488" s="13">
        <v>720</v>
      </c>
      <c r="N488" s="13">
        <v>216</v>
      </c>
      <c r="O488" s="13">
        <v>33</v>
      </c>
      <c r="P488" s="13">
        <v>1</v>
      </c>
      <c r="Q488" s="13">
        <v>65</v>
      </c>
      <c r="R488" s="13">
        <v>0</v>
      </c>
      <c r="S488" s="13">
        <v>1</v>
      </c>
      <c r="T488" s="23">
        <v>46247.540567129632</v>
      </c>
      <c r="U488" s="55">
        <f t="shared" si="21"/>
        <v>1</v>
      </c>
      <c r="V488" s="55">
        <f t="shared" si="22"/>
        <v>0</v>
      </c>
      <c r="W488" s="56">
        <f t="shared" si="23"/>
        <v>962.16666666666663</v>
      </c>
    </row>
    <row r="489" spans="1:23" x14ac:dyDescent="0.3">
      <c r="A489" s="13" t="str" cm="1">
        <f t="array" ref="A489:B489">INDEX(BenchmarkResults!$B$1:$D$35,SUMPRODUCT((T489&gt;=BenchmarkResults!$F$3:$F$35)*(mongodb_hardware_log!T489&lt;BenchmarkResults!$G$3:$G$35)*ROW(BenchmarkResults!$F$3:$F$35)),{1,3})</f>
        <v>q2_avg_order_city</v>
      </c>
      <c r="B489">
        <v>1</v>
      </c>
      <c r="C489" s="13">
        <v>1</v>
      </c>
      <c r="D489" s="13">
        <v>0</v>
      </c>
      <c r="E489" s="13">
        <v>134656</v>
      </c>
      <c r="F489" s="13">
        <v>564740</v>
      </c>
      <c r="G489" s="13">
        <v>2444</v>
      </c>
      <c r="H489" s="13">
        <v>1840456</v>
      </c>
      <c r="I489" s="13">
        <v>0</v>
      </c>
      <c r="J489" s="13">
        <v>0</v>
      </c>
      <c r="K489" s="13">
        <v>1008</v>
      </c>
      <c r="L489" s="13">
        <v>16</v>
      </c>
      <c r="M489" s="13">
        <v>716</v>
      </c>
      <c r="N489" s="13">
        <v>212</v>
      </c>
      <c r="O489" s="13">
        <v>33</v>
      </c>
      <c r="P489" s="13">
        <v>1</v>
      </c>
      <c r="Q489" s="13">
        <v>65</v>
      </c>
      <c r="R489" s="13">
        <v>0</v>
      </c>
      <c r="S489" s="13">
        <v>0</v>
      </c>
      <c r="T489" s="23">
        <v>46247.540682870371</v>
      </c>
      <c r="U489" s="55">
        <f t="shared" si="21"/>
        <v>1</v>
      </c>
      <c r="V489" s="55">
        <f t="shared" si="22"/>
        <v>0</v>
      </c>
      <c r="W489" s="56">
        <f t="shared" si="23"/>
        <v>979.66666666666663</v>
      </c>
    </row>
    <row r="490" spans="1:23" x14ac:dyDescent="0.3">
      <c r="A490" s="13" t="str" cm="1">
        <f t="array" ref="A490:B490">INDEX(BenchmarkResults!$B$1:$D$35,SUMPRODUCT((T490&gt;=BenchmarkResults!$F$3:$F$35)*(mongodb_hardware_log!T490&lt;BenchmarkResults!$G$3:$G$35)*ROW(BenchmarkResults!$F$3:$F$35)),{1,3})</f>
        <v>q2_avg_order_city</v>
      </c>
      <c r="B490">
        <v>1</v>
      </c>
      <c r="C490" s="13">
        <v>1</v>
      </c>
      <c r="D490" s="13">
        <v>0</v>
      </c>
      <c r="E490" s="13">
        <v>134656</v>
      </c>
      <c r="F490" s="13">
        <v>548656</v>
      </c>
      <c r="G490" s="13">
        <v>2476</v>
      </c>
      <c r="H490" s="13">
        <v>1853292</v>
      </c>
      <c r="I490" s="13">
        <v>0</v>
      </c>
      <c r="J490" s="13">
        <v>0</v>
      </c>
      <c r="K490" s="13">
        <v>1292</v>
      </c>
      <c r="L490" s="13">
        <v>40</v>
      </c>
      <c r="M490" s="13">
        <v>736</v>
      </c>
      <c r="N490" s="13">
        <v>236</v>
      </c>
      <c r="O490" s="13">
        <v>33</v>
      </c>
      <c r="P490" s="13">
        <v>1</v>
      </c>
      <c r="Q490" s="13">
        <v>65</v>
      </c>
      <c r="R490" s="13">
        <v>1</v>
      </c>
      <c r="S490" s="13">
        <v>0</v>
      </c>
      <c r="T490" s="23">
        <v>46247.540798611109</v>
      </c>
      <c r="U490" s="55">
        <f t="shared" si="21"/>
        <v>1</v>
      </c>
      <c r="V490" s="55">
        <f t="shared" si="22"/>
        <v>0</v>
      </c>
      <c r="W490" s="56">
        <f t="shared" si="23"/>
        <v>1027</v>
      </c>
    </row>
    <row r="491" spans="1:23" x14ac:dyDescent="0.3">
      <c r="A491" s="13" t="str" cm="1">
        <f t="array" ref="A491:B491">INDEX(BenchmarkResults!$B$1:$D$35,SUMPRODUCT((T491&gt;=BenchmarkResults!$F$3:$F$35)*(mongodb_hardware_log!T491&lt;BenchmarkResults!$G$3:$G$35)*ROW(BenchmarkResults!$F$3:$F$35)),{1,3})</f>
        <v>q2_avg_order_city</v>
      </c>
      <c r="B491">
        <v>1</v>
      </c>
      <c r="C491" s="13">
        <v>1</v>
      </c>
      <c r="D491" s="13">
        <v>0</v>
      </c>
      <c r="E491" s="13">
        <v>134656</v>
      </c>
      <c r="F491" s="13">
        <v>536588</v>
      </c>
      <c r="G491" s="13">
        <v>2484</v>
      </c>
      <c r="H491" s="13">
        <v>1862576</v>
      </c>
      <c r="I491" s="13">
        <v>0</v>
      </c>
      <c r="J491" s="13">
        <v>0</v>
      </c>
      <c r="K491" s="13">
        <v>924</v>
      </c>
      <c r="L491" s="13">
        <v>22</v>
      </c>
      <c r="M491" s="13">
        <v>728</v>
      </c>
      <c r="N491" s="13">
        <v>227</v>
      </c>
      <c r="O491" s="13">
        <v>33</v>
      </c>
      <c r="P491" s="13">
        <v>1</v>
      </c>
      <c r="Q491" s="13">
        <v>65</v>
      </c>
      <c r="R491" s="13">
        <v>0</v>
      </c>
      <c r="S491" s="13">
        <v>0</v>
      </c>
      <c r="T491" s="23">
        <v>46247.540914351855</v>
      </c>
      <c r="U491" s="55">
        <f t="shared" si="21"/>
        <v>1</v>
      </c>
      <c r="V491" s="55">
        <f t="shared" si="22"/>
        <v>0</v>
      </c>
      <c r="W491" s="56">
        <f t="shared" si="23"/>
        <v>1012.6666666666666</v>
      </c>
    </row>
    <row r="492" spans="1:23" x14ac:dyDescent="0.3">
      <c r="A492" s="13" t="str" cm="1">
        <f t="array" ref="A492:B492">INDEX(BenchmarkResults!$B$1:$D$35,SUMPRODUCT((T492&gt;=BenchmarkResults!$F$3:$F$35)*(mongodb_hardware_log!T492&lt;BenchmarkResults!$G$3:$G$35)*ROW(BenchmarkResults!$F$3:$F$35)),{1,3})</f>
        <v>q2_avg_order_city</v>
      </c>
      <c r="B492">
        <v>1</v>
      </c>
      <c r="C492" s="13">
        <v>1</v>
      </c>
      <c r="D492" s="13">
        <v>0</v>
      </c>
      <c r="E492" s="13">
        <v>134656</v>
      </c>
      <c r="F492" s="13">
        <v>526760</v>
      </c>
      <c r="G492" s="13">
        <v>2532</v>
      </c>
      <c r="H492" s="13">
        <v>1871532</v>
      </c>
      <c r="I492" s="13">
        <v>1</v>
      </c>
      <c r="J492" s="13">
        <v>0</v>
      </c>
      <c r="K492" s="13">
        <v>889</v>
      </c>
      <c r="L492" s="13">
        <v>37</v>
      </c>
      <c r="M492" s="13">
        <v>738</v>
      </c>
      <c r="N492" s="13">
        <v>223</v>
      </c>
      <c r="O492" s="13">
        <v>33</v>
      </c>
      <c r="P492" s="13">
        <v>1</v>
      </c>
      <c r="Q492" s="13">
        <v>65</v>
      </c>
      <c r="R492" s="13">
        <v>1</v>
      </c>
      <c r="S492" s="13">
        <v>0</v>
      </c>
      <c r="T492" s="23">
        <v>46247.541030092594</v>
      </c>
      <c r="U492" s="55">
        <f t="shared" si="21"/>
        <v>1</v>
      </c>
      <c r="V492" s="55">
        <f t="shared" si="22"/>
        <v>0</v>
      </c>
      <c r="W492" s="56">
        <f t="shared" si="23"/>
        <v>1016</v>
      </c>
    </row>
    <row r="493" spans="1:23" x14ac:dyDescent="0.3">
      <c r="A493" s="13" t="str" cm="1">
        <f t="array" ref="A493:B493">INDEX(BenchmarkResults!$B$1:$D$35,SUMPRODUCT((T493&gt;=BenchmarkResults!$F$3:$F$35)*(mongodb_hardware_log!T493&lt;BenchmarkResults!$G$3:$G$35)*ROW(BenchmarkResults!$F$3:$F$35)),{1,3})</f>
        <v>q2_avg_order_city</v>
      </c>
      <c r="B493">
        <v>1</v>
      </c>
      <c r="C493" s="13">
        <v>1</v>
      </c>
      <c r="D493" s="13">
        <v>0</v>
      </c>
      <c r="E493" s="13">
        <v>134656</v>
      </c>
      <c r="F493" s="13">
        <v>517708</v>
      </c>
      <c r="G493" s="13">
        <v>2540</v>
      </c>
      <c r="H493" s="13">
        <v>1880952</v>
      </c>
      <c r="I493" s="13">
        <v>0</v>
      </c>
      <c r="J493" s="13">
        <v>0</v>
      </c>
      <c r="K493" s="13">
        <v>939</v>
      </c>
      <c r="L493" s="13">
        <v>27</v>
      </c>
      <c r="M493" s="13">
        <v>872</v>
      </c>
      <c r="N493" s="13">
        <v>388</v>
      </c>
      <c r="O493" s="13">
        <v>34</v>
      </c>
      <c r="P493" s="13">
        <v>1</v>
      </c>
      <c r="Q493" s="13">
        <v>65</v>
      </c>
      <c r="R493" s="13">
        <v>0</v>
      </c>
      <c r="S493" s="13">
        <v>0</v>
      </c>
      <c r="T493" s="23">
        <v>46247.541145833333</v>
      </c>
      <c r="U493" s="55">
        <f t="shared" si="21"/>
        <v>1</v>
      </c>
      <c r="V493" s="55">
        <f t="shared" si="22"/>
        <v>0</v>
      </c>
      <c r="W493" s="56">
        <f t="shared" si="23"/>
        <v>999</v>
      </c>
    </row>
    <row r="494" spans="1:23" x14ac:dyDescent="0.3">
      <c r="A494" s="13" t="str" cm="1">
        <f t="array" ref="A494:B494">INDEX(BenchmarkResults!$B$1:$D$35,SUMPRODUCT((T494&gt;=BenchmarkResults!$F$3:$F$35)*(mongodb_hardware_log!T494&lt;BenchmarkResults!$G$3:$G$35)*ROW(BenchmarkResults!$F$3:$F$35)),{1,3})</f>
        <v>q2_avg_order_city</v>
      </c>
      <c r="B494">
        <v>1</v>
      </c>
      <c r="C494" s="13">
        <v>1</v>
      </c>
      <c r="D494" s="13">
        <v>0</v>
      </c>
      <c r="E494" s="13">
        <v>134656</v>
      </c>
      <c r="F494" s="13">
        <v>509896</v>
      </c>
      <c r="G494" s="13">
        <v>2548</v>
      </c>
      <c r="H494" s="13">
        <v>1889128</v>
      </c>
      <c r="I494" s="13">
        <v>0</v>
      </c>
      <c r="J494" s="13">
        <v>0</v>
      </c>
      <c r="K494" s="13">
        <v>822</v>
      </c>
      <c r="L494" s="13">
        <v>7</v>
      </c>
      <c r="M494" s="13">
        <v>712</v>
      </c>
      <c r="N494" s="13">
        <v>205</v>
      </c>
      <c r="O494" s="13">
        <v>33</v>
      </c>
      <c r="P494" s="13">
        <v>1</v>
      </c>
      <c r="Q494" s="13">
        <v>65</v>
      </c>
      <c r="R494" s="13">
        <v>0</v>
      </c>
      <c r="S494" s="13">
        <v>1</v>
      </c>
      <c r="T494" s="23">
        <v>46247.541261574072</v>
      </c>
      <c r="U494" s="55">
        <f t="shared" si="21"/>
        <v>1</v>
      </c>
      <c r="V494" s="55">
        <f t="shared" si="22"/>
        <v>0</v>
      </c>
      <c r="W494" s="56">
        <f t="shared" si="23"/>
        <v>979</v>
      </c>
    </row>
    <row r="495" spans="1:23" x14ac:dyDescent="0.3">
      <c r="A495" s="13" t="str" cm="1">
        <f t="array" ref="A495:B495">INDEX(BenchmarkResults!$B$1:$D$35,SUMPRODUCT((T495&gt;=BenchmarkResults!$F$3:$F$35)*(mongodb_hardware_log!T495&lt;BenchmarkResults!$G$3:$G$35)*ROW(BenchmarkResults!$F$3:$F$35)),{1,3})</f>
        <v>q2_avg_order_city</v>
      </c>
      <c r="B495">
        <v>1</v>
      </c>
      <c r="C495" s="13">
        <v>1</v>
      </c>
      <c r="D495" s="13">
        <v>0</v>
      </c>
      <c r="E495" s="13">
        <v>134656</v>
      </c>
      <c r="F495" s="13">
        <v>501832</v>
      </c>
      <c r="G495" s="13">
        <v>2556</v>
      </c>
      <c r="H495" s="13">
        <v>1899272</v>
      </c>
      <c r="I495" s="13">
        <v>0</v>
      </c>
      <c r="J495" s="13">
        <v>0</v>
      </c>
      <c r="K495" s="13">
        <v>1016</v>
      </c>
      <c r="L495" s="13">
        <v>8</v>
      </c>
      <c r="M495" s="13">
        <v>716</v>
      </c>
      <c r="N495" s="13">
        <v>208</v>
      </c>
      <c r="O495" s="13">
        <v>33</v>
      </c>
      <c r="P495" s="13">
        <v>1</v>
      </c>
      <c r="Q495" s="13">
        <v>65</v>
      </c>
      <c r="R495" s="13">
        <v>0</v>
      </c>
      <c r="S495" s="13">
        <v>0</v>
      </c>
      <c r="T495" s="23">
        <v>46247.541377314818</v>
      </c>
      <c r="U495" s="55">
        <f t="shared" si="21"/>
        <v>1</v>
      </c>
      <c r="V495" s="55">
        <f t="shared" si="22"/>
        <v>0</v>
      </c>
      <c r="W495" s="56">
        <f t="shared" si="23"/>
        <v>980.33333333333337</v>
      </c>
    </row>
    <row r="496" spans="1:23" x14ac:dyDescent="0.3">
      <c r="A496" s="13" t="str" cm="1">
        <f t="array" ref="A496:B496">INDEX(BenchmarkResults!$B$1:$D$35,SUMPRODUCT((T496&gt;=BenchmarkResults!$F$3:$F$35)*(mongodb_hardware_log!T496&lt;BenchmarkResults!$G$3:$G$35)*ROW(BenchmarkResults!$F$3:$F$35)),{1,3})</f>
        <v>q2_avg_order_city</v>
      </c>
      <c r="B496">
        <v>1</v>
      </c>
      <c r="C496" s="13">
        <v>1</v>
      </c>
      <c r="D496" s="13">
        <v>0</v>
      </c>
      <c r="E496" s="13">
        <v>134656</v>
      </c>
      <c r="F496" s="13">
        <v>495768</v>
      </c>
      <c r="G496" s="13">
        <v>2564</v>
      </c>
      <c r="H496" s="13">
        <v>1909396</v>
      </c>
      <c r="I496" s="13">
        <v>0</v>
      </c>
      <c r="J496" s="13">
        <v>0</v>
      </c>
      <c r="K496" s="13">
        <v>1011</v>
      </c>
      <c r="L496" s="13">
        <v>33</v>
      </c>
      <c r="M496" s="13">
        <v>724</v>
      </c>
      <c r="N496" s="13">
        <v>226</v>
      </c>
      <c r="O496" s="13">
        <v>34</v>
      </c>
      <c r="P496" s="13">
        <v>1</v>
      </c>
      <c r="Q496" s="13">
        <v>65</v>
      </c>
      <c r="R496" s="13">
        <v>0</v>
      </c>
      <c r="S496" s="13">
        <v>0</v>
      </c>
      <c r="T496" s="23">
        <v>46247.541493055556</v>
      </c>
      <c r="U496" s="55">
        <f t="shared" si="21"/>
        <v>1</v>
      </c>
      <c r="V496" s="55">
        <f t="shared" si="22"/>
        <v>0</v>
      </c>
      <c r="W496" s="56">
        <f t="shared" si="23"/>
        <v>933.5</v>
      </c>
    </row>
    <row r="497" spans="1:23" x14ac:dyDescent="0.3">
      <c r="A497" s="13" t="str" cm="1">
        <f t="array" ref="A497:B497">INDEX(BenchmarkResults!$B$1:$D$35,SUMPRODUCT((T497&gt;=BenchmarkResults!$F$3:$F$35)*(mongodb_hardware_log!T497&lt;BenchmarkResults!$G$3:$G$35)*ROW(BenchmarkResults!$F$3:$F$35)),{1,3})</f>
        <v>q2_avg_order_city</v>
      </c>
      <c r="B497">
        <v>1</v>
      </c>
      <c r="C497" s="13">
        <v>1</v>
      </c>
      <c r="D497" s="13">
        <v>0</v>
      </c>
      <c r="E497" s="13">
        <v>134656</v>
      </c>
      <c r="F497" s="13">
        <v>487956</v>
      </c>
      <c r="G497" s="13">
        <v>2572</v>
      </c>
      <c r="H497" s="13">
        <v>1918984</v>
      </c>
      <c r="I497" s="13">
        <v>0</v>
      </c>
      <c r="J497" s="13">
        <v>0</v>
      </c>
      <c r="K497" s="13">
        <v>959</v>
      </c>
      <c r="L497" s="13">
        <v>12</v>
      </c>
      <c r="M497" s="13">
        <v>720</v>
      </c>
      <c r="N497" s="13">
        <v>225</v>
      </c>
      <c r="O497" s="13">
        <v>33</v>
      </c>
      <c r="P497" s="13">
        <v>1</v>
      </c>
      <c r="Q497" s="13">
        <v>65</v>
      </c>
      <c r="R497" s="13">
        <v>0</v>
      </c>
      <c r="S497" s="13">
        <v>0</v>
      </c>
      <c r="T497" s="23">
        <v>46247.541608796295</v>
      </c>
      <c r="U497" s="55">
        <f t="shared" si="21"/>
        <v>1</v>
      </c>
      <c r="V497" s="55">
        <f t="shared" si="22"/>
        <v>0</v>
      </c>
      <c r="W497" s="56">
        <f t="shared" si="23"/>
        <v>939.33333333333337</v>
      </c>
    </row>
    <row r="498" spans="1:23" x14ac:dyDescent="0.3">
      <c r="A498" s="13" t="str" cm="1">
        <f t="array" ref="A498:B498">INDEX(BenchmarkResults!$B$1:$D$35,SUMPRODUCT((T498&gt;=BenchmarkResults!$F$3:$F$35)*(mongodb_hardware_log!T498&lt;BenchmarkResults!$G$3:$G$35)*ROW(BenchmarkResults!$F$3:$F$35)),{1,3})</f>
        <v>q2_avg_order_city</v>
      </c>
      <c r="B498">
        <v>1</v>
      </c>
      <c r="C498" s="13">
        <v>1</v>
      </c>
      <c r="D498" s="13">
        <v>0</v>
      </c>
      <c r="E498" s="13">
        <v>134656</v>
      </c>
      <c r="F498" s="13">
        <v>477876</v>
      </c>
      <c r="G498" s="13">
        <v>2604</v>
      </c>
      <c r="H498" s="13">
        <v>1927708</v>
      </c>
      <c r="I498" s="13">
        <v>1</v>
      </c>
      <c r="J498" s="13">
        <v>0</v>
      </c>
      <c r="K498" s="13">
        <v>869</v>
      </c>
      <c r="L498" s="13">
        <v>30</v>
      </c>
      <c r="M498" s="13">
        <v>751</v>
      </c>
      <c r="N498" s="13">
        <v>221</v>
      </c>
      <c r="O498" s="13">
        <v>33</v>
      </c>
      <c r="P498" s="13">
        <v>1</v>
      </c>
      <c r="Q498" s="13">
        <v>64</v>
      </c>
      <c r="R498" s="13">
        <v>1</v>
      </c>
      <c r="S498" s="13">
        <v>2</v>
      </c>
      <c r="T498" s="23">
        <v>46247.541724537034</v>
      </c>
      <c r="U498" s="55">
        <f t="shared" si="21"/>
        <v>1</v>
      </c>
      <c r="V498" s="55">
        <f t="shared" si="22"/>
        <v>0</v>
      </c>
      <c r="W498" s="56">
        <f t="shared" si="23"/>
        <v>936</v>
      </c>
    </row>
    <row r="499" spans="1:23" x14ac:dyDescent="0.3">
      <c r="A499" s="13" t="str" cm="1">
        <f t="array" ref="A499:B499">INDEX(BenchmarkResults!$B$1:$D$35,SUMPRODUCT((T499&gt;=BenchmarkResults!$F$3:$F$35)*(mongodb_hardware_log!T499&lt;BenchmarkResults!$G$3:$G$35)*ROW(BenchmarkResults!$F$3:$F$35)),{1,3})</f>
        <v>q2_avg_order_city</v>
      </c>
      <c r="B499">
        <v>1</v>
      </c>
      <c r="C499" s="13">
        <v>1</v>
      </c>
      <c r="D499" s="13">
        <v>0</v>
      </c>
      <c r="E499" s="13">
        <v>134656</v>
      </c>
      <c r="F499" s="13">
        <v>466788</v>
      </c>
      <c r="G499" s="13">
        <v>2612</v>
      </c>
      <c r="H499" s="13">
        <v>1937200</v>
      </c>
      <c r="I499" s="13">
        <v>0</v>
      </c>
      <c r="J499" s="13">
        <v>0</v>
      </c>
      <c r="K499" s="13">
        <v>950</v>
      </c>
      <c r="L499" s="13">
        <v>15</v>
      </c>
      <c r="M499" s="13">
        <v>716</v>
      </c>
      <c r="N499" s="13">
        <v>204</v>
      </c>
      <c r="O499" s="13">
        <v>33</v>
      </c>
      <c r="P499" s="13">
        <v>1</v>
      </c>
      <c r="Q499" s="13">
        <v>65</v>
      </c>
      <c r="R499" s="13">
        <v>0</v>
      </c>
      <c r="S499" s="13">
        <v>1</v>
      </c>
      <c r="T499" s="23">
        <v>46247.54184027778</v>
      </c>
      <c r="U499" s="55">
        <f t="shared" si="21"/>
        <v>1</v>
      </c>
      <c r="V499" s="55">
        <f t="shared" si="22"/>
        <v>0</v>
      </c>
      <c r="W499" s="56">
        <f t="shared" si="23"/>
        <v>937.83333333333337</v>
      </c>
    </row>
    <row r="500" spans="1:23" x14ac:dyDescent="0.3">
      <c r="A500" s="13" t="str" cm="1">
        <f t="array" ref="A500:B500">INDEX(BenchmarkResults!$B$1:$D$35,SUMPRODUCT((T500&gt;=BenchmarkResults!$F$3:$F$35)*(mongodb_hardware_log!T500&lt;BenchmarkResults!$G$3:$G$35)*ROW(BenchmarkResults!$F$3:$F$35)),{1,3})</f>
        <v>q2_avg_order_city</v>
      </c>
      <c r="B500">
        <v>1</v>
      </c>
      <c r="C500" s="13">
        <v>1</v>
      </c>
      <c r="D500" s="13">
        <v>0</v>
      </c>
      <c r="E500" s="13">
        <v>134656</v>
      </c>
      <c r="F500" s="13">
        <v>454944</v>
      </c>
      <c r="G500" s="13">
        <v>2620</v>
      </c>
      <c r="H500" s="13">
        <v>1946416</v>
      </c>
      <c r="I500" s="13">
        <v>0</v>
      </c>
      <c r="J500" s="13">
        <v>0</v>
      </c>
      <c r="K500" s="13">
        <v>919</v>
      </c>
      <c r="L500" s="13">
        <v>8</v>
      </c>
      <c r="M500" s="13">
        <v>725</v>
      </c>
      <c r="N500" s="13">
        <v>222</v>
      </c>
      <c r="O500" s="13">
        <v>33</v>
      </c>
      <c r="P500" s="13">
        <v>1</v>
      </c>
      <c r="Q500" s="13">
        <v>65</v>
      </c>
      <c r="R500" s="13">
        <v>1</v>
      </c>
      <c r="S500" s="13">
        <v>1</v>
      </c>
      <c r="T500" s="23">
        <v>46247.541956018518</v>
      </c>
      <c r="U500" s="55">
        <f t="shared" si="21"/>
        <v>1</v>
      </c>
      <c r="V500" s="55">
        <f t="shared" si="22"/>
        <v>0</v>
      </c>
      <c r="W500" s="56">
        <f t="shared" si="23"/>
        <v>954</v>
      </c>
    </row>
    <row r="501" spans="1:23" x14ac:dyDescent="0.3">
      <c r="A501" s="13" t="str" cm="1">
        <f t="array" ref="A501:B501">INDEX(BenchmarkResults!$B$1:$D$35,SUMPRODUCT((T501&gt;=BenchmarkResults!$F$3:$F$35)*(mongodb_hardware_log!T501&lt;BenchmarkResults!$G$3:$G$35)*ROW(BenchmarkResults!$F$3:$F$35)),{1,3})</f>
        <v>q2_avg_order_city</v>
      </c>
      <c r="B501">
        <v>1</v>
      </c>
      <c r="C501" s="13">
        <v>1</v>
      </c>
      <c r="D501" s="13">
        <v>0</v>
      </c>
      <c r="E501" s="13">
        <v>134656</v>
      </c>
      <c r="F501" s="13">
        <v>442848</v>
      </c>
      <c r="G501" s="13">
        <v>2628</v>
      </c>
      <c r="H501" s="13">
        <v>1955736</v>
      </c>
      <c r="I501" s="13">
        <v>0</v>
      </c>
      <c r="J501" s="13">
        <v>0</v>
      </c>
      <c r="K501" s="13">
        <v>936</v>
      </c>
      <c r="L501" s="13">
        <v>8</v>
      </c>
      <c r="M501" s="13">
        <v>725</v>
      </c>
      <c r="N501" s="13">
        <v>216</v>
      </c>
      <c r="O501" s="13">
        <v>33</v>
      </c>
      <c r="P501" s="13">
        <v>1</v>
      </c>
      <c r="Q501" s="13">
        <v>65</v>
      </c>
      <c r="R501" s="13">
        <v>1</v>
      </c>
      <c r="S501" s="13">
        <v>1</v>
      </c>
      <c r="T501" s="23">
        <v>46247.542071759257</v>
      </c>
      <c r="U501" s="55">
        <f t="shared" si="21"/>
        <v>1</v>
      </c>
      <c r="V501" s="55">
        <f t="shared" si="22"/>
        <v>0</v>
      </c>
      <c r="W501" s="56">
        <f t="shared" si="23"/>
        <v>940.66666666666663</v>
      </c>
    </row>
    <row r="502" spans="1:23" x14ac:dyDescent="0.3">
      <c r="A502" s="13" t="str" cm="1">
        <f t="array" ref="A502:B502">INDEX(BenchmarkResults!$B$1:$D$35,SUMPRODUCT((T502&gt;=BenchmarkResults!$F$3:$F$35)*(mongodb_hardware_log!T502&lt;BenchmarkResults!$G$3:$G$35)*ROW(BenchmarkResults!$F$3:$F$35)),{1,3})</f>
        <v>q2_avg_order_city</v>
      </c>
      <c r="B502">
        <v>1</v>
      </c>
      <c r="C502" s="13">
        <v>1</v>
      </c>
      <c r="D502" s="13">
        <v>0</v>
      </c>
      <c r="E502" s="13">
        <v>134656</v>
      </c>
      <c r="F502" s="13">
        <v>438564</v>
      </c>
      <c r="G502" s="13">
        <v>2636</v>
      </c>
      <c r="H502" s="13">
        <v>1963720</v>
      </c>
      <c r="I502" s="13">
        <v>0</v>
      </c>
      <c r="J502" s="13">
        <v>0</v>
      </c>
      <c r="K502" s="13">
        <v>799</v>
      </c>
      <c r="L502" s="13">
        <v>8</v>
      </c>
      <c r="M502" s="13">
        <v>711</v>
      </c>
      <c r="N502" s="13">
        <v>213</v>
      </c>
      <c r="O502" s="13">
        <v>33</v>
      </c>
      <c r="P502" s="13">
        <v>1</v>
      </c>
      <c r="Q502" s="13">
        <v>65</v>
      </c>
      <c r="R502" s="13">
        <v>0</v>
      </c>
      <c r="S502" s="13">
        <v>1</v>
      </c>
      <c r="T502" s="23">
        <v>46247.542187500003</v>
      </c>
      <c r="U502" s="55">
        <f t="shared" si="21"/>
        <v>1</v>
      </c>
      <c r="V502" s="55">
        <f t="shared" si="22"/>
        <v>0</v>
      </c>
      <c r="W502" s="56">
        <f t="shared" si="23"/>
        <v>905.33333333333337</v>
      </c>
    </row>
    <row r="503" spans="1:23" x14ac:dyDescent="0.3">
      <c r="A503" s="13" t="str" cm="1">
        <f t="array" ref="A503:B503">INDEX(BenchmarkResults!$B$1:$D$35,SUMPRODUCT((T503&gt;=BenchmarkResults!$F$3:$F$35)*(mongodb_hardware_log!T503&lt;BenchmarkResults!$G$3:$G$35)*ROW(BenchmarkResults!$F$3:$F$35)),{1,3})</f>
        <v>q2_avg_order_city</v>
      </c>
      <c r="B503">
        <v>1</v>
      </c>
      <c r="C503" s="13">
        <v>1</v>
      </c>
      <c r="D503" s="13">
        <v>0</v>
      </c>
      <c r="E503" s="13">
        <v>134656</v>
      </c>
      <c r="F503" s="13">
        <v>434472</v>
      </c>
      <c r="G503" s="13">
        <v>2644</v>
      </c>
      <c r="H503" s="13">
        <v>1972664</v>
      </c>
      <c r="I503" s="13">
        <v>3</v>
      </c>
      <c r="J503" s="13">
        <v>0</v>
      </c>
      <c r="K503" s="13">
        <v>893</v>
      </c>
      <c r="L503" s="13">
        <v>13</v>
      </c>
      <c r="M503" s="13">
        <v>729</v>
      </c>
      <c r="N503" s="13">
        <v>238</v>
      </c>
      <c r="O503" s="13">
        <v>34</v>
      </c>
      <c r="P503" s="13">
        <v>1</v>
      </c>
      <c r="Q503" s="13">
        <v>65</v>
      </c>
      <c r="R503" s="13">
        <v>0</v>
      </c>
      <c r="S503" s="13">
        <v>0</v>
      </c>
      <c r="T503" s="23">
        <v>46247.542303240742</v>
      </c>
      <c r="U503" s="55">
        <f t="shared" si="21"/>
        <v>1</v>
      </c>
      <c r="V503" s="55">
        <f t="shared" si="22"/>
        <v>0</v>
      </c>
      <c r="W503" s="56">
        <f t="shared" si="23"/>
        <v>894.33333333333337</v>
      </c>
    </row>
    <row r="504" spans="1:23" x14ac:dyDescent="0.3">
      <c r="A504" s="13" t="str" cm="1">
        <f t="array" ref="A504:B504">INDEX(BenchmarkResults!$B$1:$D$35,SUMPRODUCT((T504&gt;=BenchmarkResults!$F$3:$F$35)*(mongodb_hardware_log!T504&lt;BenchmarkResults!$G$3:$G$35)*ROW(BenchmarkResults!$F$3:$F$35)),{1,3})</f>
        <v>q2_avg_order_city</v>
      </c>
      <c r="B504">
        <v>1</v>
      </c>
      <c r="C504" s="13">
        <v>1</v>
      </c>
      <c r="D504" s="13">
        <v>0</v>
      </c>
      <c r="E504" s="13">
        <v>134656</v>
      </c>
      <c r="F504" s="13">
        <v>424516</v>
      </c>
      <c r="G504" s="13">
        <v>2684</v>
      </c>
      <c r="H504" s="13">
        <v>1982688</v>
      </c>
      <c r="I504" s="13">
        <v>1</v>
      </c>
      <c r="J504" s="13">
        <v>0</v>
      </c>
      <c r="K504" s="13">
        <v>1006</v>
      </c>
      <c r="L504" s="13">
        <v>37</v>
      </c>
      <c r="M504" s="13">
        <v>724</v>
      </c>
      <c r="N504" s="13">
        <v>223</v>
      </c>
      <c r="O504" s="13">
        <v>33</v>
      </c>
      <c r="P504" s="13">
        <v>1</v>
      </c>
      <c r="Q504" s="13">
        <v>65</v>
      </c>
      <c r="R504" s="13">
        <v>0</v>
      </c>
      <c r="S504" s="13">
        <v>0</v>
      </c>
      <c r="T504" s="23">
        <v>46247.54241898148</v>
      </c>
      <c r="U504" s="55">
        <f t="shared" si="21"/>
        <v>1</v>
      </c>
      <c r="V504" s="55">
        <f t="shared" si="22"/>
        <v>0</v>
      </c>
      <c r="W504" s="56">
        <f t="shared" si="23"/>
        <v>917.16666666666663</v>
      </c>
    </row>
    <row r="505" spans="1:23" x14ac:dyDescent="0.3">
      <c r="A505" s="13" t="str" cm="1">
        <f t="array" ref="A505:B505">INDEX(BenchmarkResults!$B$1:$D$35,SUMPRODUCT((T505&gt;=BenchmarkResults!$F$3:$F$35)*(mongodb_hardware_log!T505&lt;BenchmarkResults!$G$3:$G$35)*ROW(BenchmarkResults!$F$3:$F$35)),{1,3})</f>
        <v>q2_avg_order_city</v>
      </c>
      <c r="B505">
        <v>1</v>
      </c>
      <c r="C505" s="13">
        <v>1</v>
      </c>
      <c r="D505" s="13">
        <v>0</v>
      </c>
      <c r="E505" s="13">
        <v>134656</v>
      </c>
      <c r="F505" s="13">
        <v>413176</v>
      </c>
      <c r="G505" s="13">
        <v>2692</v>
      </c>
      <c r="H505" s="13">
        <v>1995712</v>
      </c>
      <c r="I505" s="13">
        <v>0</v>
      </c>
      <c r="J505" s="13">
        <v>0</v>
      </c>
      <c r="K505" s="13">
        <v>1311</v>
      </c>
      <c r="L505" s="13">
        <v>6</v>
      </c>
      <c r="M505" s="13">
        <v>726</v>
      </c>
      <c r="N505" s="13">
        <v>216</v>
      </c>
      <c r="O505" s="13">
        <v>33</v>
      </c>
      <c r="P505" s="13">
        <v>1</v>
      </c>
      <c r="Q505" s="13">
        <v>65</v>
      </c>
      <c r="R505" s="13">
        <v>1</v>
      </c>
      <c r="S505" s="13">
        <v>1</v>
      </c>
      <c r="T505" s="23">
        <v>46247.542534722219</v>
      </c>
      <c r="U505" s="55">
        <f t="shared" si="21"/>
        <v>1</v>
      </c>
      <c r="V505" s="55">
        <f t="shared" si="22"/>
        <v>0</v>
      </c>
      <c r="W505" s="56">
        <f t="shared" si="23"/>
        <v>977.33333333333337</v>
      </c>
    </row>
    <row r="506" spans="1:23" x14ac:dyDescent="0.3">
      <c r="A506" s="13" t="str" cm="1">
        <f t="array" ref="A506:B506">INDEX(BenchmarkResults!$B$1:$D$35,SUMPRODUCT((T506&gt;=BenchmarkResults!$F$3:$F$35)*(mongodb_hardware_log!T506&lt;BenchmarkResults!$G$3:$G$35)*ROW(BenchmarkResults!$F$3:$F$35)),{1,3})</f>
        <v>q2_avg_order_city</v>
      </c>
      <c r="B506">
        <v>1</v>
      </c>
      <c r="C506" s="13">
        <v>1</v>
      </c>
      <c r="D506" s="13">
        <v>0</v>
      </c>
      <c r="E506" s="13">
        <v>134656</v>
      </c>
      <c r="F506" s="13">
        <v>403888</v>
      </c>
      <c r="G506" s="13">
        <v>2708</v>
      </c>
      <c r="H506" s="13">
        <v>2004688</v>
      </c>
      <c r="I506" s="13">
        <v>0</v>
      </c>
      <c r="J506" s="13">
        <v>0</v>
      </c>
      <c r="K506" s="13">
        <v>897</v>
      </c>
      <c r="L506" s="13">
        <v>36</v>
      </c>
      <c r="M506" s="13">
        <v>721</v>
      </c>
      <c r="N506" s="13">
        <v>218</v>
      </c>
      <c r="O506" s="13">
        <v>34</v>
      </c>
      <c r="P506" s="13">
        <v>1</v>
      </c>
      <c r="Q506" s="13">
        <v>64</v>
      </c>
      <c r="R506" s="13">
        <v>0</v>
      </c>
      <c r="S506" s="13">
        <v>0</v>
      </c>
      <c r="T506" s="23">
        <v>46247.542650462965</v>
      </c>
      <c r="U506" s="55">
        <f t="shared" si="21"/>
        <v>1</v>
      </c>
      <c r="V506" s="55">
        <f t="shared" si="22"/>
        <v>0</v>
      </c>
      <c r="W506" s="56">
        <f t="shared" si="23"/>
        <v>973.66666666666663</v>
      </c>
    </row>
    <row r="507" spans="1:23" x14ac:dyDescent="0.3">
      <c r="A507" s="13" t="str" cm="1">
        <f t="array" ref="A507:B507">INDEX(BenchmarkResults!$B$1:$D$35,SUMPRODUCT((T507&gt;=BenchmarkResults!$F$3:$F$35)*(mongodb_hardware_log!T507&lt;BenchmarkResults!$G$3:$G$35)*ROW(BenchmarkResults!$F$3:$F$35)),{1,3})</f>
        <v>q2_avg_order_city</v>
      </c>
      <c r="B507">
        <v>1</v>
      </c>
      <c r="C507" s="13">
        <v>1</v>
      </c>
      <c r="D507" s="13">
        <v>0</v>
      </c>
      <c r="E507" s="13">
        <v>134656</v>
      </c>
      <c r="F507" s="13">
        <v>389776</v>
      </c>
      <c r="G507" s="13">
        <v>2716</v>
      </c>
      <c r="H507" s="13">
        <v>2015236</v>
      </c>
      <c r="I507" s="13">
        <v>0</v>
      </c>
      <c r="J507" s="13">
        <v>0</v>
      </c>
      <c r="K507" s="13">
        <v>1052</v>
      </c>
      <c r="L507" s="13">
        <v>10</v>
      </c>
      <c r="M507" s="13">
        <v>711</v>
      </c>
      <c r="N507" s="13">
        <v>207</v>
      </c>
      <c r="O507" s="13">
        <v>33</v>
      </c>
      <c r="P507" s="13">
        <v>1</v>
      </c>
      <c r="Q507" s="13">
        <v>65</v>
      </c>
      <c r="R507" s="13">
        <v>0</v>
      </c>
      <c r="S507" s="13">
        <v>0</v>
      </c>
      <c r="T507" s="23">
        <v>46247.542766203704</v>
      </c>
      <c r="U507" s="55">
        <f t="shared" si="21"/>
        <v>1</v>
      </c>
      <c r="V507" s="55">
        <f t="shared" si="22"/>
        <v>0</v>
      </c>
      <c r="W507" s="56">
        <f t="shared" si="23"/>
        <v>993</v>
      </c>
    </row>
    <row r="508" spans="1:23" x14ac:dyDescent="0.3">
      <c r="A508" s="13" t="str" cm="1">
        <f t="array" ref="A508:B508">INDEX(BenchmarkResults!$B$1:$D$35,SUMPRODUCT((T508&gt;=BenchmarkResults!$F$3:$F$35)*(mongodb_hardware_log!T508&lt;BenchmarkResults!$G$3:$G$35)*ROW(BenchmarkResults!$F$3:$F$35)),{1,3})</f>
        <v>q2_avg_order_city</v>
      </c>
      <c r="B508">
        <v>1</v>
      </c>
      <c r="C508" s="13">
        <v>2</v>
      </c>
      <c r="D508" s="13">
        <v>0</v>
      </c>
      <c r="E508" s="13">
        <v>134656</v>
      </c>
      <c r="F508" s="13">
        <v>377208</v>
      </c>
      <c r="G508" s="13">
        <v>2724</v>
      </c>
      <c r="H508" s="13">
        <v>2023760</v>
      </c>
      <c r="I508" s="13">
        <v>0</v>
      </c>
      <c r="J508" s="13">
        <v>0</v>
      </c>
      <c r="K508" s="13">
        <v>848</v>
      </c>
      <c r="L508" s="13">
        <v>10</v>
      </c>
      <c r="M508" s="13">
        <v>724</v>
      </c>
      <c r="N508" s="13">
        <v>218</v>
      </c>
      <c r="O508" s="13">
        <v>33</v>
      </c>
      <c r="P508" s="13">
        <v>1</v>
      </c>
      <c r="Q508" s="13">
        <v>65</v>
      </c>
      <c r="R508" s="13">
        <v>0</v>
      </c>
      <c r="S508" s="13">
        <v>1</v>
      </c>
      <c r="T508" s="23">
        <v>46247.542881944442</v>
      </c>
      <c r="U508" s="55">
        <f t="shared" si="21"/>
        <v>1.1666666666666667</v>
      </c>
      <c r="V508" s="55">
        <f t="shared" si="22"/>
        <v>0</v>
      </c>
      <c r="W508" s="56">
        <f t="shared" si="23"/>
        <v>1001.1666666666666</v>
      </c>
    </row>
    <row r="509" spans="1:23" x14ac:dyDescent="0.3">
      <c r="A509" s="13" t="str" cm="1">
        <f t="array" ref="A509:B509">INDEX(BenchmarkResults!$B$1:$D$35,SUMPRODUCT((T509&gt;=BenchmarkResults!$F$3:$F$35)*(mongodb_hardware_log!T509&lt;BenchmarkResults!$G$3:$G$35)*ROW(BenchmarkResults!$F$3:$F$35)),{1,3})</f>
        <v>q2_avg_order_city</v>
      </c>
      <c r="B509">
        <v>1</v>
      </c>
      <c r="C509" s="13">
        <v>1</v>
      </c>
      <c r="D509" s="13">
        <v>0</v>
      </c>
      <c r="E509" s="13">
        <v>134656</v>
      </c>
      <c r="F509" s="13">
        <v>368664</v>
      </c>
      <c r="G509" s="13">
        <v>2732</v>
      </c>
      <c r="H509" s="13">
        <v>2033596</v>
      </c>
      <c r="I509" s="13">
        <v>0</v>
      </c>
      <c r="J509" s="13">
        <v>0</v>
      </c>
      <c r="K509" s="13">
        <v>984</v>
      </c>
      <c r="L509" s="13">
        <v>24</v>
      </c>
      <c r="M509" s="13">
        <v>726</v>
      </c>
      <c r="N509" s="13">
        <v>227</v>
      </c>
      <c r="O509" s="13">
        <v>34</v>
      </c>
      <c r="P509" s="13">
        <v>1</v>
      </c>
      <c r="Q509" s="13">
        <v>65</v>
      </c>
      <c r="R509" s="13">
        <v>0</v>
      </c>
      <c r="S509" s="13">
        <v>0</v>
      </c>
      <c r="T509" s="23">
        <v>46247.542997685188</v>
      </c>
      <c r="U509" s="55">
        <f t="shared" si="21"/>
        <v>1.1666666666666667</v>
      </c>
      <c r="V509" s="55">
        <f t="shared" si="22"/>
        <v>0</v>
      </c>
      <c r="W509" s="56">
        <f t="shared" si="23"/>
        <v>1016.3333333333334</v>
      </c>
    </row>
    <row r="510" spans="1:23" x14ac:dyDescent="0.3">
      <c r="A510" s="13" t="str" cm="1">
        <f t="array" ref="A510:B510">INDEX(BenchmarkResults!$B$1:$D$35,SUMPRODUCT((T510&gt;=BenchmarkResults!$F$3:$F$35)*(mongodb_hardware_log!T510&lt;BenchmarkResults!$G$3:$G$35)*ROW(BenchmarkResults!$F$3:$F$35)),{1,3})</f>
        <v>q2_avg_order_city</v>
      </c>
      <c r="B510">
        <v>1</v>
      </c>
      <c r="C510" s="13">
        <v>1</v>
      </c>
      <c r="D510" s="13">
        <v>0</v>
      </c>
      <c r="E510" s="13">
        <v>134656</v>
      </c>
      <c r="F510" s="13">
        <v>365416</v>
      </c>
      <c r="G510" s="13">
        <v>2764</v>
      </c>
      <c r="H510" s="13">
        <v>2042456</v>
      </c>
      <c r="I510" s="13">
        <v>1</v>
      </c>
      <c r="J510" s="13">
        <v>0</v>
      </c>
      <c r="K510" s="13">
        <v>886</v>
      </c>
      <c r="L510" s="13">
        <v>30</v>
      </c>
      <c r="M510" s="13">
        <v>740</v>
      </c>
      <c r="N510" s="13">
        <v>214</v>
      </c>
      <c r="O510" s="13">
        <v>33</v>
      </c>
      <c r="P510" s="13">
        <v>1</v>
      </c>
      <c r="Q510" s="13">
        <v>63</v>
      </c>
      <c r="R510" s="13">
        <v>1</v>
      </c>
      <c r="S510" s="13">
        <v>2</v>
      </c>
      <c r="T510" s="23">
        <v>46247.543113425927</v>
      </c>
      <c r="U510" s="55">
        <f t="shared" si="21"/>
        <v>1.1666666666666667</v>
      </c>
      <c r="V510" s="55">
        <f t="shared" si="22"/>
        <v>0</v>
      </c>
      <c r="W510" s="56">
        <f t="shared" si="23"/>
        <v>996.33333333333337</v>
      </c>
    </row>
    <row r="511" spans="1:23" x14ac:dyDescent="0.3">
      <c r="A511" s="13" t="str" cm="1">
        <f t="array" ref="A511:B511">INDEX(BenchmarkResults!$B$1:$D$35,SUMPRODUCT((T511&gt;=BenchmarkResults!$F$3:$F$35)*(mongodb_hardware_log!T511&lt;BenchmarkResults!$G$3:$G$35)*ROW(BenchmarkResults!$F$3:$F$35)),{1,3})</f>
        <v>q2_avg_order_city</v>
      </c>
      <c r="B511">
        <v>1</v>
      </c>
      <c r="C511" s="13">
        <v>1</v>
      </c>
      <c r="D511" s="13">
        <v>0</v>
      </c>
      <c r="E511" s="13">
        <v>134656</v>
      </c>
      <c r="F511" s="13">
        <v>348784</v>
      </c>
      <c r="G511" s="13">
        <v>2772</v>
      </c>
      <c r="H511" s="13">
        <v>2054588</v>
      </c>
      <c r="I511" s="13">
        <v>0</v>
      </c>
      <c r="J511" s="13">
        <v>0</v>
      </c>
      <c r="K511" s="13">
        <v>1212</v>
      </c>
      <c r="L511" s="13">
        <v>13</v>
      </c>
      <c r="M511" s="13">
        <v>727</v>
      </c>
      <c r="N511" s="13">
        <v>211</v>
      </c>
      <c r="O511" s="13">
        <v>33</v>
      </c>
      <c r="P511" s="13">
        <v>1</v>
      </c>
      <c r="Q511" s="13">
        <v>64</v>
      </c>
      <c r="R511" s="13">
        <v>1</v>
      </c>
      <c r="S511" s="13">
        <v>1</v>
      </c>
      <c r="T511" s="23">
        <v>46247.543229166666</v>
      </c>
      <c r="U511" s="55">
        <f t="shared" si="21"/>
        <v>1.1666666666666667</v>
      </c>
      <c r="V511" s="55">
        <f t="shared" si="22"/>
        <v>0</v>
      </c>
      <c r="W511" s="56">
        <f t="shared" si="23"/>
        <v>979.83333333333337</v>
      </c>
    </row>
    <row r="512" spans="1:23" x14ac:dyDescent="0.3">
      <c r="A512" s="13" t="str" cm="1">
        <f t="array" ref="A512:B512">INDEX(BenchmarkResults!$B$1:$D$35,SUMPRODUCT((T512&gt;=BenchmarkResults!$F$3:$F$35)*(mongodb_hardware_log!T512&lt;BenchmarkResults!$G$3:$G$35)*ROW(BenchmarkResults!$F$3:$F$35)),{1,3})</f>
        <v>q2_avg_order_city</v>
      </c>
      <c r="B512">
        <v>1</v>
      </c>
      <c r="C512" s="13">
        <v>1</v>
      </c>
      <c r="D512" s="13">
        <v>0</v>
      </c>
      <c r="E512" s="13">
        <v>134656</v>
      </c>
      <c r="F512" s="13">
        <v>340216</v>
      </c>
      <c r="G512" s="13">
        <v>2780</v>
      </c>
      <c r="H512" s="13">
        <v>2062364</v>
      </c>
      <c r="I512" s="13">
        <v>0</v>
      </c>
      <c r="J512" s="13">
        <v>0</v>
      </c>
      <c r="K512" s="13">
        <v>778</v>
      </c>
      <c r="L512" s="13">
        <v>10</v>
      </c>
      <c r="M512" s="13">
        <v>713</v>
      </c>
      <c r="N512" s="13">
        <v>208</v>
      </c>
      <c r="O512" s="13">
        <v>33</v>
      </c>
      <c r="P512" s="13">
        <v>1</v>
      </c>
      <c r="Q512" s="13">
        <v>65</v>
      </c>
      <c r="R512" s="13">
        <v>0</v>
      </c>
      <c r="S512" s="13">
        <v>0</v>
      </c>
      <c r="T512" s="23">
        <v>46247.543344907404</v>
      </c>
      <c r="U512" s="55">
        <f t="shared" si="21"/>
        <v>1.1666666666666667</v>
      </c>
      <c r="V512" s="55">
        <f t="shared" si="22"/>
        <v>0</v>
      </c>
      <c r="W512" s="56">
        <f t="shared" si="23"/>
        <v>960</v>
      </c>
    </row>
    <row r="513" spans="1:23" x14ac:dyDescent="0.3">
      <c r="A513" s="13" t="str" cm="1">
        <f t="array" ref="A513:B513">INDEX(BenchmarkResults!$B$1:$D$35,SUMPRODUCT((T513&gt;=BenchmarkResults!$F$3:$F$35)*(mongodb_hardware_log!T513&lt;BenchmarkResults!$G$3:$G$35)*ROW(BenchmarkResults!$F$3:$F$35)),{1,3})</f>
        <v>q2_avg_order_city</v>
      </c>
      <c r="B513">
        <v>1</v>
      </c>
      <c r="C513" s="13">
        <v>1</v>
      </c>
      <c r="D513" s="13">
        <v>0</v>
      </c>
      <c r="E513" s="13">
        <v>134656</v>
      </c>
      <c r="F513" s="13">
        <v>338716</v>
      </c>
      <c r="G513" s="13">
        <v>2788</v>
      </c>
      <c r="H513" s="13">
        <v>2070732</v>
      </c>
      <c r="I513" s="13">
        <v>0</v>
      </c>
      <c r="J513" s="13">
        <v>0</v>
      </c>
      <c r="K513" s="13">
        <v>836</v>
      </c>
      <c r="L513" s="13">
        <v>11</v>
      </c>
      <c r="M513" s="13">
        <v>715</v>
      </c>
      <c r="N513" s="13">
        <v>214</v>
      </c>
      <c r="O513" s="13">
        <v>34</v>
      </c>
      <c r="P513" s="13">
        <v>1</v>
      </c>
      <c r="Q513" s="13">
        <v>65</v>
      </c>
      <c r="R513" s="13">
        <v>0</v>
      </c>
      <c r="S513" s="13">
        <v>0</v>
      </c>
      <c r="T513" s="23">
        <v>46247.54346064815</v>
      </c>
      <c r="U513" s="55">
        <f t="shared" si="21"/>
        <v>1.1666666666666667</v>
      </c>
      <c r="V513" s="55">
        <f t="shared" si="22"/>
        <v>0</v>
      </c>
      <c r="W513" s="56">
        <f t="shared" si="23"/>
        <v>924</v>
      </c>
    </row>
    <row r="514" spans="1:23" x14ac:dyDescent="0.3">
      <c r="A514" s="13" t="str" cm="1">
        <f t="array" ref="A514:B514">INDEX(BenchmarkResults!$B$1:$D$35,SUMPRODUCT((T514&gt;=BenchmarkResults!$F$3:$F$35)*(mongodb_hardware_log!T514&lt;BenchmarkResults!$G$3:$G$35)*ROW(BenchmarkResults!$F$3:$F$35)),{1,3})</f>
        <v>q2_avg_order_city</v>
      </c>
      <c r="B514">
        <v>1</v>
      </c>
      <c r="C514" s="13">
        <v>1</v>
      </c>
      <c r="D514" s="13">
        <v>0</v>
      </c>
      <c r="E514" s="13">
        <v>134656</v>
      </c>
      <c r="F514" s="13">
        <v>323092</v>
      </c>
      <c r="G514" s="13">
        <v>2796</v>
      </c>
      <c r="H514" s="13">
        <v>2083176</v>
      </c>
      <c r="I514" s="13">
        <v>0</v>
      </c>
      <c r="J514" s="13">
        <v>0</v>
      </c>
      <c r="K514" s="13">
        <v>1244</v>
      </c>
      <c r="L514" s="13">
        <v>30</v>
      </c>
      <c r="M514" s="13">
        <v>726</v>
      </c>
      <c r="N514" s="13">
        <v>226</v>
      </c>
      <c r="O514" s="13">
        <v>33</v>
      </c>
      <c r="P514" s="13">
        <v>1</v>
      </c>
      <c r="Q514" s="13">
        <v>65</v>
      </c>
      <c r="R514" s="13">
        <v>1</v>
      </c>
      <c r="S514" s="13">
        <v>0</v>
      </c>
      <c r="T514" s="23">
        <v>46247.543576388889</v>
      </c>
      <c r="U514" s="55">
        <f t="shared" si="21"/>
        <v>1</v>
      </c>
      <c r="V514" s="55">
        <f t="shared" si="22"/>
        <v>0</v>
      </c>
      <c r="W514" s="56">
        <f t="shared" si="23"/>
        <v>990</v>
      </c>
    </row>
    <row r="515" spans="1:23" x14ac:dyDescent="0.3">
      <c r="A515" s="13" t="str" cm="1">
        <f t="array" ref="A515:B515">INDEX(BenchmarkResults!$B$1:$D$35,SUMPRODUCT((T515&gt;=BenchmarkResults!$F$3:$F$35)*(mongodb_hardware_log!T515&lt;BenchmarkResults!$G$3:$G$35)*ROW(BenchmarkResults!$F$3:$F$35)),{1,3})</f>
        <v>q2_avg_order_city</v>
      </c>
      <c r="B515">
        <v>1</v>
      </c>
      <c r="C515" s="13">
        <v>1</v>
      </c>
      <c r="D515" s="13">
        <v>0</v>
      </c>
      <c r="E515" s="13">
        <v>134656</v>
      </c>
      <c r="F515" s="13">
        <v>319564</v>
      </c>
      <c r="G515" s="13">
        <v>2804</v>
      </c>
      <c r="H515" s="13">
        <v>2089796</v>
      </c>
      <c r="I515" s="13">
        <v>0</v>
      </c>
      <c r="J515" s="13">
        <v>0</v>
      </c>
      <c r="K515" s="13">
        <v>668</v>
      </c>
      <c r="L515" s="13">
        <v>10</v>
      </c>
      <c r="M515" s="13">
        <v>700</v>
      </c>
      <c r="N515" s="13">
        <v>205</v>
      </c>
      <c r="O515" s="13">
        <v>33</v>
      </c>
      <c r="P515" s="13">
        <v>1</v>
      </c>
      <c r="Q515" s="13">
        <v>65</v>
      </c>
      <c r="R515" s="13">
        <v>0</v>
      </c>
      <c r="S515" s="13">
        <v>0</v>
      </c>
      <c r="T515" s="23">
        <v>46247.543692129628</v>
      </c>
      <c r="U515" s="55">
        <f t="shared" si="21"/>
        <v>1</v>
      </c>
      <c r="V515" s="55">
        <f t="shared" si="22"/>
        <v>0</v>
      </c>
      <c r="W515" s="56">
        <f t="shared" si="23"/>
        <v>937.33333333333337</v>
      </c>
    </row>
    <row r="516" spans="1:23" x14ac:dyDescent="0.3">
      <c r="A516" s="13" t="str" cm="1">
        <f t="array" ref="A516:B516">INDEX(BenchmarkResults!$B$1:$D$35,SUMPRODUCT((T516&gt;=BenchmarkResults!$F$3:$F$35)*(mongodb_hardware_log!T516&lt;BenchmarkResults!$G$3:$G$35)*ROW(BenchmarkResults!$F$3:$F$35)),{1,3})</f>
        <v>q2_avg_order_city</v>
      </c>
      <c r="B516">
        <v>1</v>
      </c>
      <c r="C516" s="13">
        <v>8</v>
      </c>
      <c r="D516" s="13">
        <v>0</v>
      </c>
      <c r="E516" s="13">
        <v>134656</v>
      </c>
      <c r="F516" s="13">
        <v>128444</v>
      </c>
      <c r="G516" s="13">
        <v>2608</v>
      </c>
      <c r="H516" s="13">
        <v>1738820</v>
      </c>
      <c r="I516" s="13">
        <v>1</v>
      </c>
      <c r="J516" s="13">
        <v>0</v>
      </c>
      <c r="K516" s="13">
        <v>970</v>
      </c>
      <c r="L516" s="13">
        <v>26</v>
      </c>
      <c r="M516" s="13">
        <v>916</v>
      </c>
      <c r="N516" s="13">
        <v>316</v>
      </c>
      <c r="O516" s="13">
        <v>35</v>
      </c>
      <c r="P516" s="13">
        <v>7</v>
      </c>
      <c r="Q516" s="13">
        <v>56</v>
      </c>
      <c r="R516" s="13">
        <v>0</v>
      </c>
      <c r="S516" s="13">
        <v>1</v>
      </c>
      <c r="T516" s="23">
        <v>46247.543807870374</v>
      </c>
      <c r="U516" s="55">
        <f t="shared" si="21"/>
        <v>2.1666666666666665</v>
      </c>
      <c r="V516" s="55">
        <f t="shared" si="22"/>
        <v>0</v>
      </c>
      <c r="W516" s="56">
        <f t="shared" si="23"/>
        <v>951.33333333333337</v>
      </c>
    </row>
    <row r="517" spans="1:23" x14ac:dyDescent="0.3">
      <c r="A517" s="13" t="str" cm="1">
        <f t="array" ref="A517:B517">INDEX(BenchmarkResults!$B$1:$D$35,SUMPRODUCT((T517&gt;=BenchmarkResults!$F$3:$F$35)*(mongodb_hardware_log!T517&lt;BenchmarkResults!$G$3:$G$35)*ROW(BenchmarkResults!$F$3:$F$35)),{1,3})</f>
        <v>q2_avg_order_city</v>
      </c>
      <c r="B517">
        <v>1</v>
      </c>
      <c r="C517" s="13">
        <v>1</v>
      </c>
      <c r="D517" s="13">
        <v>0</v>
      </c>
      <c r="E517" s="13">
        <v>134656</v>
      </c>
      <c r="F517" s="13">
        <v>879452</v>
      </c>
      <c r="G517" s="13">
        <v>2596</v>
      </c>
      <c r="H517" s="13">
        <v>1504628</v>
      </c>
      <c r="I517" s="13">
        <v>0</v>
      </c>
      <c r="J517" s="13">
        <v>0</v>
      </c>
      <c r="K517" s="13">
        <v>624</v>
      </c>
      <c r="L517" s="13">
        <v>15</v>
      </c>
      <c r="M517" s="13">
        <v>891</v>
      </c>
      <c r="N517" s="13">
        <v>397</v>
      </c>
      <c r="O517" s="13">
        <v>34</v>
      </c>
      <c r="P517" s="13">
        <v>4</v>
      </c>
      <c r="Q517" s="13">
        <v>60</v>
      </c>
      <c r="R517" s="13">
        <v>0</v>
      </c>
      <c r="S517" s="13">
        <v>1</v>
      </c>
      <c r="T517" s="23">
        <v>46247.543923611112</v>
      </c>
      <c r="U517" s="55">
        <f t="shared" si="21"/>
        <v>2.1666666666666665</v>
      </c>
      <c r="V517" s="55">
        <f t="shared" si="22"/>
        <v>0</v>
      </c>
      <c r="W517" s="56">
        <f t="shared" si="23"/>
        <v>853.33333333333337</v>
      </c>
    </row>
    <row r="518" spans="1:23" x14ac:dyDescent="0.3">
      <c r="A518" s="13" t="str" cm="1">
        <f t="array" ref="A518:B518">INDEX(BenchmarkResults!$B$1:$D$35,SUMPRODUCT((T518&gt;=BenchmarkResults!$F$3:$F$35)*(mongodb_hardware_log!T518&lt;BenchmarkResults!$G$3:$G$35)*ROW(BenchmarkResults!$F$3:$F$35)),{1,3})</f>
        <v>q2_avg_order_city</v>
      </c>
      <c r="B518">
        <v>1</v>
      </c>
      <c r="C518" s="13">
        <v>1</v>
      </c>
      <c r="D518" s="13">
        <v>0</v>
      </c>
      <c r="E518" s="13">
        <v>134656</v>
      </c>
      <c r="F518" s="13">
        <v>868364</v>
      </c>
      <c r="G518" s="13">
        <v>2612</v>
      </c>
      <c r="H518" s="13">
        <v>1515892</v>
      </c>
      <c r="I518" s="13">
        <v>1</v>
      </c>
      <c r="J518" s="13">
        <v>0</v>
      </c>
      <c r="K518" s="13">
        <v>1128</v>
      </c>
      <c r="L518" s="13">
        <v>17</v>
      </c>
      <c r="M518" s="13">
        <v>728</v>
      </c>
      <c r="N518" s="13">
        <v>219</v>
      </c>
      <c r="O518" s="13">
        <v>33</v>
      </c>
      <c r="P518" s="13">
        <v>1</v>
      </c>
      <c r="Q518" s="13">
        <v>63</v>
      </c>
      <c r="R518" s="13">
        <v>2</v>
      </c>
      <c r="S518" s="13">
        <v>1</v>
      </c>
      <c r="T518" s="23">
        <v>46247.544039351851</v>
      </c>
      <c r="U518" s="55">
        <f t="shared" si="21"/>
        <v>2.1666666666666665</v>
      </c>
      <c r="V518" s="55">
        <f t="shared" si="22"/>
        <v>0</v>
      </c>
      <c r="W518" s="56">
        <f t="shared" si="23"/>
        <v>911.66666666666663</v>
      </c>
    </row>
    <row r="519" spans="1:23" x14ac:dyDescent="0.3">
      <c r="A519" s="13" t="str" cm="1">
        <f t="array" ref="A519:B519">INDEX(BenchmarkResults!$B$1:$D$35,SUMPRODUCT((T519&gt;=BenchmarkResults!$F$3:$F$35)*(mongodb_hardware_log!T519&lt;BenchmarkResults!$G$3:$G$35)*ROW(BenchmarkResults!$F$3:$F$35)),{1,3})</f>
        <v>q2_avg_order_city</v>
      </c>
      <c r="B519">
        <v>1</v>
      </c>
      <c r="C519" s="13">
        <v>2</v>
      </c>
      <c r="D519" s="13">
        <v>0</v>
      </c>
      <c r="E519" s="13">
        <v>134656</v>
      </c>
      <c r="F519" s="13">
        <v>858284</v>
      </c>
      <c r="G519" s="13">
        <v>2620</v>
      </c>
      <c r="H519" s="13">
        <v>1523380</v>
      </c>
      <c r="I519" s="13">
        <v>0</v>
      </c>
      <c r="J519" s="13">
        <v>0</v>
      </c>
      <c r="K519" s="13">
        <v>743</v>
      </c>
      <c r="L519" s="13">
        <v>8</v>
      </c>
      <c r="M519" s="13">
        <v>704</v>
      </c>
      <c r="N519" s="13">
        <v>202</v>
      </c>
      <c r="O519" s="13">
        <v>34</v>
      </c>
      <c r="P519" s="13">
        <v>1</v>
      </c>
      <c r="Q519" s="13">
        <v>65</v>
      </c>
      <c r="R519" s="13">
        <v>0</v>
      </c>
      <c r="S519" s="13">
        <v>0</v>
      </c>
      <c r="T519" s="23">
        <v>46247.54415509259</v>
      </c>
      <c r="U519" s="55">
        <f t="shared" si="21"/>
        <v>2.3333333333333335</v>
      </c>
      <c r="V519" s="55">
        <f t="shared" si="22"/>
        <v>0</v>
      </c>
      <c r="W519" s="56">
        <f t="shared" si="23"/>
        <v>896.16666666666663</v>
      </c>
    </row>
    <row r="520" spans="1:23" x14ac:dyDescent="0.3">
      <c r="A520" s="13" t="str" cm="1">
        <f t="array" ref="A520:B520">INDEX(BenchmarkResults!$B$1:$D$35,SUMPRODUCT((T520&gt;=BenchmarkResults!$F$3:$F$35)*(mongodb_hardware_log!T520&lt;BenchmarkResults!$G$3:$G$35)*ROW(BenchmarkResults!$F$3:$F$35)),{1,3})</f>
        <v>q2_avg_order_city</v>
      </c>
      <c r="B520">
        <v>1</v>
      </c>
      <c r="C520" s="13">
        <v>1</v>
      </c>
      <c r="D520" s="13">
        <v>0</v>
      </c>
      <c r="E520" s="13">
        <v>134656</v>
      </c>
      <c r="F520" s="13">
        <v>850220</v>
      </c>
      <c r="G520" s="13">
        <v>2636</v>
      </c>
      <c r="H520" s="13">
        <v>1533100</v>
      </c>
      <c r="I520" s="13">
        <v>0</v>
      </c>
      <c r="J520" s="13">
        <v>0</v>
      </c>
      <c r="K520" s="13">
        <v>972</v>
      </c>
      <c r="L520" s="13">
        <v>18</v>
      </c>
      <c r="M520" s="13">
        <v>709</v>
      </c>
      <c r="N520" s="13">
        <v>205</v>
      </c>
      <c r="O520" s="13">
        <v>33</v>
      </c>
      <c r="P520" s="13">
        <v>1</v>
      </c>
      <c r="Q520" s="13">
        <v>65</v>
      </c>
      <c r="R520" s="13">
        <v>0</v>
      </c>
      <c r="S520" s="13">
        <v>1</v>
      </c>
      <c r="T520" s="23">
        <v>46247.544270833336</v>
      </c>
      <c r="U520" s="55">
        <f t="shared" si="21"/>
        <v>2.3333333333333335</v>
      </c>
      <c r="V520" s="55">
        <f t="shared" si="22"/>
        <v>0</v>
      </c>
      <c r="W520" s="56">
        <f t="shared" si="23"/>
        <v>850.83333333333337</v>
      </c>
    </row>
    <row r="521" spans="1:23" x14ac:dyDescent="0.3">
      <c r="A521" s="13" t="str" cm="1">
        <f t="array" ref="A521:B521">INDEX(BenchmarkResults!$B$1:$D$35,SUMPRODUCT((T521&gt;=BenchmarkResults!$F$3:$F$35)*(mongodb_hardware_log!T521&lt;BenchmarkResults!$G$3:$G$35)*ROW(BenchmarkResults!$F$3:$F$35)),{1,3})</f>
        <v>q2_avg_order_city</v>
      </c>
      <c r="B521">
        <v>1</v>
      </c>
      <c r="C521" s="13">
        <v>1</v>
      </c>
      <c r="D521" s="13">
        <v>0</v>
      </c>
      <c r="E521" s="13">
        <v>134656</v>
      </c>
      <c r="F521" s="13">
        <v>843920</v>
      </c>
      <c r="G521" s="13">
        <v>2644</v>
      </c>
      <c r="H521" s="13">
        <v>1543832</v>
      </c>
      <c r="I521" s="13">
        <v>0</v>
      </c>
      <c r="J521" s="13">
        <v>0</v>
      </c>
      <c r="K521" s="13">
        <v>1074</v>
      </c>
      <c r="L521" s="13">
        <v>7</v>
      </c>
      <c r="M521" s="13">
        <v>726</v>
      </c>
      <c r="N521" s="13">
        <v>222</v>
      </c>
      <c r="O521" s="13">
        <v>33</v>
      </c>
      <c r="P521" s="13">
        <v>1</v>
      </c>
      <c r="Q521" s="13">
        <v>65</v>
      </c>
      <c r="R521" s="13">
        <v>0</v>
      </c>
      <c r="S521" s="13">
        <v>1</v>
      </c>
      <c r="T521" s="23">
        <v>46247.544386574074</v>
      </c>
      <c r="U521" s="55">
        <f t="shared" ref="U521:U584" si="24">AVERAGE(C516:C521)</f>
        <v>2.3333333333333335</v>
      </c>
      <c r="V521" s="55">
        <f t="shared" ref="V521:V584" si="25">AVERAGE(D516:D521)</f>
        <v>0</v>
      </c>
      <c r="W521" s="56">
        <f t="shared" ref="W521:W584" si="26">AVERAGE(K516:K521)</f>
        <v>918.5</v>
      </c>
    </row>
    <row r="522" spans="1:23" x14ac:dyDescent="0.3">
      <c r="A522" s="13" t="str" cm="1">
        <f t="array" ref="A522:B522">INDEX(BenchmarkResults!$B$1:$D$35,SUMPRODUCT((T522&gt;=BenchmarkResults!$F$3:$F$35)*(mongodb_hardware_log!T522&lt;BenchmarkResults!$G$3:$G$35)*ROW(BenchmarkResults!$F$3:$F$35)),{1,3})</f>
        <v>q2_avg_order_city</v>
      </c>
      <c r="B522">
        <v>1</v>
      </c>
      <c r="C522" s="13">
        <v>1</v>
      </c>
      <c r="D522" s="13">
        <v>0</v>
      </c>
      <c r="E522" s="13">
        <v>134656</v>
      </c>
      <c r="F522" s="13">
        <v>823808</v>
      </c>
      <c r="G522" s="13">
        <v>2700</v>
      </c>
      <c r="H522" s="13">
        <v>1554068</v>
      </c>
      <c r="I522" s="13">
        <v>2</v>
      </c>
      <c r="J522" s="13">
        <v>0</v>
      </c>
      <c r="K522" s="13">
        <v>1012</v>
      </c>
      <c r="L522" s="13">
        <v>59</v>
      </c>
      <c r="M522" s="13">
        <v>763</v>
      </c>
      <c r="N522" s="13">
        <v>253</v>
      </c>
      <c r="O522" s="13">
        <v>34</v>
      </c>
      <c r="P522" s="13">
        <v>1</v>
      </c>
      <c r="Q522" s="13">
        <v>64</v>
      </c>
      <c r="R522" s="13">
        <v>1</v>
      </c>
      <c r="S522" s="13">
        <v>1</v>
      </c>
      <c r="T522" s="23">
        <v>46247.544502314813</v>
      </c>
      <c r="U522" s="55">
        <f t="shared" si="24"/>
        <v>1.1666666666666667</v>
      </c>
      <c r="V522" s="55">
        <f t="shared" si="25"/>
        <v>0</v>
      </c>
      <c r="W522" s="56">
        <f t="shared" si="26"/>
        <v>925.5</v>
      </c>
    </row>
    <row r="523" spans="1:23" x14ac:dyDescent="0.3">
      <c r="A523" s="13" t="str" cm="1">
        <f t="array" ref="A523:B523">INDEX(BenchmarkResults!$B$1:$D$35,SUMPRODUCT((T523&gt;=BenchmarkResults!$F$3:$F$35)*(mongodb_hardware_log!T523&lt;BenchmarkResults!$G$3:$G$35)*ROW(BenchmarkResults!$F$3:$F$35)),{1,3})</f>
        <v>q2_avg_order_city</v>
      </c>
      <c r="B523">
        <v>1</v>
      </c>
      <c r="C523" s="13">
        <v>1</v>
      </c>
      <c r="D523" s="13">
        <v>0</v>
      </c>
      <c r="E523" s="13">
        <v>134656</v>
      </c>
      <c r="F523" s="13">
        <v>839308</v>
      </c>
      <c r="G523" s="13">
        <v>2708</v>
      </c>
      <c r="H523" s="13">
        <v>1564104</v>
      </c>
      <c r="I523" s="13">
        <v>0</v>
      </c>
      <c r="J523" s="13">
        <v>0</v>
      </c>
      <c r="K523" s="13">
        <v>1003</v>
      </c>
      <c r="L523" s="13">
        <v>11</v>
      </c>
      <c r="M523" s="13">
        <v>831</v>
      </c>
      <c r="N523" s="13">
        <v>334</v>
      </c>
      <c r="O523" s="13">
        <v>34</v>
      </c>
      <c r="P523" s="13">
        <v>1</v>
      </c>
      <c r="Q523" s="13">
        <v>65</v>
      </c>
      <c r="R523" s="13">
        <v>0</v>
      </c>
      <c r="S523" s="13">
        <v>0</v>
      </c>
      <c r="T523" s="23">
        <v>46247.544618055559</v>
      </c>
      <c r="U523" s="55">
        <f t="shared" si="24"/>
        <v>1.1666666666666667</v>
      </c>
      <c r="V523" s="55">
        <f t="shared" si="25"/>
        <v>0</v>
      </c>
      <c r="W523" s="56">
        <f t="shared" si="26"/>
        <v>988.66666666666663</v>
      </c>
    </row>
    <row r="524" spans="1:23" x14ac:dyDescent="0.3">
      <c r="A524" s="13" t="str" cm="1">
        <f t="array" ref="A524:B524">INDEX(BenchmarkResults!$B$1:$D$35,SUMPRODUCT((T524&gt;=BenchmarkResults!$F$3:$F$35)*(mongodb_hardware_log!T524&lt;BenchmarkResults!$G$3:$G$35)*ROW(BenchmarkResults!$F$3:$F$35)),{1,3})</f>
        <v>q2_avg_order_city</v>
      </c>
      <c r="B524">
        <v>1</v>
      </c>
      <c r="C524" s="13">
        <v>1</v>
      </c>
      <c r="D524" s="13">
        <v>0</v>
      </c>
      <c r="E524" s="13">
        <v>134656</v>
      </c>
      <c r="F524" s="13">
        <v>825464</v>
      </c>
      <c r="G524" s="13">
        <v>2716</v>
      </c>
      <c r="H524" s="13">
        <v>1574832</v>
      </c>
      <c r="I524" s="13">
        <v>0</v>
      </c>
      <c r="J524" s="13">
        <v>0</v>
      </c>
      <c r="K524" s="13">
        <v>1071</v>
      </c>
      <c r="L524" s="13">
        <v>9</v>
      </c>
      <c r="M524" s="13">
        <v>724</v>
      </c>
      <c r="N524" s="13">
        <v>220</v>
      </c>
      <c r="O524" s="13">
        <v>34</v>
      </c>
      <c r="P524" s="13">
        <v>1</v>
      </c>
      <c r="Q524" s="13">
        <v>65</v>
      </c>
      <c r="R524" s="13">
        <v>0</v>
      </c>
      <c r="S524" s="13">
        <v>0</v>
      </c>
      <c r="T524" s="23">
        <v>46247.544733796298</v>
      </c>
      <c r="U524" s="55">
        <f t="shared" si="24"/>
        <v>1.1666666666666667</v>
      </c>
      <c r="V524" s="55">
        <f t="shared" si="25"/>
        <v>0</v>
      </c>
      <c r="W524" s="56">
        <f t="shared" si="26"/>
        <v>979.16666666666663</v>
      </c>
    </row>
    <row r="525" spans="1:23" x14ac:dyDescent="0.3">
      <c r="A525" s="13" t="str" cm="1">
        <f t="array" ref="A525:B525">INDEX(BenchmarkResults!$B$1:$D$35,SUMPRODUCT((T525&gt;=BenchmarkResults!$F$3:$F$35)*(mongodb_hardware_log!T525&lt;BenchmarkResults!$G$3:$G$35)*ROW(BenchmarkResults!$F$3:$F$35)),{1,3})</f>
        <v>q2_avg_order_city</v>
      </c>
      <c r="B525">
        <v>1</v>
      </c>
      <c r="C525" s="13">
        <v>1</v>
      </c>
      <c r="D525" s="13">
        <v>0</v>
      </c>
      <c r="E525" s="13">
        <v>134656</v>
      </c>
      <c r="F525" s="13">
        <v>810344</v>
      </c>
      <c r="G525" s="13">
        <v>2732</v>
      </c>
      <c r="H525" s="13">
        <v>1586796</v>
      </c>
      <c r="I525" s="13">
        <v>0</v>
      </c>
      <c r="J525" s="13">
        <v>0</v>
      </c>
      <c r="K525" s="13">
        <v>1203</v>
      </c>
      <c r="L525" s="13">
        <v>11</v>
      </c>
      <c r="M525" s="13">
        <v>723</v>
      </c>
      <c r="N525" s="13">
        <v>212</v>
      </c>
      <c r="O525" s="13">
        <v>33</v>
      </c>
      <c r="P525" s="13">
        <v>1</v>
      </c>
      <c r="Q525" s="13">
        <v>65</v>
      </c>
      <c r="R525" s="13">
        <v>1</v>
      </c>
      <c r="S525" s="13">
        <v>0</v>
      </c>
      <c r="T525" s="23">
        <v>46247.544849537036</v>
      </c>
      <c r="U525" s="55">
        <f t="shared" si="24"/>
        <v>1</v>
      </c>
      <c r="V525" s="55">
        <f t="shared" si="25"/>
        <v>0</v>
      </c>
      <c r="W525" s="56">
        <f t="shared" si="26"/>
        <v>1055.8333333333333</v>
      </c>
    </row>
    <row r="526" spans="1:23" x14ac:dyDescent="0.3">
      <c r="A526" s="13" t="str" cm="1">
        <f t="array" ref="A526:B526">INDEX(BenchmarkResults!$B$1:$D$35,SUMPRODUCT((T526&gt;=BenchmarkResults!$F$3:$F$35)*(mongodb_hardware_log!T526&lt;BenchmarkResults!$G$3:$G$35)*ROW(BenchmarkResults!$F$3:$F$35)),{1,3})</f>
        <v>q2_avg_order_city</v>
      </c>
      <c r="B526">
        <v>1</v>
      </c>
      <c r="C526" s="13">
        <v>1</v>
      </c>
      <c r="D526" s="13">
        <v>0</v>
      </c>
      <c r="E526" s="13">
        <v>134656</v>
      </c>
      <c r="F526" s="13">
        <v>806564</v>
      </c>
      <c r="G526" s="13">
        <v>2740</v>
      </c>
      <c r="H526" s="13">
        <v>1596588</v>
      </c>
      <c r="I526" s="13">
        <v>0</v>
      </c>
      <c r="J526" s="13">
        <v>0</v>
      </c>
      <c r="K526" s="13">
        <v>979</v>
      </c>
      <c r="L526" s="13">
        <v>44</v>
      </c>
      <c r="M526" s="13">
        <v>715</v>
      </c>
      <c r="N526" s="13">
        <v>207</v>
      </c>
      <c r="O526" s="13">
        <v>34</v>
      </c>
      <c r="P526" s="13">
        <v>1</v>
      </c>
      <c r="Q526" s="13">
        <v>64</v>
      </c>
      <c r="R526" s="13">
        <v>0</v>
      </c>
      <c r="S526" s="13">
        <v>1</v>
      </c>
      <c r="T526" s="23">
        <v>46247.544965277775</v>
      </c>
      <c r="U526" s="55">
        <f t="shared" si="24"/>
        <v>1</v>
      </c>
      <c r="V526" s="55">
        <f t="shared" si="25"/>
        <v>0</v>
      </c>
      <c r="W526" s="56">
        <f t="shared" si="26"/>
        <v>1057</v>
      </c>
    </row>
    <row r="527" spans="1:23" x14ac:dyDescent="0.3">
      <c r="A527" s="13" t="str" cm="1">
        <f t="array" ref="A527:B527">INDEX(BenchmarkResults!$B$1:$D$35,SUMPRODUCT((T527&gt;=BenchmarkResults!$F$3:$F$35)*(mongodb_hardware_log!T527&lt;BenchmarkResults!$G$3:$G$35)*ROW(BenchmarkResults!$F$3:$F$35)),{1,3})</f>
        <v>q2_avg_order_city</v>
      </c>
      <c r="B527">
        <v>1</v>
      </c>
      <c r="C527" s="13">
        <v>1</v>
      </c>
      <c r="D527" s="13">
        <v>0</v>
      </c>
      <c r="E527" s="13">
        <v>134656</v>
      </c>
      <c r="F527" s="13">
        <v>795176</v>
      </c>
      <c r="G527" s="13">
        <v>2748</v>
      </c>
      <c r="H527" s="13">
        <v>1607724</v>
      </c>
      <c r="I527" s="13">
        <v>0</v>
      </c>
      <c r="J527" s="13">
        <v>0</v>
      </c>
      <c r="K527" s="13">
        <v>1115</v>
      </c>
      <c r="L527" s="13">
        <v>8</v>
      </c>
      <c r="M527" s="13">
        <v>712</v>
      </c>
      <c r="N527" s="13">
        <v>209</v>
      </c>
      <c r="O527" s="13">
        <v>33</v>
      </c>
      <c r="P527" s="13">
        <v>1</v>
      </c>
      <c r="Q527" s="13">
        <v>65</v>
      </c>
      <c r="R527" s="13">
        <v>0</v>
      </c>
      <c r="S527" s="13">
        <v>1</v>
      </c>
      <c r="T527" s="23">
        <v>46247.545081018521</v>
      </c>
      <c r="U527" s="55">
        <f t="shared" si="24"/>
        <v>1</v>
      </c>
      <c r="V527" s="55">
        <f t="shared" si="25"/>
        <v>0</v>
      </c>
      <c r="W527" s="56">
        <f t="shared" si="26"/>
        <v>1063.8333333333333</v>
      </c>
    </row>
    <row r="528" spans="1:23" x14ac:dyDescent="0.3">
      <c r="A528" s="13" t="str" cm="1">
        <f t="array" ref="A528:B528">INDEX(BenchmarkResults!$B$1:$D$35,SUMPRODUCT((T528&gt;=BenchmarkResults!$F$3:$F$35)*(mongodb_hardware_log!T528&lt;BenchmarkResults!$G$3:$G$35)*ROW(BenchmarkResults!$F$3:$F$35)),{1,3})</f>
        <v>q2_avg_order_city</v>
      </c>
      <c r="B528">
        <v>1</v>
      </c>
      <c r="C528" s="13">
        <v>1</v>
      </c>
      <c r="D528" s="13">
        <v>0</v>
      </c>
      <c r="E528" s="13">
        <v>134656</v>
      </c>
      <c r="F528" s="13">
        <v>783504</v>
      </c>
      <c r="G528" s="13">
        <v>2780</v>
      </c>
      <c r="H528" s="13">
        <v>1619292</v>
      </c>
      <c r="I528" s="13">
        <v>0</v>
      </c>
      <c r="J528" s="13">
        <v>0</v>
      </c>
      <c r="K528" s="13">
        <v>1149</v>
      </c>
      <c r="L528" s="13">
        <v>41</v>
      </c>
      <c r="M528" s="13">
        <v>740</v>
      </c>
      <c r="N528" s="13">
        <v>236</v>
      </c>
      <c r="O528" s="13">
        <v>33</v>
      </c>
      <c r="P528" s="13">
        <v>1</v>
      </c>
      <c r="Q528" s="13">
        <v>64</v>
      </c>
      <c r="R528" s="13">
        <v>1</v>
      </c>
      <c r="S528" s="13">
        <v>1</v>
      </c>
      <c r="T528" s="23">
        <v>46247.54519675926</v>
      </c>
      <c r="U528" s="55">
        <f t="shared" si="24"/>
        <v>1</v>
      </c>
      <c r="V528" s="55">
        <f t="shared" si="25"/>
        <v>0</v>
      </c>
      <c r="W528" s="56">
        <f t="shared" si="26"/>
        <v>1086.6666666666667</v>
      </c>
    </row>
    <row r="529" spans="1:23" x14ac:dyDescent="0.3">
      <c r="A529" s="13" t="str" cm="1">
        <f t="array" ref="A529:B529">INDEX(BenchmarkResults!$B$1:$D$35,SUMPRODUCT((T529&gt;=BenchmarkResults!$F$3:$F$35)*(mongodb_hardware_log!T529&lt;BenchmarkResults!$G$3:$G$35)*ROW(BenchmarkResults!$F$3:$F$35)),{1,3})</f>
        <v>q2_avg_order_city</v>
      </c>
      <c r="B529">
        <v>1</v>
      </c>
      <c r="C529" s="13">
        <v>1</v>
      </c>
      <c r="D529" s="13">
        <v>0</v>
      </c>
      <c r="E529" s="13">
        <v>134656</v>
      </c>
      <c r="F529" s="13">
        <v>775440</v>
      </c>
      <c r="G529" s="13">
        <v>2788</v>
      </c>
      <c r="H529" s="13">
        <v>1623120</v>
      </c>
      <c r="I529" s="13">
        <v>0</v>
      </c>
      <c r="J529" s="13">
        <v>0</v>
      </c>
      <c r="K529" s="13">
        <v>390</v>
      </c>
      <c r="L529" s="13">
        <v>6</v>
      </c>
      <c r="M529" s="13">
        <v>702</v>
      </c>
      <c r="N529" s="13">
        <v>204</v>
      </c>
      <c r="O529" s="13">
        <v>33</v>
      </c>
      <c r="P529" s="13">
        <v>1</v>
      </c>
      <c r="Q529" s="13">
        <v>65</v>
      </c>
      <c r="R529" s="13">
        <v>0</v>
      </c>
      <c r="S529" s="13">
        <v>1</v>
      </c>
      <c r="T529" s="23">
        <v>46247.545312499999</v>
      </c>
      <c r="U529" s="55">
        <f t="shared" si="24"/>
        <v>1</v>
      </c>
      <c r="V529" s="55">
        <f t="shared" si="25"/>
        <v>0</v>
      </c>
      <c r="W529" s="56">
        <f t="shared" si="26"/>
        <v>984.5</v>
      </c>
    </row>
    <row r="530" spans="1:23" x14ac:dyDescent="0.3">
      <c r="A530" s="13" t="str" cm="1">
        <f t="array" ref="A530:B530">INDEX(BenchmarkResults!$B$1:$D$35,SUMPRODUCT((T530&gt;=BenchmarkResults!$F$3:$F$35)*(mongodb_hardware_log!T530&lt;BenchmarkResults!$G$3:$G$35)*ROW(BenchmarkResults!$F$3:$F$35)),{1,3})</f>
        <v>q2_avg_order_city</v>
      </c>
      <c r="B530">
        <v>1</v>
      </c>
      <c r="C530" s="13">
        <v>1</v>
      </c>
      <c r="D530" s="13">
        <v>0</v>
      </c>
      <c r="E530" s="13">
        <v>134656</v>
      </c>
      <c r="F530" s="13">
        <v>767628</v>
      </c>
      <c r="G530" s="13">
        <v>2796</v>
      </c>
      <c r="H530" s="13">
        <v>1633512</v>
      </c>
      <c r="I530" s="13">
        <v>0</v>
      </c>
      <c r="J530" s="13">
        <v>0</v>
      </c>
      <c r="K530" s="13">
        <v>1036</v>
      </c>
      <c r="L530" s="13">
        <v>16</v>
      </c>
      <c r="M530" s="13">
        <v>706</v>
      </c>
      <c r="N530" s="13">
        <v>203</v>
      </c>
      <c r="O530" s="13">
        <v>34</v>
      </c>
      <c r="P530" s="13">
        <v>1</v>
      </c>
      <c r="Q530" s="13">
        <v>64</v>
      </c>
      <c r="R530" s="13">
        <v>0</v>
      </c>
      <c r="S530" s="13">
        <v>1</v>
      </c>
      <c r="T530" s="23">
        <v>46247.545428240737</v>
      </c>
      <c r="U530" s="55">
        <f t="shared" si="24"/>
        <v>1</v>
      </c>
      <c r="V530" s="55">
        <f t="shared" si="25"/>
        <v>0</v>
      </c>
      <c r="W530" s="56">
        <f t="shared" si="26"/>
        <v>978.66666666666663</v>
      </c>
    </row>
    <row r="531" spans="1:23" x14ac:dyDescent="0.3">
      <c r="A531" s="13" t="str" cm="1">
        <f t="array" ref="A531:B531">INDEX(BenchmarkResults!$B$1:$D$35,SUMPRODUCT((T531&gt;=BenchmarkResults!$F$3:$F$35)*(mongodb_hardware_log!T531&lt;BenchmarkResults!$G$3:$G$35)*ROW(BenchmarkResults!$F$3:$F$35)),{1,3})</f>
        <v>q2_avg_order_city</v>
      </c>
      <c r="B531">
        <v>1</v>
      </c>
      <c r="C531" s="13">
        <v>1</v>
      </c>
      <c r="D531" s="13">
        <v>0</v>
      </c>
      <c r="E531" s="13">
        <v>134656</v>
      </c>
      <c r="F531" s="13">
        <v>751752</v>
      </c>
      <c r="G531" s="13">
        <v>2804</v>
      </c>
      <c r="H531" s="13">
        <v>1646940</v>
      </c>
      <c r="I531" s="13">
        <v>0</v>
      </c>
      <c r="J531" s="13">
        <v>0</v>
      </c>
      <c r="K531" s="13">
        <v>1352</v>
      </c>
      <c r="L531" s="13">
        <v>10</v>
      </c>
      <c r="M531" s="13">
        <v>726</v>
      </c>
      <c r="N531" s="13">
        <v>215</v>
      </c>
      <c r="O531" s="13">
        <v>34</v>
      </c>
      <c r="P531" s="13">
        <v>1</v>
      </c>
      <c r="Q531" s="13">
        <v>64</v>
      </c>
      <c r="R531" s="13">
        <v>0</v>
      </c>
      <c r="S531" s="13">
        <v>0</v>
      </c>
      <c r="T531" s="23">
        <v>46247.545543981483</v>
      </c>
      <c r="U531" s="55">
        <f t="shared" si="24"/>
        <v>1</v>
      </c>
      <c r="V531" s="55">
        <f t="shared" si="25"/>
        <v>0</v>
      </c>
      <c r="W531" s="56">
        <f t="shared" si="26"/>
        <v>1003.5</v>
      </c>
    </row>
    <row r="532" spans="1:23" x14ac:dyDescent="0.3">
      <c r="A532" s="13" t="str" cm="1">
        <f t="array" ref="A532:B532">INDEX(BenchmarkResults!$B$1:$D$35,SUMPRODUCT((T532&gt;=BenchmarkResults!$F$3:$F$35)*(mongodb_hardware_log!T532&lt;BenchmarkResults!$G$3:$G$35)*ROW(BenchmarkResults!$F$3:$F$35)),{1,3})</f>
        <v>q2_avg_order_city</v>
      </c>
      <c r="B532">
        <v>1</v>
      </c>
      <c r="C532" s="13">
        <v>1</v>
      </c>
      <c r="D532" s="13">
        <v>0</v>
      </c>
      <c r="E532" s="13">
        <v>134656</v>
      </c>
      <c r="F532" s="13">
        <v>747972</v>
      </c>
      <c r="G532" s="13">
        <v>2812</v>
      </c>
      <c r="H532" s="13">
        <v>1653228</v>
      </c>
      <c r="I532" s="13">
        <v>0</v>
      </c>
      <c r="J532" s="13">
        <v>0</v>
      </c>
      <c r="K532" s="13">
        <v>618</v>
      </c>
      <c r="L532" s="13">
        <v>11</v>
      </c>
      <c r="M532" s="13">
        <v>733</v>
      </c>
      <c r="N532" s="13">
        <v>213</v>
      </c>
      <c r="O532" s="13">
        <v>33</v>
      </c>
      <c r="P532" s="13">
        <v>1</v>
      </c>
      <c r="Q532" s="13">
        <v>64</v>
      </c>
      <c r="R532" s="13">
        <v>0</v>
      </c>
      <c r="S532" s="13">
        <v>2</v>
      </c>
      <c r="T532" s="23">
        <v>46247.545659722222</v>
      </c>
      <c r="U532" s="55">
        <f t="shared" si="24"/>
        <v>1</v>
      </c>
      <c r="V532" s="55">
        <f t="shared" si="25"/>
        <v>0</v>
      </c>
      <c r="W532" s="56">
        <f t="shared" si="26"/>
        <v>943.33333333333337</v>
      </c>
    </row>
    <row r="533" spans="1:23" x14ac:dyDescent="0.3">
      <c r="A533" s="13" t="str" cm="1">
        <f t="array" ref="A533:B533">INDEX(BenchmarkResults!$B$1:$D$35,SUMPRODUCT((T533&gt;=BenchmarkResults!$F$3:$F$35)*(mongodb_hardware_log!T533&lt;BenchmarkResults!$G$3:$G$35)*ROW(BenchmarkResults!$F$3:$F$35)),{1,3})</f>
        <v>q2_avg_order_city</v>
      </c>
      <c r="B533">
        <v>1</v>
      </c>
      <c r="C533" s="13">
        <v>1</v>
      </c>
      <c r="D533" s="13">
        <v>0</v>
      </c>
      <c r="E533" s="13">
        <v>134656</v>
      </c>
      <c r="F533" s="13">
        <v>737136</v>
      </c>
      <c r="G533" s="13">
        <v>2820</v>
      </c>
      <c r="H533" s="13">
        <v>1662820</v>
      </c>
      <c r="I533" s="13">
        <v>0</v>
      </c>
      <c r="J533" s="13">
        <v>0</v>
      </c>
      <c r="K533" s="13">
        <v>958</v>
      </c>
      <c r="L533" s="13">
        <v>9</v>
      </c>
      <c r="M533" s="13">
        <v>762</v>
      </c>
      <c r="N533" s="13">
        <v>230</v>
      </c>
      <c r="O533" s="13">
        <v>32</v>
      </c>
      <c r="P533" s="13">
        <v>1</v>
      </c>
      <c r="Q533" s="13">
        <v>63</v>
      </c>
      <c r="R533" s="13">
        <v>1</v>
      </c>
      <c r="S533" s="13">
        <v>3</v>
      </c>
      <c r="T533" s="23">
        <v>46247.545775462961</v>
      </c>
      <c r="U533" s="55">
        <f t="shared" si="24"/>
        <v>1</v>
      </c>
      <c r="V533" s="55">
        <f t="shared" si="25"/>
        <v>0</v>
      </c>
      <c r="W533" s="56">
        <f t="shared" si="26"/>
        <v>917.16666666666663</v>
      </c>
    </row>
    <row r="534" spans="1:23" x14ac:dyDescent="0.3">
      <c r="A534" s="13" t="str" cm="1">
        <f t="array" ref="A534:B534">INDEX(BenchmarkResults!$B$1:$D$35,SUMPRODUCT((T534&gt;=BenchmarkResults!$F$3:$F$35)*(mongodb_hardware_log!T534&lt;BenchmarkResults!$G$3:$G$35)*ROW(BenchmarkResults!$F$3:$F$35)),{1,3})</f>
        <v>q2_avg_order_city</v>
      </c>
      <c r="B534">
        <v>1</v>
      </c>
      <c r="C534" s="13">
        <v>1</v>
      </c>
      <c r="D534" s="13">
        <v>0</v>
      </c>
      <c r="E534" s="13">
        <v>134656</v>
      </c>
      <c r="F534" s="13">
        <v>731928</v>
      </c>
      <c r="G534" s="13">
        <v>2852</v>
      </c>
      <c r="H534" s="13">
        <v>1671884</v>
      </c>
      <c r="I534" s="13">
        <v>1</v>
      </c>
      <c r="J534" s="13">
        <v>0</v>
      </c>
      <c r="K534" s="13">
        <v>913</v>
      </c>
      <c r="L534" s="13">
        <v>68</v>
      </c>
      <c r="M534" s="13">
        <v>765</v>
      </c>
      <c r="N534" s="13">
        <v>268</v>
      </c>
      <c r="O534" s="13">
        <v>33</v>
      </c>
      <c r="P534" s="13">
        <v>1</v>
      </c>
      <c r="Q534" s="13">
        <v>63</v>
      </c>
      <c r="R534" s="13">
        <v>1</v>
      </c>
      <c r="S534" s="13">
        <v>1</v>
      </c>
      <c r="T534" s="23">
        <v>46247.545891203707</v>
      </c>
      <c r="U534" s="55">
        <f t="shared" si="24"/>
        <v>1</v>
      </c>
      <c r="V534" s="55">
        <f t="shared" si="25"/>
        <v>0</v>
      </c>
      <c r="W534" s="56">
        <f t="shared" si="26"/>
        <v>877.83333333333337</v>
      </c>
    </row>
    <row r="535" spans="1:23" x14ac:dyDescent="0.3">
      <c r="A535" s="13" t="str" cm="1">
        <f t="array" ref="A535:B535">INDEX(BenchmarkResults!$B$1:$D$35,SUMPRODUCT((T535&gt;=BenchmarkResults!$F$3:$F$35)*(mongodb_hardware_log!T535&lt;BenchmarkResults!$G$3:$G$35)*ROW(BenchmarkResults!$F$3:$F$35)),{1,3})</f>
        <v>q2_avg_order_city</v>
      </c>
      <c r="B535">
        <v>1</v>
      </c>
      <c r="C535" s="13">
        <v>1</v>
      </c>
      <c r="D535" s="13">
        <v>0</v>
      </c>
      <c r="E535" s="13">
        <v>134656</v>
      </c>
      <c r="F535" s="13">
        <v>719580</v>
      </c>
      <c r="G535" s="13">
        <v>2860</v>
      </c>
      <c r="H535" s="13">
        <v>1681064</v>
      </c>
      <c r="I535" s="13">
        <v>0</v>
      </c>
      <c r="J535" s="13">
        <v>0</v>
      </c>
      <c r="K535" s="13">
        <v>912</v>
      </c>
      <c r="L535" s="13">
        <v>6</v>
      </c>
      <c r="M535" s="13">
        <v>705</v>
      </c>
      <c r="N535" s="13">
        <v>201</v>
      </c>
      <c r="O535" s="13">
        <v>34</v>
      </c>
      <c r="P535" s="13">
        <v>1</v>
      </c>
      <c r="Q535" s="13">
        <v>65</v>
      </c>
      <c r="R535" s="13">
        <v>0</v>
      </c>
      <c r="S535" s="13">
        <v>0</v>
      </c>
      <c r="T535" s="23">
        <v>46247.546006944445</v>
      </c>
      <c r="U535" s="55">
        <f t="shared" si="24"/>
        <v>1</v>
      </c>
      <c r="V535" s="55">
        <f t="shared" si="25"/>
        <v>0</v>
      </c>
      <c r="W535" s="56">
        <f t="shared" si="26"/>
        <v>964.83333333333337</v>
      </c>
    </row>
    <row r="536" spans="1:23" x14ac:dyDescent="0.3">
      <c r="A536" s="13" t="str" cm="1">
        <f t="array" ref="A536:B536">INDEX(BenchmarkResults!$B$1:$D$35,SUMPRODUCT((T536&gt;=BenchmarkResults!$F$3:$F$35)*(mongodb_hardware_log!T536&lt;BenchmarkResults!$G$3:$G$35)*ROW(BenchmarkResults!$F$3:$F$35)),{1,3})</f>
        <v>q2_avg_order_city</v>
      </c>
      <c r="B536">
        <v>1</v>
      </c>
      <c r="C536" s="13">
        <v>1</v>
      </c>
      <c r="D536" s="13">
        <v>0</v>
      </c>
      <c r="E536" s="13">
        <v>134656</v>
      </c>
      <c r="F536" s="13">
        <v>707316</v>
      </c>
      <c r="G536" s="13">
        <v>2876</v>
      </c>
      <c r="H536" s="13">
        <v>1692108</v>
      </c>
      <c r="I536" s="13">
        <v>0</v>
      </c>
      <c r="J536" s="13">
        <v>0</v>
      </c>
      <c r="K536" s="13">
        <v>1104</v>
      </c>
      <c r="L536" s="13">
        <v>16</v>
      </c>
      <c r="M536" s="13">
        <v>729</v>
      </c>
      <c r="N536" s="13">
        <v>226</v>
      </c>
      <c r="O536" s="13">
        <v>34</v>
      </c>
      <c r="P536" s="13">
        <v>1</v>
      </c>
      <c r="Q536" s="13">
        <v>64</v>
      </c>
      <c r="R536" s="13">
        <v>1</v>
      </c>
      <c r="S536" s="13">
        <v>0</v>
      </c>
      <c r="T536" s="23">
        <v>46247.546122685184</v>
      </c>
      <c r="U536" s="55">
        <f t="shared" si="24"/>
        <v>1</v>
      </c>
      <c r="V536" s="55">
        <f t="shared" si="25"/>
        <v>0</v>
      </c>
      <c r="W536" s="56">
        <f t="shared" si="26"/>
        <v>976.16666666666663</v>
      </c>
    </row>
    <row r="537" spans="1:23" x14ac:dyDescent="0.3">
      <c r="A537" s="13" t="str" cm="1">
        <f t="array" ref="A537:B537">INDEX(BenchmarkResults!$B$1:$D$35,SUMPRODUCT((T537&gt;=BenchmarkResults!$F$3:$F$35)*(mongodb_hardware_log!T537&lt;BenchmarkResults!$G$3:$G$35)*ROW(BenchmarkResults!$F$3:$F$35)),{1,3})</f>
        <v>q2_avg_order_city</v>
      </c>
      <c r="B537">
        <v>1</v>
      </c>
      <c r="C537" s="13">
        <v>1</v>
      </c>
      <c r="D537" s="13">
        <v>0</v>
      </c>
      <c r="E537" s="13">
        <v>134656</v>
      </c>
      <c r="F537" s="13">
        <v>699504</v>
      </c>
      <c r="G537" s="13">
        <v>2884</v>
      </c>
      <c r="H537" s="13">
        <v>1700040</v>
      </c>
      <c r="I537" s="13">
        <v>0</v>
      </c>
      <c r="J537" s="13">
        <v>0</v>
      </c>
      <c r="K537" s="13">
        <v>798</v>
      </c>
      <c r="L537" s="13">
        <v>6</v>
      </c>
      <c r="M537" s="13">
        <v>697</v>
      </c>
      <c r="N537" s="13">
        <v>196</v>
      </c>
      <c r="O537" s="13">
        <v>33</v>
      </c>
      <c r="P537" s="13">
        <v>1</v>
      </c>
      <c r="Q537" s="13">
        <v>65</v>
      </c>
      <c r="R537" s="13">
        <v>0</v>
      </c>
      <c r="S537" s="13">
        <v>0</v>
      </c>
      <c r="T537" s="23">
        <v>46247.546238425923</v>
      </c>
      <c r="U537" s="55">
        <f t="shared" si="24"/>
        <v>1</v>
      </c>
      <c r="V537" s="55">
        <f t="shared" si="25"/>
        <v>0</v>
      </c>
      <c r="W537" s="56">
        <f t="shared" si="26"/>
        <v>883.83333333333337</v>
      </c>
    </row>
    <row r="538" spans="1:23" x14ac:dyDescent="0.3">
      <c r="A538" s="13" t="str" cm="1">
        <f t="array" ref="A538:B538">INDEX(BenchmarkResults!$B$1:$D$35,SUMPRODUCT((T538&gt;=BenchmarkResults!$F$3:$F$35)*(mongodb_hardware_log!T538&lt;BenchmarkResults!$G$3:$G$35)*ROW(BenchmarkResults!$F$3:$F$35)),{1,3})</f>
        <v>q2_avg_order_city</v>
      </c>
      <c r="B538">
        <v>1</v>
      </c>
      <c r="C538" s="13">
        <v>1</v>
      </c>
      <c r="D538" s="13">
        <v>0</v>
      </c>
      <c r="E538" s="13">
        <v>134656</v>
      </c>
      <c r="F538" s="13">
        <v>690072</v>
      </c>
      <c r="G538" s="13">
        <v>2892</v>
      </c>
      <c r="H538" s="13">
        <v>1711228</v>
      </c>
      <c r="I538" s="13">
        <v>0</v>
      </c>
      <c r="J538" s="13">
        <v>0</v>
      </c>
      <c r="K538" s="13">
        <v>1116</v>
      </c>
      <c r="L538" s="13">
        <v>18</v>
      </c>
      <c r="M538" s="13">
        <v>734</v>
      </c>
      <c r="N538" s="13">
        <v>228</v>
      </c>
      <c r="O538" s="13">
        <v>33</v>
      </c>
      <c r="P538" s="13">
        <v>1</v>
      </c>
      <c r="Q538" s="13">
        <v>65</v>
      </c>
      <c r="R538" s="13">
        <v>1</v>
      </c>
      <c r="S538" s="13">
        <v>0</v>
      </c>
      <c r="T538" s="23">
        <v>46247.546354166669</v>
      </c>
      <c r="U538" s="55">
        <f t="shared" si="24"/>
        <v>1</v>
      </c>
      <c r="V538" s="55">
        <f t="shared" si="25"/>
        <v>0</v>
      </c>
      <c r="W538" s="56">
        <f t="shared" si="26"/>
        <v>966.83333333333337</v>
      </c>
    </row>
    <row r="539" spans="1:23" x14ac:dyDescent="0.3">
      <c r="A539" s="13" t="str" cm="1">
        <f t="array" ref="A539:B539">INDEX(BenchmarkResults!$B$1:$D$35,SUMPRODUCT((T539&gt;=BenchmarkResults!$F$3:$F$35)*(mongodb_hardware_log!T539&lt;BenchmarkResults!$G$3:$G$35)*ROW(BenchmarkResults!$F$3:$F$35)),{1,3})</f>
        <v>q2_avg_order_city</v>
      </c>
      <c r="B539">
        <v>1</v>
      </c>
      <c r="C539" s="13">
        <v>1</v>
      </c>
      <c r="D539" s="13">
        <v>0</v>
      </c>
      <c r="E539" s="13">
        <v>134656</v>
      </c>
      <c r="F539" s="13">
        <v>682512</v>
      </c>
      <c r="G539" s="13">
        <v>2908</v>
      </c>
      <c r="H539" s="13">
        <v>1721060</v>
      </c>
      <c r="I539" s="13">
        <v>0</v>
      </c>
      <c r="J539" s="13">
        <v>0</v>
      </c>
      <c r="K539" s="13">
        <v>982</v>
      </c>
      <c r="L539" s="13">
        <v>32</v>
      </c>
      <c r="M539" s="13">
        <v>716</v>
      </c>
      <c r="N539" s="13">
        <v>215</v>
      </c>
      <c r="O539" s="13">
        <v>33</v>
      </c>
      <c r="P539" s="13">
        <v>1</v>
      </c>
      <c r="Q539" s="13">
        <v>65</v>
      </c>
      <c r="R539" s="13">
        <v>0</v>
      </c>
      <c r="S539" s="13">
        <v>1</v>
      </c>
      <c r="T539" s="23">
        <v>46247.546469907407</v>
      </c>
      <c r="U539" s="55">
        <f t="shared" si="24"/>
        <v>1</v>
      </c>
      <c r="V539" s="55">
        <f t="shared" si="25"/>
        <v>0</v>
      </c>
      <c r="W539" s="56">
        <f t="shared" si="26"/>
        <v>970.83333333333337</v>
      </c>
    </row>
    <row r="540" spans="1:23" x14ac:dyDescent="0.3">
      <c r="A540" s="13" t="str" cm="1">
        <f t="array" ref="A540:B540">INDEX(BenchmarkResults!$B$1:$D$35,SUMPRODUCT((T540&gt;=BenchmarkResults!$F$3:$F$35)*(mongodb_hardware_log!T540&lt;BenchmarkResults!$G$3:$G$35)*ROW(BenchmarkResults!$F$3:$F$35)),{1,3})</f>
        <v>q2_avg_order_city</v>
      </c>
      <c r="B540">
        <v>1</v>
      </c>
      <c r="C540" s="13">
        <v>2</v>
      </c>
      <c r="D540" s="13">
        <v>0</v>
      </c>
      <c r="E540" s="13">
        <v>134656</v>
      </c>
      <c r="F540" s="13">
        <v>666384</v>
      </c>
      <c r="G540" s="13">
        <v>2932</v>
      </c>
      <c r="H540" s="13">
        <v>1729504</v>
      </c>
      <c r="I540" s="13">
        <v>1</v>
      </c>
      <c r="J540" s="13">
        <v>0</v>
      </c>
      <c r="K540" s="13">
        <v>843</v>
      </c>
      <c r="L540" s="13">
        <v>26</v>
      </c>
      <c r="M540" s="13">
        <v>745</v>
      </c>
      <c r="N540" s="13">
        <v>221</v>
      </c>
      <c r="O540" s="13">
        <v>33</v>
      </c>
      <c r="P540" s="13">
        <v>1</v>
      </c>
      <c r="Q540" s="13">
        <v>64</v>
      </c>
      <c r="R540" s="13">
        <v>0</v>
      </c>
      <c r="S540" s="13">
        <v>2</v>
      </c>
      <c r="T540" s="23">
        <v>46247.546585648146</v>
      </c>
      <c r="U540" s="55">
        <f t="shared" si="24"/>
        <v>1.1666666666666667</v>
      </c>
      <c r="V540" s="55">
        <f t="shared" si="25"/>
        <v>0</v>
      </c>
      <c r="W540" s="56">
        <f t="shared" si="26"/>
        <v>959.16666666666663</v>
      </c>
    </row>
    <row r="541" spans="1:23" x14ac:dyDescent="0.3">
      <c r="A541" s="13" t="str" cm="1">
        <f t="array" ref="A541:B541">INDEX(BenchmarkResults!$B$1:$D$35,SUMPRODUCT((T541&gt;=BenchmarkResults!$F$3:$F$35)*(mongodb_hardware_log!T541&lt;BenchmarkResults!$G$3:$G$35)*ROW(BenchmarkResults!$F$3:$F$35)),{1,3})</f>
        <v>q2_avg_order_city</v>
      </c>
      <c r="B541">
        <v>1</v>
      </c>
      <c r="C541" s="13">
        <v>1</v>
      </c>
      <c r="D541" s="13">
        <v>0</v>
      </c>
      <c r="E541" s="13">
        <v>134656</v>
      </c>
      <c r="F541" s="13">
        <v>666664</v>
      </c>
      <c r="G541" s="13">
        <v>2940</v>
      </c>
      <c r="H541" s="13">
        <v>1740092</v>
      </c>
      <c r="I541" s="13">
        <v>0</v>
      </c>
      <c r="J541" s="13">
        <v>0</v>
      </c>
      <c r="K541" s="13">
        <v>1062</v>
      </c>
      <c r="L541" s="13">
        <v>7</v>
      </c>
      <c r="M541" s="13">
        <v>734</v>
      </c>
      <c r="N541" s="13">
        <v>220</v>
      </c>
      <c r="O541" s="13">
        <v>33</v>
      </c>
      <c r="P541" s="13">
        <v>1</v>
      </c>
      <c r="Q541" s="13">
        <v>64</v>
      </c>
      <c r="R541" s="13">
        <v>1</v>
      </c>
      <c r="S541" s="13">
        <v>1</v>
      </c>
      <c r="T541" s="23">
        <v>46247.546701388892</v>
      </c>
      <c r="U541" s="55">
        <f t="shared" si="24"/>
        <v>1.1666666666666667</v>
      </c>
      <c r="V541" s="55">
        <f t="shared" si="25"/>
        <v>0</v>
      </c>
      <c r="W541" s="56">
        <f t="shared" si="26"/>
        <v>984.16666666666663</v>
      </c>
    </row>
    <row r="542" spans="1:23" x14ac:dyDescent="0.3">
      <c r="A542" s="13" t="str" cm="1">
        <f t="array" ref="A542:B542">INDEX(BenchmarkResults!$B$1:$D$35,SUMPRODUCT((T542&gt;=BenchmarkResults!$F$3:$F$35)*(mongodb_hardware_log!T542&lt;BenchmarkResults!$G$3:$G$35)*ROW(BenchmarkResults!$F$3:$F$35)),{1,3})</f>
        <v>q2_avg_order_city</v>
      </c>
      <c r="B542">
        <v>1</v>
      </c>
      <c r="C542" s="13">
        <v>1</v>
      </c>
      <c r="D542" s="13">
        <v>0</v>
      </c>
      <c r="E542" s="13">
        <v>134656</v>
      </c>
      <c r="F542" s="13">
        <v>663096</v>
      </c>
      <c r="G542" s="13">
        <v>2948</v>
      </c>
      <c r="H542" s="13">
        <v>1749344</v>
      </c>
      <c r="I542" s="13">
        <v>0</v>
      </c>
      <c r="J542" s="13">
        <v>0</v>
      </c>
      <c r="K542" s="13">
        <v>922</v>
      </c>
      <c r="L542" s="13">
        <v>13</v>
      </c>
      <c r="M542" s="13">
        <v>730</v>
      </c>
      <c r="N542" s="13">
        <v>218</v>
      </c>
      <c r="O542" s="13">
        <v>33</v>
      </c>
      <c r="P542" s="13">
        <v>1</v>
      </c>
      <c r="Q542" s="13">
        <v>65</v>
      </c>
      <c r="R542" s="13">
        <v>1</v>
      </c>
      <c r="S542" s="13">
        <v>1</v>
      </c>
      <c r="T542" s="23">
        <v>46247.546817129631</v>
      </c>
      <c r="U542" s="55">
        <f t="shared" si="24"/>
        <v>1.1666666666666667</v>
      </c>
      <c r="V542" s="55">
        <f t="shared" si="25"/>
        <v>0</v>
      </c>
      <c r="W542" s="56">
        <f t="shared" si="26"/>
        <v>953.83333333333337</v>
      </c>
    </row>
    <row r="543" spans="1:23" x14ac:dyDescent="0.3">
      <c r="A543" s="13" t="str" cm="1">
        <f t="array" ref="A543:B543">INDEX(BenchmarkResults!$B$1:$D$35,SUMPRODUCT((T543&gt;=BenchmarkResults!$F$3:$F$35)*(mongodb_hardware_log!T543&lt;BenchmarkResults!$G$3:$G$35)*ROW(BenchmarkResults!$F$3:$F$35)),{1,3})</f>
        <v>q2_avg_order_city</v>
      </c>
      <c r="B543">
        <v>1</v>
      </c>
      <c r="C543" s="13">
        <v>1</v>
      </c>
      <c r="D543" s="13">
        <v>0</v>
      </c>
      <c r="E543" s="13">
        <v>134656</v>
      </c>
      <c r="F543" s="13">
        <v>643188</v>
      </c>
      <c r="G543" s="13">
        <v>2956</v>
      </c>
      <c r="H543" s="13">
        <v>1759628</v>
      </c>
      <c r="I543" s="13">
        <v>0</v>
      </c>
      <c r="J543" s="13">
        <v>0</v>
      </c>
      <c r="K543" s="13">
        <v>1035</v>
      </c>
      <c r="L543" s="13">
        <v>11</v>
      </c>
      <c r="M543" s="13">
        <v>712</v>
      </c>
      <c r="N543" s="13">
        <v>209</v>
      </c>
      <c r="O543" s="13">
        <v>33</v>
      </c>
      <c r="P543" s="13">
        <v>1</v>
      </c>
      <c r="Q543" s="13">
        <v>65</v>
      </c>
      <c r="R543" s="13">
        <v>0</v>
      </c>
      <c r="S543" s="13">
        <v>0</v>
      </c>
      <c r="T543" s="23">
        <v>46247.546932870369</v>
      </c>
      <c r="U543" s="55">
        <f t="shared" si="24"/>
        <v>1.1666666666666667</v>
      </c>
      <c r="V543" s="55">
        <f t="shared" si="25"/>
        <v>0</v>
      </c>
      <c r="W543" s="56">
        <f t="shared" si="26"/>
        <v>993.33333333333337</v>
      </c>
    </row>
    <row r="544" spans="1:23" x14ac:dyDescent="0.3">
      <c r="A544" s="13" t="str" cm="1">
        <f t="array" ref="A544:B544">INDEX(BenchmarkResults!$B$1:$D$35,SUMPRODUCT((T544&gt;=BenchmarkResults!$F$3:$F$35)*(mongodb_hardware_log!T544&lt;BenchmarkResults!$G$3:$G$35)*ROW(BenchmarkResults!$F$3:$F$35)),{1,3})</f>
        <v>q2_avg_order_city</v>
      </c>
      <c r="B544">
        <v>1</v>
      </c>
      <c r="C544" s="13">
        <v>1</v>
      </c>
      <c r="D544" s="13">
        <v>0</v>
      </c>
      <c r="E544" s="13">
        <v>134656</v>
      </c>
      <c r="F544" s="13">
        <v>634880</v>
      </c>
      <c r="G544" s="13">
        <v>2964</v>
      </c>
      <c r="H544" s="13">
        <v>1768704</v>
      </c>
      <c r="I544" s="13">
        <v>0</v>
      </c>
      <c r="J544" s="13">
        <v>0</v>
      </c>
      <c r="K544" s="13">
        <v>906</v>
      </c>
      <c r="L544" s="13">
        <v>10</v>
      </c>
      <c r="M544" s="13">
        <v>719</v>
      </c>
      <c r="N544" s="13">
        <v>212</v>
      </c>
      <c r="O544" s="13">
        <v>33</v>
      </c>
      <c r="P544" s="13">
        <v>1</v>
      </c>
      <c r="Q544" s="13">
        <v>65</v>
      </c>
      <c r="R544" s="13">
        <v>0</v>
      </c>
      <c r="S544" s="13">
        <v>0</v>
      </c>
      <c r="T544" s="23">
        <v>46247.547048611108</v>
      </c>
      <c r="U544" s="55">
        <f t="shared" si="24"/>
        <v>1.1666666666666667</v>
      </c>
      <c r="V544" s="55">
        <f t="shared" si="25"/>
        <v>0</v>
      </c>
      <c r="W544" s="56">
        <f t="shared" si="26"/>
        <v>958.33333333333337</v>
      </c>
    </row>
    <row r="545" spans="1:23" x14ac:dyDescent="0.3">
      <c r="A545" s="13" t="str" cm="1">
        <f t="array" ref="A545:B545">INDEX(BenchmarkResults!$B$1:$D$35,SUMPRODUCT((T545&gt;=BenchmarkResults!$F$3:$F$35)*(mongodb_hardware_log!T545&lt;BenchmarkResults!$G$3:$G$35)*ROW(BenchmarkResults!$F$3:$F$35)),{1,3})</f>
        <v>q2_avg_order_city</v>
      </c>
      <c r="B545">
        <v>1</v>
      </c>
      <c r="C545" s="13">
        <v>1</v>
      </c>
      <c r="D545" s="13">
        <v>0</v>
      </c>
      <c r="E545" s="13">
        <v>134656</v>
      </c>
      <c r="F545" s="13">
        <v>619760</v>
      </c>
      <c r="G545" s="13">
        <v>2980</v>
      </c>
      <c r="H545" s="13">
        <v>1779368</v>
      </c>
      <c r="I545" s="13">
        <v>0</v>
      </c>
      <c r="J545" s="13">
        <v>0</v>
      </c>
      <c r="K545" s="13">
        <v>1068</v>
      </c>
      <c r="L545" s="13">
        <v>28</v>
      </c>
      <c r="M545" s="13">
        <v>718</v>
      </c>
      <c r="N545" s="13">
        <v>221</v>
      </c>
      <c r="O545" s="13">
        <v>33</v>
      </c>
      <c r="P545" s="13">
        <v>1</v>
      </c>
      <c r="Q545" s="13">
        <v>65</v>
      </c>
      <c r="R545" s="13">
        <v>0</v>
      </c>
      <c r="S545" s="13">
        <v>0</v>
      </c>
      <c r="T545" s="23">
        <v>46247.547164351854</v>
      </c>
      <c r="U545" s="55">
        <f t="shared" si="24"/>
        <v>1.1666666666666667</v>
      </c>
      <c r="V545" s="55">
        <f t="shared" si="25"/>
        <v>0</v>
      </c>
      <c r="W545" s="56">
        <f t="shared" si="26"/>
        <v>972.66666666666663</v>
      </c>
    </row>
    <row r="546" spans="1:23" x14ac:dyDescent="0.3">
      <c r="A546" s="13" t="str" cm="1">
        <f t="array" ref="A546:B546">INDEX(BenchmarkResults!$B$1:$D$35,SUMPRODUCT((T546&gt;=BenchmarkResults!$F$3:$F$35)*(mongodb_hardware_log!T546&lt;BenchmarkResults!$G$3:$G$35)*ROW(BenchmarkResults!$F$3:$F$35)),{1,3})</f>
        <v>q2_avg_order_city</v>
      </c>
      <c r="B546">
        <v>1</v>
      </c>
      <c r="C546" s="13">
        <v>1</v>
      </c>
      <c r="D546" s="13">
        <v>0</v>
      </c>
      <c r="E546" s="13">
        <v>134656</v>
      </c>
      <c r="F546" s="13">
        <v>619508</v>
      </c>
      <c r="G546" s="13">
        <v>3012</v>
      </c>
      <c r="H546" s="13">
        <v>1790800</v>
      </c>
      <c r="I546" s="13">
        <v>0</v>
      </c>
      <c r="J546" s="13">
        <v>0</v>
      </c>
      <c r="K546" s="13">
        <v>1145</v>
      </c>
      <c r="L546" s="13">
        <v>37</v>
      </c>
      <c r="M546" s="13">
        <v>733</v>
      </c>
      <c r="N546" s="13">
        <v>220</v>
      </c>
      <c r="O546" s="13">
        <v>33</v>
      </c>
      <c r="P546" s="13">
        <v>1</v>
      </c>
      <c r="Q546" s="13">
        <v>65</v>
      </c>
      <c r="R546" s="13">
        <v>1</v>
      </c>
      <c r="S546" s="13">
        <v>0</v>
      </c>
      <c r="T546" s="23">
        <v>46247.547280092593</v>
      </c>
      <c r="U546" s="55">
        <f t="shared" si="24"/>
        <v>1</v>
      </c>
      <c r="V546" s="55">
        <f t="shared" si="25"/>
        <v>0</v>
      </c>
      <c r="W546" s="56">
        <f t="shared" si="26"/>
        <v>1023</v>
      </c>
    </row>
    <row r="547" spans="1:23" x14ac:dyDescent="0.3">
      <c r="A547" s="13" t="str" cm="1">
        <f t="array" ref="A547:B547">INDEX(BenchmarkResults!$B$1:$D$35,SUMPRODUCT((T547&gt;=BenchmarkResults!$F$3:$F$35)*(mongodb_hardware_log!T547&lt;BenchmarkResults!$G$3:$G$35)*ROW(BenchmarkResults!$F$3:$F$35)),{1,3})</f>
        <v>q2_avg_order_city</v>
      </c>
      <c r="B547">
        <v>1</v>
      </c>
      <c r="C547" s="13">
        <v>1</v>
      </c>
      <c r="D547" s="13">
        <v>0</v>
      </c>
      <c r="E547" s="13">
        <v>134656</v>
      </c>
      <c r="F547" s="13">
        <v>608924</v>
      </c>
      <c r="G547" s="13">
        <v>3020</v>
      </c>
      <c r="H547" s="13">
        <v>1800084</v>
      </c>
      <c r="I547" s="13">
        <v>0</v>
      </c>
      <c r="J547" s="13">
        <v>0</v>
      </c>
      <c r="K547" s="13">
        <v>920</v>
      </c>
      <c r="L547" s="13">
        <v>8</v>
      </c>
      <c r="M547" s="13">
        <v>728</v>
      </c>
      <c r="N547" s="13">
        <v>214</v>
      </c>
      <c r="O547" s="13">
        <v>33</v>
      </c>
      <c r="P547" s="13">
        <v>1</v>
      </c>
      <c r="Q547" s="13">
        <v>65</v>
      </c>
      <c r="R547" s="13">
        <v>1</v>
      </c>
      <c r="S547" s="13">
        <v>1</v>
      </c>
      <c r="T547" s="23">
        <v>46247.547395833331</v>
      </c>
      <c r="U547" s="55">
        <f t="shared" si="24"/>
        <v>1</v>
      </c>
      <c r="V547" s="55">
        <f t="shared" si="25"/>
        <v>0</v>
      </c>
      <c r="W547" s="56">
        <f t="shared" si="26"/>
        <v>999.33333333333337</v>
      </c>
    </row>
    <row r="548" spans="1:23" x14ac:dyDescent="0.3">
      <c r="A548" s="13" t="str" cm="1">
        <f t="array" ref="A548:B548">INDEX(BenchmarkResults!$B$1:$D$35,SUMPRODUCT((T548&gt;=BenchmarkResults!$F$3:$F$35)*(mongodb_hardware_log!T548&lt;BenchmarkResults!$G$3:$G$35)*ROW(BenchmarkResults!$F$3:$F$35)),{1,3})</f>
        <v>q2_avg_order_city</v>
      </c>
      <c r="B548">
        <v>1</v>
      </c>
      <c r="C548" s="13">
        <v>1</v>
      </c>
      <c r="D548" s="13">
        <v>0</v>
      </c>
      <c r="E548" s="13">
        <v>134656</v>
      </c>
      <c r="F548" s="13">
        <v>601044</v>
      </c>
      <c r="G548" s="13">
        <v>3036</v>
      </c>
      <c r="H548" s="13">
        <v>1809288</v>
      </c>
      <c r="I548" s="13">
        <v>0</v>
      </c>
      <c r="J548" s="13">
        <v>0</v>
      </c>
      <c r="K548" s="13">
        <v>922</v>
      </c>
      <c r="L548" s="13">
        <v>38</v>
      </c>
      <c r="M548" s="13">
        <v>725</v>
      </c>
      <c r="N548" s="13">
        <v>223</v>
      </c>
      <c r="O548" s="13">
        <v>34</v>
      </c>
      <c r="P548" s="13">
        <v>1</v>
      </c>
      <c r="Q548" s="13">
        <v>64</v>
      </c>
      <c r="R548" s="13">
        <v>0</v>
      </c>
      <c r="S548" s="13">
        <v>0</v>
      </c>
      <c r="T548" s="23">
        <v>46247.547511574077</v>
      </c>
      <c r="U548" s="55">
        <f t="shared" si="24"/>
        <v>1</v>
      </c>
      <c r="V548" s="55">
        <f t="shared" si="25"/>
        <v>0</v>
      </c>
      <c r="W548" s="56">
        <f t="shared" si="26"/>
        <v>999.33333333333337</v>
      </c>
    </row>
    <row r="549" spans="1:23" x14ac:dyDescent="0.3">
      <c r="A549" s="13" t="str" cm="1">
        <f t="array" ref="A549:B549">INDEX(BenchmarkResults!$B$1:$D$35,SUMPRODUCT((T549&gt;=BenchmarkResults!$F$3:$F$35)*(mongodb_hardware_log!T549&lt;BenchmarkResults!$G$3:$G$35)*ROW(BenchmarkResults!$F$3:$F$35)),{1,3})</f>
        <v>q2_avg_order_city</v>
      </c>
      <c r="B549">
        <v>1</v>
      </c>
      <c r="C549" s="13">
        <v>1</v>
      </c>
      <c r="D549" s="13">
        <v>0</v>
      </c>
      <c r="E549" s="13">
        <v>134656</v>
      </c>
      <c r="F549" s="13">
        <v>592468</v>
      </c>
      <c r="G549" s="13">
        <v>3044</v>
      </c>
      <c r="H549" s="13">
        <v>1818644</v>
      </c>
      <c r="I549" s="13">
        <v>0</v>
      </c>
      <c r="J549" s="13">
        <v>0</v>
      </c>
      <c r="K549" s="13">
        <v>932</v>
      </c>
      <c r="L549" s="13">
        <v>9</v>
      </c>
      <c r="M549" s="13">
        <v>714</v>
      </c>
      <c r="N549" s="13">
        <v>210</v>
      </c>
      <c r="O549" s="13">
        <v>33</v>
      </c>
      <c r="P549" s="13">
        <v>1</v>
      </c>
      <c r="Q549" s="13">
        <v>65</v>
      </c>
      <c r="R549" s="13">
        <v>0</v>
      </c>
      <c r="S549" s="13">
        <v>0</v>
      </c>
      <c r="T549" s="23">
        <v>46247.547627314816</v>
      </c>
      <c r="U549" s="55">
        <f t="shared" si="24"/>
        <v>1</v>
      </c>
      <c r="V549" s="55">
        <f t="shared" si="25"/>
        <v>0</v>
      </c>
      <c r="W549" s="56">
        <f t="shared" si="26"/>
        <v>982.16666666666663</v>
      </c>
    </row>
    <row r="550" spans="1:23" x14ac:dyDescent="0.3">
      <c r="A550" s="13" t="str" cm="1">
        <f t="array" ref="A550:B550">INDEX(BenchmarkResults!$B$1:$D$35,SUMPRODUCT((T550&gt;=BenchmarkResults!$F$3:$F$35)*(mongodb_hardware_log!T550&lt;BenchmarkResults!$G$3:$G$35)*ROW(BenchmarkResults!$F$3:$F$35)),{1,3})</f>
        <v>q2_avg_order_city</v>
      </c>
      <c r="B550">
        <v>1</v>
      </c>
      <c r="C550" s="13">
        <v>1</v>
      </c>
      <c r="D550" s="13">
        <v>0</v>
      </c>
      <c r="E550" s="13">
        <v>134656</v>
      </c>
      <c r="F550" s="13">
        <v>576340</v>
      </c>
      <c r="G550" s="13">
        <v>3052</v>
      </c>
      <c r="H550" s="13">
        <v>1829628</v>
      </c>
      <c r="I550" s="13">
        <v>1</v>
      </c>
      <c r="J550" s="13">
        <v>0</v>
      </c>
      <c r="K550" s="13">
        <v>1108</v>
      </c>
      <c r="L550" s="13">
        <v>11</v>
      </c>
      <c r="M550" s="13">
        <v>726</v>
      </c>
      <c r="N550" s="13">
        <v>209</v>
      </c>
      <c r="O550" s="13">
        <v>33</v>
      </c>
      <c r="P550" s="13">
        <v>1</v>
      </c>
      <c r="Q550" s="13">
        <v>65</v>
      </c>
      <c r="R550" s="13">
        <v>0</v>
      </c>
      <c r="S550" s="13">
        <v>2</v>
      </c>
      <c r="T550" s="23">
        <v>46247.547743055555</v>
      </c>
      <c r="U550" s="55">
        <f t="shared" si="24"/>
        <v>1</v>
      </c>
      <c r="V550" s="55">
        <f t="shared" si="25"/>
        <v>0</v>
      </c>
      <c r="W550" s="56">
        <f t="shared" si="26"/>
        <v>1015.8333333333334</v>
      </c>
    </row>
    <row r="551" spans="1:23" x14ac:dyDescent="0.3">
      <c r="A551" s="13" t="str" cm="1">
        <f t="array" ref="A551:B551">INDEX(BenchmarkResults!$B$1:$D$35,SUMPRODUCT((T551&gt;=BenchmarkResults!$F$3:$F$35)*(mongodb_hardware_log!T551&lt;BenchmarkResults!$G$3:$G$35)*ROW(BenchmarkResults!$F$3:$F$35)),{1,3})</f>
        <v>q2_avg_order_city</v>
      </c>
      <c r="B551">
        <v>1</v>
      </c>
      <c r="C551" s="13">
        <v>1</v>
      </c>
      <c r="D551" s="13">
        <v>0</v>
      </c>
      <c r="E551" s="13">
        <v>134656</v>
      </c>
      <c r="F551" s="13">
        <v>564244</v>
      </c>
      <c r="G551" s="13">
        <v>3060</v>
      </c>
      <c r="H551" s="13">
        <v>1839428</v>
      </c>
      <c r="I551" s="13">
        <v>0</v>
      </c>
      <c r="J551" s="13">
        <v>0</v>
      </c>
      <c r="K551" s="13">
        <v>975</v>
      </c>
      <c r="L551" s="13">
        <v>12</v>
      </c>
      <c r="M551" s="13">
        <v>700</v>
      </c>
      <c r="N551" s="13">
        <v>199</v>
      </c>
      <c r="O551" s="13">
        <v>33</v>
      </c>
      <c r="P551" s="13">
        <v>1</v>
      </c>
      <c r="Q551" s="13">
        <v>65</v>
      </c>
      <c r="R551" s="13">
        <v>0</v>
      </c>
      <c r="S551" s="13">
        <v>0</v>
      </c>
      <c r="T551" s="23">
        <v>46247.547858796293</v>
      </c>
      <c r="U551" s="55">
        <f t="shared" si="24"/>
        <v>1</v>
      </c>
      <c r="V551" s="55">
        <f t="shared" si="25"/>
        <v>0</v>
      </c>
      <c r="W551" s="56">
        <f t="shared" si="26"/>
        <v>1000.3333333333334</v>
      </c>
    </row>
    <row r="552" spans="1:23" x14ac:dyDescent="0.3">
      <c r="A552" s="13" t="str" cm="1">
        <f t="array" ref="A552:B552">INDEX(BenchmarkResults!$B$1:$D$35,SUMPRODUCT((T552&gt;=BenchmarkResults!$F$3:$F$35)*(mongodb_hardware_log!T552&lt;BenchmarkResults!$G$3:$G$35)*ROW(BenchmarkResults!$F$3:$F$35)),{1,3})</f>
        <v>q2_avg_order_city</v>
      </c>
      <c r="B552">
        <v>1</v>
      </c>
      <c r="C552" s="13">
        <v>1</v>
      </c>
      <c r="D552" s="13">
        <v>0</v>
      </c>
      <c r="E552" s="13">
        <v>134656</v>
      </c>
      <c r="F552" s="13">
        <v>548368</v>
      </c>
      <c r="G552" s="13">
        <v>3116</v>
      </c>
      <c r="H552" s="13">
        <v>1850068</v>
      </c>
      <c r="I552" s="13">
        <v>0</v>
      </c>
      <c r="J552" s="13">
        <v>0</v>
      </c>
      <c r="K552" s="13">
        <v>1068</v>
      </c>
      <c r="L552" s="13">
        <v>58</v>
      </c>
      <c r="M552" s="13">
        <v>721</v>
      </c>
      <c r="N552" s="13">
        <v>214</v>
      </c>
      <c r="O552" s="13">
        <v>34</v>
      </c>
      <c r="P552" s="13">
        <v>1</v>
      </c>
      <c r="Q552" s="13">
        <v>65</v>
      </c>
      <c r="R552" s="13">
        <v>0</v>
      </c>
      <c r="S552" s="13">
        <v>0</v>
      </c>
      <c r="T552" s="23">
        <v>46247.547974537039</v>
      </c>
      <c r="U552" s="55">
        <f t="shared" si="24"/>
        <v>1</v>
      </c>
      <c r="V552" s="55">
        <f t="shared" si="25"/>
        <v>0</v>
      </c>
      <c r="W552" s="56">
        <f t="shared" si="26"/>
        <v>987.5</v>
      </c>
    </row>
    <row r="553" spans="1:23" x14ac:dyDescent="0.3">
      <c r="A553" s="13" t="str" cm="1">
        <f t="array" ref="A553:B553">INDEX(BenchmarkResults!$B$1:$D$35,SUMPRODUCT((T553&gt;=BenchmarkResults!$F$3:$F$35)*(mongodb_hardware_log!T553&lt;BenchmarkResults!$G$3:$G$35)*ROW(BenchmarkResults!$F$3:$F$35)),{1,3})</f>
        <v>q2_avg_order_city</v>
      </c>
      <c r="B553">
        <v>1</v>
      </c>
      <c r="C553" s="13">
        <v>1</v>
      </c>
      <c r="D553" s="13">
        <v>0</v>
      </c>
      <c r="E553" s="13">
        <v>134656</v>
      </c>
      <c r="F553" s="13">
        <v>543992</v>
      </c>
      <c r="G553" s="13">
        <v>3132</v>
      </c>
      <c r="H553" s="13">
        <v>1864376</v>
      </c>
      <c r="I553" s="13">
        <v>0</v>
      </c>
      <c r="J553" s="13">
        <v>0</v>
      </c>
      <c r="K553" s="13">
        <v>1423</v>
      </c>
      <c r="L553" s="13">
        <v>18</v>
      </c>
      <c r="M553" s="13">
        <v>774</v>
      </c>
      <c r="N553" s="13">
        <v>283</v>
      </c>
      <c r="O553" s="13">
        <v>33</v>
      </c>
      <c r="P553" s="13">
        <v>1</v>
      </c>
      <c r="Q553" s="13">
        <v>64</v>
      </c>
      <c r="R553" s="13">
        <v>1</v>
      </c>
      <c r="S553" s="13">
        <v>0</v>
      </c>
      <c r="T553" s="23">
        <v>46247.548090277778</v>
      </c>
      <c r="U553" s="55">
        <f t="shared" si="24"/>
        <v>1</v>
      </c>
      <c r="V553" s="55">
        <f t="shared" si="25"/>
        <v>0</v>
      </c>
      <c r="W553" s="56">
        <f t="shared" si="26"/>
        <v>1071.3333333333333</v>
      </c>
    </row>
    <row r="554" spans="1:23" x14ac:dyDescent="0.3">
      <c r="A554" s="13" t="str" cm="1">
        <f t="array" ref="A554:B554">INDEX(BenchmarkResults!$B$1:$D$35,SUMPRODUCT((T554&gt;=BenchmarkResults!$F$3:$F$35)*(mongodb_hardware_log!T554&lt;BenchmarkResults!$G$3:$G$35)*ROW(BenchmarkResults!$F$3:$F$35)),{1,3})</f>
        <v>q2_avg_order_city</v>
      </c>
      <c r="B554">
        <v>1</v>
      </c>
      <c r="C554" s="13">
        <v>1</v>
      </c>
      <c r="D554" s="13">
        <v>0</v>
      </c>
      <c r="E554" s="13">
        <v>134656</v>
      </c>
      <c r="F554" s="13">
        <v>532400</v>
      </c>
      <c r="G554" s="13">
        <v>3140</v>
      </c>
      <c r="H554" s="13">
        <v>1876652</v>
      </c>
      <c r="I554" s="13">
        <v>0</v>
      </c>
      <c r="J554" s="13">
        <v>0</v>
      </c>
      <c r="K554" s="13">
        <v>1230</v>
      </c>
      <c r="L554" s="13">
        <v>7</v>
      </c>
      <c r="M554" s="13">
        <v>710</v>
      </c>
      <c r="N554" s="13">
        <v>206</v>
      </c>
      <c r="O554" s="13">
        <v>33</v>
      </c>
      <c r="P554" s="13">
        <v>1</v>
      </c>
      <c r="Q554" s="13">
        <v>65</v>
      </c>
      <c r="R554" s="13">
        <v>0</v>
      </c>
      <c r="S554" s="13">
        <v>0</v>
      </c>
      <c r="T554" s="23">
        <v>46247.548206018517</v>
      </c>
      <c r="U554" s="55">
        <f t="shared" si="24"/>
        <v>1</v>
      </c>
      <c r="V554" s="55">
        <f t="shared" si="25"/>
        <v>0</v>
      </c>
      <c r="W554" s="56">
        <f t="shared" si="26"/>
        <v>1122.6666666666667</v>
      </c>
    </row>
    <row r="555" spans="1:23" x14ac:dyDescent="0.3">
      <c r="A555" s="13" t="str" cm="1">
        <f t="array" ref="A555:B555">INDEX(BenchmarkResults!$B$1:$D$35,SUMPRODUCT((T555&gt;=BenchmarkResults!$F$3:$F$35)*(mongodb_hardware_log!T555&lt;BenchmarkResults!$G$3:$G$35)*ROW(BenchmarkResults!$F$3:$F$35)),{1,3})</f>
        <v>q2_avg_order_city</v>
      </c>
      <c r="B555">
        <v>1</v>
      </c>
      <c r="C555" s="13">
        <v>1</v>
      </c>
      <c r="D555" s="13">
        <v>0</v>
      </c>
      <c r="E555" s="13">
        <v>134656</v>
      </c>
      <c r="F555" s="13">
        <v>523884</v>
      </c>
      <c r="G555" s="13">
        <v>3156</v>
      </c>
      <c r="H555" s="13">
        <v>1887852</v>
      </c>
      <c r="I555" s="13">
        <v>0</v>
      </c>
      <c r="J555" s="13">
        <v>0</v>
      </c>
      <c r="K555" s="13">
        <v>1114</v>
      </c>
      <c r="L555" s="13">
        <v>32</v>
      </c>
      <c r="M555" s="13">
        <v>718</v>
      </c>
      <c r="N555" s="13">
        <v>218</v>
      </c>
      <c r="O555" s="13">
        <v>33</v>
      </c>
      <c r="P555" s="13">
        <v>1</v>
      </c>
      <c r="Q555" s="13">
        <v>65</v>
      </c>
      <c r="R555" s="13">
        <v>0</v>
      </c>
      <c r="S555" s="13">
        <v>0</v>
      </c>
      <c r="T555" s="23">
        <v>46247.548321759263</v>
      </c>
      <c r="U555" s="55">
        <f t="shared" si="24"/>
        <v>1</v>
      </c>
      <c r="V555" s="55">
        <f t="shared" si="25"/>
        <v>0</v>
      </c>
      <c r="W555" s="56">
        <f t="shared" si="26"/>
        <v>1153</v>
      </c>
    </row>
    <row r="556" spans="1:23" x14ac:dyDescent="0.3">
      <c r="A556" s="13" t="str" cm="1">
        <f t="array" ref="A556:B556">INDEX(BenchmarkResults!$B$1:$D$35,SUMPRODUCT((T556&gt;=BenchmarkResults!$F$3:$F$35)*(mongodb_hardware_log!T556&lt;BenchmarkResults!$G$3:$G$35)*ROW(BenchmarkResults!$F$3:$F$35)),{1,3})</f>
        <v>q2_avg_order_city</v>
      </c>
      <c r="B556">
        <v>1</v>
      </c>
      <c r="C556" s="13">
        <v>1</v>
      </c>
      <c r="D556" s="13">
        <v>0</v>
      </c>
      <c r="E556" s="13">
        <v>134656</v>
      </c>
      <c r="F556" s="13">
        <v>512544</v>
      </c>
      <c r="G556" s="13">
        <v>3164</v>
      </c>
      <c r="H556" s="13">
        <v>1898376</v>
      </c>
      <c r="I556" s="13">
        <v>0</v>
      </c>
      <c r="J556" s="13">
        <v>0</v>
      </c>
      <c r="K556" s="13">
        <v>1057</v>
      </c>
      <c r="L556" s="13">
        <v>13</v>
      </c>
      <c r="M556" s="13">
        <v>708</v>
      </c>
      <c r="N556" s="13">
        <v>212</v>
      </c>
      <c r="O556" s="13">
        <v>33</v>
      </c>
      <c r="P556" s="13">
        <v>1</v>
      </c>
      <c r="Q556" s="13">
        <v>65</v>
      </c>
      <c r="R556" s="13">
        <v>0</v>
      </c>
      <c r="S556" s="13">
        <v>0</v>
      </c>
      <c r="T556" s="23">
        <v>46247.548437500001</v>
      </c>
      <c r="U556" s="55">
        <f t="shared" si="24"/>
        <v>1</v>
      </c>
      <c r="V556" s="55">
        <f t="shared" si="25"/>
        <v>0</v>
      </c>
      <c r="W556" s="56">
        <f t="shared" si="26"/>
        <v>1144.5</v>
      </c>
    </row>
    <row r="557" spans="1:23" x14ac:dyDescent="0.3">
      <c r="A557" s="13" t="str" cm="1">
        <f t="array" ref="A557:B557">INDEX(BenchmarkResults!$B$1:$D$35,SUMPRODUCT((T557&gt;=BenchmarkResults!$F$3:$F$35)*(mongodb_hardware_log!T557&lt;BenchmarkResults!$G$3:$G$35)*ROW(BenchmarkResults!$F$3:$F$35)),{1,3})</f>
        <v>q2_avg_order_city</v>
      </c>
      <c r="B557">
        <v>1</v>
      </c>
      <c r="C557" s="13">
        <v>1</v>
      </c>
      <c r="D557" s="13">
        <v>0</v>
      </c>
      <c r="E557" s="13">
        <v>134656</v>
      </c>
      <c r="F557" s="13">
        <v>504480</v>
      </c>
      <c r="G557" s="13">
        <v>3172</v>
      </c>
      <c r="H557" s="13">
        <v>1906996</v>
      </c>
      <c r="I557" s="13">
        <v>0</v>
      </c>
      <c r="J557" s="13">
        <v>0</v>
      </c>
      <c r="K557" s="13">
        <v>855</v>
      </c>
      <c r="L557" s="13">
        <v>13</v>
      </c>
      <c r="M557" s="13">
        <v>705</v>
      </c>
      <c r="N557" s="13">
        <v>198</v>
      </c>
      <c r="O557" s="13">
        <v>33</v>
      </c>
      <c r="P557" s="13">
        <v>1</v>
      </c>
      <c r="Q557" s="13">
        <v>64</v>
      </c>
      <c r="R557" s="13">
        <v>1</v>
      </c>
      <c r="S557" s="13">
        <v>1</v>
      </c>
      <c r="T557" s="23">
        <v>46247.54855324074</v>
      </c>
      <c r="U557" s="55">
        <f t="shared" si="24"/>
        <v>1</v>
      </c>
      <c r="V557" s="55">
        <f t="shared" si="25"/>
        <v>0</v>
      </c>
      <c r="W557" s="56">
        <f t="shared" si="26"/>
        <v>1124.5</v>
      </c>
    </row>
    <row r="558" spans="1:23" x14ac:dyDescent="0.3">
      <c r="A558" s="13" t="str" cm="1">
        <f t="array" ref="A558:B558">INDEX(BenchmarkResults!$B$1:$D$35,SUMPRODUCT((T558&gt;=BenchmarkResults!$F$3:$F$35)*(mongodb_hardware_log!T558&lt;BenchmarkResults!$G$3:$G$35)*ROW(BenchmarkResults!$F$3:$F$35)),{1,3})</f>
        <v>q2_avg_order_city</v>
      </c>
      <c r="B558">
        <v>1</v>
      </c>
      <c r="C558" s="13">
        <v>1</v>
      </c>
      <c r="D558" s="13">
        <v>0</v>
      </c>
      <c r="E558" s="13">
        <v>134656</v>
      </c>
      <c r="F558" s="13">
        <v>493140</v>
      </c>
      <c r="G558" s="13">
        <v>3196</v>
      </c>
      <c r="H558" s="13">
        <v>1917088</v>
      </c>
      <c r="I558" s="13">
        <v>0</v>
      </c>
      <c r="J558" s="13">
        <v>0</v>
      </c>
      <c r="K558" s="13">
        <v>1015</v>
      </c>
      <c r="L558" s="13">
        <v>26</v>
      </c>
      <c r="M558" s="13">
        <v>730</v>
      </c>
      <c r="N558" s="13">
        <v>225</v>
      </c>
      <c r="O558" s="13">
        <v>33</v>
      </c>
      <c r="P558" s="13">
        <v>1</v>
      </c>
      <c r="Q558" s="13">
        <v>65</v>
      </c>
      <c r="R558" s="13">
        <v>0</v>
      </c>
      <c r="S558" s="13">
        <v>1</v>
      </c>
      <c r="T558" s="23">
        <v>46247.548668981479</v>
      </c>
      <c r="U558" s="55">
        <f t="shared" si="24"/>
        <v>1</v>
      </c>
      <c r="V558" s="55">
        <f t="shared" si="25"/>
        <v>0</v>
      </c>
      <c r="W558" s="56">
        <f t="shared" si="26"/>
        <v>1115.6666666666667</v>
      </c>
    </row>
    <row r="559" spans="1:23" x14ac:dyDescent="0.3">
      <c r="A559" s="13" t="str" cm="1">
        <f t="array" ref="A559:B559">INDEX(BenchmarkResults!$B$1:$D$35,SUMPRODUCT((T559&gt;=BenchmarkResults!$F$3:$F$35)*(mongodb_hardware_log!T559&lt;BenchmarkResults!$G$3:$G$35)*ROW(BenchmarkResults!$F$3:$F$35)),{1,3})</f>
        <v>q2_avg_order_city</v>
      </c>
      <c r="B559">
        <v>1</v>
      </c>
      <c r="C559" s="13">
        <v>1</v>
      </c>
      <c r="D559" s="13">
        <v>0</v>
      </c>
      <c r="E559" s="13">
        <v>134656</v>
      </c>
      <c r="F559" s="13">
        <v>478020</v>
      </c>
      <c r="G559" s="13">
        <v>3204</v>
      </c>
      <c r="H559" s="13">
        <v>1927660</v>
      </c>
      <c r="I559" s="13">
        <v>0</v>
      </c>
      <c r="J559" s="13">
        <v>0</v>
      </c>
      <c r="K559" s="13">
        <v>1058</v>
      </c>
      <c r="L559" s="13">
        <v>6</v>
      </c>
      <c r="M559" s="13">
        <v>702</v>
      </c>
      <c r="N559" s="13">
        <v>201</v>
      </c>
      <c r="O559" s="13">
        <v>33</v>
      </c>
      <c r="P559" s="13">
        <v>1</v>
      </c>
      <c r="Q559" s="13">
        <v>65</v>
      </c>
      <c r="R559" s="13">
        <v>1</v>
      </c>
      <c r="S559" s="13">
        <v>0</v>
      </c>
      <c r="T559" s="23">
        <v>46247.548784722225</v>
      </c>
      <c r="U559" s="55">
        <f t="shared" si="24"/>
        <v>1</v>
      </c>
      <c r="V559" s="55">
        <f t="shared" si="25"/>
        <v>0</v>
      </c>
      <c r="W559" s="56">
        <f t="shared" si="26"/>
        <v>1054.8333333333333</v>
      </c>
    </row>
    <row r="560" spans="1:23" x14ac:dyDescent="0.3">
      <c r="A560" s="13" t="str" cm="1">
        <f t="array" ref="A560:B560">INDEX(BenchmarkResults!$B$1:$D$35,SUMPRODUCT((T560&gt;=BenchmarkResults!$F$3:$F$35)*(mongodb_hardware_log!T560&lt;BenchmarkResults!$G$3:$G$35)*ROW(BenchmarkResults!$F$3:$F$35)),{1,3})</f>
        <v>q2_avg_order_city</v>
      </c>
      <c r="B560">
        <v>1</v>
      </c>
      <c r="C560" s="13">
        <v>1</v>
      </c>
      <c r="D560" s="13">
        <v>0</v>
      </c>
      <c r="E560" s="13">
        <v>134656</v>
      </c>
      <c r="F560" s="13">
        <v>476008</v>
      </c>
      <c r="G560" s="13">
        <v>3212</v>
      </c>
      <c r="H560" s="13">
        <v>1937900</v>
      </c>
      <c r="I560" s="13">
        <v>0</v>
      </c>
      <c r="J560" s="13">
        <v>0</v>
      </c>
      <c r="K560" s="13">
        <v>1016</v>
      </c>
      <c r="L560" s="13">
        <v>23</v>
      </c>
      <c r="M560" s="13">
        <v>743</v>
      </c>
      <c r="N560" s="13">
        <v>236</v>
      </c>
      <c r="O560" s="13">
        <v>34</v>
      </c>
      <c r="P560" s="13">
        <v>2</v>
      </c>
      <c r="Q560" s="13">
        <v>63</v>
      </c>
      <c r="R560" s="13">
        <v>0</v>
      </c>
      <c r="S560" s="13">
        <v>0</v>
      </c>
      <c r="T560" s="23">
        <v>46247.548900462964</v>
      </c>
      <c r="U560" s="55">
        <f t="shared" si="24"/>
        <v>1</v>
      </c>
      <c r="V560" s="55">
        <f t="shared" si="25"/>
        <v>0</v>
      </c>
      <c r="W560" s="56">
        <f t="shared" si="26"/>
        <v>1019.1666666666666</v>
      </c>
    </row>
    <row r="561" spans="1:23" x14ac:dyDescent="0.3">
      <c r="A561" s="13" t="str" cm="1">
        <f t="array" ref="A561:B561">INDEX(BenchmarkResults!$B$1:$D$35,SUMPRODUCT((T561&gt;=BenchmarkResults!$F$3:$F$35)*(mongodb_hardware_log!T561&lt;BenchmarkResults!$G$3:$G$35)*ROW(BenchmarkResults!$F$3:$F$35)),{1,3})</f>
        <v>q2_avg_order_city</v>
      </c>
      <c r="B561">
        <v>1</v>
      </c>
      <c r="C561" s="13">
        <v>1</v>
      </c>
      <c r="D561" s="13">
        <v>0</v>
      </c>
      <c r="E561" s="13">
        <v>134656</v>
      </c>
      <c r="F561" s="13">
        <v>463436</v>
      </c>
      <c r="G561" s="13">
        <v>3232</v>
      </c>
      <c r="H561" s="13">
        <v>1946764</v>
      </c>
      <c r="I561" s="13">
        <v>0</v>
      </c>
      <c r="J561" s="13">
        <v>0</v>
      </c>
      <c r="K561" s="13">
        <v>893</v>
      </c>
      <c r="L561" s="13">
        <v>20</v>
      </c>
      <c r="M561" s="13">
        <v>719</v>
      </c>
      <c r="N561" s="13">
        <v>217</v>
      </c>
      <c r="O561" s="13">
        <v>33</v>
      </c>
      <c r="P561" s="13">
        <v>1</v>
      </c>
      <c r="Q561" s="13">
        <v>65</v>
      </c>
      <c r="R561" s="13">
        <v>0</v>
      </c>
      <c r="S561" s="13">
        <v>0</v>
      </c>
      <c r="T561" s="23">
        <v>46247.549016203702</v>
      </c>
      <c r="U561" s="55">
        <f t="shared" si="24"/>
        <v>1</v>
      </c>
      <c r="V561" s="55">
        <f t="shared" si="25"/>
        <v>0</v>
      </c>
      <c r="W561" s="56">
        <f t="shared" si="26"/>
        <v>982.33333333333337</v>
      </c>
    </row>
    <row r="562" spans="1:23" x14ac:dyDescent="0.3">
      <c r="A562" s="13" t="str" cm="1">
        <f t="array" ref="A562:B562">INDEX(BenchmarkResults!$B$1:$D$35,SUMPRODUCT((T562&gt;=BenchmarkResults!$F$3:$F$35)*(mongodb_hardware_log!T562&lt;BenchmarkResults!$G$3:$G$35)*ROW(BenchmarkResults!$F$3:$F$35)),{1,3})</f>
        <v>q2_avg_order_city</v>
      </c>
      <c r="B562">
        <v>1</v>
      </c>
      <c r="C562" s="13">
        <v>1</v>
      </c>
      <c r="D562" s="13">
        <v>0</v>
      </c>
      <c r="E562" s="13">
        <v>134656</v>
      </c>
      <c r="F562" s="13">
        <v>449324</v>
      </c>
      <c r="G562" s="13">
        <v>3240</v>
      </c>
      <c r="H562" s="13">
        <v>1958644</v>
      </c>
      <c r="I562" s="13">
        <v>0</v>
      </c>
      <c r="J562" s="13">
        <v>0</v>
      </c>
      <c r="K562" s="13">
        <v>1181</v>
      </c>
      <c r="L562" s="13">
        <v>10</v>
      </c>
      <c r="M562" s="13">
        <v>707</v>
      </c>
      <c r="N562" s="13">
        <v>202</v>
      </c>
      <c r="O562" s="13">
        <v>33</v>
      </c>
      <c r="P562" s="13">
        <v>1</v>
      </c>
      <c r="Q562" s="13">
        <v>65</v>
      </c>
      <c r="R562" s="13">
        <v>0</v>
      </c>
      <c r="S562" s="13">
        <v>1</v>
      </c>
      <c r="T562" s="23">
        <v>46247.549131944441</v>
      </c>
      <c r="U562" s="55">
        <f t="shared" si="24"/>
        <v>1</v>
      </c>
      <c r="V562" s="55">
        <f t="shared" si="25"/>
        <v>0</v>
      </c>
      <c r="W562" s="56">
        <f t="shared" si="26"/>
        <v>1003</v>
      </c>
    </row>
    <row r="563" spans="1:23" x14ac:dyDescent="0.3">
      <c r="A563" s="13" t="str" cm="1">
        <f t="array" ref="A563:B563">INDEX(BenchmarkResults!$B$1:$D$35,SUMPRODUCT((T563&gt;=BenchmarkResults!$F$3:$F$35)*(mongodb_hardware_log!T563&lt;BenchmarkResults!$G$3:$G$35)*ROW(BenchmarkResults!$F$3:$F$35)),{1,3})</f>
        <v>q2_avg_order_city</v>
      </c>
      <c r="B563">
        <v>1</v>
      </c>
      <c r="C563" s="13">
        <v>1</v>
      </c>
      <c r="D563" s="13">
        <v>0</v>
      </c>
      <c r="E563" s="13">
        <v>134656</v>
      </c>
      <c r="F563" s="13">
        <v>437732</v>
      </c>
      <c r="G563" s="13">
        <v>3248</v>
      </c>
      <c r="H563" s="13">
        <v>1971616</v>
      </c>
      <c r="I563" s="13">
        <v>0</v>
      </c>
      <c r="J563" s="13">
        <v>0</v>
      </c>
      <c r="K563" s="13">
        <v>1300</v>
      </c>
      <c r="L563" s="13">
        <v>25</v>
      </c>
      <c r="M563" s="13">
        <v>707</v>
      </c>
      <c r="N563" s="13">
        <v>206</v>
      </c>
      <c r="O563" s="13">
        <v>33</v>
      </c>
      <c r="P563" s="13">
        <v>1</v>
      </c>
      <c r="Q563" s="13">
        <v>65</v>
      </c>
      <c r="R563" s="13">
        <v>0</v>
      </c>
      <c r="S563" s="13">
        <v>0</v>
      </c>
      <c r="T563" s="23">
        <v>46247.549247685187</v>
      </c>
      <c r="U563" s="55">
        <f t="shared" si="24"/>
        <v>1</v>
      </c>
      <c r="V563" s="55">
        <f t="shared" si="25"/>
        <v>0</v>
      </c>
      <c r="W563" s="56">
        <f t="shared" si="26"/>
        <v>1077.1666666666667</v>
      </c>
    </row>
    <row r="564" spans="1:23" x14ac:dyDescent="0.3">
      <c r="A564" s="13" t="str" cm="1">
        <f t="array" ref="A564:B564">INDEX(BenchmarkResults!$B$1:$D$35,SUMPRODUCT((T564&gt;=BenchmarkResults!$F$3:$F$35)*(mongodb_hardware_log!T564&lt;BenchmarkResults!$G$3:$G$35)*ROW(BenchmarkResults!$F$3:$F$35)),{1,3})</f>
        <v>q2_avg_order_city</v>
      </c>
      <c r="B564">
        <v>1</v>
      </c>
      <c r="C564" s="13">
        <v>1</v>
      </c>
      <c r="D564" s="13">
        <v>0</v>
      </c>
      <c r="E564" s="13">
        <v>134656</v>
      </c>
      <c r="F564" s="13">
        <v>432188</v>
      </c>
      <c r="G564" s="13">
        <v>3288</v>
      </c>
      <c r="H564" s="13">
        <v>1981016</v>
      </c>
      <c r="I564" s="13">
        <v>0</v>
      </c>
      <c r="J564" s="13">
        <v>0</v>
      </c>
      <c r="K564" s="13">
        <v>946</v>
      </c>
      <c r="L564" s="13">
        <v>37</v>
      </c>
      <c r="M564" s="13">
        <v>737</v>
      </c>
      <c r="N564" s="13">
        <v>230</v>
      </c>
      <c r="O564" s="13">
        <v>33</v>
      </c>
      <c r="P564" s="13">
        <v>1</v>
      </c>
      <c r="Q564" s="13">
        <v>65</v>
      </c>
      <c r="R564" s="13">
        <v>0</v>
      </c>
      <c r="S564" s="13">
        <v>0</v>
      </c>
      <c r="T564" s="23">
        <v>46247.549363425926</v>
      </c>
      <c r="U564" s="55">
        <f t="shared" si="24"/>
        <v>1</v>
      </c>
      <c r="V564" s="55">
        <f t="shared" si="25"/>
        <v>0</v>
      </c>
      <c r="W564" s="56">
        <f t="shared" si="26"/>
        <v>1065.6666666666667</v>
      </c>
    </row>
    <row r="565" spans="1:23" x14ac:dyDescent="0.3">
      <c r="A565" s="13" t="str" cm="1">
        <f t="array" ref="A565:B565">INDEX(BenchmarkResults!$B$1:$D$35,SUMPRODUCT((T565&gt;=BenchmarkResults!$F$3:$F$35)*(mongodb_hardware_log!T565&lt;BenchmarkResults!$G$3:$G$35)*ROW(BenchmarkResults!$F$3:$F$35)),{1,3})</f>
        <v>q2_avg_order_city</v>
      </c>
      <c r="B565">
        <v>1</v>
      </c>
      <c r="C565" s="13">
        <v>1</v>
      </c>
      <c r="D565" s="13">
        <v>0</v>
      </c>
      <c r="E565" s="13">
        <v>134656</v>
      </c>
      <c r="F565" s="13">
        <v>421340</v>
      </c>
      <c r="G565" s="13">
        <v>3296</v>
      </c>
      <c r="H565" s="13">
        <v>1991428</v>
      </c>
      <c r="I565" s="13">
        <v>0</v>
      </c>
      <c r="J565" s="13">
        <v>0</v>
      </c>
      <c r="K565" s="13">
        <v>1035</v>
      </c>
      <c r="L565" s="13">
        <v>5</v>
      </c>
      <c r="M565" s="13">
        <v>726</v>
      </c>
      <c r="N565" s="13">
        <v>224</v>
      </c>
      <c r="O565" s="13">
        <v>33</v>
      </c>
      <c r="P565" s="13">
        <v>1</v>
      </c>
      <c r="Q565" s="13">
        <v>65</v>
      </c>
      <c r="R565" s="13">
        <v>1</v>
      </c>
      <c r="S565" s="13">
        <v>1</v>
      </c>
      <c r="T565" s="23">
        <v>46247.549479166664</v>
      </c>
      <c r="U565" s="55">
        <f t="shared" si="24"/>
        <v>1</v>
      </c>
      <c r="V565" s="55">
        <f t="shared" si="25"/>
        <v>0</v>
      </c>
      <c r="W565" s="56">
        <f t="shared" si="26"/>
        <v>1061.8333333333333</v>
      </c>
    </row>
    <row r="566" spans="1:23" x14ac:dyDescent="0.3">
      <c r="A566" s="13" t="str" cm="1">
        <f t="array" ref="A566:B566">INDEX(BenchmarkResults!$B$1:$D$35,SUMPRODUCT((T566&gt;=BenchmarkResults!$F$3:$F$35)*(mongodb_hardware_log!T566&lt;BenchmarkResults!$G$3:$G$35)*ROW(BenchmarkResults!$F$3:$F$35)),{1,3})</f>
        <v>q2_avg_order_city</v>
      </c>
      <c r="B566">
        <v>1</v>
      </c>
      <c r="C566" s="13">
        <v>1</v>
      </c>
      <c r="D566" s="13">
        <v>0</v>
      </c>
      <c r="E566" s="13">
        <v>134656</v>
      </c>
      <c r="F566" s="13">
        <v>413528</v>
      </c>
      <c r="G566" s="13">
        <v>3304</v>
      </c>
      <c r="H566" s="13">
        <v>1999412</v>
      </c>
      <c r="I566" s="13">
        <v>0</v>
      </c>
      <c r="J566" s="13">
        <v>0</v>
      </c>
      <c r="K566" s="13">
        <v>804</v>
      </c>
      <c r="L566" s="13">
        <v>12</v>
      </c>
      <c r="M566" s="13">
        <v>793</v>
      </c>
      <c r="N566" s="13">
        <v>289</v>
      </c>
      <c r="O566" s="13">
        <v>33</v>
      </c>
      <c r="P566" s="13">
        <v>1</v>
      </c>
      <c r="Q566" s="13">
        <v>65</v>
      </c>
      <c r="R566" s="13">
        <v>0</v>
      </c>
      <c r="S566" s="13">
        <v>0</v>
      </c>
      <c r="T566" s="23">
        <v>46247.54959490741</v>
      </c>
      <c r="U566" s="55">
        <f t="shared" si="24"/>
        <v>1</v>
      </c>
      <c r="V566" s="55">
        <f t="shared" si="25"/>
        <v>0</v>
      </c>
      <c r="W566" s="56">
        <f t="shared" si="26"/>
        <v>1026.5</v>
      </c>
    </row>
    <row r="567" spans="1:23" x14ac:dyDescent="0.3">
      <c r="A567" s="13" t="str" cm="1">
        <f t="array" ref="A567:B567">INDEX(BenchmarkResults!$B$1:$D$35,SUMPRODUCT((T567&gt;=BenchmarkResults!$F$3:$F$35)*(mongodb_hardware_log!T567&lt;BenchmarkResults!$G$3:$G$35)*ROW(BenchmarkResults!$F$3:$F$35)),{1,3})</f>
        <v>q2_avg_order_city</v>
      </c>
      <c r="B567">
        <v>1</v>
      </c>
      <c r="C567" s="13">
        <v>1</v>
      </c>
      <c r="D567" s="13">
        <v>0</v>
      </c>
      <c r="E567" s="13">
        <v>134656</v>
      </c>
      <c r="F567" s="13">
        <v>402692</v>
      </c>
      <c r="G567" s="13">
        <v>3312</v>
      </c>
      <c r="H567" s="13">
        <v>2008476</v>
      </c>
      <c r="I567" s="13">
        <v>0</v>
      </c>
      <c r="J567" s="13">
        <v>0</v>
      </c>
      <c r="K567" s="13">
        <v>910</v>
      </c>
      <c r="L567" s="13">
        <v>11</v>
      </c>
      <c r="M567" s="13">
        <v>707</v>
      </c>
      <c r="N567" s="13">
        <v>204</v>
      </c>
      <c r="O567" s="13">
        <v>33</v>
      </c>
      <c r="P567" s="13">
        <v>1</v>
      </c>
      <c r="Q567" s="13">
        <v>65</v>
      </c>
      <c r="R567" s="13">
        <v>0</v>
      </c>
      <c r="S567" s="13">
        <v>1</v>
      </c>
      <c r="T567" s="23">
        <v>46247.549710648149</v>
      </c>
      <c r="U567" s="55">
        <f t="shared" si="24"/>
        <v>1</v>
      </c>
      <c r="V567" s="55">
        <f t="shared" si="25"/>
        <v>0</v>
      </c>
      <c r="W567" s="56">
        <f t="shared" si="26"/>
        <v>1029.3333333333333</v>
      </c>
    </row>
    <row r="568" spans="1:23" x14ac:dyDescent="0.3">
      <c r="A568" s="13" t="str" cm="1">
        <f t="array" ref="A568:B568">INDEX(BenchmarkResults!$B$1:$D$35,SUMPRODUCT((T568&gt;=BenchmarkResults!$F$3:$F$35)*(mongodb_hardware_log!T568&lt;BenchmarkResults!$G$3:$G$35)*ROW(BenchmarkResults!$F$3:$F$35)),{1,3})</f>
        <v>q2_avg_order_city</v>
      </c>
      <c r="B568">
        <v>1</v>
      </c>
      <c r="C568" s="13">
        <v>1</v>
      </c>
      <c r="D568" s="13">
        <v>0</v>
      </c>
      <c r="E568" s="13">
        <v>134656</v>
      </c>
      <c r="F568" s="13">
        <v>387824</v>
      </c>
      <c r="G568" s="13">
        <v>3320</v>
      </c>
      <c r="H568" s="13">
        <v>2017908</v>
      </c>
      <c r="I568" s="13">
        <v>0</v>
      </c>
      <c r="J568" s="13">
        <v>0</v>
      </c>
      <c r="K568" s="13">
        <v>934</v>
      </c>
      <c r="L568" s="13">
        <v>30</v>
      </c>
      <c r="M568" s="13">
        <v>715</v>
      </c>
      <c r="N568" s="13">
        <v>207</v>
      </c>
      <c r="O568" s="13">
        <v>33</v>
      </c>
      <c r="P568" s="13">
        <v>1</v>
      </c>
      <c r="Q568" s="13">
        <v>65</v>
      </c>
      <c r="R568" s="13">
        <v>0</v>
      </c>
      <c r="S568" s="13">
        <v>1</v>
      </c>
      <c r="T568" s="23">
        <v>46247.549826388888</v>
      </c>
      <c r="U568" s="55">
        <f t="shared" si="24"/>
        <v>1</v>
      </c>
      <c r="V568" s="55">
        <f t="shared" si="25"/>
        <v>0</v>
      </c>
      <c r="W568" s="56">
        <f t="shared" si="26"/>
        <v>988.16666666666663</v>
      </c>
    </row>
    <row r="569" spans="1:23" x14ac:dyDescent="0.3">
      <c r="A569" s="13" t="str" cm="1">
        <f t="array" ref="A569:B569">INDEX(BenchmarkResults!$B$1:$D$35,SUMPRODUCT((T569&gt;=BenchmarkResults!$F$3:$F$35)*(mongodb_hardware_log!T569&lt;BenchmarkResults!$G$3:$G$35)*ROW(BenchmarkResults!$F$3:$F$35)),{1,3})</f>
        <v>q2_avg_order_city</v>
      </c>
      <c r="B569">
        <v>1</v>
      </c>
      <c r="C569" s="13">
        <v>1</v>
      </c>
      <c r="D569" s="13">
        <v>0</v>
      </c>
      <c r="E569" s="13">
        <v>134656</v>
      </c>
      <c r="F569" s="13">
        <v>380044</v>
      </c>
      <c r="G569" s="13">
        <v>3328</v>
      </c>
      <c r="H569" s="13">
        <v>2028044</v>
      </c>
      <c r="I569" s="13">
        <v>0</v>
      </c>
      <c r="J569" s="13">
        <v>0</v>
      </c>
      <c r="K569" s="13">
        <v>1016</v>
      </c>
      <c r="L569" s="13">
        <v>24</v>
      </c>
      <c r="M569" s="13">
        <v>735</v>
      </c>
      <c r="N569" s="13">
        <v>231</v>
      </c>
      <c r="O569" s="13">
        <v>34</v>
      </c>
      <c r="P569" s="13">
        <v>1</v>
      </c>
      <c r="Q569" s="13">
        <v>63</v>
      </c>
      <c r="R569" s="13">
        <v>0</v>
      </c>
      <c r="S569" s="13">
        <v>1</v>
      </c>
      <c r="T569" s="23">
        <v>46247.549942129626</v>
      </c>
      <c r="U569" s="55">
        <f t="shared" si="24"/>
        <v>1</v>
      </c>
      <c r="V569" s="55">
        <f t="shared" si="25"/>
        <v>0</v>
      </c>
      <c r="W569" s="56">
        <f t="shared" si="26"/>
        <v>940.83333333333337</v>
      </c>
    </row>
    <row r="570" spans="1:23" x14ac:dyDescent="0.3">
      <c r="A570" s="13" t="str" cm="1">
        <f t="array" ref="A570:B570">INDEX(BenchmarkResults!$B$1:$D$35,SUMPRODUCT((T570&gt;=BenchmarkResults!$F$3:$F$35)*(mongodb_hardware_log!T570&lt;BenchmarkResults!$G$3:$G$35)*ROW(BenchmarkResults!$F$3:$F$35)),{1,3})</f>
        <v>q2_avg_order_city</v>
      </c>
      <c r="B570">
        <v>1</v>
      </c>
      <c r="C570" s="13">
        <v>2</v>
      </c>
      <c r="D570" s="13">
        <v>0</v>
      </c>
      <c r="E570" s="13">
        <v>134656</v>
      </c>
      <c r="F570" s="13">
        <v>378532</v>
      </c>
      <c r="G570" s="13">
        <v>3352</v>
      </c>
      <c r="H570" s="13">
        <v>2033676</v>
      </c>
      <c r="I570" s="13">
        <v>0</v>
      </c>
      <c r="J570" s="13">
        <v>0</v>
      </c>
      <c r="K570" s="13">
        <v>565</v>
      </c>
      <c r="L570" s="13">
        <v>28</v>
      </c>
      <c r="M570" s="13">
        <v>722</v>
      </c>
      <c r="N570" s="13">
        <v>208</v>
      </c>
      <c r="O570" s="13">
        <v>33</v>
      </c>
      <c r="P570" s="13">
        <v>1</v>
      </c>
      <c r="Q570" s="13">
        <v>65</v>
      </c>
      <c r="R570" s="13">
        <v>0</v>
      </c>
      <c r="S570" s="13">
        <v>1</v>
      </c>
      <c r="T570" s="23">
        <v>46247.550057870372</v>
      </c>
      <c r="U570" s="55">
        <f t="shared" si="24"/>
        <v>1.1666666666666667</v>
      </c>
      <c r="V570" s="55">
        <f t="shared" si="25"/>
        <v>0</v>
      </c>
      <c r="W570" s="56">
        <f t="shared" si="26"/>
        <v>877.33333333333337</v>
      </c>
    </row>
    <row r="571" spans="1:23" x14ac:dyDescent="0.3">
      <c r="A571" s="13" t="str" cm="1">
        <f t="array" ref="A571:B571">INDEX(BenchmarkResults!$B$1:$D$35,SUMPRODUCT((T571&gt;=BenchmarkResults!$F$3:$F$35)*(mongodb_hardware_log!T571&lt;BenchmarkResults!$G$3:$G$35)*ROW(BenchmarkResults!$F$3:$F$35)),{1,3})</f>
        <v>q2_avg_order_city</v>
      </c>
      <c r="B571">
        <v>1</v>
      </c>
      <c r="C571" s="13">
        <v>1</v>
      </c>
      <c r="D571" s="13">
        <v>0</v>
      </c>
      <c r="E571" s="13">
        <v>134656</v>
      </c>
      <c r="F571" s="13">
        <v>369208</v>
      </c>
      <c r="G571" s="13">
        <v>3360</v>
      </c>
      <c r="H571" s="13">
        <v>2044720</v>
      </c>
      <c r="I571" s="13">
        <v>0</v>
      </c>
      <c r="J571" s="13">
        <v>0</v>
      </c>
      <c r="K571" s="13">
        <v>1109</v>
      </c>
      <c r="L571" s="13">
        <v>6</v>
      </c>
      <c r="M571" s="13">
        <v>713</v>
      </c>
      <c r="N571" s="13">
        <v>202</v>
      </c>
      <c r="O571" s="13">
        <v>33</v>
      </c>
      <c r="P571" s="13">
        <v>1</v>
      </c>
      <c r="Q571" s="13">
        <v>65</v>
      </c>
      <c r="R571" s="13">
        <v>0</v>
      </c>
      <c r="S571" s="13">
        <v>0</v>
      </c>
      <c r="T571" s="23">
        <v>46247.550173611111</v>
      </c>
      <c r="U571" s="55">
        <f t="shared" si="24"/>
        <v>1.1666666666666667</v>
      </c>
      <c r="V571" s="55">
        <f t="shared" si="25"/>
        <v>0</v>
      </c>
      <c r="W571" s="56">
        <f t="shared" si="26"/>
        <v>889.66666666666663</v>
      </c>
    </row>
    <row r="572" spans="1:23" x14ac:dyDescent="0.3">
      <c r="A572" s="13" t="str" cm="1">
        <f t="array" ref="A572:B572">INDEX(BenchmarkResults!$B$1:$D$35,SUMPRODUCT((T572&gt;=BenchmarkResults!$F$3:$F$35)*(mongodb_hardware_log!T572&lt;BenchmarkResults!$G$3:$G$35)*ROW(BenchmarkResults!$F$3:$F$35)),{1,3})</f>
        <v>q2_avg_order_city</v>
      </c>
      <c r="B572">
        <v>1</v>
      </c>
      <c r="C572" s="13">
        <v>1</v>
      </c>
      <c r="D572" s="13">
        <v>0</v>
      </c>
      <c r="E572" s="13">
        <v>134656</v>
      </c>
      <c r="F572" s="13">
        <v>354340</v>
      </c>
      <c r="G572" s="13">
        <v>3368</v>
      </c>
      <c r="H572" s="13">
        <v>2058324</v>
      </c>
      <c r="I572" s="13">
        <v>0</v>
      </c>
      <c r="J572" s="13">
        <v>0</v>
      </c>
      <c r="K572" s="13">
        <v>1350</v>
      </c>
      <c r="L572" s="13">
        <v>18</v>
      </c>
      <c r="M572" s="13">
        <v>713</v>
      </c>
      <c r="N572" s="13">
        <v>204</v>
      </c>
      <c r="O572" s="13">
        <v>33</v>
      </c>
      <c r="P572" s="13">
        <v>1</v>
      </c>
      <c r="Q572" s="13">
        <v>65</v>
      </c>
      <c r="R572" s="13">
        <v>0</v>
      </c>
      <c r="S572" s="13">
        <v>0</v>
      </c>
      <c r="T572" s="23">
        <v>46247.55028935185</v>
      </c>
      <c r="U572" s="55">
        <f t="shared" si="24"/>
        <v>1.1666666666666667</v>
      </c>
      <c r="V572" s="55">
        <f t="shared" si="25"/>
        <v>0</v>
      </c>
      <c r="W572" s="56">
        <f t="shared" si="26"/>
        <v>980.66666666666663</v>
      </c>
    </row>
    <row r="573" spans="1:23" x14ac:dyDescent="0.3">
      <c r="A573" s="13" t="str" cm="1">
        <f t="array" ref="A573:B573">INDEX(BenchmarkResults!$B$1:$D$35,SUMPRODUCT((T573&gt;=BenchmarkResults!$F$3:$F$35)*(mongodb_hardware_log!T573&lt;BenchmarkResults!$G$3:$G$35)*ROW(BenchmarkResults!$F$3:$F$35)),{1,3})</f>
        <v>q2_avg_order_city</v>
      </c>
      <c r="B573">
        <v>1</v>
      </c>
      <c r="C573" s="13">
        <v>1</v>
      </c>
      <c r="D573" s="13">
        <v>0</v>
      </c>
      <c r="E573" s="13">
        <v>134656</v>
      </c>
      <c r="F573" s="13">
        <v>338212</v>
      </c>
      <c r="G573" s="13">
        <v>3376</v>
      </c>
      <c r="H573" s="13">
        <v>2069184</v>
      </c>
      <c r="I573" s="13">
        <v>0</v>
      </c>
      <c r="J573" s="13">
        <v>0</v>
      </c>
      <c r="K573" s="13">
        <v>1095</v>
      </c>
      <c r="L573" s="13">
        <v>10</v>
      </c>
      <c r="M573" s="13">
        <v>701</v>
      </c>
      <c r="N573" s="13">
        <v>199</v>
      </c>
      <c r="O573" s="13">
        <v>33</v>
      </c>
      <c r="P573" s="13">
        <v>1</v>
      </c>
      <c r="Q573" s="13">
        <v>65</v>
      </c>
      <c r="R573" s="13">
        <v>0</v>
      </c>
      <c r="S573" s="13">
        <v>0</v>
      </c>
      <c r="T573" s="23">
        <v>46247.550405092596</v>
      </c>
      <c r="U573" s="55">
        <f t="shared" si="24"/>
        <v>1.1666666666666667</v>
      </c>
      <c r="V573" s="55">
        <f t="shared" si="25"/>
        <v>0</v>
      </c>
      <c r="W573" s="56">
        <f t="shared" si="26"/>
        <v>1011.5</v>
      </c>
    </row>
    <row r="574" spans="1:23" x14ac:dyDescent="0.3">
      <c r="A574" s="13" t="str" cm="1">
        <f t="array" ref="A574:B574">INDEX(BenchmarkResults!$B$1:$D$35,SUMPRODUCT((T574&gt;=BenchmarkResults!$F$3:$F$35)*(mongodb_hardware_log!T574&lt;BenchmarkResults!$G$3:$G$35)*ROW(BenchmarkResults!$F$3:$F$35)),{1,3})</f>
        <v>q2_avg_order_city</v>
      </c>
      <c r="B574">
        <v>1</v>
      </c>
      <c r="C574" s="13">
        <v>1</v>
      </c>
      <c r="D574" s="13">
        <v>0</v>
      </c>
      <c r="E574" s="13">
        <v>134656</v>
      </c>
      <c r="F574" s="13">
        <v>333184</v>
      </c>
      <c r="G574" s="13">
        <v>3384</v>
      </c>
      <c r="H574" s="13">
        <v>2080128</v>
      </c>
      <c r="I574" s="13">
        <v>0</v>
      </c>
      <c r="J574" s="13">
        <v>0</v>
      </c>
      <c r="K574" s="13">
        <v>1086</v>
      </c>
      <c r="L574" s="13">
        <v>14</v>
      </c>
      <c r="M574" s="13">
        <v>719</v>
      </c>
      <c r="N574" s="13">
        <v>217</v>
      </c>
      <c r="O574" s="13">
        <v>34</v>
      </c>
      <c r="P574" s="13">
        <v>1</v>
      </c>
      <c r="Q574" s="13">
        <v>65</v>
      </c>
      <c r="R574" s="13">
        <v>0</v>
      </c>
      <c r="S574" s="13">
        <v>0</v>
      </c>
      <c r="T574" s="23">
        <v>46247.550520833334</v>
      </c>
      <c r="U574" s="55">
        <f t="shared" si="24"/>
        <v>1.1666666666666667</v>
      </c>
      <c r="V574" s="55">
        <f t="shared" si="25"/>
        <v>0</v>
      </c>
      <c r="W574" s="56">
        <f t="shared" si="26"/>
        <v>1036.8333333333333</v>
      </c>
    </row>
    <row r="575" spans="1:23" x14ac:dyDescent="0.3">
      <c r="A575" s="13" t="str" cm="1">
        <f t="array" ref="A575:B575">INDEX(BenchmarkResults!$B$1:$D$35,SUMPRODUCT((T575&gt;=BenchmarkResults!$F$3:$F$35)*(mongodb_hardware_log!T575&lt;BenchmarkResults!$G$3:$G$35)*ROW(BenchmarkResults!$F$3:$F$35)),{1,3})</f>
        <v>q2_avg_order_city</v>
      </c>
      <c r="B575">
        <v>1</v>
      </c>
      <c r="C575" s="13">
        <v>1</v>
      </c>
      <c r="D575" s="13">
        <v>0</v>
      </c>
      <c r="E575" s="13">
        <v>134656</v>
      </c>
      <c r="F575" s="13">
        <v>324332</v>
      </c>
      <c r="G575" s="13">
        <v>3400</v>
      </c>
      <c r="H575" s="13">
        <v>2090044</v>
      </c>
      <c r="I575" s="13">
        <v>0</v>
      </c>
      <c r="J575" s="13">
        <v>0</v>
      </c>
      <c r="K575" s="13">
        <v>994</v>
      </c>
      <c r="L575" s="13">
        <v>27</v>
      </c>
      <c r="M575" s="13">
        <v>724</v>
      </c>
      <c r="N575" s="13">
        <v>223</v>
      </c>
      <c r="O575" s="13">
        <v>33</v>
      </c>
      <c r="P575" s="13">
        <v>1</v>
      </c>
      <c r="Q575" s="13">
        <v>64</v>
      </c>
      <c r="R575" s="13">
        <v>1</v>
      </c>
      <c r="S575" s="13">
        <v>0</v>
      </c>
      <c r="T575" s="23">
        <v>46247.550636574073</v>
      </c>
      <c r="U575" s="55">
        <f t="shared" si="24"/>
        <v>1.1666666666666667</v>
      </c>
      <c r="V575" s="55">
        <f t="shared" si="25"/>
        <v>0</v>
      </c>
      <c r="W575" s="56">
        <f t="shared" si="26"/>
        <v>1033.1666666666667</v>
      </c>
    </row>
    <row r="576" spans="1:23" x14ac:dyDescent="0.3">
      <c r="A576" s="13" t="str" cm="1">
        <f t="array" ref="A576:B576">INDEX(BenchmarkResults!$B$1:$D$35,SUMPRODUCT((T576&gt;=BenchmarkResults!$F$3:$F$35)*(mongodb_hardware_log!T576&lt;BenchmarkResults!$G$3:$G$35)*ROW(BenchmarkResults!$F$3:$F$35)),{1,3})</f>
        <v>q2_avg_order_city</v>
      </c>
      <c r="B576">
        <v>1</v>
      </c>
      <c r="C576" s="13">
        <v>1</v>
      </c>
      <c r="D576" s="13">
        <v>0</v>
      </c>
      <c r="E576" s="13">
        <v>134656</v>
      </c>
      <c r="F576" s="13">
        <v>312740</v>
      </c>
      <c r="G576" s="13">
        <v>3424</v>
      </c>
      <c r="H576" s="13">
        <v>2099280</v>
      </c>
      <c r="I576" s="13">
        <v>0</v>
      </c>
      <c r="J576" s="13">
        <v>0</v>
      </c>
      <c r="K576" s="13">
        <v>923</v>
      </c>
      <c r="L576" s="13">
        <v>49</v>
      </c>
      <c r="M576" s="13">
        <v>726</v>
      </c>
      <c r="N576" s="13">
        <v>221</v>
      </c>
      <c r="O576" s="13">
        <v>33</v>
      </c>
      <c r="P576" s="13">
        <v>1</v>
      </c>
      <c r="Q576" s="13">
        <v>65</v>
      </c>
      <c r="R576" s="13">
        <v>1</v>
      </c>
      <c r="S576" s="13">
        <v>0</v>
      </c>
      <c r="T576" s="23">
        <v>46247.550752314812</v>
      </c>
      <c r="U576" s="55">
        <f t="shared" si="24"/>
        <v>1</v>
      </c>
      <c r="V576" s="55">
        <f t="shared" si="25"/>
        <v>0</v>
      </c>
      <c r="W576" s="56">
        <f t="shared" si="26"/>
        <v>1092.8333333333333</v>
      </c>
    </row>
    <row r="577" spans="1:23" x14ac:dyDescent="0.3">
      <c r="A577" s="13" t="str" cm="1">
        <f t="array" ref="A577:B577">INDEX(BenchmarkResults!$B$1:$D$35,SUMPRODUCT((T577&gt;=BenchmarkResults!$F$3:$F$35)*(mongodb_hardware_log!T577&lt;BenchmarkResults!$G$3:$G$35)*ROW(BenchmarkResults!$F$3:$F$35)),{1,3})</f>
        <v>q2_avg_order_city</v>
      </c>
      <c r="B577">
        <v>1</v>
      </c>
      <c r="C577" s="13">
        <v>3</v>
      </c>
      <c r="D577" s="13">
        <v>0</v>
      </c>
      <c r="E577" s="13">
        <v>134656</v>
      </c>
      <c r="F577" s="13">
        <v>135800</v>
      </c>
      <c r="G577" s="13">
        <v>3432</v>
      </c>
      <c r="H577" s="13">
        <v>1651396</v>
      </c>
      <c r="I577" s="13">
        <v>0</v>
      </c>
      <c r="J577" s="13">
        <v>0</v>
      </c>
      <c r="K577" s="13">
        <v>1030</v>
      </c>
      <c r="L577" s="13">
        <v>15</v>
      </c>
      <c r="M577" s="13">
        <v>921</v>
      </c>
      <c r="N577" s="13">
        <v>318</v>
      </c>
      <c r="O577" s="13">
        <v>37</v>
      </c>
      <c r="P577" s="13">
        <v>8</v>
      </c>
      <c r="Q577" s="13">
        <v>55</v>
      </c>
      <c r="R577" s="13">
        <v>0</v>
      </c>
      <c r="S577" s="13">
        <v>0</v>
      </c>
      <c r="T577" s="23">
        <v>46247.550868055558</v>
      </c>
      <c r="U577" s="55">
        <f t="shared" si="24"/>
        <v>1.3333333333333333</v>
      </c>
      <c r="V577" s="55">
        <f t="shared" si="25"/>
        <v>0</v>
      </c>
      <c r="W577" s="56">
        <f t="shared" si="26"/>
        <v>1079.6666666666667</v>
      </c>
    </row>
    <row r="578" spans="1:23" x14ac:dyDescent="0.3">
      <c r="A578" s="13" t="str" cm="1">
        <f t="array" ref="A578:B578">INDEX(BenchmarkResults!$B$1:$D$35,SUMPRODUCT((T578&gt;=BenchmarkResults!$F$3:$F$35)*(mongodb_hardware_log!T578&lt;BenchmarkResults!$G$3:$G$35)*ROW(BenchmarkResults!$F$3:$F$35)),{1,3})</f>
        <v>q2_avg_order_city</v>
      </c>
      <c r="B578">
        <v>1</v>
      </c>
      <c r="C578" s="13">
        <v>1</v>
      </c>
      <c r="D578" s="13">
        <v>0</v>
      </c>
      <c r="E578" s="13">
        <v>134656</v>
      </c>
      <c r="F578" s="13">
        <v>869552</v>
      </c>
      <c r="G578" s="13">
        <v>3440</v>
      </c>
      <c r="H578" s="13">
        <v>1518272</v>
      </c>
      <c r="I578" s="13">
        <v>0</v>
      </c>
      <c r="J578" s="13">
        <v>0</v>
      </c>
      <c r="K578" s="13">
        <v>1141</v>
      </c>
      <c r="L578" s="13">
        <v>12</v>
      </c>
      <c r="M578" s="13">
        <v>845</v>
      </c>
      <c r="N578" s="13">
        <v>392</v>
      </c>
      <c r="O578" s="13">
        <v>34</v>
      </c>
      <c r="P578" s="13">
        <v>3</v>
      </c>
      <c r="Q578" s="13">
        <v>63</v>
      </c>
      <c r="R578" s="13">
        <v>0</v>
      </c>
      <c r="S578" s="13">
        <v>0</v>
      </c>
      <c r="T578" s="23">
        <v>46247.550983796296</v>
      </c>
      <c r="U578" s="55">
        <f t="shared" si="24"/>
        <v>1.3333333333333333</v>
      </c>
      <c r="V578" s="55">
        <f t="shared" si="25"/>
        <v>0</v>
      </c>
      <c r="W578" s="56">
        <f t="shared" si="26"/>
        <v>1044.8333333333333</v>
      </c>
    </row>
    <row r="579" spans="1:23" x14ac:dyDescent="0.3">
      <c r="A579" s="13" t="str" cm="1">
        <f t="array" ref="A579:B579">INDEX(BenchmarkResults!$B$1:$D$35,SUMPRODUCT((T579&gt;=BenchmarkResults!$F$3:$F$35)*(mongodb_hardware_log!T579&lt;BenchmarkResults!$G$3:$G$35)*ROW(BenchmarkResults!$F$3:$F$35)),{1,3})</f>
        <v>q2_avg_order_city</v>
      </c>
      <c r="B579">
        <v>1</v>
      </c>
      <c r="C579" s="13">
        <v>1</v>
      </c>
      <c r="D579" s="13">
        <v>0</v>
      </c>
      <c r="E579" s="13">
        <v>134656</v>
      </c>
      <c r="F579" s="13">
        <v>861992</v>
      </c>
      <c r="G579" s="13">
        <v>3448</v>
      </c>
      <c r="H579" s="13">
        <v>1529636</v>
      </c>
      <c r="I579" s="13">
        <v>0</v>
      </c>
      <c r="J579" s="13">
        <v>0</v>
      </c>
      <c r="K579" s="13">
        <v>1133</v>
      </c>
      <c r="L579" s="13">
        <v>12</v>
      </c>
      <c r="M579" s="13">
        <v>706</v>
      </c>
      <c r="N579" s="13">
        <v>205</v>
      </c>
      <c r="O579" s="13">
        <v>33</v>
      </c>
      <c r="P579" s="13">
        <v>1</v>
      </c>
      <c r="Q579" s="13">
        <v>65</v>
      </c>
      <c r="R579" s="13">
        <v>0</v>
      </c>
      <c r="S579" s="13">
        <v>0</v>
      </c>
      <c r="T579" s="23">
        <v>46247.551099537035</v>
      </c>
      <c r="U579" s="55">
        <f t="shared" si="24"/>
        <v>1.3333333333333333</v>
      </c>
      <c r="V579" s="55">
        <f t="shared" si="25"/>
        <v>0</v>
      </c>
      <c r="W579" s="56">
        <f t="shared" si="26"/>
        <v>1051.1666666666667</v>
      </c>
    </row>
    <row r="580" spans="1:23" x14ac:dyDescent="0.3">
      <c r="A580" s="13" t="str" cm="1">
        <f t="array" ref="A580:B580">INDEX(BenchmarkResults!$B$1:$D$35,SUMPRODUCT((T580&gt;=BenchmarkResults!$F$3:$F$35)*(mongodb_hardware_log!T580&lt;BenchmarkResults!$G$3:$G$35)*ROW(BenchmarkResults!$F$3:$F$35)),{1,3})</f>
        <v>q2_avg_order_city</v>
      </c>
      <c r="B580">
        <v>1</v>
      </c>
      <c r="C580" s="13">
        <v>1</v>
      </c>
      <c r="D580" s="13">
        <v>0</v>
      </c>
      <c r="E580" s="13">
        <v>134656</v>
      </c>
      <c r="F580" s="13">
        <v>846872</v>
      </c>
      <c r="G580" s="13">
        <v>3456</v>
      </c>
      <c r="H580" s="13">
        <v>1538944</v>
      </c>
      <c r="I580" s="13">
        <v>0</v>
      </c>
      <c r="J580" s="13">
        <v>0</v>
      </c>
      <c r="K580" s="13">
        <v>931</v>
      </c>
      <c r="L580" s="13">
        <v>12</v>
      </c>
      <c r="M580" s="13">
        <v>709</v>
      </c>
      <c r="N580" s="13">
        <v>197</v>
      </c>
      <c r="O580" s="13">
        <v>33</v>
      </c>
      <c r="P580" s="13">
        <v>1</v>
      </c>
      <c r="Q580" s="13">
        <v>64</v>
      </c>
      <c r="R580" s="13">
        <v>0</v>
      </c>
      <c r="S580" s="13">
        <v>1</v>
      </c>
      <c r="T580" s="23">
        <v>46247.551215277781</v>
      </c>
      <c r="U580" s="55">
        <f t="shared" si="24"/>
        <v>1.3333333333333333</v>
      </c>
      <c r="V580" s="55">
        <f t="shared" si="25"/>
        <v>0</v>
      </c>
      <c r="W580" s="56">
        <f t="shared" si="26"/>
        <v>1025.3333333333333</v>
      </c>
    </row>
    <row r="581" spans="1:23" x14ac:dyDescent="0.3">
      <c r="A581" s="13" t="str" cm="1">
        <f t="array" ref="A581:B581">INDEX(BenchmarkResults!$B$1:$D$35,SUMPRODUCT((T581&gt;=BenchmarkResults!$F$3:$F$35)*(mongodb_hardware_log!T581&lt;BenchmarkResults!$G$3:$G$35)*ROW(BenchmarkResults!$F$3:$F$35)),{1,3})</f>
        <v>q2_avg_order_city</v>
      </c>
      <c r="B581">
        <v>1</v>
      </c>
      <c r="C581" s="13">
        <v>1</v>
      </c>
      <c r="D581" s="13">
        <v>0</v>
      </c>
      <c r="E581" s="13">
        <v>134656</v>
      </c>
      <c r="F581" s="13">
        <v>842336</v>
      </c>
      <c r="G581" s="13">
        <v>3464</v>
      </c>
      <c r="H581" s="13">
        <v>1545528</v>
      </c>
      <c r="I581" s="13">
        <v>0</v>
      </c>
      <c r="J581" s="13">
        <v>0</v>
      </c>
      <c r="K581" s="13">
        <v>658</v>
      </c>
      <c r="L581" s="13">
        <v>12</v>
      </c>
      <c r="M581" s="13">
        <v>720</v>
      </c>
      <c r="N581" s="13">
        <v>218</v>
      </c>
      <c r="O581" s="13">
        <v>33</v>
      </c>
      <c r="P581" s="13">
        <v>1</v>
      </c>
      <c r="Q581" s="13">
        <v>64</v>
      </c>
      <c r="R581" s="13">
        <v>0</v>
      </c>
      <c r="S581" s="13">
        <v>1</v>
      </c>
      <c r="T581" s="23">
        <v>46247.55133101852</v>
      </c>
      <c r="U581" s="55">
        <f t="shared" si="24"/>
        <v>1.3333333333333333</v>
      </c>
      <c r="V581" s="55">
        <f t="shared" si="25"/>
        <v>0</v>
      </c>
      <c r="W581" s="56">
        <f t="shared" si="26"/>
        <v>969.33333333333337</v>
      </c>
    </row>
    <row r="582" spans="1:23" x14ac:dyDescent="0.3">
      <c r="A582" s="13" t="str" cm="1">
        <f t="array" ref="A582:B582">INDEX(BenchmarkResults!$B$1:$D$35,SUMPRODUCT((T582&gt;=BenchmarkResults!$F$3:$F$35)*(mongodb_hardware_log!T582&lt;BenchmarkResults!$G$3:$G$35)*ROW(BenchmarkResults!$F$3:$F$35)),{1,3})</f>
        <v>q2_avg_order_city</v>
      </c>
      <c r="B582">
        <v>1</v>
      </c>
      <c r="C582" s="13">
        <v>1</v>
      </c>
      <c r="D582" s="13">
        <v>0</v>
      </c>
      <c r="E582" s="13">
        <v>134656</v>
      </c>
      <c r="F582" s="13">
        <v>835280</v>
      </c>
      <c r="G582" s="13">
        <v>3496</v>
      </c>
      <c r="H582" s="13">
        <v>1553936</v>
      </c>
      <c r="I582" s="13">
        <v>0</v>
      </c>
      <c r="J582" s="13">
        <v>0</v>
      </c>
      <c r="K582" s="13">
        <v>832</v>
      </c>
      <c r="L582" s="13">
        <v>39</v>
      </c>
      <c r="M582" s="13">
        <v>735</v>
      </c>
      <c r="N582" s="13">
        <v>223</v>
      </c>
      <c r="O582" s="13">
        <v>33</v>
      </c>
      <c r="P582" s="13">
        <v>1</v>
      </c>
      <c r="Q582" s="13">
        <v>65</v>
      </c>
      <c r="R582" s="13">
        <v>0</v>
      </c>
      <c r="S582" s="13">
        <v>1</v>
      </c>
      <c r="T582" s="23">
        <v>46247.551446759258</v>
      </c>
      <c r="U582" s="55">
        <f t="shared" si="24"/>
        <v>1.3333333333333333</v>
      </c>
      <c r="V582" s="55">
        <f t="shared" si="25"/>
        <v>0</v>
      </c>
      <c r="W582" s="56">
        <f t="shared" si="26"/>
        <v>954.16666666666663</v>
      </c>
    </row>
    <row r="583" spans="1:23" x14ac:dyDescent="0.3">
      <c r="A583" s="13" t="str" cm="1">
        <f t="array" ref="A583:B583">INDEX(BenchmarkResults!$B$1:$D$35,SUMPRODUCT((T583&gt;=BenchmarkResults!$F$3:$F$35)*(mongodb_hardware_log!T583&lt;BenchmarkResults!$G$3:$G$35)*ROW(BenchmarkResults!$F$3:$F$35)),{1,3})</f>
        <v>q2_avg_order_city</v>
      </c>
      <c r="B583">
        <v>1</v>
      </c>
      <c r="C583" s="13">
        <v>2</v>
      </c>
      <c r="D583" s="13">
        <v>0</v>
      </c>
      <c r="E583" s="13">
        <v>134656</v>
      </c>
      <c r="F583" s="13">
        <v>836880</v>
      </c>
      <c r="G583" s="13">
        <v>3520</v>
      </c>
      <c r="H583" s="13">
        <v>1569336</v>
      </c>
      <c r="I583" s="13">
        <v>0</v>
      </c>
      <c r="J583" s="13">
        <v>0</v>
      </c>
      <c r="K583" s="13">
        <v>1533</v>
      </c>
      <c r="L583" s="13">
        <v>5</v>
      </c>
      <c r="M583" s="13">
        <v>766</v>
      </c>
      <c r="N583" s="13">
        <v>266</v>
      </c>
      <c r="O583" s="13">
        <v>34</v>
      </c>
      <c r="P583" s="13">
        <v>1</v>
      </c>
      <c r="Q583" s="13">
        <v>64</v>
      </c>
      <c r="R583" s="13">
        <v>0</v>
      </c>
      <c r="S583" s="13">
        <v>0</v>
      </c>
      <c r="T583" s="23">
        <v>46247.551562499997</v>
      </c>
      <c r="U583" s="55">
        <f t="shared" si="24"/>
        <v>1.1666666666666667</v>
      </c>
      <c r="V583" s="55">
        <f t="shared" si="25"/>
        <v>0</v>
      </c>
      <c r="W583" s="56">
        <f t="shared" si="26"/>
        <v>1038</v>
      </c>
    </row>
    <row r="584" spans="1:23" x14ac:dyDescent="0.3">
      <c r="A584" s="13" t="str" cm="1">
        <f t="array" ref="A584:B584">INDEX(BenchmarkResults!$B$1:$D$35,SUMPRODUCT((T584&gt;=BenchmarkResults!$F$3:$F$35)*(mongodb_hardware_log!T584&lt;BenchmarkResults!$G$3:$G$35)*ROW(BenchmarkResults!$F$3:$F$35)),{1,3})</f>
        <v>q2_avg_order_city</v>
      </c>
      <c r="B584">
        <v>1</v>
      </c>
      <c r="C584" s="13">
        <v>1</v>
      </c>
      <c r="D584" s="13">
        <v>0</v>
      </c>
      <c r="E584" s="13">
        <v>134656</v>
      </c>
      <c r="F584" s="13">
        <v>824784</v>
      </c>
      <c r="G584" s="13">
        <v>3536</v>
      </c>
      <c r="H584" s="13">
        <v>1579508</v>
      </c>
      <c r="I584" s="13">
        <v>0</v>
      </c>
      <c r="J584" s="13">
        <v>0</v>
      </c>
      <c r="K584" s="13">
        <v>1026</v>
      </c>
      <c r="L584" s="13">
        <v>36</v>
      </c>
      <c r="M584" s="13">
        <v>759</v>
      </c>
      <c r="N584" s="13">
        <v>261</v>
      </c>
      <c r="O584" s="13">
        <v>33</v>
      </c>
      <c r="P584" s="13">
        <v>1</v>
      </c>
      <c r="Q584" s="13">
        <v>65</v>
      </c>
      <c r="R584" s="13">
        <v>1</v>
      </c>
      <c r="S584" s="13">
        <v>0</v>
      </c>
      <c r="T584" s="23">
        <v>46247.551678240743</v>
      </c>
      <c r="U584" s="55">
        <f t="shared" si="24"/>
        <v>1.1666666666666667</v>
      </c>
      <c r="V584" s="55">
        <f t="shared" si="25"/>
        <v>0</v>
      </c>
      <c r="W584" s="56">
        <f t="shared" si="26"/>
        <v>1018.8333333333334</v>
      </c>
    </row>
    <row r="585" spans="1:23" x14ac:dyDescent="0.3">
      <c r="A585" s="13" t="str" cm="1">
        <f t="array" ref="A585:B585">INDEX(BenchmarkResults!$B$1:$D$35,SUMPRODUCT((T585&gt;=BenchmarkResults!$F$3:$F$35)*(mongodb_hardware_log!T585&lt;BenchmarkResults!$G$3:$G$35)*ROW(BenchmarkResults!$F$3:$F$35)),{1,3})</f>
        <v>q2_avg_order_city</v>
      </c>
      <c r="B585">
        <v>1</v>
      </c>
      <c r="C585" s="13">
        <v>1</v>
      </c>
      <c r="D585" s="13">
        <v>0</v>
      </c>
      <c r="E585" s="13">
        <v>134656</v>
      </c>
      <c r="F585" s="13">
        <v>817476</v>
      </c>
      <c r="G585" s="13">
        <v>3596</v>
      </c>
      <c r="H585" s="13">
        <v>1589124</v>
      </c>
      <c r="I585" s="13">
        <v>2</v>
      </c>
      <c r="J585" s="13">
        <v>0</v>
      </c>
      <c r="K585" s="13">
        <v>969</v>
      </c>
      <c r="L585" s="13">
        <v>8</v>
      </c>
      <c r="M585" s="13">
        <v>727</v>
      </c>
      <c r="N585" s="13">
        <v>222</v>
      </c>
      <c r="O585" s="13">
        <v>33</v>
      </c>
      <c r="P585" s="13">
        <v>1</v>
      </c>
      <c r="Q585" s="13">
        <v>65</v>
      </c>
      <c r="R585" s="13">
        <v>0</v>
      </c>
      <c r="S585" s="13">
        <v>0</v>
      </c>
      <c r="T585" s="23">
        <v>46247.551793981482</v>
      </c>
      <c r="U585" s="55">
        <f t="shared" ref="U585:U648" si="27">AVERAGE(C580:C585)</f>
        <v>1.1666666666666667</v>
      </c>
      <c r="V585" s="55">
        <f t="shared" ref="V585:V648" si="28">AVERAGE(D580:D585)</f>
        <v>0</v>
      </c>
      <c r="W585" s="56">
        <f t="shared" ref="W585:W648" si="29">AVERAGE(K580:K585)</f>
        <v>991.5</v>
      </c>
    </row>
    <row r="586" spans="1:23" x14ac:dyDescent="0.3">
      <c r="A586" s="13" t="str" cm="1">
        <f t="array" ref="A586:B586">INDEX(BenchmarkResults!$B$1:$D$35,SUMPRODUCT((T586&gt;=BenchmarkResults!$F$3:$F$35)*(mongodb_hardware_log!T586&lt;BenchmarkResults!$G$3:$G$35)*ROW(BenchmarkResults!$F$3:$F$35)),{1,3})</f>
        <v>q2_avg_order_city</v>
      </c>
      <c r="B586">
        <v>1</v>
      </c>
      <c r="C586" s="13">
        <v>1</v>
      </c>
      <c r="D586" s="13">
        <v>0</v>
      </c>
      <c r="E586" s="13">
        <v>134656</v>
      </c>
      <c r="F586" s="13">
        <v>806416</v>
      </c>
      <c r="G586" s="13">
        <v>3604</v>
      </c>
      <c r="H586" s="13">
        <v>1599416</v>
      </c>
      <c r="I586" s="13">
        <v>0</v>
      </c>
      <c r="J586" s="13">
        <v>0</v>
      </c>
      <c r="K586" s="13">
        <v>1024</v>
      </c>
      <c r="L586" s="13">
        <v>24</v>
      </c>
      <c r="M586" s="13">
        <v>709</v>
      </c>
      <c r="N586" s="13">
        <v>203</v>
      </c>
      <c r="O586" s="13">
        <v>33</v>
      </c>
      <c r="P586" s="13">
        <v>1</v>
      </c>
      <c r="Q586" s="13">
        <v>65</v>
      </c>
      <c r="R586" s="13">
        <v>0</v>
      </c>
      <c r="S586" s="13">
        <v>0</v>
      </c>
      <c r="T586" s="23">
        <v>46247.55190972222</v>
      </c>
      <c r="U586" s="55">
        <f t="shared" si="27"/>
        <v>1.1666666666666667</v>
      </c>
      <c r="V586" s="55">
        <f t="shared" si="28"/>
        <v>0</v>
      </c>
      <c r="W586" s="56">
        <f t="shared" si="29"/>
        <v>1007</v>
      </c>
    </row>
    <row r="587" spans="1:23" x14ac:dyDescent="0.3">
      <c r="A587" s="13" t="str" cm="1">
        <f t="array" ref="A587:B587">INDEX(BenchmarkResults!$B$1:$D$35,SUMPRODUCT((T587&gt;=BenchmarkResults!$F$3:$F$35)*(mongodb_hardware_log!T587&lt;BenchmarkResults!$G$3:$G$35)*ROW(BenchmarkResults!$F$3:$F$35)),{1,3})</f>
        <v>q2_avg_order_city</v>
      </c>
      <c r="B587">
        <v>1</v>
      </c>
      <c r="C587" s="13">
        <v>1</v>
      </c>
      <c r="D587" s="13">
        <v>0</v>
      </c>
      <c r="E587" s="13">
        <v>134656</v>
      </c>
      <c r="F587" s="13">
        <v>796840</v>
      </c>
      <c r="G587" s="13">
        <v>3620</v>
      </c>
      <c r="H587" s="13">
        <v>1610224</v>
      </c>
      <c r="I587" s="13">
        <v>0</v>
      </c>
      <c r="J587" s="13">
        <v>0</v>
      </c>
      <c r="K587" s="13">
        <v>1076</v>
      </c>
      <c r="L587" s="13">
        <v>16</v>
      </c>
      <c r="M587" s="13">
        <v>735</v>
      </c>
      <c r="N587" s="13">
        <v>223</v>
      </c>
      <c r="O587" s="13">
        <v>33</v>
      </c>
      <c r="P587" s="13">
        <v>1</v>
      </c>
      <c r="Q587" s="13">
        <v>65</v>
      </c>
      <c r="R587" s="13">
        <v>1</v>
      </c>
      <c r="S587" s="13">
        <v>0</v>
      </c>
      <c r="T587" s="23">
        <v>46247.552025462966</v>
      </c>
      <c r="U587" s="55">
        <f t="shared" si="27"/>
        <v>1.1666666666666667</v>
      </c>
      <c r="V587" s="55">
        <f t="shared" si="28"/>
        <v>0</v>
      </c>
      <c r="W587" s="56">
        <f t="shared" si="29"/>
        <v>1076.6666666666667</v>
      </c>
    </row>
    <row r="588" spans="1:23" x14ac:dyDescent="0.3">
      <c r="A588" s="13" t="str" cm="1">
        <f t="array" ref="A588:B588">INDEX(BenchmarkResults!$B$1:$D$35,SUMPRODUCT((T588&gt;=BenchmarkResults!$F$3:$F$35)*(mongodb_hardware_log!T588&lt;BenchmarkResults!$G$3:$G$35)*ROW(BenchmarkResults!$F$3:$F$35)),{1,3})</f>
        <v>q2_avg_order_city</v>
      </c>
      <c r="B588">
        <v>1</v>
      </c>
      <c r="C588" s="13">
        <v>1</v>
      </c>
      <c r="D588" s="13">
        <v>0</v>
      </c>
      <c r="E588" s="13">
        <v>134656</v>
      </c>
      <c r="F588" s="13">
        <v>787012</v>
      </c>
      <c r="G588" s="13">
        <v>3652</v>
      </c>
      <c r="H588" s="13">
        <v>1620140</v>
      </c>
      <c r="I588" s="13">
        <v>0</v>
      </c>
      <c r="J588" s="13">
        <v>0</v>
      </c>
      <c r="K588" s="13">
        <v>997</v>
      </c>
      <c r="L588" s="13">
        <v>30</v>
      </c>
      <c r="M588" s="13">
        <v>731</v>
      </c>
      <c r="N588" s="13">
        <v>221</v>
      </c>
      <c r="O588" s="13">
        <v>33</v>
      </c>
      <c r="P588" s="13">
        <v>1</v>
      </c>
      <c r="Q588" s="13">
        <v>65</v>
      </c>
      <c r="R588" s="13">
        <v>0</v>
      </c>
      <c r="S588" s="13">
        <v>0</v>
      </c>
      <c r="T588" s="23">
        <v>46247.552141203705</v>
      </c>
      <c r="U588" s="55">
        <f t="shared" si="27"/>
        <v>1.1666666666666667</v>
      </c>
      <c r="V588" s="55">
        <f t="shared" si="28"/>
        <v>0</v>
      </c>
      <c r="W588" s="56">
        <f t="shared" si="29"/>
        <v>1104.1666666666667</v>
      </c>
    </row>
    <row r="589" spans="1:23" x14ac:dyDescent="0.3">
      <c r="A589" s="13" t="str" cm="1">
        <f t="array" ref="A589:B589">INDEX(BenchmarkResults!$B$1:$D$35,SUMPRODUCT((T589&gt;=BenchmarkResults!$F$3:$F$35)*(mongodb_hardware_log!T589&lt;BenchmarkResults!$G$3:$G$35)*ROW(BenchmarkResults!$F$3:$F$35)),{1,3})</f>
        <v>q2_avg_order_city</v>
      </c>
      <c r="B589">
        <v>1</v>
      </c>
      <c r="C589" s="13">
        <v>1</v>
      </c>
      <c r="D589" s="13">
        <v>0</v>
      </c>
      <c r="E589" s="13">
        <v>134656</v>
      </c>
      <c r="F589" s="13">
        <v>776428</v>
      </c>
      <c r="G589" s="13">
        <v>3660</v>
      </c>
      <c r="H589" s="13">
        <v>1630308</v>
      </c>
      <c r="I589" s="13">
        <v>0</v>
      </c>
      <c r="J589" s="13">
        <v>0</v>
      </c>
      <c r="K589" s="13">
        <v>1014</v>
      </c>
      <c r="L589" s="13">
        <v>6</v>
      </c>
      <c r="M589" s="13">
        <v>706</v>
      </c>
      <c r="N589" s="13">
        <v>201</v>
      </c>
      <c r="O589" s="13">
        <v>33</v>
      </c>
      <c r="P589" s="13">
        <v>1</v>
      </c>
      <c r="Q589" s="13">
        <v>65</v>
      </c>
      <c r="R589" s="13">
        <v>0</v>
      </c>
      <c r="S589" s="13">
        <v>1</v>
      </c>
      <c r="T589" s="23">
        <v>46247.552256944444</v>
      </c>
      <c r="U589" s="55">
        <f t="shared" si="27"/>
        <v>1</v>
      </c>
      <c r="V589" s="55">
        <f t="shared" si="28"/>
        <v>0</v>
      </c>
      <c r="W589" s="56">
        <f t="shared" si="29"/>
        <v>1017.6666666666666</v>
      </c>
    </row>
    <row r="590" spans="1:23" x14ac:dyDescent="0.3">
      <c r="A590" s="13" t="str" cm="1">
        <f t="array" ref="A590:B590">INDEX(BenchmarkResults!$B$1:$D$35,SUMPRODUCT((T590&gt;=BenchmarkResults!$F$3:$F$35)*(mongodb_hardware_log!T590&lt;BenchmarkResults!$G$3:$G$35)*ROW(BenchmarkResults!$F$3:$F$35)),{1,3})</f>
        <v>q2_avg_order_city</v>
      </c>
      <c r="B590">
        <v>1</v>
      </c>
      <c r="C590" s="13">
        <v>1</v>
      </c>
      <c r="D590" s="13">
        <v>0</v>
      </c>
      <c r="E590" s="13">
        <v>134656</v>
      </c>
      <c r="F590" s="13">
        <v>765340</v>
      </c>
      <c r="G590" s="13">
        <v>3668</v>
      </c>
      <c r="H590" s="13">
        <v>1640872</v>
      </c>
      <c r="I590" s="13">
        <v>0</v>
      </c>
      <c r="J590" s="13">
        <v>0</v>
      </c>
      <c r="K590" s="13">
        <v>1051</v>
      </c>
      <c r="L590" s="13">
        <v>12</v>
      </c>
      <c r="M590" s="13">
        <v>713</v>
      </c>
      <c r="N590" s="13">
        <v>215</v>
      </c>
      <c r="O590" s="13">
        <v>33</v>
      </c>
      <c r="P590" s="13">
        <v>1</v>
      </c>
      <c r="Q590" s="13">
        <v>65</v>
      </c>
      <c r="R590" s="13">
        <v>0</v>
      </c>
      <c r="S590" s="13">
        <v>0</v>
      </c>
      <c r="T590" s="23">
        <v>46247.552372685182</v>
      </c>
      <c r="U590" s="55">
        <f t="shared" si="27"/>
        <v>1</v>
      </c>
      <c r="V590" s="55">
        <f t="shared" si="28"/>
        <v>0</v>
      </c>
      <c r="W590" s="56">
        <f t="shared" si="29"/>
        <v>1021.8333333333334</v>
      </c>
    </row>
    <row r="591" spans="1:23" x14ac:dyDescent="0.3">
      <c r="A591" s="13" t="str" cm="1">
        <f t="array" ref="A591:B591">INDEX(BenchmarkResults!$B$1:$D$35,SUMPRODUCT((T591&gt;=BenchmarkResults!$F$3:$F$35)*(mongodb_hardware_log!T591&lt;BenchmarkResults!$G$3:$G$35)*ROW(BenchmarkResults!$F$3:$F$35)),{1,3})</f>
        <v>q2_avg_order_city</v>
      </c>
      <c r="B591">
        <v>1</v>
      </c>
      <c r="C591" s="13">
        <v>1</v>
      </c>
      <c r="D591" s="13">
        <v>0</v>
      </c>
      <c r="E591" s="13">
        <v>134656</v>
      </c>
      <c r="F591" s="13">
        <v>753748</v>
      </c>
      <c r="G591" s="13">
        <v>3676</v>
      </c>
      <c r="H591" s="13">
        <v>1651212</v>
      </c>
      <c r="I591" s="13">
        <v>0</v>
      </c>
      <c r="J591" s="13">
        <v>0</v>
      </c>
      <c r="K591" s="13">
        <v>1035</v>
      </c>
      <c r="L591" s="13">
        <v>9</v>
      </c>
      <c r="M591" s="13">
        <v>714</v>
      </c>
      <c r="N591" s="13">
        <v>207</v>
      </c>
      <c r="O591" s="13">
        <v>33</v>
      </c>
      <c r="P591" s="13">
        <v>1</v>
      </c>
      <c r="Q591" s="13">
        <v>65</v>
      </c>
      <c r="R591" s="13">
        <v>0</v>
      </c>
      <c r="S591" s="13">
        <v>0</v>
      </c>
      <c r="T591" s="23">
        <v>46247.552488425928</v>
      </c>
      <c r="U591" s="55">
        <f t="shared" si="27"/>
        <v>1</v>
      </c>
      <c r="V591" s="55">
        <f t="shared" si="28"/>
        <v>0</v>
      </c>
      <c r="W591" s="56">
        <f t="shared" si="29"/>
        <v>1032.8333333333333</v>
      </c>
    </row>
    <row r="592" spans="1:23" x14ac:dyDescent="0.3">
      <c r="A592" s="13" t="str" cm="1">
        <f t="array" ref="A592:B592">INDEX(BenchmarkResults!$B$1:$D$35,SUMPRODUCT((T592&gt;=BenchmarkResults!$F$3:$F$35)*(mongodb_hardware_log!T592&lt;BenchmarkResults!$G$3:$G$35)*ROW(BenchmarkResults!$F$3:$F$35)),{1,3})</f>
        <v>q2_avg_order_city</v>
      </c>
      <c r="B592">
        <v>1</v>
      </c>
      <c r="C592" s="13">
        <v>1</v>
      </c>
      <c r="D592" s="13">
        <v>0</v>
      </c>
      <c r="E592" s="13">
        <v>134656</v>
      </c>
      <c r="F592" s="13">
        <v>737872</v>
      </c>
      <c r="G592" s="13">
        <v>3684</v>
      </c>
      <c r="H592" s="13">
        <v>1662928</v>
      </c>
      <c r="I592" s="13">
        <v>0</v>
      </c>
      <c r="J592" s="13">
        <v>0</v>
      </c>
      <c r="K592" s="13">
        <v>1177</v>
      </c>
      <c r="L592" s="13">
        <v>9</v>
      </c>
      <c r="M592" s="13">
        <v>720</v>
      </c>
      <c r="N592" s="13">
        <v>207</v>
      </c>
      <c r="O592" s="13">
        <v>33</v>
      </c>
      <c r="P592" s="13">
        <v>1</v>
      </c>
      <c r="Q592" s="13">
        <v>64</v>
      </c>
      <c r="R592" s="13">
        <v>1</v>
      </c>
      <c r="S592" s="13">
        <v>1</v>
      </c>
      <c r="T592" s="23">
        <v>46247.552604166667</v>
      </c>
      <c r="U592" s="55">
        <f t="shared" si="27"/>
        <v>1</v>
      </c>
      <c r="V592" s="55">
        <f t="shared" si="28"/>
        <v>0</v>
      </c>
      <c r="W592" s="56">
        <f t="shared" si="29"/>
        <v>1058.3333333333333</v>
      </c>
    </row>
    <row r="593" spans="1:23" x14ac:dyDescent="0.3">
      <c r="A593" s="13" t="str" cm="1">
        <f t="array" ref="A593:B593">INDEX(BenchmarkResults!$B$1:$D$35,SUMPRODUCT((T593&gt;=BenchmarkResults!$F$3:$F$35)*(mongodb_hardware_log!T593&lt;BenchmarkResults!$G$3:$G$35)*ROW(BenchmarkResults!$F$3:$F$35)),{1,3})</f>
        <v>q2_avg_order_city</v>
      </c>
      <c r="B593">
        <v>1</v>
      </c>
      <c r="C593" s="13">
        <v>1</v>
      </c>
      <c r="D593" s="13">
        <v>0</v>
      </c>
      <c r="E593" s="13">
        <v>134656</v>
      </c>
      <c r="F593" s="13">
        <v>733588</v>
      </c>
      <c r="G593" s="13">
        <v>3692</v>
      </c>
      <c r="H593" s="13">
        <v>1675456</v>
      </c>
      <c r="I593" s="13">
        <v>2</v>
      </c>
      <c r="J593" s="13">
        <v>0</v>
      </c>
      <c r="K593" s="13">
        <v>1228</v>
      </c>
      <c r="L593" s="13">
        <v>10</v>
      </c>
      <c r="M593" s="13">
        <v>766</v>
      </c>
      <c r="N593" s="13">
        <v>265</v>
      </c>
      <c r="O593" s="13">
        <v>34</v>
      </c>
      <c r="P593" s="13">
        <v>3</v>
      </c>
      <c r="Q593" s="13">
        <v>62</v>
      </c>
      <c r="R593" s="13">
        <v>0</v>
      </c>
      <c r="S593" s="13">
        <v>1</v>
      </c>
      <c r="T593" s="23">
        <v>46247.552719907406</v>
      </c>
      <c r="U593" s="55">
        <f t="shared" si="27"/>
        <v>1</v>
      </c>
      <c r="V593" s="55">
        <f t="shared" si="28"/>
        <v>0</v>
      </c>
      <c r="W593" s="56">
        <f t="shared" si="29"/>
        <v>1083.6666666666667</v>
      </c>
    </row>
    <row r="594" spans="1:23" x14ac:dyDescent="0.3">
      <c r="A594" s="13" t="str" cm="1">
        <f t="array" ref="A594:B594">INDEX(BenchmarkResults!$B$1:$D$35,SUMPRODUCT((T594&gt;=BenchmarkResults!$F$3:$F$35)*(mongodb_hardware_log!T594&lt;BenchmarkResults!$G$3:$G$35)*ROW(BenchmarkResults!$F$3:$F$35)),{1,3})</f>
        <v>q2_avg_order_city</v>
      </c>
      <c r="B594">
        <v>1</v>
      </c>
      <c r="C594" s="13">
        <v>1</v>
      </c>
      <c r="D594" s="13">
        <v>0</v>
      </c>
      <c r="E594" s="13">
        <v>134656</v>
      </c>
      <c r="F594" s="13">
        <v>721492</v>
      </c>
      <c r="G594" s="13">
        <v>3724</v>
      </c>
      <c r="H594" s="13">
        <v>1685000</v>
      </c>
      <c r="I594" s="13">
        <v>0</v>
      </c>
      <c r="J594" s="13">
        <v>0</v>
      </c>
      <c r="K594" s="13">
        <v>956</v>
      </c>
      <c r="L594" s="13">
        <v>30</v>
      </c>
      <c r="M594" s="13">
        <v>726</v>
      </c>
      <c r="N594" s="13">
        <v>206</v>
      </c>
      <c r="O594" s="13">
        <v>33</v>
      </c>
      <c r="P594" s="13">
        <v>1</v>
      </c>
      <c r="Q594" s="13">
        <v>63</v>
      </c>
      <c r="R594" s="13">
        <v>1</v>
      </c>
      <c r="S594" s="13">
        <v>1</v>
      </c>
      <c r="T594" s="23">
        <v>46247.552835648145</v>
      </c>
      <c r="U594" s="55">
        <f t="shared" si="27"/>
        <v>1</v>
      </c>
      <c r="V594" s="55">
        <f t="shared" si="28"/>
        <v>0</v>
      </c>
      <c r="W594" s="56">
        <f t="shared" si="29"/>
        <v>1076.8333333333333</v>
      </c>
    </row>
    <row r="595" spans="1:23" x14ac:dyDescent="0.3">
      <c r="A595" s="13" t="str" cm="1">
        <f t="array" ref="A595:B595">INDEX(BenchmarkResults!$B$1:$D$35,SUMPRODUCT((T595&gt;=BenchmarkResults!$F$3:$F$35)*(mongodb_hardware_log!T595&lt;BenchmarkResults!$G$3:$G$35)*ROW(BenchmarkResults!$F$3:$F$35)),{1,3})</f>
        <v>q2_avg_order_city</v>
      </c>
      <c r="B595">
        <v>1</v>
      </c>
      <c r="C595" s="13">
        <v>1</v>
      </c>
      <c r="D595" s="13">
        <v>0</v>
      </c>
      <c r="E595" s="13">
        <v>134656</v>
      </c>
      <c r="F595" s="13">
        <v>712420</v>
      </c>
      <c r="G595" s="13">
        <v>3732</v>
      </c>
      <c r="H595" s="13">
        <v>1695952</v>
      </c>
      <c r="I595" s="13">
        <v>0</v>
      </c>
      <c r="J595" s="13">
        <v>0</v>
      </c>
      <c r="K595" s="13">
        <v>1095</v>
      </c>
      <c r="L595" s="13">
        <v>12</v>
      </c>
      <c r="M595" s="13">
        <v>702</v>
      </c>
      <c r="N595" s="13">
        <v>198</v>
      </c>
      <c r="O595" s="13">
        <v>33</v>
      </c>
      <c r="P595" s="13">
        <v>1</v>
      </c>
      <c r="Q595" s="13">
        <v>65</v>
      </c>
      <c r="R595" s="13">
        <v>0</v>
      </c>
      <c r="S595" s="13">
        <v>0</v>
      </c>
      <c r="T595" s="23">
        <v>46247.552951388891</v>
      </c>
      <c r="U595" s="55">
        <f t="shared" si="27"/>
        <v>1</v>
      </c>
      <c r="V595" s="55">
        <f t="shared" si="28"/>
        <v>0</v>
      </c>
      <c r="W595" s="56">
        <f t="shared" si="29"/>
        <v>1090.3333333333333</v>
      </c>
    </row>
    <row r="596" spans="1:23" x14ac:dyDescent="0.3">
      <c r="A596" s="13" t="str" cm="1">
        <f t="array" ref="A596:B596">INDEX(BenchmarkResults!$B$1:$D$35,SUMPRODUCT((T596&gt;=BenchmarkResults!$F$3:$F$35)*(mongodb_hardware_log!T596&lt;BenchmarkResults!$G$3:$G$35)*ROW(BenchmarkResults!$F$3:$F$35)),{1,3})</f>
        <v>q2_avg_order_city</v>
      </c>
      <c r="B596">
        <v>1</v>
      </c>
      <c r="C596" s="13">
        <v>1</v>
      </c>
      <c r="D596" s="13">
        <v>0</v>
      </c>
      <c r="E596" s="13">
        <v>134656</v>
      </c>
      <c r="F596" s="13">
        <v>700524</v>
      </c>
      <c r="G596" s="13">
        <v>3740</v>
      </c>
      <c r="H596" s="13">
        <v>1706016</v>
      </c>
      <c r="I596" s="13">
        <v>0</v>
      </c>
      <c r="J596" s="13">
        <v>0</v>
      </c>
      <c r="K596" s="13">
        <v>1016</v>
      </c>
      <c r="L596" s="13">
        <v>37</v>
      </c>
      <c r="M596" s="13">
        <v>749</v>
      </c>
      <c r="N596" s="13">
        <v>250</v>
      </c>
      <c r="O596" s="13">
        <v>34</v>
      </c>
      <c r="P596" s="13">
        <v>1</v>
      </c>
      <c r="Q596" s="13">
        <v>63</v>
      </c>
      <c r="R596" s="13">
        <v>0</v>
      </c>
      <c r="S596" s="13">
        <v>1</v>
      </c>
      <c r="T596" s="23">
        <v>46247.553067129629</v>
      </c>
      <c r="U596" s="55">
        <f t="shared" si="27"/>
        <v>1</v>
      </c>
      <c r="V596" s="55">
        <f t="shared" si="28"/>
        <v>0</v>
      </c>
      <c r="W596" s="56">
        <f t="shared" si="29"/>
        <v>1084.5</v>
      </c>
    </row>
    <row r="597" spans="1:23" x14ac:dyDescent="0.3">
      <c r="A597" s="13" t="str" cm="1">
        <f t="array" ref="A597:B597">INDEX(BenchmarkResults!$B$1:$D$35,SUMPRODUCT((T597&gt;=BenchmarkResults!$F$3:$F$35)*(mongodb_hardware_log!T597&lt;BenchmarkResults!$G$3:$G$35)*ROW(BenchmarkResults!$F$3:$F$35)),{1,3})</f>
        <v>q2_avg_order_city</v>
      </c>
      <c r="B597">
        <v>1</v>
      </c>
      <c r="C597" s="13">
        <v>1</v>
      </c>
      <c r="D597" s="13">
        <v>0</v>
      </c>
      <c r="E597" s="13">
        <v>134656</v>
      </c>
      <c r="F597" s="13">
        <v>692460</v>
      </c>
      <c r="G597" s="13">
        <v>3748</v>
      </c>
      <c r="H597" s="13">
        <v>1716632</v>
      </c>
      <c r="I597" s="13">
        <v>0</v>
      </c>
      <c r="J597" s="13">
        <v>0</v>
      </c>
      <c r="K597" s="13">
        <v>1052</v>
      </c>
      <c r="L597" s="13">
        <v>11</v>
      </c>
      <c r="M597" s="13">
        <v>707</v>
      </c>
      <c r="N597" s="13">
        <v>198</v>
      </c>
      <c r="O597" s="13">
        <v>33</v>
      </c>
      <c r="P597" s="13">
        <v>1</v>
      </c>
      <c r="Q597" s="13">
        <v>64</v>
      </c>
      <c r="R597" s="13">
        <v>1</v>
      </c>
      <c r="S597" s="13">
        <v>1</v>
      </c>
      <c r="T597" s="23">
        <v>46247.553182870368</v>
      </c>
      <c r="U597" s="55">
        <f t="shared" si="27"/>
        <v>1</v>
      </c>
      <c r="V597" s="55">
        <f t="shared" si="28"/>
        <v>0</v>
      </c>
      <c r="W597" s="56">
        <f t="shared" si="29"/>
        <v>1087.3333333333333</v>
      </c>
    </row>
    <row r="598" spans="1:23" x14ac:dyDescent="0.3">
      <c r="A598" s="13" t="str" cm="1">
        <f t="array" ref="A598:B598">INDEX(BenchmarkResults!$B$1:$D$35,SUMPRODUCT((T598&gt;=BenchmarkResults!$F$3:$F$35)*(mongodb_hardware_log!T598&lt;BenchmarkResults!$G$3:$G$35)*ROW(BenchmarkResults!$F$3:$F$35)),{1,3})</f>
        <v>q2_avg_order_city</v>
      </c>
      <c r="B598">
        <v>1</v>
      </c>
      <c r="C598" s="13">
        <v>1</v>
      </c>
      <c r="D598" s="13">
        <v>0</v>
      </c>
      <c r="E598" s="13">
        <v>134656</v>
      </c>
      <c r="F598" s="13">
        <v>675828</v>
      </c>
      <c r="G598" s="13">
        <v>3756</v>
      </c>
      <c r="H598" s="13">
        <v>1730136</v>
      </c>
      <c r="I598" s="13">
        <v>0</v>
      </c>
      <c r="J598" s="13">
        <v>0</v>
      </c>
      <c r="K598" s="13">
        <v>1350</v>
      </c>
      <c r="L598" s="13">
        <v>18</v>
      </c>
      <c r="M598" s="13">
        <v>729</v>
      </c>
      <c r="N598" s="13">
        <v>224</v>
      </c>
      <c r="O598" s="13">
        <v>33</v>
      </c>
      <c r="P598" s="13">
        <v>1</v>
      </c>
      <c r="Q598" s="13">
        <v>65</v>
      </c>
      <c r="R598" s="13">
        <v>0</v>
      </c>
      <c r="S598" s="13">
        <v>0</v>
      </c>
      <c r="T598" s="23">
        <v>46247.553298611114</v>
      </c>
      <c r="U598" s="55">
        <f t="shared" si="27"/>
        <v>1</v>
      </c>
      <c r="V598" s="55">
        <f t="shared" si="28"/>
        <v>0</v>
      </c>
      <c r="W598" s="56">
        <f t="shared" si="29"/>
        <v>1116.1666666666667</v>
      </c>
    </row>
    <row r="599" spans="1:23" x14ac:dyDescent="0.3">
      <c r="A599" s="13" t="str" cm="1">
        <f t="array" ref="A599:B599">INDEX(BenchmarkResults!$B$1:$D$35,SUMPRODUCT((T599&gt;=BenchmarkResults!$F$3:$F$35)*(mongodb_hardware_log!T599&lt;BenchmarkResults!$G$3:$G$35)*ROW(BenchmarkResults!$F$3:$F$35)),{1,3})</f>
        <v>q2_avg_order_city</v>
      </c>
      <c r="B599">
        <v>1</v>
      </c>
      <c r="C599" s="13">
        <v>1</v>
      </c>
      <c r="D599" s="13">
        <v>0</v>
      </c>
      <c r="E599" s="13">
        <v>134656</v>
      </c>
      <c r="F599" s="13">
        <v>665316</v>
      </c>
      <c r="G599" s="13">
        <v>3764</v>
      </c>
      <c r="H599" s="13">
        <v>1740792</v>
      </c>
      <c r="I599" s="13">
        <v>0</v>
      </c>
      <c r="J599" s="13">
        <v>0</v>
      </c>
      <c r="K599" s="13">
        <v>1067</v>
      </c>
      <c r="L599" s="13">
        <v>10</v>
      </c>
      <c r="M599" s="13">
        <v>713</v>
      </c>
      <c r="N599" s="13">
        <v>213</v>
      </c>
      <c r="O599" s="13">
        <v>34</v>
      </c>
      <c r="P599" s="13">
        <v>1</v>
      </c>
      <c r="Q599" s="13">
        <v>65</v>
      </c>
      <c r="R599" s="13">
        <v>0</v>
      </c>
      <c r="S599" s="13">
        <v>0</v>
      </c>
      <c r="T599" s="23">
        <v>46247.553414351853</v>
      </c>
      <c r="U599" s="55">
        <f t="shared" si="27"/>
        <v>1</v>
      </c>
      <c r="V599" s="55">
        <f t="shared" si="28"/>
        <v>0</v>
      </c>
      <c r="W599" s="56">
        <f t="shared" si="29"/>
        <v>1089.3333333333333</v>
      </c>
    </row>
    <row r="600" spans="1:23" x14ac:dyDescent="0.3">
      <c r="A600" s="13" t="str" cm="1">
        <f t="array" ref="A600:B600">INDEX(BenchmarkResults!$B$1:$D$35,SUMPRODUCT((T600&gt;=BenchmarkResults!$F$3:$F$35)*(mongodb_hardware_log!T600&lt;BenchmarkResults!$G$3:$G$35)*ROW(BenchmarkResults!$F$3:$F$35)),{1,3})</f>
        <v>q2_avg_order_city</v>
      </c>
      <c r="B600">
        <v>1</v>
      </c>
      <c r="C600" s="13">
        <v>1</v>
      </c>
      <c r="D600" s="13">
        <v>0</v>
      </c>
      <c r="E600" s="13">
        <v>134656</v>
      </c>
      <c r="F600" s="13">
        <v>656248</v>
      </c>
      <c r="G600" s="13">
        <v>3928</v>
      </c>
      <c r="H600" s="13">
        <v>1750708</v>
      </c>
      <c r="I600" s="13">
        <v>10</v>
      </c>
      <c r="J600" s="13">
        <v>0</v>
      </c>
      <c r="K600" s="13">
        <v>1015</v>
      </c>
      <c r="L600" s="13">
        <v>30</v>
      </c>
      <c r="M600" s="13">
        <v>746</v>
      </c>
      <c r="N600" s="13">
        <v>241</v>
      </c>
      <c r="O600" s="13">
        <v>33</v>
      </c>
      <c r="P600" s="13">
        <v>1</v>
      </c>
      <c r="Q600" s="13">
        <v>65</v>
      </c>
      <c r="R600" s="13">
        <v>1</v>
      </c>
      <c r="S600" s="13">
        <v>0</v>
      </c>
      <c r="T600" s="23">
        <v>46247.553530092591</v>
      </c>
      <c r="U600" s="55">
        <f t="shared" si="27"/>
        <v>1</v>
      </c>
      <c r="V600" s="55">
        <f t="shared" si="28"/>
        <v>0</v>
      </c>
      <c r="W600" s="56">
        <f t="shared" si="29"/>
        <v>1099.1666666666667</v>
      </c>
    </row>
    <row r="601" spans="1:23" x14ac:dyDescent="0.3">
      <c r="A601" s="13" t="str" cm="1">
        <f t="array" ref="A601:B601">INDEX(BenchmarkResults!$B$1:$D$35,SUMPRODUCT((T601&gt;=BenchmarkResults!$F$3:$F$35)*(mongodb_hardware_log!T601&lt;BenchmarkResults!$G$3:$G$35)*ROW(BenchmarkResults!$F$3:$F$35)),{1,3})</f>
        <v>q2_avg_order_city</v>
      </c>
      <c r="B601">
        <v>1</v>
      </c>
      <c r="C601" s="13">
        <v>1</v>
      </c>
      <c r="D601" s="13">
        <v>0</v>
      </c>
      <c r="E601" s="13">
        <v>134656</v>
      </c>
      <c r="F601" s="13">
        <v>640624</v>
      </c>
      <c r="G601" s="13">
        <v>3936</v>
      </c>
      <c r="H601" s="13">
        <v>1761972</v>
      </c>
      <c r="I601" s="13">
        <v>0</v>
      </c>
      <c r="J601" s="13">
        <v>0</v>
      </c>
      <c r="K601" s="13">
        <v>1118</v>
      </c>
      <c r="L601" s="13">
        <v>42</v>
      </c>
      <c r="M601" s="13">
        <v>718</v>
      </c>
      <c r="N601" s="13">
        <v>217</v>
      </c>
      <c r="O601" s="13">
        <v>33</v>
      </c>
      <c r="P601" s="13">
        <v>1</v>
      </c>
      <c r="Q601" s="13">
        <v>65</v>
      </c>
      <c r="R601" s="13">
        <v>1</v>
      </c>
      <c r="S601" s="13">
        <v>0</v>
      </c>
      <c r="T601" s="23">
        <v>46247.55364583333</v>
      </c>
      <c r="U601" s="55">
        <f t="shared" si="27"/>
        <v>1</v>
      </c>
      <c r="V601" s="55">
        <f t="shared" si="28"/>
        <v>0</v>
      </c>
      <c r="W601" s="56">
        <f t="shared" si="29"/>
        <v>1103</v>
      </c>
    </row>
    <row r="602" spans="1:23" x14ac:dyDescent="0.3">
      <c r="A602" s="13" t="str" cm="1">
        <f t="array" ref="A602:B602">INDEX(BenchmarkResults!$B$1:$D$35,SUMPRODUCT((T602&gt;=BenchmarkResults!$F$3:$F$35)*(mongodb_hardware_log!T602&lt;BenchmarkResults!$G$3:$G$35)*ROW(BenchmarkResults!$F$3:$F$35)),{1,3})</f>
        <v>q2_avg_order_city</v>
      </c>
      <c r="B602">
        <v>1</v>
      </c>
      <c r="C602" s="13">
        <v>1</v>
      </c>
      <c r="D602" s="13">
        <v>0</v>
      </c>
      <c r="E602" s="13">
        <v>134656</v>
      </c>
      <c r="F602" s="13">
        <v>636844</v>
      </c>
      <c r="G602" s="13">
        <v>3944</v>
      </c>
      <c r="H602" s="13">
        <v>1770840</v>
      </c>
      <c r="I602" s="13">
        <v>0</v>
      </c>
      <c r="J602" s="13">
        <v>0</v>
      </c>
      <c r="K602" s="13">
        <v>892</v>
      </c>
      <c r="L602" s="13">
        <v>17</v>
      </c>
      <c r="M602" s="13">
        <v>696</v>
      </c>
      <c r="N602" s="13">
        <v>198</v>
      </c>
      <c r="O602" s="13">
        <v>33</v>
      </c>
      <c r="P602" s="13">
        <v>1</v>
      </c>
      <c r="Q602" s="13">
        <v>65</v>
      </c>
      <c r="R602" s="13">
        <v>0</v>
      </c>
      <c r="S602" s="13">
        <v>0</v>
      </c>
      <c r="T602" s="23">
        <v>46247.553761574076</v>
      </c>
      <c r="U602" s="55">
        <f t="shared" si="27"/>
        <v>1</v>
      </c>
      <c r="V602" s="55">
        <f t="shared" si="28"/>
        <v>0</v>
      </c>
      <c r="W602" s="56">
        <f t="shared" si="29"/>
        <v>1082.3333333333333</v>
      </c>
    </row>
    <row r="603" spans="1:23" x14ac:dyDescent="0.3">
      <c r="A603" s="13" t="str" cm="1">
        <f t="array" ref="A603:B603">INDEX(BenchmarkResults!$B$1:$D$35,SUMPRODUCT((T603&gt;=BenchmarkResults!$F$3:$F$35)*(mongodb_hardware_log!T603&lt;BenchmarkResults!$G$3:$G$35)*ROW(BenchmarkResults!$F$3:$F$35)),{1,3})</f>
        <v>q2_avg_order_city</v>
      </c>
      <c r="B603">
        <v>1</v>
      </c>
      <c r="C603" s="13">
        <v>1</v>
      </c>
      <c r="D603" s="13">
        <v>0</v>
      </c>
      <c r="E603" s="13">
        <v>134656</v>
      </c>
      <c r="F603" s="13">
        <v>624748</v>
      </c>
      <c r="G603" s="13">
        <v>3952</v>
      </c>
      <c r="H603" s="13">
        <v>1782860</v>
      </c>
      <c r="I603" s="13">
        <v>0</v>
      </c>
      <c r="J603" s="13">
        <v>0</v>
      </c>
      <c r="K603" s="13">
        <v>1202</v>
      </c>
      <c r="L603" s="13">
        <v>11</v>
      </c>
      <c r="M603" s="13">
        <v>701</v>
      </c>
      <c r="N603" s="13">
        <v>202</v>
      </c>
      <c r="O603" s="13">
        <v>34</v>
      </c>
      <c r="P603" s="13">
        <v>1</v>
      </c>
      <c r="Q603" s="13">
        <v>65</v>
      </c>
      <c r="R603" s="13">
        <v>0</v>
      </c>
      <c r="S603" s="13">
        <v>0</v>
      </c>
      <c r="T603" s="23">
        <v>46247.553877314815</v>
      </c>
      <c r="U603" s="55">
        <f t="shared" si="27"/>
        <v>1</v>
      </c>
      <c r="V603" s="55">
        <f t="shared" si="28"/>
        <v>0</v>
      </c>
      <c r="W603" s="56">
        <f t="shared" si="29"/>
        <v>1107.3333333333333</v>
      </c>
    </row>
    <row r="604" spans="1:23" x14ac:dyDescent="0.3">
      <c r="A604" s="13" t="str" cm="1">
        <f t="array" ref="A604:B604">INDEX(BenchmarkResults!$B$1:$D$35,SUMPRODUCT((T604&gt;=BenchmarkResults!$F$3:$F$35)*(mongodb_hardware_log!T604&lt;BenchmarkResults!$G$3:$G$35)*ROW(BenchmarkResults!$F$3:$F$35)),{1,3})</f>
        <v>q2_avg_order_city</v>
      </c>
      <c r="B604">
        <v>1</v>
      </c>
      <c r="C604" s="13">
        <v>2</v>
      </c>
      <c r="D604" s="13">
        <v>0</v>
      </c>
      <c r="E604" s="13">
        <v>134656</v>
      </c>
      <c r="F604" s="13">
        <v>611140</v>
      </c>
      <c r="G604" s="13">
        <v>3960</v>
      </c>
      <c r="H604" s="13">
        <v>1795288</v>
      </c>
      <c r="I604" s="13">
        <v>0</v>
      </c>
      <c r="J604" s="13">
        <v>0</v>
      </c>
      <c r="K604" s="13">
        <v>1240</v>
      </c>
      <c r="L604" s="13">
        <v>12</v>
      </c>
      <c r="M604" s="13">
        <v>714</v>
      </c>
      <c r="N604" s="13">
        <v>217</v>
      </c>
      <c r="O604" s="13">
        <v>33</v>
      </c>
      <c r="P604" s="13">
        <v>1</v>
      </c>
      <c r="Q604" s="13">
        <v>65</v>
      </c>
      <c r="R604" s="13">
        <v>0</v>
      </c>
      <c r="S604" s="13">
        <v>0</v>
      </c>
      <c r="T604" s="23">
        <v>46247.553993055553</v>
      </c>
      <c r="U604" s="55">
        <f t="shared" si="27"/>
        <v>1.1666666666666667</v>
      </c>
      <c r="V604" s="55">
        <f t="shared" si="28"/>
        <v>0</v>
      </c>
      <c r="W604" s="56">
        <f t="shared" si="29"/>
        <v>1089</v>
      </c>
    </row>
    <row r="605" spans="1:23" x14ac:dyDescent="0.3">
      <c r="A605" s="13" t="str" cm="1">
        <f t="array" ref="A605:B605">INDEX(BenchmarkResults!$B$1:$D$35,SUMPRODUCT((T605&gt;=BenchmarkResults!$F$3:$F$35)*(mongodb_hardware_log!T605&lt;BenchmarkResults!$G$3:$G$35)*ROW(BenchmarkResults!$F$3:$F$35)),{1,3})</f>
        <v>q2_avg_order_city</v>
      </c>
      <c r="B605">
        <v>1</v>
      </c>
      <c r="C605" s="13">
        <v>1</v>
      </c>
      <c r="D605" s="13">
        <v>0</v>
      </c>
      <c r="E605" s="13">
        <v>134656</v>
      </c>
      <c r="F605" s="13">
        <v>596272</v>
      </c>
      <c r="G605" s="13">
        <v>3968</v>
      </c>
      <c r="H605" s="13">
        <v>1809820</v>
      </c>
      <c r="I605" s="13">
        <v>0</v>
      </c>
      <c r="J605" s="13">
        <v>0</v>
      </c>
      <c r="K605" s="13">
        <v>1450</v>
      </c>
      <c r="L605" s="13">
        <v>11</v>
      </c>
      <c r="M605" s="13">
        <v>719</v>
      </c>
      <c r="N605" s="13">
        <v>217</v>
      </c>
      <c r="O605" s="13">
        <v>33</v>
      </c>
      <c r="P605" s="13">
        <v>1</v>
      </c>
      <c r="Q605" s="13">
        <v>65</v>
      </c>
      <c r="R605" s="13">
        <v>1</v>
      </c>
      <c r="S605" s="13">
        <v>0</v>
      </c>
      <c r="T605" s="23">
        <v>46247.554108796299</v>
      </c>
      <c r="U605" s="55">
        <f t="shared" si="27"/>
        <v>1.1666666666666667</v>
      </c>
      <c r="V605" s="55">
        <f t="shared" si="28"/>
        <v>0</v>
      </c>
      <c r="W605" s="56">
        <f t="shared" si="29"/>
        <v>1152.8333333333333</v>
      </c>
    </row>
    <row r="606" spans="1:23" x14ac:dyDescent="0.3">
      <c r="A606" s="13" t="str" cm="1">
        <f t="array" ref="A606:B606">INDEX(BenchmarkResults!$B$1:$D$35,SUMPRODUCT((T606&gt;=BenchmarkResults!$F$3:$F$35)*(mongodb_hardware_log!T606&lt;BenchmarkResults!$G$3:$G$35)*ROW(BenchmarkResults!$F$3:$F$35)),{1,3})</f>
        <v>q2_avg_order_city</v>
      </c>
      <c r="B606">
        <v>1</v>
      </c>
      <c r="C606" s="13">
        <v>1</v>
      </c>
      <c r="D606" s="13">
        <v>0</v>
      </c>
      <c r="E606" s="13">
        <v>134656</v>
      </c>
      <c r="F606" s="13">
        <v>588728</v>
      </c>
      <c r="G606" s="13">
        <v>3992</v>
      </c>
      <c r="H606" s="13">
        <v>1819468</v>
      </c>
      <c r="I606" s="13">
        <v>0</v>
      </c>
      <c r="J606" s="13">
        <v>0</v>
      </c>
      <c r="K606" s="13">
        <v>974</v>
      </c>
      <c r="L606" s="13">
        <v>30</v>
      </c>
      <c r="M606" s="13">
        <v>734</v>
      </c>
      <c r="N606" s="13">
        <v>226</v>
      </c>
      <c r="O606" s="13">
        <v>35</v>
      </c>
      <c r="P606" s="13">
        <v>1</v>
      </c>
      <c r="Q606" s="13">
        <v>64</v>
      </c>
      <c r="R606" s="13">
        <v>0</v>
      </c>
      <c r="S606" s="13">
        <v>0</v>
      </c>
      <c r="T606" s="23">
        <v>46247.554224537038</v>
      </c>
      <c r="U606" s="55">
        <f t="shared" si="27"/>
        <v>1.1666666666666667</v>
      </c>
      <c r="V606" s="55">
        <f t="shared" si="28"/>
        <v>0</v>
      </c>
      <c r="W606" s="56">
        <f t="shared" si="29"/>
        <v>1146</v>
      </c>
    </row>
    <row r="607" spans="1:23" x14ac:dyDescent="0.3">
      <c r="A607" s="13" t="str" cm="1">
        <f t="array" ref="A607:B607">INDEX(BenchmarkResults!$B$1:$D$35,SUMPRODUCT((T607&gt;=BenchmarkResults!$F$3:$F$35)*(mongodb_hardware_log!T607&lt;BenchmarkResults!$G$3:$G$35)*ROW(BenchmarkResults!$F$3:$F$35)),{1,3})</f>
        <v>q2_avg_order_city</v>
      </c>
      <c r="B607">
        <v>1</v>
      </c>
      <c r="C607" s="13">
        <v>1</v>
      </c>
      <c r="D607" s="13">
        <v>0</v>
      </c>
      <c r="E607" s="13">
        <v>134656</v>
      </c>
      <c r="F607" s="13">
        <v>572852</v>
      </c>
      <c r="G607" s="13">
        <v>4000</v>
      </c>
      <c r="H607" s="13">
        <v>1831108</v>
      </c>
      <c r="I607" s="13">
        <v>0</v>
      </c>
      <c r="J607" s="13">
        <v>0</v>
      </c>
      <c r="K607" s="13">
        <v>1155</v>
      </c>
      <c r="L607" s="13">
        <v>28</v>
      </c>
      <c r="M607" s="13">
        <v>706</v>
      </c>
      <c r="N607" s="13">
        <v>204</v>
      </c>
      <c r="O607" s="13">
        <v>33</v>
      </c>
      <c r="P607" s="13">
        <v>1</v>
      </c>
      <c r="Q607" s="13">
        <v>65</v>
      </c>
      <c r="R607" s="13">
        <v>0</v>
      </c>
      <c r="S607" s="13">
        <v>0</v>
      </c>
      <c r="T607" s="23">
        <v>46247.554340277777</v>
      </c>
      <c r="U607" s="55">
        <f t="shared" si="27"/>
        <v>1.1666666666666667</v>
      </c>
      <c r="V607" s="55">
        <f t="shared" si="28"/>
        <v>0</v>
      </c>
      <c r="W607" s="56">
        <f t="shared" si="29"/>
        <v>1152.1666666666667</v>
      </c>
    </row>
    <row r="608" spans="1:23" x14ac:dyDescent="0.3">
      <c r="A608" s="13" t="str" cm="1">
        <f t="array" ref="A608:B608">INDEX(BenchmarkResults!$B$1:$D$35,SUMPRODUCT((T608&gt;=BenchmarkResults!$F$3:$F$35)*(mongodb_hardware_log!T608&lt;BenchmarkResults!$G$3:$G$35)*ROW(BenchmarkResults!$F$3:$F$35)),{1,3})</f>
        <v>q2_avg_order_city</v>
      </c>
      <c r="B608">
        <v>1</v>
      </c>
      <c r="C608" s="13">
        <v>2</v>
      </c>
      <c r="D608" s="13">
        <v>0</v>
      </c>
      <c r="E608" s="13">
        <v>134656</v>
      </c>
      <c r="F608" s="13">
        <v>564788</v>
      </c>
      <c r="G608" s="13">
        <v>4008</v>
      </c>
      <c r="H608" s="13">
        <v>1842384</v>
      </c>
      <c r="I608" s="13">
        <v>0</v>
      </c>
      <c r="J608" s="13">
        <v>0</v>
      </c>
      <c r="K608" s="13">
        <v>1130</v>
      </c>
      <c r="L608" s="13">
        <v>17</v>
      </c>
      <c r="M608" s="13">
        <v>705</v>
      </c>
      <c r="N608" s="13">
        <v>206</v>
      </c>
      <c r="O608" s="13">
        <v>33</v>
      </c>
      <c r="P608" s="13">
        <v>1</v>
      </c>
      <c r="Q608" s="13">
        <v>65</v>
      </c>
      <c r="R608" s="13">
        <v>0</v>
      </c>
      <c r="S608" s="13">
        <v>0</v>
      </c>
      <c r="T608" s="23">
        <v>46247.554456018515</v>
      </c>
      <c r="U608" s="55">
        <f t="shared" si="27"/>
        <v>1.3333333333333333</v>
      </c>
      <c r="V608" s="55">
        <f t="shared" si="28"/>
        <v>0</v>
      </c>
      <c r="W608" s="56">
        <f t="shared" si="29"/>
        <v>1191.8333333333333</v>
      </c>
    </row>
    <row r="609" spans="1:23" x14ac:dyDescent="0.3">
      <c r="A609" s="13" t="str" cm="1">
        <f t="array" ref="A609:B609">INDEX(BenchmarkResults!$B$1:$D$35,SUMPRODUCT((T609&gt;=BenchmarkResults!$F$3:$F$35)*(mongodb_hardware_log!T609&lt;BenchmarkResults!$G$3:$G$35)*ROW(BenchmarkResults!$F$3:$F$35)),{1,3})</f>
        <v>q2_avg_order_city</v>
      </c>
      <c r="B609">
        <v>1</v>
      </c>
      <c r="C609" s="13">
        <v>1</v>
      </c>
      <c r="D609" s="13">
        <v>0</v>
      </c>
      <c r="E609" s="13">
        <v>134656</v>
      </c>
      <c r="F609" s="13">
        <v>549416</v>
      </c>
      <c r="G609" s="13">
        <v>4016</v>
      </c>
      <c r="H609" s="13">
        <v>1856956</v>
      </c>
      <c r="I609" s="13">
        <v>0</v>
      </c>
      <c r="J609" s="13">
        <v>0</v>
      </c>
      <c r="K609" s="13">
        <v>1462</v>
      </c>
      <c r="L609" s="13">
        <v>11</v>
      </c>
      <c r="M609" s="13">
        <v>715</v>
      </c>
      <c r="N609" s="13">
        <v>212</v>
      </c>
      <c r="O609" s="13">
        <v>33</v>
      </c>
      <c r="P609" s="13">
        <v>1</v>
      </c>
      <c r="Q609" s="13">
        <v>65</v>
      </c>
      <c r="R609" s="13">
        <v>1</v>
      </c>
      <c r="S609" s="13">
        <v>0</v>
      </c>
      <c r="T609" s="23">
        <v>46247.554571759261</v>
      </c>
      <c r="U609" s="55">
        <f t="shared" si="27"/>
        <v>1.3333333333333333</v>
      </c>
      <c r="V609" s="55">
        <f t="shared" si="28"/>
        <v>0</v>
      </c>
      <c r="W609" s="56">
        <f t="shared" si="29"/>
        <v>1235.1666666666667</v>
      </c>
    </row>
    <row r="610" spans="1:23" x14ac:dyDescent="0.3">
      <c r="A610" s="13" t="str" cm="1">
        <f t="array" ref="A610:B610">INDEX(BenchmarkResults!$B$1:$D$35,SUMPRODUCT((T610&gt;=BenchmarkResults!$F$3:$F$35)*(mongodb_hardware_log!T610&lt;BenchmarkResults!$G$3:$G$35)*ROW(BenchmarkResults!$F$3:$F$35)),{1,3})</f>
        <v>q2_avg_order_city</v>
      </c>
      <c r="B610">
        <v>1</v>
      </c>
      <c r="C610" s="13">
        <v>1</v>
      </c>
      <c r="D610" s="13">
        <v>0</v>
      </c>
      <c r="E610" s="13">
        <v>134656</v>
      </c>
      <c r="F610" s="13">
        <v>539336</v>
      </c>
      <c r="G610" s="13">
        <v>4024</v>
      </c>
      <c r="H610" s="13">
        <v>1868616</v>
      </c>
      <c r="I610" s="13">
        <v>0</v>
      </c>
      <c r="J610" s="13">
        <v>0</v>
      </c>
      <c r="K610" s="13">
        <v>1162</v>
      </c>
      <c r="L610" s="13">
        <v>11</v>
      </c>
      <c r="M610" s="13">
        <v>713</v>
      </c>
      <c r="N610" s="13">
        <v>210</v>
      </c>
      <c r="O610" s="13">
        <v>33</v>
      </c>
      <c r="P610" s="13">
        <v>1</v>
      </c>
      <c r="Q610" s="13">
        <v>65</v>
      </c>
      <c r="R610" s="13">
        <v>0</v>
      </c>
      <c r="S610" s="13">
        <v>0</v>
      </c>
      <c r="T610" s="23">
        <v>46247.5546875</v>
      </c>
      <c r="U610" s="55">
        <f t="shared" si="27"/>
        <v>1.1666666666666667</v>
      </c>
      <c r="V610" s="55">
        <f t="shared" si="28"/>
        <v>0</v>
      </c>
      <c r="W610" s="56">
        <f t="shared" si="29"/>
        <v>1222.1666666666667</v>
      </c>
    </row>
    <row r="611" spans="1:23" x14ac:dyDescent="0.3">
      <c r="A611" s="13" t="str" cm="1">
        <f t="array" ref="A611:B611">INDEX(BenchmarkResults!$B$1:$D$35,SUMPRODUCT((T611&gt;=BenchmarkResults!$F$3:$F$35)*(mongodb_hardware_log!T611&lt;BenchmarkResults!$G$3:$G$35)*ROW(BenchmarkResults!$F$3:$F$35)),{1,3})</f>
        <v>q2_avg_order_city</v>
      </c>
      <c r="B611">
        <v>1</v>
      </c>
      <c r="C611" s="13">
        <v>1</v>
      </c>
      <c r="D611" s="13">
        <v>0</v>
      </c>
      <c r="E611" s="13">
        <v>134656</v>
      </c>
      <c r="F611" s="13">
        <v>523460</v>
      </c>
      <c r="G611" s="13">
        <v>4032</v>
      </c>
      <c r="H611" s="13">
        <v>1878796</v>
      </c>
      <c r="I611" s="13">
        <v>0</v>
      </c>
      <c r="J611" s="13">
        <v>0</v>
      </c>
      <c r="K611" s="13">
        <v>1020</v>
      </c>
      <c r="L611" s="13">
        <v>14</v>
      </c>
      <c r="M611" s="13">
        <v>717</v>
      </c>
      <c r="N611" s="13">
        <v>218</v>
      </c>
      <c r="O611" s="13">
        <v>33</v>
      </c>
      <c r="P611" s="13">
        <v>1</v>
      </c>
      <c r="Q611" s="13">
        <v>65</v>
      </c>
      <c r="R611" s="13">
        <v>0</v>
      </c>
      <c r="S611" s="13">
        <v>0</v>
      </c>
      <c r="T611" s="23">
        <v>46247.554803240739</v>
      </c>
      <c r="U611" s="55">
        <f t="shared" si="27"/>
        <v>1.1666666666666667</v>
      </c>
      <c r="V611" s="55">
        <f t="shared" si="28"/>
        <v>0</v>
      </c>
      <c r="W611" s="56">
        <f t="shared" si="29"/>
        <v>1150.5</v>
      </c>
    </row>
    <row r="612" spans="1:23" x14ac:dyDescent="0.3">
      <c r="A612" s="13" t="str" cm="1">
        <f t="array" ref="A612:B612">INDEX(BenchmarkResults!$B$1:$D$35,SUMPRODUCT((T612&gt;=BenchmarkResults!$F$3:$F$35)*(mongodb_hardware_log!T612&lt;BenchmarkResults!$G$3:$G$35)*ROW(BenchmarkResults!$F$3:$F$35)),{1,3})</f>
        <v>q2_avg_order_city</v>
      </c>
      <c r="B612">
        <v>1</v>
      </c>
      <c r="C612" s="13">
        <v>1</v>
      </c>
      <c r="D612" s="13">
        <v>0</v>
      </c>
      <c r="E612" s="13">
        <v>134656</v>
      </c>
      <c r="F612" s="13">
        <v>515396</v>
      </c>
      <c r="G612" s="13">
        <v>4088</v>
      </c>
      <c r="H612" s="13">
        <v>1889260</v>
      </c>
      <c r="I612" s="13">
        <v>0</v>
      </c>
      <c r="J612" s="13">
        <v>0</v>
      </c>
      <c r="K612" s="13">
        <v>1044</v>
      </c>
      <c r="L612" s="13">
        <v>42</v>
      </c>
      <c r="M612" s="13">
        <v>734</v>
      </c>
      <c r="N612" s="13">
        <v>226</v>
      </c>
      <c r="O612" s="13">
        <v>34</v>
      </c>
      <c r="P612" s="13">
        <v>1</v>
      </c>
      <c r="Q612" s="13">
        <v>65</v>
      </c>
      <c r="R612" s="13">
        <v>0</v>
      </c>
      <c r="S612" s="13">
        <v>0</v>
      </c>
      <c r="T612" s="23">
        <v>46247.554918981485</v>
      </c>
      <c r="U612" s="55">
        <f t="shared" si="27"/>
        <v>1.1666666666666667</v>
      </c>
      <c r="V612" s="55">
        <f t="shared" si="28"/>
        <v>0</v>
      </c>
      <c r="W612" s="56">
        <f t="shared" si="29"/>
        <v>1162.1666666666667</v>
      </c>
    </row>
    <row r="613" spans="1:23" x14ac:dyDescent="0.3">
      <c r="A613" s="13" t="str" cm="1">
        <f t="array" ref="A613:B613">INDEX(BenchmarkResults!$B$1:$D$35,SUMPRODUCT((T613&gt;=BenchmarkResults!$F$3:$F$35)*(mongodb_hardware_log!T613&lt;BenchmarkResults!$G$3:$G$35)*ROW(BenchmarkResults!$F$3:$F$35)),{1,3})</f>
        <v>q2_avg_order_city</v>
      </c>
      <c r="B613">
        <v>1</v>
      </c>
      <c r="C613" s="13">
        <v>1</v>
      </c>
      <c r="D613" s="13">
        <v>0</v>
      </c>
      <c r="E613" s="13">
        <v>134656</v>
      </c>
      <c r="F613" s="13">
        <v>501312</v>
      </c>
      <c r="G613" s="13">
        <v>4112</v>
      </c>
      <c r="H613" s="13">
        <v>1903728</v>
      </c>
      <c r="I613" s="13">
        <v>0</v>
      </c>
      <c r="J613" s="13">
        <v>0</v>
      </c>
      <c r="K613" s="13">
        <v>1436</v>
      </c>
      <c r="L613" s="13">
        <v>20</v>
      </c>
      <c r="M613" s="13">
        <v>767</v>
      </c>
      <c r="N613" s="13">
        <v>254</v>
      </c>
      <c r="O613" s="13">
        <v>33</v>
      </c>
      <c r="P613" s="13">
        <v>1</v>
      </c>
      <c r="Q613" s="13">
        <v>65</v>
      </c>
      <c r="R613" s="13">
        <v>1</v>
      </c>
      <c r="S613" s="13">
        <v>0</v>
      </c>
      <c r="T613" s="23">
        <v>46247.555034722223</v>
      </c>
      <c r="U613" s="55">
        <f t="shared" si="27"/>
        <v>1.1666666666666667</v>
      </c>
      <c r="V613" s="55">
        <f t="shared" si="28"/>
        <v>0</v>
      </c>
      <c r="W613" s="56">
        <f t="shared" si="29"/>
        <v>1209</v>
      </c>
    </row>
    <row r="614" spans="1:23" x14ac:dyDescent="0.3">
      <c r="A614" s="13" t="str" cm="1">
        <f t="array" ref="A614:B614">INDEX(BenchmarkResults!$B$1:$D$35,SUMPRODUCT((T614&gt;=BenchmarkResults!$F$3:$F$35)*(mongodb_hardware_log!T614&lt;BenchmarkResults!$G$3:$G$35)*ROW(BenchmarkResults!$F$3:$F$35)),{1,3})</f>
        <v>q2_avg_order_city</v>
      </c>
      <c r="B614">
        <v>1</v>
      </c>
      <c r="C614" s="13">
        <v>1</v>
      </c>
      <c r="D614" s="13">
        <v>0</v>
      </c>
      <c r="E614" s="13">
        <v>134656</v>
      </c>
      <c r="F614" s="13">
        <v>490728</v>
      </c>
      <c r="G614" s="13">
        <v>4120</v>
      </c>
      <c r="H614" s="13">
        <v>1915212</v>
      </c>
      <c r="I614" s="13">
        <v>0</v>
      </c>
      <c r="J614" s="13">
        <v>0</v>
      </c>
      <c r="K614" s="13">
        <v>1157</v>
      </c>
      <c r="L614" s="13">
        <v>6</v>
      </c>
      <c r="M614" s="13">
        <v>716</v>
      </c>
      <c r="N614" s="13">
        <v>209</v>
      </c>
      <c r="O614" s="13">
        <v>34</v>
      </c>
      <c r="P614" s="13">
        <v>1</v>
      </c>
      <c r="Q614" s="13">
        <v>65</v>
      </c>
      <c r="R614" s="13">
        <v>0</v>
      </c>
      <c r="S614" s="13">
        <v>0</v>
      </c>
      <c r="T614" s="23">
        <v>46247.555150462962</v>
      </c>
      <c r="U614" s="55">
        <f t="shared" si="27"/>
        <v>1</v>
      </c>
      <c r="V614" s="55">
        <f t="shared" si="28"/>
        <v>0</v>
      </c>
      <c r="W614" s="56">
        <f t="shared" si="29"/>
        <v>1213.5</v>
      </c>
    </row>
    <row r="615" spans="1:23" x14ac:dyDescent="0.3">
      <c r="A615" s="13" t="str" cm="1">
        <f t="array" ref="A615:B615">INDEX(BenchmarkResults!$B$1:$D$35,SUMPRODUCT((T615&gt;=BenchmarkResults!$F$3:$F$35)*(mongodb_hardware_log!T615&lt;BenchmarkResults!$G$3:$G$35)*ROW(BenchmarkResults!$F$3:$F$35)),{1,3})</f>
        <v>q2_avg_order_city</v>
      </c>
      <c r="B615">
        <v>1</v>
      </c>
      <c r="C615" s="13">
        <v>1</v>
      </c>
      <c r="D615" s="13">
        <v>0</v>
      </c>
      <c r="E615" s="13">
        <v>134656</v>
      </c>
      <c r="F615" s="13">
        <v>470820</v>
      </c>
      <c r="G615" s="13">
        <v>4128</v>
      </c>
      <c r="H615" s="13">
        <v>1926276</v>
      </c>
      <c r="I615" s="13">
        <v>0</v>
      </c>
      <c r="J615" s="13">
        <v>0</v>
      </c>
      <c r="K615" s="13">
        <v>1103</v>
      </c>
      <c r="L615" s="13">
        <v>16</v>
      </c>
      <c r="M615" s="13">
        <v>708</v>
      </c>
      <c r="N615" s="13">
        <v>207</v>
      </c>
      <c r="O615" s="13">
        <v>34</v>
      </c>
      <c r="P615" s="13">
        <v>1</v>
      </c>
      <c r="Q615" s="13">
        <v>65</v>
      </c>
      <c r="R615" s="13">
        <v>0</v>
      </c>
      <c r="S615" s="13">
        <v>0</v>
      </c>
      <c r="T615" s="23">
        <v>46247.555266203701</v>
      </c>
      <c r="U615" s="55">
        <f t="shared" si="27"/>
        <v>1</v>
      </c>
      <c r="V615" s="55">
        <f t="shared" si="28"/>
        <v>0</v>
      </c>
      <c r="W615" s="56">
        <f t="shared" si="29"/>
        <v>1153.6666666666667</v>
      </c>
    </row>
    <row r="616" spans="1:23" x14ac:dyDescent="0.3">
      <c r="A616" s="13" t="str" cm="1">
        <f t="array" ref="A616:B616">INDEX(BenchmarkResults!$B$1:$D$35,SUMPRODUCT((T616&gt;=BenchmarkResults!$F$3:$F$35)*(mongodb_hardware_log!T616&lt;BenchmarkResults!$G$3:$G$35)*ROW(BenchmarkResults!$F$3:$F$35)),{1,3})</f>
        <v>q2_avg_order_city</v>
      </c>
      <c r="B616">
        <v>1</v>
      </c>
      <c r="C616" s="13">
        <v>1</v>
      </c>
      <c r="D616" s="13">
        <v>0</v>
      </c>
      <c r="E616" s="13">
        <v>134656</v>
      </c>
      <c r="F616" s="13">
        <v>459984</v>
      </c>
      <c r="G616" s="13">
        <v>4136</v>
      </c>
      <c r="H616" s="13">
        <v>1937884</v>
      </c>
      <c r="I616" s="13">
        <v>0</v>
      </c>
      <c r="J616" s="13">
        <v>0</v>
      </c>
      <c r="K616" s="13">
        <v>1161</v>
      </c>
      <c r="L616" s="13">
        <v>14</v>
      </c>
      <c r="M616" s="13">
        <v>710</v>
      </c>
      <c r="N616" s="13">
        <v>203</v>
      </c>
      <c r="O616" s="13">
        <v>33</v>
      </c>
      <c r="P616" s="13">
        <v>1</v>
      </c>
      <c r="Q616" s="13">
        <v>65</v>
      </c>
      <c r="R616" s="13">
        <v>0</v>
      </c>
      <c r="S616" s="13">
        <v>0</v>
      </c>
      <c r="T616" s="23">
        <v>46247.555381944447</v>
      </c>
      <c r="U616" s="55">
        <f t="shared" si="27"/>
        <v>1</v>
      </c>
      <c r="V616" s="55">
        <f t="shared" si="28"/>
        <v>0</v>
      </c>
      <c r="W616" s="56">
        <f t="shared" si="29"/>
        <v>1153.5</v>
      </c>
    </row>
    <row r="617" spans="1:23" x14ac:dyDescent="0.3">
      <c r="A617" s="13" t="str" cm="1">
        <f t="array" ref="A617:B617">INDEX(BenchmarkResults!$B$1:$D$35,SUMPRODUCT((T617&gt;=BenchmarkResults!$F$3:$F$35)*(mongodb_hardware_log!T617&lt;BenchmarkResults!$G$3:$G$35)*ROW(BenchmarkResults!$F$3:$F$35)),{1,3})</f>
        <v>q2_avg_order_city</v>
      </c>
      <c r="B617">
        <v>1</v>
      </c>
      <c r="C617" s="13">
        <v>1</v>
      </c>
      <c r="D617" s="13">
        <v>0</v>
      </c>
      <c r="E617" s="13">
        <v>134656</v>
      </c>
      <c r="F617" s="13">
        <v>447876</v>
      </c>
      <c r="G617" s="13">
        <v>4152</v>
      </c>
      <c r="H617" s="13">
        <v>1948468</v>
      </c>
      <c r="I617" s="13">
        <v>0</v>
      </c>
      <c r="J617" s="13">
        <v>0</v>
      </c>
      <c r="K617" s="13">
        <v>1055</v>
      </c>
      <c r="L617" s="13">
        <v>14</v>
      </c>
      <c r="M617" s="13">
        <v>738</v>
      </c>
      <c r="N617" s="13">
        <v>242</v>
      </c>
      <c r="O617" s="13">
        <v>33</v>
      </c>
      <c r="P617" s="13">
        <v>1</v>
      </c>
      <c r="Q617" s="13">
        <v>65</v>
      </c>
      <c r="R617" s="13">
        <v>0</v>
      </c>
      <c r="S617" s="13">
        <v>0</v>
      </c>
      <c r="T617" s="23">
        <v>46247.555497685185</v>
      </c>
      <c r="U617" s="55">
        <f t="shared" si="27"/>
        <v>1</v>
      </c>
      <c r="V617" s="55">
        <f t="shared" si="28"/>
        <v>0</v>
      </c>
      <c r="W617" s="56">
        <f t="shared" si="29"/>
        <v>1159.3333333333333</v>
      </c>
    </row>
    <row r="618" spans="1:23" x14ac:dyDescent="0.3">
      <c r="A618" s="13" t="str" cm="1">
        <f t="array" ref="A618:B618">INDEX(BenchmarkResults!$B$1:$D$35,SUMPRODUCT((T618&gt;=BenchmarkResults!$F$3:$F$35)*(mongodb_hardware_log!T618&lt;BenchmarkResults!$G$3:$G$35)*ROW(BenchmarkResults!$F$3:$F$35)),{1,3})</f>
        <v>q2_avg_order_city</v>
      </c>
      <c r="B618">
        <v>1</v>
      </c>
      <c r="C618" s="13">
        <v>1</v>
      </c>
      <c r="D618" s="13">
        <v>0</v>
      </c>
      <c r="E618" s="13">
        <v>134656</v>
      </c>
      <c r="F618" s="13">
        <v>439812</v>
      </c>
      <c r="G618" s="13">
        <v>4176</v>
      </c>
      <c r="H618" s="13">
        <v>1959152</v>
      </c>
      <c r="I618" s="13">
        <v>0</v>
      </c>
      <c r="J618" s="13">
        <v>0</v>
      </c>
      <c r="K618" s="13">
        <v>1075</v>
      </c>
      <c r="L618" s="13">
        <v>25</v>
      </c>
      <c r="M618" s="13">
        <v>724</v>
      </c>
      <c r="N618" s="13">
        <v>210</v>
      </c>
      <c r="O618" s="13">
        <v>33</v>
      </c>
      <c r="P618" s="13">
        <v>1</v>
      </c>
      <c r="Q618" s="13">
        <v>65</v>
      </c>
      <c r="R618" s="13">
        <v>0</v>
      </c>
      <c r="S618" s="13">
        <v>0</v>
      </c>
      <c r="T618" s="23">
        <v>46247.555613425924</v>
      </c>
      <c r="U618" s="55">
        <f t="shared" si="27"/>
        <v>1</v>
      </c>
      <c r="V618" s="55">
        <f t="shared" si="28"/>
        <v>0</v>
      </c>
      <c r="W618" s="56">
        <f t="shared" si="29"/>
        <v>1164.5</v>
      </c>
    </row>
    <row r="619" spans="1:23" x14ac:dyDescent="0.3">
      <c r="A619" s="13" t="str" cm="1">
        <f t="array" ref="A619:B619">INDEX(BenchmarkResults!$B$1:$D$35,SUMPRODUCT((T619&gt;=BenchmarkResults!$F$3:$F$35)*(mongodb_hardware_log!T619&lt;BenchmarkResults!$G$3:$G$35)*ROW(BenchmarkResults!$F$3:$F$35)),{1,3})</f>
        <v>q2_avg_order_city</v>
      </c>
      <c r="B619">
        <v>1</v>
      </c>
      <c r="C619" s="13">
        <v>1</v>
      </c>
      <c r="D619" s="13">
        <v>0</v>
      </c>
      <c r="E619" s="13">
        <v>134656</v>
      </c>
      <c r="F619" s="13">
        <v>434336</v>
      </c>
      <c r="G619" s="13">
        <v>4184</v>
      </c>
      <c r="H619" s="13">
        <v>1973100</v>
      </c>
      <c r="I619" s="13">
        <v>0</v>
      </c>
      <c r="J619" s="13">
        <v>0</v>
      </c>
      <c r="K619" s="13">
        <v>1391</v>
      </c>
      <c r="L619" s="13">
        <v>15</v>
      </c>
      <c r="M619" s="13">
        <v>730</v>
      </c>
      <c r="N619" s="13">
        <v>220</v>
      </c>
      <c r="O619" s="13">
        <v>33</v>
      </c>
      <c r="P619" s="13">
        <v>1</v>
      </c>
      <c r="Q619" s="13">
        <v>65</v>
      </c>
      <c r="R619" s="13">
        <v>1</v>
      </c>
      <c r="S619" s="13">
        <v>0</v>
      </c>
      <c r="T619" s="23">
        <v>46247.55572916667</v>
      </c>
      <c r="U619" s="55">
        <f t="shared" si="27"/>
        <v>1</v>
      </c>
      <c r="V619" s="55">
        <f t="shared" si="28"/>
        <v>0</v>
      </c>
      <c r="W619" s="56">
        <f t="shared" si="29"/>
        <v>1157</v>
      </c>
    </row>
    <row r="620" spans="1:23" x14ac:dyDescent="0.3">
      <c r="A620" s="13" t="str" cm="1">
        <f t="array" ref="A620:B620">INDEX(BenchmarkResults!$B$1:$D$35,SUMPRODUCT((T620&gt;=BenchmarkResults!$F$3:$F$35)*(mongodb_hardware_log!T620&lt;BenchmarkResults!$G$3:$G$35)*ROW(BenchmarkResults!$F$3:$F$35)),{1,3})</f>
        <v>q2_avg_order_city</v>
      </c>
      <c r="B620">
        <v>1</v>
      </c>
      <c r="C620" s="13">
        <v>1</v>
      </c>
      <c r="D620" s="13">
        <v>0</v>
      </c>
      <c r="E620" s="13">
        <v>134656</v>
      </c>
      <c r="F620" s="13">
        <v>424256</v>
      </c>
      <c r="G620" s="13">
        <v>4200</v>
      </c>
      <c r="H620" s="13">
        <v>1983068</v>
      </c>
      <c r="I620" s="13">
        <v>0</v>
      </c>
      <c r="J620" s="13">
        <v>0</v>
      </c>
      <c r="K620" s="13">
        <v>992</v>
      </c>
      <c r="L620" s="13">
        <v>29</v>
      </c>
      <c r="M620" s="13">
        <v>742</v>
      </c>
      <c r="N620" s="13">
        <v>239</v>
      </c>
      <c r="O620" s="13">
        <v>33</v>
      </c>
      <c r="P620" s="13">
        <v>1</v>
      </c>
      <c r="Q620" s="13">
        <v>65</v>
      </c>
      <c r="R620" s="13">
        <v>1</v>
      </c>
      <c r="S620" s="13">
        <v>0</v>
      </c>
      <c r="T620" s="23">
        <v>46247.555844907409</v>
      </c>
      <c r="U620" s="55">
        <f t="shared" si="27"/>
        <v>1</v>
      </c>
      <c r="V620" s="55">
        <f t="shared" si="28"/>
        <v>0</v>
      </c>
      <c r="W620" s="56">
        <f t="shared" si="29"/>
        <v>1129.5</v>
      </c>
    </row>
    <row r="621" spans="1:23" x14ac:dyDescent="0.3">
      <c r="A621" s="13" t="str" cm="1">
        <f t="array" ref="A621:B621">INDEX(BenchmarkResults!$B$1:$D$35,SUMPRODUCT((T621&gt;=BenchmarkResults!$F$3:$F$35)*(mongodb_hardware_log!T621&lt;BenchmarkResults!$G$3:$G$35)*ROW(BenchmarkResults!$F$3:$F$35)),{1,3})</f>
        <v>q2_avg_order_city</v>
      </c>
      <c r="B621">
        <v>1</v>
      </c>
      <c r="C621" s="13">
        <v>1</v>
      </c>
      <c r="D621" s="13">
        <v>0</v>
      </c>
      <c r="E621" s="13">
        <v>134656</v>
      </c>
      <c r="F621" s="13">
        <v>412916</v>
      </c>
      <c r="G621" s="13">
        <v>4208</v>
      </c>
      <c r="H621" s="13">
        <v>1992812</v>
      </c>
      <c r="I621" s="13">
        <v>0</v>
      </c>
      <c r="J621" s="13">
        <v>0</v>
      </c>
      <c r="K621" s="13">
        <v>978</v>
      </c>
      <c r="L621" s="13">
        <v>9</v>
      </c>
      <c r="M621" s="13">
        <v>718</v>
      </c>
      <c r="N621" s="13">
        <v>211</v>
      </c>
      <c r="O621" s="13">
        <v>33</v>
      </c>
      <c r="P621" s="13">
        <v>1</v>
      </c>
      <c r="Q621" s="13">
        <v>65</v>
      </c>
      <c r="R621" s="13">
        <v>0</v>
      </c>
      <c r="S621" s="13">
        <v>0</v>
      </c>
      <c r="T621" s="23">
        <v>46247.555960648147</v>
      </c>
      <c r="U621" s="55">
        <f t="shared" si="27"/>
        <v>1</v>
      </c>
      <c r="V621" s="55">
        <f t="shared" si="28"/>
        <v>0</v>
      </c>
      <c r="W621" s="56">
        <f t="shared" si="29"/>
        <v>1108.6666666666667</v>
      </c>
    </row>
    <row r="622" spans="1:23" x14ac:dyDescent="0.3">
      <c r="A622" s="13" t="str" cm="1">
        <f t="array" ref="A622:B622">INDEX(BenchmarkResults!$B$1:$D$35,SUMPRODUCT((T622&gt;=BenchmarkResults!$F$3:$F$35)*(mongodb_hardware_log!T622&lt;BenchmarkResults!$G$3:$G$35)*ROW(BenchmarkResults!$F$3:$F$35)),{1,3})</f>
        <v>q2_avg_order_city</v>
      </c>
      <c r="B622">
        <v>1</v>
      </c>
      <c r="C622" s="13">
        <v>1</v>
      </c>
      <c r="D622" s="13">
        <v>0</v>
      </c>
      <c r="E622" s="13">
        <v>134656</v>
      </c>
      <c r="F622" s="13">
        <v>404348</v>
      </c>
      <c r="G622" s="13">
        <v>4216</v>
      </c>
      <c r="H622" s="13">
        <v>2003356</v>
      </c>
      <c r="I622" s="13">
        <v>0</v>
      </c>
      <c r="J622" s="13">
        <v>0</v>
      </c>
      <c r="K622" s="13">
        <v>1053</v>
      </c>
      <c r="L622" s="13">
        <v>10</v>
      </c>
      <c r="M622" s="13">
        <v>721</v>
      </c>
      <c r="N622" s="13">
        <v>215</v>
      </c>
      <c r="O622" s="13">
        <v>33</v>
      </c>
      <c r="P622" s="13">
        <v>1</v>
      </c>
      <c r="Q622" s="13">
        <v>65</v>
      </c>
      <c r="R622" s="13">
        <v>0</v>
      </c>
      <c r="S622" s="13">
        <v>0</v>
      </c>
      <c r="T622" s="23">
        <v>46247.556076388886</v>
      </c>
      <c r="U622" s="55">
        <f t="shared" si="27"/>
        <v>1</v>
      </c>
      <c r="V622" s="55">
        <f t="shared" si="28"/>
        <v>0</v>
      </c>
      <c r="W622" s="56">
        <f t="shared" si="29"/>
        <v>1090.6666666666667</v>
      </c>
    </row>
    <row r="623" spans="1:23" x14ac:dyDescent="0.3">
      <c r="A623" s="13" t="str" cm="1">
        <f t="array" ref="A623:B623">INDEX(BenchmarkResults!$B$1:$D$35,SUMPRODUCT((T623&gt;=BenchmarkResults!$F$3:$F$35)*(mongodb_hardware_log!T623&lt;BenchmarkResults!$G$3:$G$35)*ROW(BenchmarkResults!$F$3:$F$35)),{1,3})</f>
        <v>q2_avg_order_city</v>
      </c>
      <c r="B623">
        <v>1</v>
      </c>
      <c r="C623" s="13">
        <v>1</v>
      </c>
      <c r="D623" s="13">
        <v>0</v>
      </c>
      <c r="E623" s="13">
        <v>134656</v>
      </c>
      <c r="F623" s="13">
        <v>388472</v>
      </c>
      <c r="G623" s="13">
        <v>4224</v>
      </c>
      <c r="H623" s="13">
        <v>2013472</v>
      </c>
      <c r="I623" s="13">
        <v>0</v>
      </c>
      <c r="J623" s="13">
        <v>0</v>
      </c>
      <c r="K623" s="13">
        <v>1013</v>
      </c>
      <c r="L623" s="13">
        <v>8</v>
      </c>
      <c r="M623" s="13">
        <v>722</v>
      </c>
      <c r="N623" s="13">
        <v>231</v>
      </c>
      <c r="O623" s="13">
        <v>33</v>
      </c>
      <c r="P623" s="13">
        <v>1</v>
      </c>
      <c r="Q623" s="13">
        <v>65</v>
      </c>
      <c r="R623" s="13">
        <v>0</v>
      </c>
      <c r="S623" s="13">
        <v>0</v>
      </c>
      <c r="T623" s="23">
        <v>46247.556192129632</v>
      </c>
      <c r="U623" s="55">
        <f t="shared" si="27"/>
        <v>1</v>
      </c>
      <c r="V623" s="55">
        <f t="shared" si="28"/>
        <v>0</v>
      </c>
      <c r="W623" s="56">
        <f t="shared" si="29"/>
        <v>1083.6666666666667</v>
      </c>
    </row>
    <row r="624" spans="1:23" x14ac:dyDescent="0.3">
      <c r="A624" s="13" t="str" cm="1">
        <f t="array" ref="A624:B624">INDEX(BenchmarkResults!$B$1:$D$35,SUMPRODUCT((T624&gt;=BenchmarkResults!$F$3:$F$35)*(mongodb_hardware_log!T624&lt;BenchmarkResults!$G$3:$G$35)*ROW(BenchmarkResults!$F$3:$F$35)),{1,3})</f>
        <v>q2_avg_order_city</v>
      </c>
      <c r="B624">
        <v>1</v>
      </c>
      <c r="C624" s="13">
        <v>1</v>
      </c>
      <c r="D624" s="13">
        <v>0</v>
      </c>
      <c r="E624" s="13">
        <v>134656</v>
      </c>
      <c r="F624" s="13">
        <v>379904</v>
      </c>
      <c r="G624" s="13">
        <v>4256</v>
      </c>
      <c r="H624" s="13">
        <v>2028156</v>
      </c>
      <c r="I624" s="13">
        <v>0</v>
      </c>
      <c r="J624" s="13">
        <v>0</v>
      </c>
      <c r="K624" s="13">
        <v>1468</v>
      </c>
      <c r="L624" s="13">
        <v>33</v>
      </c>
      <c r="M624" s="13">
        <v>782</v>
      </c>
      <c r="N624" s="13">
        <v>271</v>
      </c>
      <c r="O624" s="13">
        <v>33</v>
      </c>
      <c r="P624" s="13">
        <v>1</v>
      </c>
      <c r="Q624" s="13">
        <v>65</v>
      </c>
      <c r="R624" s="13">
        <v>0</v>
      </c>
      <c r="S624" s="13">
        <v>0</v>
      </c>
      <c r="T624" s="23">
        <v>46247.556307870371</v>
      </c>
      <c r="U624" s="55">
        <f t="shared" si="27"/>
        <v>1</v>
      </c>
      <c r="V624" s="55">
        <f t="shared" si="28"/>
        <v>0</v>
      </c>
      <c r="W624" s="56">
        <f t="shared" si="29"/>
        <v>1149.1666666666667</v>
      </c>
    </row>
    <row r="625" spans="1:23" x14ac:dyDescent="0.3">
      <c r="A625" s="13" t="str" cm="1">
        <f t="array" ref="A625:B625">INDEX(BenchmarkResults!$B$1:$D$35,SUMPRODUCT((T625&gt;=BenchmarkResults!$F$3:$F$35)*(mongodb_hardware_log!T625&lt;BenchmarkResults!$G$3:$G$35)*ROW(BenchmarkResults!$F$3:$F$35)),{1,3})</f>
        <v>q2_avg_order_city</v>
      </c>
      <c r="B625">
        <v>1</v>
      </c>
      <c r="C625" s="13">
        <v>1</v>
      </c>
      <c r="D625" s="13">
        <v>0</v>
      </c>
      <c r="E625" s="13">
        <v>134656</v>
      </c>
      <c r="F625" s="13">
        <v>370328</v>
      </c>
      <c r="G625" s="13">
        <v>4264</v>
      </c>
      <c r="H625" s="13">
        <v>2038032</v>
      </c>
      <c r="I625" s="13">
        <v>0</v>
      </c>
      <c r="J625" s="13">
        <v>0</v>
      </c>
      <c r="K625" s="13">
        <v>995</v>
      </c>
      <c r="L625" s="13">
        <v>13</v>
      </c>
      <c r="M625" s="13">
        <v>719</v>
      </c>
      <c r="N625" s="13">
        <v>209</v>
      </c>
      <c r="O625" s="13">
        <v>33</v>
      </c>
      <c r="P625" s="13">
        <v>1</v>
      </c>
      <c r="Q625" s="13">
        <v>65</v>
      </c>
      <c r="R625" s="13">
        <v>1</v>
      </c>
      <c r="S625" s="13">
        <v>0</v>
      </c>
      <c r="T625" s="23">
        <v>46247.556423611109</v>
      </c>
      <c r="U625" s="55">
        <f t="shared" si="27"/>
        <v>1</v>
      </c>
      <c r="V625" s="55">
        <f t="shared" si="28"/>
        <v>0</v>
      </c>
      <c r="W625" s="56">
        <f t="shared" si="29"/>
        <v>1083.1666666666667</v>
      </c>
    </row>
    <row r="626" spans="1:23" x14ac:dyDescent="0.3">
      <c r="A626" s="13" t="str" cm="1">
        <f t="array" ref="A626:B626">INDEX(BenchmarkResults!$B$1:$D$35,SUMPRODUCT((T626&gt;=BenchmarkResults!$F$3:$F$35)*(mongodb_hardware_log!T626&lt;BenchmarkResults!$G$3:$G$35)*ROW(BenchmarkResults!$F$3:$F$35)),{1,3})</f>
        <v>q2_avg_order_city</v>
      </c>
      <c r="B626">
        <v>1</v>
      </c>
      <c r="C626" s="13">
        <v>1</v>
      </c>
      <c r="D626" s="13">
        <v>0</v>
      </c>
      <c r="E626" s="13">
        <v>134656</v>
      </c>
      <c r="F626" s="13">
        <v>352688</v>
      </c>
      <c r="G626" s="13">
        <v>4272</v>
      </c>
      <c r="H626" s="13">
        <v>2048056</v>
      </c>
      <c r="I626" s="13">
        <v>0</v>
      </c>
      <c r="J626" s="13">
        <v>0</v>
      </c>
      <c r="K626" s="13">
        <v>1003</v>
      </c>
      <c r="L626" s="13">
        <v>10</v>
      </c>
      <c r="M626" s="13">
        <v>708</v>
      </c>
      <c r="N626" s="13">
        <v>202</v>
      </c>
      <c r="O626" s="13">
        <v>33</v>
      </c>
      <c r="P626" s="13">
        <v>1</v>
      </c>
      <c r="Q626" s="13">
        <v>65</v>
      </c>
      <c r="R626" s="13">
        <v>0</v>
      </c>
      <c r="S626" s="13">
        <v>0</v>
      </c>
      <c r="T626" s="23">
        <v>46247.556539351855</v>
      </c>
      <c r="U626" s="55">
        <f t="shared" si="27"/>
        <v>1</v>
      </c>
      <c r="V626" s="55">
        <f t="shared" si="28"/>
        <v>0</v>
      </c>
      <c r="W626" s="56">
        <f t="shared" si="29"/>
        <v>1085</v>
      </c>
    </row>
    <row r="627" spans="1:23" x14ac:dyDescent="0.3">
      <c r="A627" s="13" t="str" cm="1">
        <f t="array" ref="A627:B627">INDEX(BenchmarkResults!$B$1:$D$35,SUMPRODUCT((T627&gt;=BenchmarkResults!$F$3:$F$35)*(mongodb_hardware_log!T627&lt;BenchmarkResults!$G$3:$G$35)*ROW(BenchmarkResults!$F$3:$F$35)),{1,3})</f>
        <v>q2_avg_order_city</v>
      </c>
      <c r="B627">
        <v>1</v>
      </c>
      <c r="C627" s="13">
        <v>1</v>
      </c>
      <c r="D627" s="13">
        <v>0</v>
      </c>
      <c r="E627" s="13">
        <v>134656</v>
      </c>
      <c r="F627" s="13">
        <v>348984</v>
      </c>
      <c r="G627" s="13">
        <v>4280</v>
      </c>
      <c r="H627" s="13">
        <v>2058324</v>
      </c>
      <c r="I627" s="13">
        <v>0</v>
      </c>
      <c r="J627" s="13">
        <v>0</v>
      </c>
      <c r="K627" s="13">
        <v>1026</v>
      </c>
      <c r="L627" s="13">
        <v>9</v>
      </c>
      <c r="M627" s="13">
        <v>723</v>
      </c>
      <c r="N627" s="13">
        <v>217</v>
      </c>
      <c r="O627" s="13">
        <v>34</v>
      </c>
      <c r="P627" s="13">
        <v>1</v>
      </c>
      <c r="Q627" s="13">
        <v>65</v>
      </c>
      <c r="R627" s="13">
        <v>0</v>
      </c>
      <c r="S627" s="13">
        <v>0</v>
      </c>
      <c r="T627" s="23">
        <v>46247.556655092594</v>
      </c>
      <c r="U627" s="55">
        <f t="shared" si="27"/>
        <v>1</v>
      </c>
      <c r="V627" s="55">
        <f t="shared" si="28"/>
        <v>0</v>
      </c>
      <c r="W627" s="56">
        <f t="shared" si="29"/>
        <v>1093</v>
      </c>
    </row>
    <row r="628" spans="1:23" x14ac:dyDescent="0.3">
      <c r="A628" s="13" t="str" cm="1">
        <f t="array" ref="A628:B628">INDEX(BenchmarkResults!$B$1:$D$35,SUMPRODUCT((T628&gt;=BenchmarkResults!$F$3:$F$35)*(mongodb_hardware_log!T628&lt;BenchmarkResults!$G$3:$G$35)*ROW(BenchmarkResults!$F$3:$F$35)),{1,3})</f>
        <v>q2_avg_order_city</v>
      </c>
      <c r="B628">
        <v>1</v>
      </c>
      <c r="C628" s="13">
        <v>1</v>
      </c>
      <c r="D628" s="13">
        <v>0</v>
      </c>
      <c r="E628" s="13">
        <v>134656</v>
      </c>
      <c r="F628" s="13">
        <v>345652</v>
      </c>
      <c r="G628" s="13">
        <v>4288</v>
      </c>
      <c r="H628" s="13">
        <v>2070256</v>
      </c>
      <c r="I628" s="13">
        <v>0</v>
      </c>
      <c r="J628" s="13">
        <v>0</v>
      </c>
      <c r="K628" s="13">
        <v>1190</v>
      </c>
      <c r="L628" s="13">
        <v>17</v>
      </c>
      <c r="M628" s="13">
        <v>742</v>
      </c>
      <c r="N628" s="13">
        <v>231</v>
      </c>
      <c r="O628" s="13">
        <v>33</v>
      </c>
      <c r="P628" s="13">
        <v>1</v>
      </c>
      <c r="Q628" s="13">
        <v>64</v>
      </c>
      <c r="R628" s="13">
        <v>1</v>
      </c>
      <c r="S628" s="13">
        <v>1</v>
      </c>
      <c r="T628" s="23">
        <v>46247.556770833333</v>
      </c>
      <c r="U628" s="55">
        <f t="shared" si="27"/>
        <v>1</v>
      </c>
      <c r="V628" s="55">
        <f t="shared" si="28"/>
        <v>0</v>
      </c>
      <c r="W628" s="56">
        <f t="shared" si="29"/>
        <v>1115.8333333333333</v>
      </c>
    </row>
    <row r="629" spans="1:23" x14ac:dyDescent="0.3">
      <c r="A629" s="13" t="str" cm="1">
        <f t="array" ref="A629:B629">INDEX(BenchmarkResults!$B$1:$D$35,SUMPRODUCT((T629&gt;=BenchmarkResults!$F$3:$F$35)*(mongodb_hardware_log!T629&lt;BenchmarkResults!$G$3:$G$35)*ROW(BenchmarkResults!$F$3:$F$35)),{1,3})</f>
        <v>q2_avg_order_city</v>
      </c>
      <c r="B629">
        <v>1</v>
      </c>
      <c r="C629" s="13">
        <v>2</v>
      </c>
      <c r="D629" s="13">
        <v>0</v>
      </c>
      <c r="E629" s="13">
        <v>134656</v>
      </c>
      <c r="F629" s="13">
        <v>328012</v>
      </c>
      <c r="G629" s="13">
        <v>4304</v>
      </c>
      <c r="H629" s="13">
        <v>2079900</v>
      </c>
      <c r="I629" s="13">
        <v>0</v>
      </c>
      <c r="J629" s="13">
        <v>0</v>
      </c>
      <c r="K629" s="13">
        <v>962</v>
      </c>
      <c r="L629" s="13">
        <v>20</v>
      </c>
      <c r="M629" s="13">
        <v>739</v>
      </c>
      <c r="N629" s="13">
        <v>238</v>
      </c>
      <c r="O629" s="13">
        <v>32</v>
      </c>
      <c r="P629" s="13">
        <v>1</v>
      </c>
      <c r="Q629" s="13">
        <v>64</v>
      </c>
      <c r="R629" s="13">
        <v>1</v>
      </c>
      <c r="S629" s="13">
        <v>1</v>
      </c>
      <c r="T629" s="23">
        <v>46247.556886574072</v>
      </c>
      <c r="U629" s="55">
        <f t="shared" si="27"/>
        <v>1.1666666666666667</v>
      </c>
      <c r="V629" s="55">
        <f t="shared" si="28"/>
        <v>0</v>
      </c>
      <c r="W629" s="56">
        <f t="shared" si="29"/>
        <v>1107.3333333333333</v>
      </c>
    </row>
    <row r="630" spans="1:23" x14ac:dyDescent="0.3">
      <c r="A630" s="13" t="str" cm="1">
        <f t="array" ref="A630:B630">INDEX(BenchmarkResults!$B$1:$D$35,SUMPRODUCT((T630&gt;=BenchmarkResults!$F$3:$F$35)*(mongodb_hardware_log!T630&lt;BenchmarkResults!$G$3:$G$35)*ROW(BenchmarkResults!$F$3:$F$35)),{1,3})</f>
        <v>q2_avg_order_city</v>
      </c>
      <c r="B630">
        <v>1</v>
      </c>
      <c r="C630" s="13">
        <v>1</v>
      </c>
      <c r="D630" s="13">
        <v>0</v>
      </c>
      <c r="E630" s="13">
        <v>134656</v>
      </c>
      <c r="F630" s="13">
        <v>313900</v>
      </c>
      <c r="G630" s="13">
        <v>4328</v>
      </c>
      <c r="H630" s="13">
        <v>2088428</v>
      </c>
      <c r="I630" s="13">
        <v>0</v>
      </c>
      <c r="J630" s="13">
        <v>0</v>
      </c>
      <c r="K630" s="13">
        <v>856</v>
      </c>
      <c r="L630" s="13">
        <v>45</v>
      </c>
      <c r="M630" s="13">
        <v>725</v>
      </c>
      <c r="N630" s="13">
        <v>211</v>
      </c>
      <c r="O630" s="13">
        <v>33</v>
      </c>
      <c r="P630" s="13">
        <v>1</v>
      </c>
      <c r="Q630" s="13">
        <v>65</v>
      </c>
      <c r="R630" s="13">
        <v>0</v>
      </c>
      <c r="S630" s="13">
        <v>1</v>
      </c>
      <c r="T630" s="23">
        <v>46247.557002314818</v>
      </c>
      <c r="U630" s="55">
        <f t="shared" si="27"/>
        <v>1.1666666666666667</v>
      </c>
      <c r="V630" s="55">
        <f t="shared" si="28"/>
        <v>0</v>
      </c>
      <c r="W630" s="56">
        <f t="shared" si="29"/>
        <v>1005.3333333333334</v>
      </c>
    </row>
    <row r="631" spans="1:23" x14ac:dyDescent="0.3">
      <c r="A631" s="13" t="str" cm="1">
        <f t="array" ref="A631:B631">INDEX(BenchmarkResults!$B$1:$D$35,SUMPRODUCT((T631&gt;=BenchmarkResults!$F$3:$F$35)*(mongodb_hardware_log!T631&lt;BenchmarkResults!$G$3:$G$35)*ROW(BenchmarkResults!$F$3:$F$35)),{1,3})</f>
        <v>q2_avg_order_city</v>
      </c>
      <c r="B631">
        <v>1</v>
      </c>
      <c r="C631" s="13">
        <v>1</v>
      </c>
      <c r="D631" s="13">
        <v>0</v>
      </c>
      <c r="E631" s="13">
        <v>134656</v>
      </c>
      <c r="F631" s="13">
        <v>312892</v>
      </c>
      <c r="G631" s="13">
        <v>4336</v>
      </c>
      <c r="H631" s="13">
        <v>2099856</v>
      </c>
      <c r="I631" s="13">
        <v>0</v>
      </c>
      <c r="J631" s="13">
        <v>0</v>
      </c>
      <c r="K631" s="13">
        <v>1135</v>
      </c>
      <c r="L631" s="13">
        <v>7</v>
      </c>
      <c r="M631" s="13">
        <v>712</v>
      </c>
      <c r="N631" s="13">
        <v>206</v>
      </c>
      <c r="O631" s="13">
        <v>33</v>
      </c>
      <c r="P631" s="13">
        <v>1</v>
      </c>
      <c r="Q631" s="13">
        <v>65</v>
      </c>
      <c r="R631" s="13">
        <v>1</v>
      </c>
      <c r="S631" s="13">
        <v>0</v>
      </c>
      <c r="T631" s="23">
        <v>46247.557118055556</v>
      </c>
      <c r="U631" s="55">
        <f t="shared" si="27"/>
        <v>1.1666666666666667</v>
      </c>
      <c r="V631" s="55">
        <f t="shared" si="28"/>
        <v>0</v>
      </c>
      <c r="W631" s="56">
        <f t="shared" si="29"/>
        <v>1028.6666666666667</v>
      </c>
    </row>
    <row r="632" spans="1:23" x14ac:dyDescent="0.3">
      <c r="A632" s="13" t="str" cm="1">
        <f t="array" ref="A632:B632">INDEX(BenchmarkResults!$B$1:$D$35,SUMPRODUCT((T632&gt;=BenchmarkResults!$F$3:$F$35)*(mongodb_hardware_log!T632&lt;BenchmarkResults!$G$3:$G$35)*ROW(BenchmarkResults!$F$3:$F$35)),{1,3})</f>
        <v>q2_avg_order_city</v>
      </c>
      <c r="B632">
        <v>1</v>
      </c>
      <c r="C632" s="13">
        <v>3</v>
      </c>
      <c r="D632" s="13">
        <v>0</v>
      </c>
      <c r="E632" s="13">
        <v>134400</v>
      </c>
      <c r="F632" s="13">
        <v>297268</v>
      </c>
      <c r="G632" s="13">
        <v>4344</v>
      </c>
      <c r="H632" s="13">
        <v>2109556</v>
      </c>
      <c r="I632" s="13">
        <v>0</v>
      </c>
      <c r="J632" s="13">
        <v>0</v>
      </c>
      <c r="K632" s="13">
        <v>981</v>
      </c>
      <c r="L632" s="13">
        <v>14</v>
      </c>
      <c r="M632" s="13">
        <v>719</v>
      </c>
      <c r="N632" s="13">
        <v>220</v>
      </c>
      <c r="O632" s="13">
        <v>34</v>
      </c>
      <c r="P632" s="13">
        <v>1</v>
      </c>
      <c r="Q632" s="13">
        <v>65</v>
      </c>
      <c r="R632" s="13">
        <v>0</v>
      </c>
      <c r="S632" s="13">
        <v>0</v>
      </c>
      <c r="T632" s="23">
        <v>46247.557233796295</v>
      </c>
      <c r="U632" s="55">
        <f t="shared" si="27"/>
        <v>1.5</v>
      </c>
      <c r="V632" s="55">
        <f t="shared" si="28"/>
        <v>0</v>
      </c>
      <c r="W632" s="56">
        <f t="shared" si="29"/>
        <v>1025</v>
      </c>
    </row>
    <row r="633" spans="1:23" x14ac:dyDescent="0.3">
      <c r="A633" s="13" t="str" cm="1">
        <f t="array" ref="A633:B633">INDEX(BenchmarkResults!$B$1:$D$35,SUMPRODUCT((T633&gt;=BenchmarkResults!$F$3:$F$35)*(mongodb_hardware_log!T633&lt;BenchmarkResults!$G$3:$G$35)*ROW(BenchmarkResults!$F$3:$F$35)),{1,3})</f>
        <v>q2_avg_order_city</v>
      </c>
      <c r="B633">
        <v>1</v>
      </c>
      <c r="C633" s="13">
        <v>1</v>
      </c>
      <c r="D633" s="13">
        <v>0</v>
      </c>
      <c r="E633" s="13">
        <v>134400</v>
      </c>
      <c r="F633" s="13">
        <v>290212</v>
      </c>
      <c r="G633" s="13">
        <v>4352</v>
      </c>
      <c r="H633" s="13">
        <v>2123008</v>
      </c>
      <c r="I633" s="13">
        <v>0</v>
      </c>
      <c r="J633" s="13">
        <v>0</v>
      </c>
      <c r="K633" s="13">
        <v>1347</v>
      </c>
      <c r="L633" s="13">
        <v>10</v>
      </c>
      <c r="M633" s="13">
        <v>715</v>
      </c>
      <c r="N633" s="13">
        <v>209</v>
      </c>
      <c r="O633" s="13">
        <v>33</v>
      </c>
      <c r="P633" s="13">
        <v>1</v>
      </c>
      <c r="Q633" s="13">
        <v>65</v>
      </c>
      <c r="R633" s="13">
        <v>0</v>
      </c>
      <c r="S633" s="13">
        <v>0</v>
      </c>
      <c r="T633" s="23">
        <v>46247.557349537034</v>
      </c>
      <c r="U633" s="55">
        <f t="shared" si="27"/>
        <v>1.5</v>
      </c>
      <c r="V633" s="55">
        <f t="shared" si="28"/>
        <v>0</v>
      </c>
      <c r="W633" s="56">
        <f t="shared" si="29"/>
        <v>1078.5</v>
      </c>
    </row>
    <row r="634" spans="1:23" x14ac:dyDescent="0.3">
      <c r="A634" s="13" t="str" cm="1">
        <f t="array" ref="A634:B634">INDEX(BenchmarkResults!$B$1:$D$35,SUMPRODUCT((T634&gt;=BenchmarkResults!$F$3:$F$35)*(mongodb_hardware_log!T634&lt;BenchmarkResults!$G$3:$G$35)*ROW(BenchmarkResults!$F$3:$F$35)),{1,3})</f>
        <v>q2_avg_order_city</v>
      </c>
      <c r="B634">
        <v>1</v>
      </c>
      <c r="C634" s="13">
        <v>1</v>
      </c>
      <c r="D634" s="13">
        <v>0</v>
      </c>
      <c r="E634" s="13">
        <v>134400</v>
      </c>
      <c r="F634" s="13">
        <v>282148</v>
      </c>
      <c r="G634" s="13">
        <v>4360</v>
      </c>
      <c r="H634" s="13">
        <v>2133044</v>
      </c>
      <c r="I634" s="13">
        <v>0</v>
      </c>
      <c r="J634" s="13">
        <v>0</v>
      </c>
      <c r="K634" s="13">
        <v>1004</v>
      </c>
      <c r="L634" s="13">
        <v>11</v>
      </c>
      <c r="M634" s="13">
        <v>709</v>
      </c>
      <c r="N634" s="13">
        <v>205</v>
      </c>
      <c r="O634" s="13">
        <v>33</v>
      </c>
      <c r="P634" s="13">
        <v>1</v>
      </c>
      <c r="Q634" s="13">
        <v>65</v>
      </c>
      <c r="R634" s="13">
        <v>0</v>
      </c>
      <c r="S634" s="13">
        <v>0</v>
      </c>
      <c r="T634" s="23">
        <v>46247.55746527778</v>
      </c>
      <c r="U634" s="55">
        <f t="shared" si="27"/>
        <v>1.5</v>
      </c>
      <c r="V634" s="55">
        <f t="shared" si="28"/>
        <v>0</v>
      </c>
      <c r="W634" s="56">
        <f t="shared" si="29"/>
        <v>1047.5</v>
      </c>
    </row>
    <row r="635" spans="1:23" x14ac:dyDescent="0.3">
      <c r="A635" s="13" t="str" cm="1">
        <f t="array" ref="A635:B635">INDEX(BenchmarkResults!$B$1:$D$35,SUMPRODUCT((T635&gt;=BenchmarkResults!$F$3:$F$35)*(mongodb_hardware_log!T635&lt;BenchmarkResults!$G$3:$G$35)*ROW(BenchmarkResults!$F$3:$F$35)),{1,3})</f>
        <v>q2_avg_order_city</v>
      </c>
      <c r="B635">
        <v>1</v>
      </c>
      <c r="C635" s="13">
        <v>1</v>
      </c>
      <c r="D635" s="13">
        <v>0</v>
      </c>
      <c r="E635" s="13">
        <v>134400</v>
      </c>
      <c r="F635" s="13">
        <v>269548</v>
      </c>
      <c r="G635" s="13">
        <v>4368</v>
      </c>
      <c r="H635" s="13">
        <v>2144076</v>
      </c>
      <c r="I635" s="13">
        <v>0</v>
      </c>
      <c r="J635" s="13">
        <v>0</v>
      </c>
      <c r="K635" s="13">
        <v>1098</v>
      </c>
      <c r="L635" s="13">
        <v>11</v>
      </c>
      <c r="M635" s="13">
        <v>742</v>
      </c>
      <c r="N635" s="13">
        <v>235</v>
      </c>
      <c r="O635" s="13">
        <v>33</v>
      </c>
      <c r="P635" s="13">
        <v>1</v>
      </c>
      <c r="Q635" s="13">
        <v>65</v>
      </c>
      <c r="R635" s="13">
        <v>1</v>
      </c>
      <c r="S635" s="13">
        <v>0</v>
      </c>
      <c r="T635" s="23">
        <v>46247.557581018518</v>
      </c>
      <c r="U635" s="55">
        <f t="shared" si="27"/>
        <v>1.3333333333333333</v>
      </c>
      <c r="V635" s="55">
        <f t="shared" si="28"/>
        <v>0</v>
      </c>
      <c r="W635" s="56">
        <f t="shared" si="29"/>
        <v>1070.1666666666667</v>
      </c>
    </row>
    <row r="636" spans="1:23" x14ac:dyDescent="0.3">
      <c r="A636" s="13" t="str" cm="1">
        <f t="array" ref="A636:B636">INDEX(BenchmarkResults!$B$1:$D$35,SUMPRODUCT((T636&gt;=BenchmarkResults!$F$3:$F$35)*(mongodb_hardware_log!T636&lt;BenchmarkResults!$G$3:$G$35)*ROW(BenchmarkResults!$F$3:$F$35)),{1,3})</f>
        <v>q2_avg_order_city</v>
      </c>
      <c r="B636">
        <v>1</v>
      </c>
      <c r="C636" s="13">
        <v>1</v>
      </c>
      <c r="D636" s="13">
        <v>0</v>
      </c>
      <c r="E636" s="13">
        <v>134400</v>
      </c>
      <c r="F636" s="13">
        <v>261988</v>
      </c>
      <c r="G636" s="13">
        <v>4392</v>
      </c>
      <c r="H636" s="13">
        <v>2152388</v>
      </c>
      <c r="I636" s="13">
        <v>0</v>
      </c>
      <c r="J636" s="13">
        <v>0</v>
      </c>
      <c r="K636" s="13">
        <v>828</v>
      </c>
      <c r="L636" s="13">
        <v>30</v>
      </c>
      <c r="M636" s="13">
        <v>805</v>
      </c>
      <c r="N636" s="13">
        <v>307</v>
      </c>
      <c r="O636" s="13">
        <v>33</v>
      </c>
      <c r="P636" s="13">
        <v>1</v>
      </c>
      <c r="Q636" s="13">
        <v>65</v>
      </c>
      <c r="R636" s="13">
        <v>0</v>
      </c>
      <c r="S636" s="13">
        <v>0</v>
      </c>
      <c r="T636" s="23">
        <v>46247.557696759257</v>
      </c>
      <c r="U636" s="55">
        <f t="shared" si="27"/>
        <v>1.3333333333333333</v>
      </c>
      <c r="V636" s="55">
        <f t="shared" si="28"/>
        <v>0</v>
      </c>
      <c r="W636" s="56">
        <f t="shared" si="29"/>
        <v>1065.5</v>
      </c>
    </row>
    <row r="637" spans="1:23" x14ac:dyDescent="0.3">
      <c r="A637" s="13" t="str" cm="1">
        <f t="array" ref="A637:B637">INDEX(BenchmarkResults!$B$1:$D$35,SUMPRODUCT((T637&gt;=BenchmarkResults!$F$3:$F$35)*(mongodb_hardware_log!T637&lt;BenchmarkResults!$G$3:$G$35)*ROW(BenchmarkResults!$F$3:$F$35)),{1,3})</f>
        <v>q2_avg_order_city</v>
      </c>
      <c r="B637">
        <v>1</v>
      </c>
      <c r="C637" s="13">
        <v>1</v>
      </c>
      <c r="D637" s="13">
        <v>0</v>
      </c>
      <c r="E637" s="13">
        <v>134400</v>
      </c>
      <c r="F637" s="13">
        <v>249892</v>
      </c>
      <c r="G637" s="13">
        <v>4400</v>
      </c>
      <c r="H637" s="13">
        <v>2162460</v>
      </c>
      <c r="I637" s="13">
        <v>0</v>
      </c>
      <c r="J637" s="13">
        <v>0</v>
      </c>
      <c r="K637" s="13">
        <v>1008</v>
      </c>
      <c r="L637" s="13">
        <v>8</v>
      </c>
      <c r="M637" s="13">
        <v>727</v>
      </c>
      <c r="N637" s="13">
        <v>215</v>
      </c>
      <c r="O637" s="13">
        <v>33</v>
      </c>
      <c r="P637" s="13">
        <v>1</v>
      </c>
      <c r="Q637" s="13">
        <v>65</v>
      </c>
      <c r="R637" s="13">
        <v>1</v>
      </c>
      <c r="S637" s="13">
        <v>0</v>
      </c>
      <c r="T637" s="23">
        <v>46247.557812500003</v>
      </c>
      <c r="U637" s="55">
        <f t="shared" si="27"/>
        <v>1.3333333333333333</v>
      </c>
      <c r="V637" s="55">
        <f t="shared" si="28"/>
        <v>0</v>
      </c>
      <c r="W637" s="56">
        <f t="shared" si="29"/>
        <v>1044.3333333333333</v>
      </c>
    </row>
    <row r="638" spans="1:23" x14ac:dyDescent="0.3">
      <c r="A638" s="13" t="str" cm="1">
        <f t="array" ref="A638:B638">INDEX(BenchmarkResults!$B$1:$D$35,SUMPRODUCT((T638&gt;=BenchmarkResults!$F$3:$F$35)*(mongodb_hardware_log!T638&lt;BenchmarkResults!$G$3:$G$35)*ROW(BenchmarkResults!$F$3:$F$35)),{1,3})</f>
        <v>q2_avg_order_city</v>
      </c>
      <c r="B638">
        <v>1</v>
      </c>
      <c r="C638" s="13">
        <v>2</v>
      </c>
      <c r="D638" s="13">
        <v>0</v>
      </c>
      <c r="E638" s="13">
        <v>134400</v>
      </c>
      <c r="F638" s="13">
        <v>127816</v>
      </c>
      <c r="G638" s="13">
        <v>4408</v>
      </c>
      <c r="H638" s="13">
        <v>1608724</v>
      </c>
      <c r="I638" s="13">
        <v>0</v>
      </c>
      <c r="J638" s="13">
        <v>0</v>
      </c>
      <c r="K638" s="13">
        <v>766</v>
      </c>
      <c r="L638" s="13">
        <v>26</v>
      </c>
      <c r="M638" s="13">
        <v>928</v>
      </c>
      <c r="N638" s="13">
        <v>347</v>
      </c>
      <c r="O638" s="13">
        <v>35</v>
      </c>
      <c r="P638" s="13">
        <v>7</v>
      </c>
      <c r="Q638" s="13">
        <v>57</v>
      </c>
      <c r="R638" s="13">
        <v>0</v>
      </c>
      <c r="S638" s="13">
        <v>0</v>
      </c>
      <c r="T638" s="23">
        <v>46247.557928240742</v>
      </c>
      <c r="U638" s="55">
        <f t="shared" si="27"/>
        <v>1.1666666666666667</v>
      </c>
      <c r="V638" s="55">
        <f t="shared" si="28"/>
        <v>0</v>
      </c>
      <c r="W638" s="56">
        <f t="shared" si="29"/>
        <v>1008.5</v>
      </c>
    </row>
    <row r="639" spans="1:23" x14ac:dyDescent="0.3">
      <c r="A639" s="13" t="str" cm="1">
        <f t="array" ref="A639:B639">INDEX(BenchmarkResults!$B$1:$D$35,SUMPRODUCT((T639&gt;=BenchmarkResults!$F$3:$F$35)*(mongodb_hardware_log!T639&lt;BenchmarkResults!$G$3:$G$35)*ROW(BenchmarkResults!$F$3:$F$35)),{1,3})</f>
        <v>q2_avg_order_city</v>
      </c>
      <c r="B639">
        <v>1</v>
      </c>
      <c r="C639" s="13">
        <v>1</v>
      </c>
      <c r="D639" s="13">
        <v>0</v>
      </c>
      <c r="E639" s="13">
        <v>134400</v>
      </c>
      <c r="F639" s="13">
        <v>818164</v>
      </c>
      <c r="G639" s="13">
        <v>4416</v>
      </c>
      <c r="H639" s="13">
        <v>1576292</v>
      </c>
      <c r="I639" s="13">
        <v>0</v>
      </c>
      <c r="J639" s="13">
        <v>0</v>
      </c>
      <c r="K639" s="13">
        <v>1060</v>
      </c>
      <c r="L639" s="13">
        <v>16</v>
      </c>
      <c r="M639" s="13">
        <v>824</v>
      </c>
      <c r="N639" s="13">
        <v>363</v>
      </c>
      <c r="O639" s="13">
        <v>34</v>
      </c>
      <c r="P639" s="13">
        <v>2</v>
      </c>
      <c r="Q639" s="13">
        <v>64</v>
      </c>
      <c r="R639" s="13">
        <v>0</v>
      </c>
      <c r="S639" s="13">
        <v>0</v>
      </c>
      <c r="T639" s="23">
        <v>46247.55804398148</v>
      </c>
      <c r="U639" s="55">
        <f t="shared" si="27"/>
        <v>1.1666666666666667</v>
      </c>
      <c r="V639" s="55">
        <f t="shared" si="28"/>
        <v>0</v>
      </c>
      <c r="W639" s="56">
        <f t="shared" si="29"/>
        <v>960.66666666666663</v>
      </c>
    </row>
    <row r="640" spans="1:23" x14ac:dyDescent="0.3">
      <c r="A640" s="13" t="str" cm="1">
        <f t="array" ref="A640:B640">INDEX(BenchmarkResults!$B$1:$D$35,SUMPRODUCT((T640&gt;=BenchmarkResults!$F$3:$F$35)*(mongodb_hardware_log!T640&lt;BenchmarkResults!$G$3:$G$35)*ROW(BenchmarkResults!$F$3:$F$35)),{1,3})</f>
        <v>q2_avg_order_city</v>
      </c>
      <c r="B640">
        <v>1</v>
      </c>
      <c r="C640" s="13">
        <v>1</v>
      </c>
      <c r="D640" s="13">
        <v>0</v>
      </c>
      <c r="E640" s="13">
        <v>134400</v>
      </c>
      <c r="F640" s="13">
        <v>810352</v>
      </c>
      <c r="G640" s="13">
        <v>4424</v>
      </c>
      <c r="H640" s="13">
        <v>1583720</v>
      </c>
      <c r="I640" s="13">
        <v>0</v>
      </c>
      <c r="J640" s="13">
        <v>0</v>
      </c>
      <c r="K640" s="13">
        <v>740</v>
      </c>
      <c r="L640" s="13">
        <v>12</v>
      </c>
      <c r="M640" s="13">
        <v>716</v>
      </c>
      <c r="N640" s="13">
        <v>212</v>
      </c>
      <c r="O640" s="13">
        <v>33</v>
      </c>
      <c r="P640" s="13">
        <v>1</v>
      </c>
      <c r="Q640" s="13">
        <v>65</v>
      </c>
      <c r="R640" s="13">
        <v>0</v>
      </c>
      <c r="S640" s="13">
        <v>0</v>
      </c>
      <c r="T640" s="23">
        <v>46247.558159722219</v>
      </c>
      <c r="U640" s="55">
        <f t="shared" si="27"/>
        <v>1.1666666666666667</v>
      </c>
      <c r="V640" s="55">
        <f t="shared" si="28"/>
        <v>0</v>
      </c>
      <c r="W640" s="56">
        <f t="shared" si="29"/>
        <v>916.66666666666663</v>
      </c>
    </row>
    <row r="641" spans="1:23" x14ac:dyDescent="0.3">
      <c r="A641" s="13" t="str" cm="1">
        <f t="array" ref="A641:B641">INDEX(BenchmarkResults!$B$1:$D$35,SUMPRODUCT((T641&gt;=BenchmarkResults!$F$3:$F$35)*(mongodb_hardware_log!T641&lt;BenchmarkResults!$G$3:$G$35)*ROW(BenchmarkResults!$F$3:$F$35)),{1,3})</f>
        <v>q2_avg_order_city</v>
      </c>
      <c r="B641">
        <v>1</v>
      </c>
      <c r="C641" s="13">
        <v>1</v>
      </c>
      <c r="D641" s="13">
        <v>0</v>
      </c>
      <c r="E641" s="13">
        <v>134400</v>
      </c>
      <c r="F641" s="13">
        <v>799012</v>
      </c>
      <c r="G641" s="13">
        <v>4432</v>
      </c>
      <c r="H641" s="13">
        <v>1594616</v>
      </c>
      <c r="I641" s="13">
        <v>0</v>
      </c>
      <c r="J641" s="13">
        <v>0</v>
      </c>
      <c r="K641" s="13">
        <v>1092</v>
      </c>
      <c r="L641" s="13">
        <v>14</v>
      </c>
      <c r="M641" s="13">
        <v>721</v>
      </c>
      <c r="N641" s="13">
        <v>223</v>
      </c>
      <c r="O641" s="13">
        <v>33</v>
      </c>
      <c r="P641" s="13">
        <v>1</v>
      </c>
      <c r="Q641" s="13">
        <v>65</v>
      </c>
      <c r="R641" s="13">
        <v>0</v>
      </c>
      <c r="S641" s="13">
        <v>0</v>
      </c>
      <c r="T641" s="23">
        <v>46247.558275462965</v>
      </c>
      <c r="U641" s="55">
        <f t="shared" si="27"/>
        <v>1.1666666666666667</v>
      </c>
      <c r="V641" s="55">
        <f t="shared" si="28"/>
        <v>0</v>
      </c>
      <c r="W641" s="56">
        <f t="shared" si="29"/>
        <v>915.66666666666663</v>
      </c>
    </row>
    <row r="642" spans="1:23" x14ac:dyDescent="0.3">
      <c r="A642" s="13" t="str" cm="1">
        <f t="array" ref="A642:B642">INDEX(BenchmarkResults!$B$1:$D$35,SUMPRODUCT((T642&gt;=BenchmarkResults!$F$3:$F$35)*(mongodb_hardware_log!T642&lt;BenchmarkResults!$G$3:$G$35)*ROW(BenchmarkResults!$F$3:$F$35)),{1,3})</f>
        <v>q2_avg_order_city</v>
      </c>
      <c r="B642">
        <v>1</v>
      </c>
      <c r="C642" s="13">
        <v>1</v>
      </c>
      <c r="D642" s="13">
        <v>0</v>
      </c>
      <c r="E642" s="13">
        <v>134400</v>
      </c>
      <c r="F642" s="13">
        <v>779104</v>
      </c>
      <c r="G642" s="13">
        <v>4472</v>
      </c>
      <c r="H642" s="13">
        <v>1606008</v>
      </c>
      <c r="I642" s="13">
        <v>0</v>
      </c>
      <c r="J642" s="13">
        <v>0</v>
      </c>
      <c r="K642" s="13">
        <v>1132</v>
      </c>
      <c r="L642" s="13">
        <v>44</v>
      </c>
      <c r="M642" s="13">
        <v>732</v>
      </c>
      <c r="N642" s="13">
        <v>229</v>
      </c>
      <c r="O642" s="13">
        <v>33</v>
      </c>
      <c r="P642" s="13">
        <v>1</v>
      </c>
      <c r="Q642" s="13">
        <v>65</v>
      </c>
      <c r="R642" s="13">
        <v>0</v>
      </c>
      <c r="S642" s="13">
        <v>0</v>
      </c>
      <c r="T642" s="23">
        <v>46247.558391203704</v>
      </c>
      <c r="U642" s="55">
        <f t="shared" si="27"/>
        <v>1.1666666666666667</v>
      </c>
      <c r="V642" s="55">
        <f t="shared" si="28"/>
        <v>0</v>
      </c>
      <c r="W642" s="56">
        <f t="shared" si="29"/>
        <v>966.33333333333337</v>
      </c>
    </row>
    <row r="643" spans="1:23" x14ac:dyDescent="0.3">
      <c r="A643" s="13" t="str" cm="1">
        <f t="array" ref="A643:B643">INDEX(BenchmarkResults!$B$1:$D$35,SUMPRODUCT((T643&gt;=BenchmarkResults!$F$3:$F$35)*(mongodb_hardware_log!T643&lt;BenchmarkResults!$G$3:$G$35)*ROW(BenchmarkResults!$F$3:$F$35)),{1,3})</f>
        <v>q2_avg_order_city</v>
      </c>
      <c r="B643">
        <v>1</v>
      </c>
      <c r="C643" s="13">
        <v>1</v>
      </c>
      <c r="D643" s="13">
        <v>0</v>
      </c>
      <c r="E643" s="13">
        <v>134400</v>
      </c>
      <c r="F643" s="13">
        <v>770684</v>
      </c>
      <c r="G643" s="13">
        <v>4480</v>
      </c>
      <c r="H643" s="13">
        <v>1619632</v>
      </c>
      <c r="I643" s="13">
        <v>0</v>
      </c>
      <c r="J643" s="13">
        <v>0</v>
      </c>
      <c r="K643" s="13">
        <v>1358</v>
      </c>
      <c r="L643" s="13">
        <v>2</v>
      </c>
      <c r="M643" s="13">
        <v>733</v>
      </c>
      <c r="N643" s="13">
        <v>227</v>
      </c>
      <c r="O643" s="13">
        <v>33</v>
      </c>
      <c r="P643" s="13">
        <v>1</v>
      </c>
      <c r="Q643" s="13">
        <v>65</v>
      </c>
      <c r="R643" s="13">
        <v>1</v>
      </c>
      <c r="S643" s="13">
        <v>0</v>
      </c>
      <c r="T643" s="23">
        <v>46247.558506944442</v>
      </c>
      <c r="U643" s="55">
        <f t="shared" si="27"/>
        <v>1.1666666666666667</v>
      </c>
      <c r="V643" s="55">
        <f t="shared" si="28"/>
        <v>0</v>
      </c>
      <c r="W643" s="56">
        <f t="shared" si="29"/>
        <v>1024.6666666666667</v>
      </c>
    </row>
    <row r="644" spans="1:23" x14ac:dyDescent="0.3">
      <c r="A644" s="13" t="str" cm="1">
        <f t="array" ref="A644:B644">INDEX(BenchmarkResults!$B$1:$D$35,SUMPRODUCT((T644&gt;=BenchmarkResults!$F$3:$F$35)*(mongodb_hardware_log!T644&lt;BenchmarkResults!$G$3:$G$35)*ROW(BenchmarkResults!$F$3:$F$35)),{1,3})</f>
        <v>q2_avg_order_city</v>
      </c>
      <c r="B644">
        <v>1</v>
      </c>
      <c r="C644" s="13">
        <v>1</v>
      </c>
      <c r="D644" s="13">
        <v>0</v>
      </c>
      <c r="E644" s="13">
        <v>134400</v>
      </c>
      <c r="F644" s="13">
        <v>759880</v>
      </c>
      <c r="G644" s="13">
        <v>4496</v>
      </c>
      <c r="H644" s="13">
        <v>1630340</v>
      </c>
      <c r="I644" s="13">
        <v>0</v>
      </c>
      <c r="J644" s="13">
        <v>0</v>
      </c>
      <c r="K644" s="13">
        <v>1072</v>
      </c>
      <c r="L644" s="13">
        <v>34</v>
      </c>
      <c r="M644" s="13">
        <v>741</v>
      </c>
      <c r="N644" s="13">
        <v>236</v>
      </c>
      <c r="O644" s="13">
        <v>33</v>
      </c>
      <c r="P644" s="13">
        <v>1</v>
      </c>
      <c r="Q644" s="13">
        <v>65</v>
      </c>
      <c r="R644" s="13">
        <v>0</v>
      </c>
      <c r="S644" s="13">
        <v>0</v>
      </c>
      <c r="T644" s="23">
        <v>46247.558622685188</v>
      </c>
      <c r="U644" s="55">
        <f t="shared" si="27"/>
        <v>1</v>
      </c>
      <c r="V644" s="55">
        <f t="shared" si="28"/>
        <v>0</v>
      </c>
      <c r="W644" s="56">
        <f t="shared" si="29"/>
        <v>1075.6666666666667</v>
      </c>
    </row>
    <row r="645" spans="1:23" x14ac:dyDescent="0.3">
      <c r="A645" s="13" t="str" cm="1">
        <f t="array" ref="A645:B645">INDEX(BenchmarkResults!$B$1:$D$35,SUMPRODUCT((T645&gt;=BenchmarkResults!$F$3:$F$35)*(mongodb_hardware_log!T645&lt;BenchmarkResults!$G$3:$G$35)*ROW(BenchmarkResults!$F$3:$F$35)),{1,3})</f>
        <v>q2_avg_order_city</v>
      </c>
      <c r="B645">
        <v>1</v>
      </c>
      <c r="C645" s="13">
        <v>1</v>
      </c>
      <c r="D645" s="13">
        <v>0</v>
      </c>
      <c r="E645" s="13">
        <v>134400</v>
      </c>
      <c r="F645" s="13">
        <v>759880</v>
      </c>
      <c r="G645" s="13">
        <v>4504</v>
      </c>
      <c r="H645" s="13">
        <v>1640752</v>
      </c>
      <c r="I645" s="13">
        <v>0</v>
      </c>
      <c r="J645" s="13">
        <v>0</v>
      </c>
      <c r="K645" s="13">
        <v>1033</v>
      </c>
      <c r="L645" s="13">
        <v>10</v>
      </c>
      <c r="M645" s="13">
        <v>710</v>
      </c>
      <c r="N645" s="13">
        <v>205</v>
      </c>
      <c r="O645" s="13">
        <v>33</v>
      </c>
      <c r="P645" s="13">
        <v>1</v>
      </c>
      <c r="Q645" s="13">
        <v>65</v>
      </c>
      <c r="R645" s="13">
        <v>0</v>
      </c>
      <c r="S645" s="13">
        <v>0</v>
      </c>
      <c r="T645" s="23">
        <v>46247.558738425927</v>
      </c>
      <c r="U645" s="55">
        <f t="shared" si="27"/>
        <v>1</v>
      </c>
      <c r="V645" s="55">
        <f t="shared" si="28"/>
        <v>0</v>
      </c>
      <c r="W645" s="56">
        <f t="shared" si="29"/>
        <v>1071.1666666666667</v>
      </c>
    </row>
    <row r="646" spans="1:23" x14ac:dyDescent="0.3">
      <c r="A646" s="13" t="str" cm="1">
        <f t="array" ref="A646:B646">INDEX(BenchmarkResults!$B$1:$D$35,SUMPRODUCT((T646&gt;=BenchmarkResults!$F$3:$F$35)*(mongodb_hardware_log!T646&lt;BenchmarkResults!$G$3:$G$35)*ROW(BenchmarkResults!$F$3:$F$35)),{1,3})</f>
        <v>q2_avg_order_city</v>
      </c>
      <c r="B646">
        <v>1</v>
      </c>
      <c r="C646" s="13">
        <v>1</v>
      </c>
      <c r="D646" s="13">
        <v>0</v>
      </c>
      <c r="E646" s="13">
        <v>134400</v>
      </c>
      <c r="F646" s="13">
        <v>749044</v>
      </c>
      <c r="G646" s="13">
        <v>4512</v>
      </c>
      <c r="H646" s="13">
        <v>1651316</v>
      </c>
      <c r="I646" s="13">
        <v>0</v>
      </c>
      <c r="J646" s="13">
        <v>0</v>
      </c>
      <c r="K646" s="13">
        <v>1054</v>
      </c>
      <c r="L646" s="13">
        <v>8</v>
      </c>
      <c r="M646" s="13">
        <v>710</v>
      </c>
      <c r="N646" s="13">
        <v>208</v>
      </c>
      <c r="O646" s="13">
        <v>33</v>
      </c>
      <c r="P646" s="13">
        <v>1</v>
      </c>
      <c r="Q646" s="13">
        <v>65</v>
      </c>
      <c r="R646" s="13">
        <v>0</v>
      </c>
      <c r="S646" s="13">
        <v>0</v>
      </c>
      <c r="T646" s="23">
        <v>46247.558854166666</v>
      </c>
      <c r="U646" s="55">
        <f t="shared" si="27"/>
        <v>1</v>
      </c>
      <c r="V646" s="55">
        <f t="shared" si="28"/>
        <v>0</v>
      </c>
      <c r="W646" s="56">
        <f t="shared" si="29"/>
        <v>1123.5</v>
      </c>
    </row>
    <row r="647" spans="1:23" x14ac:dyDescent="0.3">
      <c r="A647" s="13" t="str" cm="1">
        <f t="array" ref="A647:B647">INDEX(BenchmarkResults!$B$1:$D$35,SUMPRODUCT((T647&gt;=BenchmarkResults!$F$3:$F$35)*(mongodb_hardware_log!T647&lt;BenchmarkResults!$G$3:$G$35)*ROW(BenchmarkResults!$F$3:$F$35)),{1,3})</f>
        <v>q2_avg_order_city</v>
      </c>
      <c r="B647">
        <v>1</v>
      </c>
      <c r="C647" s="13">
        <v>1</v>
      </c>
      <c r="D647" s="13">
        <v>0</v>
      </c>
      <c r="E647" s="13">
        <v>134400</v>
      </c>
      <c r="F647" s="13">
        <v>738208</v>
      </c>
      <c r="G647" s="13">
        <v>4520</v>
      </c>
      <c r="H647" s="13">
        <v>1661880</v>
      </c>
      <c r="I647" s="13">
        <v>0</v>
      </c>
      <c r="J647" s="13">
        <v>0</v>
      </c>
      <c r="K647" s="13">
        <v>1058</v>
      </c>
      <c r="L647" s="13">
        <v>8</v>
      </c>
      <c r="M647" s="13">
        <v>728</v>
      </c>
      <c r="N647" s="13">
        <v>228</v>
      </c>
      <c r="O647" s="13">
        <v>33</v>
      </c>
      <c r="P647" s="13">
        <v>1</v>
      </c>
      <c r="Q647" s="13">
        <v>65</v>
      </c>
      <c r="R647" s="13">
        <v>1</v>
      </c>
      <c r="S647" s="13">
        <v>0</v>
      </c>
      <c r="T647" s="23">
        <v>46247.558969907404</v>
      </c>
      <c r="U647" s="55">
        <f t="shared" si="27"/>
        <v>1</v>
      </c>
      <c r="V647" s="55">
        <f t="shared" si="28"/>
        <v>0</v>
      </c>
      <c r="W647" s="56">
        <f t="shared" si="29"/>
        <v>1117.8333333333333</v>
      </c>
    </row>
    <row r="648" spans="1:23" x14ac:dyDescent="0.3">
      <c r="A648" s="13" t="str" cm="1">
        <f t="array" ref="A648:B648">INDEX(BenchmarkResults!$B$1:$D$35,SUMPRODUCT((T648&gt;=BenchmarkResults!$F$3:$F$35)*(mongodb_hardware_log!T648&lt;BenchmarkResults!$G$3:$G$35)*ROW(BenchmarkResults!$F$3:$F$35)),{1,3})</f>
        <v>q2_avg_order_city</v>
      </c>
      <c r="B648">
        <v>1</v>
      </c>
      <c r="C648" s="13">
        <v>1</v>
      </c>
      <c r="D648" s="13">
        <v>0</v>
      </c>
      <c r="E648" s="13">
        <v>134400</v>
      </c>
      <c r="F648" s="13">
        <v>727628</v>
      </c>
      <c r="G648" s="13">
        <v>4552</v>
      </c>
      <c r="H648" s="13">
        <v>1671924</v>
      </c>
      <c r="I648" s="13">
        <v>0</v>
      </c>
      <c r="J648" s="13">
        <v>0</v>
      </c>
      <c r="K648" s="13">
        <v>997</v>
      </c>
      <c r="L648" s="13">
        <v>35</v>
      </c>
      <c r="M648" s="13">
        <v>740</v>
      </c>
      <c r="N648" s="13">
        <v>230</v>
      </c>
      <c r="O648" s="13">
        <v>34</v>
      </c>
      <c r="P648" s="13">
        <v>1</v>
      </c>
      <c r="Q648" s="13">
        <v>64</v>
      </c>
      <c r="R648" s="13">
        <v>1</v>
      </c>
      <c r="S648" s="13">
        <v>0</v>
      </c>
      <c r="T648" s="23">
        <v>46247.55908564815</v>
      </c>
      <c r="U648" s="55">
        <f t="shared" si="27"/>
        <v>1</v>
      </c>
      <c r="V648" s="55">
        <f t="shared" si="28"/>
        <v>0</v>
      </c>
      <c r="W648" s="56">
        <f t="shared" si="29"/>
        <v>1095.3333333333333</v>
      </c>
    </row>
    <row r="649" spans="1:23" x14ac:dyDescent="0.3">
      <c r="A649" s="13" t="str" cm="1">
        <f t="array" ref="A649:B649">INDEX(BenchmarkResults!$B$1:$D$35,SUMPRODUCT((T649&gt;=BenchmarkResults!$F$3:$F$35)*(mongodb_hardware_log!T649&lt;BenchmarkResults!$G$3:$G$35)*ROW(BenchmarkResults!$F$3:$F$35)),{1,3})</f>
        <v>q2_avg_order_city</v>
      </c>
      <c r="B649">
        <v>1</v>
      </c>
      <c r="C649" s="13">
        <v>1</v>
      </c>
      <c r="D649" s="13">
        <v>0</v>
      </c>
      <c r="E649" s="13">
        <v>134400</v>
      </c>
      <c r="F649" s="13">
        <v>717296</v>
      </c>
      <c r="G649" s="13">
        <v>4560</v>
      </c>
      <c r="H649" s="13">
        <v>1681872</v>
      </c>
      <c r="I649" s="13">
        <v>0</v>
      </c>
      <c r="J649" s="13">
        <v>0</v>
      </c>
      <c r="K649" s="13">
        <v>990</v>
      </c>
      <c r="L649" s="13">
        <v>5</v>
      </c>
      <c r="M649" s="13">
        <v>751</v>
      </c>
      <c r="N649" s="13">
        <v>251</v>
      </c>
      <c r="O649" s="13">
        <v>33</v>
      </c>
      <c r="P649" s="13">
        <v>1</v>
      </c>
      <c r="Q649" s="13">
        <v>65</v>
      </c>
      <c r="R649" s="13">
        <v>0</v>
      </c>
      <c r="S649" s="13">
        <v>0</v>
      </c>
      <c r="T649" s="23">
        <v>46247.559201388889</v>
      </c>
      <c r="U649" s="55">
        <f t="shared" ref="U649:U712" si="30">AVERAGE(C644:C649)</f>
        <v>1</v>
      </c>
      <c r="V649" s="55">
        <f t="shared" ref="V649:V712" si="31">AVERAGE(D644:D649)</f>
        <v>0</v>
      </c>
      <c r="W649" s="56">
        <f t="shared" ref="W649:W712" si="32">AVERAGE(K644:K649)</f>
        <v>1034</v>
      </c>
    </row>
    <row r="650" spans="1:23" x14ac:dyDescent="0.3">
      <c r="A650" s="13" t="str" cm="1">
        <f t="array" ref="A650:B650">INDEX(BenchmarkResults!$B$1:$D$35,SUMPRODUCT((T650&gt;=BenchmarkResults!$F$3:$F$35)*(mongodb_hardware_log!T650&lt;BenchmarkResults!$G$3:$G$35)*ROW(BenchmarkResults!$F$3:$F$35)),{1,3})</f>
        <v>q2_avg_order_city</v>
      </c>
      <c r="B650">
        <v>1</v>
      </c>
      <c r="C650" s="13">
        <v>1</v>
      </c>
      <c r="D650" s="13">
        <v>0</v>
      </c>
      <c r="E650" s="13">
        <v>134400</v>
      </c>
      <c r="F650" s="13">
        <v>697388</v>
      </c>
      <c r="G650" s="13">
        <v>4576</v>
      </c>
      <c r="H650" s="13">
        <v>1696504</v>
      </c>
      <c r="I650" s="13">
        <v>0</v>
      </c>
      <c r="J650" s="13">
        <v>0</v>
      </c>
      <c r="K650" s="13">
        <v>1465</v>
      </c>
      <c r="L650" s="13">
        <v>27</v>
      </c>
      <c r="M650" s="13">
        <v>712</v>
      </c>
      <c r="N650" s="13">
        <v>214</v>
      </c>
      <c r="O650" s="13">
        <v>33</v>
      </c>
      <c r="P650" s="13">
        <v>1</v>
      </c>
      <c r="Q650" s="13">
        <v>65</v>
      </c>
      <c r="R650" s="13">
        <v>0</v>
      </c>
      <c r="S650" s="13">
        <v>0</v>
      </c>
      <c r="T650" s="23">
        <v>46247.559317129628</v>
      </c>
      <c r="U650" s="55">
        <f t="shared" si="30"/>
        <v>1</v>
      </c>
      <c r="V650" s="55">
        <f t="shared" si="31"/>
        <v>0</v>
      </c>
      <c r="W650" s="56">
        <f t="shared" si="32"/>
        <v>1099.5</v>
      </c>
    </row>
    <row r="651" spans="1:23" x14ac:dyDescent="0.3">
      <c r="A651" s="13" t="str" cm="1">
        <f t="array" ref="A651:B651">INDEX(BenchmarkResults!$B$1:$D$35,SUMPRODUCT((T651&gt;=BenchmarkResults!$F$3:$F$35)*(mongodb_hardware_log!T651&lt;BenchmarkResults!$G$3:$G$35)*ROW(BenchmarkResults!$F$3:$F$35)),{1,3})</f>
        <v>q2_avg_order_city</v>
      </c>
      <c r="B651">
        <v>1</v>
      </c>
      <c r="C651" s="13">
        <v>1</v>
      </c>
      <c r="D651" s="13">
        <v>0</v>
      </c>
      <c r="E651" s="13">
        <v>134400</v>
      </c>
      <c r="F651" s="13">
        <v>689072</v>
      </c>
      <c r="G651" s="13">
        <v>4584</v>
      </c>
      <c r="H651" s="13">
        <v>1706300</v>
      </c>
      <c r="I651" s="13">
        <v>0</v>
      </c>
      <c r="J651" s="13">
        <v>0</v>
      </c>
      <c r="K651" s="13">
        <v>979</v>
      </c>
      <c r="L651" s="13">
        <v>5</v>
      </c>
      <c r="M651" s="13">
        <v>700</v>
      </c>
      <c r="N651" s="13">
        <v>199</v>
      </c>
      <c r="O651" s="13">
        <v>33</v>
      </c>
      <c r="P651" s="13">
        <v>1</v>
      </c>
      <c r="Q651" s="13">
        <v>65</v>
      </c>
      <c r="R651" s="13">
        <v>0</v>
      </c>
      <c r="S651" s="13">
        <v>0</v>
      </c>
      <c r="T651" s="23">
        <v>46247.559432870374</v>
      </c>
      <c r="U651" s="55">
        <f t="shared" si="30"/>
        <v>1</v>
      </c>
      <c r="V651" s="55">
        <f t="shared" si="31"/>
        <v>0</v>
      </c>
      <c r="W651" s="56">
        <f t="shared" si="32"/>
        <v>1090.5</v>
      </c>
    </row>
    <row r="652" spans="1:23" x14ac:dyDescent="0.3">
      <c r="A652" s="13" t="str" cm="1">
        <f t="array" ref="A652:B652">INDEX(BenchmarkResults!$B$1:$D$35,SUMPRODUCT((T652&gt;=BenchmarkResults!$F$3:$F$35)*(mongodb_hardware_log!T652&lt;BenchmarkResults!$G$3:$G$35)*ROW(BenchmarkResults!$F$3:$F$35)),{1,3})</f>
        <v>q2_avg_order_city</v>
      </c>
      <c r="B652">
        <v>1</v>
      </c>
      <c r="C652" s="13">
        <v>1</v>
      </c>
      <c r="D652" s="13">
        <v>0</v>
      </c>
      <c r="E652" s="13">
        <v>134400</v>
      </c>
      <c r="F652" s="13">
        <v>682520</v>
      </c>
      <c r="G652" s="13">
        <v>4592</v>
      </c>
      <c r="H652" s="13">
        <v>1716696</v>
      </c>
      <c r="I652" s="13">
        <v>0</v>
      </c>
      <c r="J652" s="13">
        <v>0</v>
      </c>
      <c r="K652" s="13">
        <v>1045</v>
      </c>
      <c r="L652" s="13">
        <v>14</v>
      </c>
      <c r="M652" s="13">
        <v>711</v>
      </c>
      <c r="N652" s="13">
        <v>206</v>
      </c>
      <c r="O652" s="13">
        <v>33</v>
      </c>
      <c r="P652" s="13">
        <v>1</v>
      </c>
      <c r="Q652" s="13">
        <v>65</v>
      </c>
      <c r="R652" s="13">
        <v>0</v>
      </c>
      <c r="S652" s="13">
        <v>0</v>
      </c>
      <c r="T652" s="23">
        <v>46247.559548611112</v>
      </c>
      <c r="U652" s="55">
        <f t="shared" si="30"/>
        <v>1</v>
      </c>
      <c r="V652" s="55">
        <f t="shared" si="31"/>
        <v>0</v>
      </c>
      <c r="W652" s="56">
        <f t="shared" si="32"/>
        <v>1089</v>
      </c>
    </row>
    <row r="653" spans="1:23" x14ac:dyDescent="0.3">
      <c r="A653" s="13" t="str" cm="1">
        <f t="array" ref="A653:B653">INDEX(BenchmarkResults!$B$1:$D$35,SUMPRODUCT((T653&gt;=BenchmarkResults!$F$3:$F$35)*(mongodb_hardware_log!T653&lt;BenchmarkResults!$G$3:$G$35)*ROW(BenchmarkResults!$F$3:$F$35)),{1,3})</f>
        <v>q2_avg_order_city</v>
      </c>
      <c r="B653">
        <v>1</v>
      </c>
      <c r="C653" s="13">
        <v>1</v>
      </c>
      <c r="D653" s="13">
        <v>0</v>
      </c>
      <c r="E653" s="13">
        <v>134400</v>
      </c>
      <c r="F653" s="13">
        <v>670928</v>
      </c>
      <c r="G653" s="13">
        <v>4608</v>
      </c>
      <c r="H653" s="13">
        <v>1726616</v>
      </c>
      <c r="I653" s="13">
        <v>14</v>
      </c>
      <c r="J653" s="13">
        <v>0</v>
      </c>
      <c r="K653" s="13">
        <v>999</v>
      </c>
      <c r="L653" s="13">
        <v>21</v>
      </c>
      <c r="M653" s="13">
        <v>726</v>
      </c>
      <c r="N653" s="13">
        <v>235</v>
      </c>
      <c r="O653" s="13">
        <v>34</v>
      </c>
      <c r="P653" s="13">
        <v>1</v>
      </c>
      <c r="Q653" s="13">
        <v>65</v>
      </c>
      <c r="R653" s="13">
        <v>0</v>
      </c>
      <c r="S653" s="13">
        <v>0</v>
      </c>
      <c r="T653" s="23">
        <v>46247.559664351851</v>
      </c>
      <c r="U653" s="55">
        <f t="shared" si="30"/>
        <v>1</v>
      </c>
      <c r="V653" s="55">
        <f t="shared" si="31"/>
        <v>0</v>
      </c>
      <c r="W653" s="56">
        <f t="shared" si="32"/>
        <v>1079.1666666666667</v>
      </c>
    </row>
    <row r="654" spans="1:23" x14ac:dyDescent="0.3">
      <c r="A654" s="13" t="str" cm="1">
        <f t="array" ref="A654:B654">INDEX(BenchmarkResults!$B$1:$D$35,SUMPRODUCT((T654&gt;=BenchmarkResults!$F$3:$F$35)*(mongodb_hardware_log!T654&lt;BenchmarkResults!$G$3:$G$35)*ROW(BenchmarkResults!$F$3:$F$35)),{1,3})</f>
        <v>q2_avg_order_city</v>
      </c>
      <c r="B654">
        <v>1</v>
      </c>
      <c r="C654" s="13">
        <v>1</v>
      </c>
      <c r="D654" s="13">
        <v>0</v>
      </c>
      <c r="E654" s="13">
        <v>134400</v>
      </c>
      <c r="F654" s="13">
        <v>659336</v>
      </c>
      <c r="G654" s="13">
        <v>4640</v>
      </c>
      <c r="H654" s="13">
        <v>1739752</v>
      </c>
      <c r="I654" s="13">
        <v>0</v>
      </c>
      <c r="J654" s="13">
        <v>0</v>
      </c>
      <c r="K654" s="13">
        <v>1313</v>
      </c>
      <c r="L654" s="13">
        <v>25</v>
      </c>
      <c r="M654" s="13">
        <v>732</v>
      </c>
      <c r="N654" s="13">
        <v>220</v>
      </c>
      <c r="O654" s="13">
        <v>33</v>
      </c>
      <c r="P654" s="13">
        <v>1</v>
      </c>
      <c r="Q654" s="13">
        <v>65</v>
      </c>
      <c r="R654" s="13">
        <v>1</v>
      </c>
      <c r="S654" s="13">
        <v>0</v>
      </c>
      <c r="T654" s="23">
        <v>46247.55978009259</v>
      </c>
      <c r="U654" s="55">
        <f t="shared" si="30"/>
        <v>1</v>
      </c>
      <c r="V654" s="55">
        <f t="shared" si="31"/>
        <v>0</v>
      </c>
      <c r="W654" s="56">
        <f t="shared" si="32"/>
        <v>1131.8333333333333</v>
      </c>
    </row>
    <row r="655" spans="1:23" x14ac:dyDescent="0.3">
      <c r="A655" s="13" t="str" cm="1">
        <f t="array" ref="A655:B655">INDEX(BenchmarkResults!$B$1:$D$35,SUMPRODUCT((T655&gt;=BenchmarkResults!$F$3:$F$35)*(mongodb_hardware_log!T655&lt;BenchmarkResults!$G$3:$G$35)*ROW(BenchmarkResults!$F$3:$F$35)),{1,3})</f>
        <v>q2_avg_order_city</v>
      </c>
      <c r="B655">
        <v>1</v>
      </c>
      <c r="C655" s="13">
        <v>1</v>
      </c>
      <c r="D655" s="13">
        <v>0</v>
      </c>
      <c r="E655" s="13">
        <v>134400</v>
      </c>
      <c r="F655" s="13">
        <v>652280</v>
      </c>
      <c r="G655" s="13">
        <v>4648</v>
      </c>
      <c r="H655" s="13">
        <v>1747860</v>
      </c>
      <c r="I655" s="13">
        <v>0</v>
      </c>
      <c r="J655" s="13">
        <v>0</v>
      </c>
      <c r="K655" s="13">
        <v>809</v>
      </c>
      <c r="L655" s="13">
        <v>14</v>
      </c>
      <c r="M655" s="13">
        <v>711</v>
      </c>
      <c r="N655" s="13">
        <v>205</v>
      </c>
      <c r="O655" s="13">
        <v>33</v>
      </c>
      <c r="P655" s="13">
        <v>1</v>
      </c>
      <c r="Q655" s="13">
        <v>65</v>
      </c>
      <c r="R655" s="13">
        <v>0</v>
      </c>
      <c r="S655" s="13">
        <v>0</v>
      </c>
      <c r="T655" s="23">
        <v>46247.559895833336</v>
      </c>
      <c r="U655" s="55">
        <f t="shared" si="30"/>
        <v>1</v>
      </c>
      <c r="V655" s="55">
        <f t="shared" si="31"/>
        <v>0</v>
      </c>
      <c r="W655" s="56">
        <f t="shared" si="32"/>
        <v>1101.6666666666667</v>
      </c>
    </row>
    <row r="656" spans="1:23" x14ac:dyDescent="0.3">
      <c r="A656" s="13" t="str" cm="1">
        <f t="array" ref="A656:B656">INDEX(BenchmarkResults!$B$1:$D$35,SUMPRODUCT((T656&gt;=BenchmarkResults!$F$3:$F$35)*(mongodb_hardware_log!T656&lt;BenchmarkResults!$G$3:$G$35)*ROW(BenchmarkResults!$F$3:$F$35)),{1,3})</f>
        <v>q2_avg_order_city</v>
      </c>
      <c r="B656">
        <v>1</v>
      </c>
      <c r="C656" s="13">
        <v>1</v>
      </c>
      <c r="D656" s="13">
        <v>0</v>
      </c>
      <c r="E656" s="13">
        <v>134400</v>
      </c>
      <c r="F656" s="13">
        <v>636404</v>
      </c>
      <c r="G656" s="13">
        <v>4656</v>
      </c>
      <c r="H656" s="13">
        <v>1757380</v>
      </c>
      <c r="I656" s="13">
        <v>0</v>
      </c>
      <c r="J656" s="13">
        <v>0</v>
      </c>
      <c r="K656" s="13">
        <v>952</v>
      </c>
      <c r="L656" s="13">
        <v>10</v>
      </c>
      <c r="M656" s="13">
        <v>700</v>
      </c>
      <c r="N656" s="13">
        <v>198</v>
      </c>
      <c r="O656" s="13">
        <v>33</v>
      </c>
      <c r="P656" s="13">
        <v>1</v>
      </c>
      <c r="Q656" s="13">
        <v>65</v>
      </c>
      <c r="R656" s="13">
        <v>0</v>
      </c>
      <c r="S656" s="13">
        <v>0</v>
      </c>
      <c r="T656" s="23">
        <v>46247.560011574074</v>
      </c>
      <c r="U656" s="55">
        <f t="shared" si="30"/>
        <v>1</v>
      </c>
      <c r="V656" s="55">
        <f t="shared" si="31"/>
        <v>0</v>
      </c>
      <c r="W656" s="56">
        <f t="shared" si="32"/>
        <v>1016.1666666666666</v>
      </c>
    </row>
    <row r="657" spans="1:23" x14ac:dyDescent="0.3">
      <c r="A657" s="13" t="str" cm="1">
        <f t="array" ref="A657:B657">INDEX(BenchmarkResults!$B$1:$D$35,SUMPRODUCT((T657&gt;=BenchmarkResults!$F$3:$F$35)*(mongodb_hardware_log!T657&lt;BenchmarkResults!$G$3:$G$35)*ROW(BenchmarkResults!$F$3:$F$35)),{1,3})</f>
        <v>q2_avg_order_city</v>
      </c>
      <c r="B657">
        <v>1</v>
      </c>
      <c r="C657" s="13">
        <v>1</v>
      </c>
      <c r="D657" s="13">
        <v>0</v>
      </c>
      <c r="E657" s="13">
        <v>134400</v>
      </c>
      <c r="F657" s="13">
        <v>624560</v>
      </c>
      <c r="G657" s="13">
        <v>4664</v>
      </c>
      <c r="H657" s="13">
        <v>1770564</v>
      </c>
      <c r="I657" s="13">
        <v>0</v>
      </c>
      <c r="J657" s="13">
        <v>0</v>
      </c>
      <c r="K657" s="13">
        <v>1321</v>
      </c>
      <c r="L657" s="13">
        <v>10</v>
      </c>
      <c r="M657" s="13">
        <v>725</v>
      </c>
      <c r="N657" s="13">
        <v>219</v>
      </c>
      <c r="O657" s="13">
        <v>33</v>
      </c>
      <c r="P657" s="13">
        <v>1</v>
      </c>
      <c r="Q657" s="13">
        <v>65</v>
      </c>
      <c r="R657" s="13">
        <v>1</v>
      </c>
      <c r="S657" s="13">
        <v>0</v>
      </c>
      <c r="T657" s="23">
        <v>46247.560127314813</v>
      </c>
      <c r="U657" s="55">
        <f t="shared" si="30"/>
        <v>1</v>
      </c>
      <c r="V657" s="55">
        <f t="shared" si="31"/>
        <v>0</v>
      </c>
      <c r="W657" s="56">
        <f t="shared" si="32"/>
        <v>1073.1666666666667</v>
      </c>
    </row>
    <row r="658" spans="1:23" x14ac:dyDescent="0.3">
      <c r="A658" s="13" t="str" cm="1">
        <f t="array" ref="A658:B658">INDEX(BenchmarkResults!$B$1:$D$35,SUMPRODUCT((T658&gt;=BenchmarkResults!$F$3:$F$35)*(mongodb_hardware_log!T658&lt;BenchmarkResults!$G$3:$G$35)*ROW(BenchmarkResults!$F$3:$F$35)),{1,3})</f>
        <v>q2_avg_order_city</v>
      </c>
      <c r="B658">
        <v>1</v>
      </c>
      <c r="C658" s="13">
        <v>1</v>
      </c>
      <c r="D658" s="13">
        <v>0</v>
      </c>
      <c r="E658" s="13">
        <v>134400</v>
      </c>
      <c r="F658" s="13">
        <v>621600</v>
      </c>
      <c r="G658" s="13">
        <v>4672</v>
      </c>
      <c r="H658" s="13">
        <v>1780268</v>
      </c>
      <c r="I658" s="13">
        <v>0</v>
      </c>
      <c r="J658" s="13">
        <v>0</v>
      </c>
      <c r="K658" s="13">
        <v>972</v>
      </c>
      <c r="L658" s="13">
        <v>11</v>
      </c>
      <c r="M658" s="13">
        <v>751</v>
      </c>
      <c r="N658" s="13">
        <v>256</v>
      </c>
      <c r="O658" s="13">
        <v>34</v>
      </c>
      <c r="P658" s="13">
        <v>2</v>
      </c>
      <c r="Q658" s="13">
        <v>64</v>
      </c>
      <c r="R658" s="13">
        <v>0</v>
      </c>
      <c r="S658" s="13">
        <v>0</v>
      </c>
      <c r="T658" s="23">
        <v>46247.560243055559</v>
      </c>
      <c r="U658" s="55">
        <f t="shared" si="30"/>
        <v>1</v>
      </c>
      <c r="V658" s="55">
        <f t="shared" si="31"/>
        <v>0</v>
      </c>
      <c r="W658" s="56">
        <f t="shared" si="32"/>
        <v>1061</v>
      </c>
    </row>
    <row r="659" spans="1:23" x14ac:dyDescent="0.3">
      <c r="A659" s="13" t="str" cm="1">
        <f t="array" ref="A659:B659">INDEX(BenchmarkResults!$B$1:$D$35,SUMPRODUCT((T659&gt;=BenchmarkResults!$F$3:$F$35)*(mongodb_hardware_log!T659&lt;BenchmarkResults!$G$3:$G$35)*ROW(BenchmarkResults!$F$3:$F$35)),{1,3})</f>
        <v>q2_avg_order_city</v>
      </c>
      <c r="B659">
        <v>1</v>
      </c>
      <c r="C659" s="13">
        <v>1</v>
      </c>
      <c r="D659" s="13">
        <v>0</v>
      </c>
      <c r="E659" s="13">
        <v>134400</v>
      </c>
      <c r="F659" s="13">
        <v>613924</v>
      </c>
      <c r="G659" s="13">
        <v>4688</v>
      </c>
      <c r="H659" s="13">
        <v>1789136</v>
      </c>
      <c r="I659" s="13">
        <v>0</v>
      </c>
      <c r="J659" s="13">
        <v>0</v>
      </c>
      <c r="K659" s="13">
        <v>886</v>
      </c>
      <c r="L659" s="13">
        <v>21</v>
      </c>
      <c r="M659" s="13">
        <v>722</v>
      </c>
      <c r="N659" s="13">
        <v>235</v>
      </c>
      <c r="O659" s="13">
        <v>34</v>
      </c>
      <c r="P659" s="13">
        <v>1</v>
      </c>
      <c r="Q659" s="13">
        <v>64</v>
      </c>
      <c r="R659" s="13">
        <v>0</v>
      </c>
      <c r="S659" s="13">
        <v>0</v>
      </c>
      <c r="T659" s="23">
        <v>46247.560358796298</v>
      </c>
      <c r="U659" s="55">
        <f t="shared" si="30"/>
        <v>1</v>
      </c>
      <c r="V659" s="55">
        <f t="shared" si="31"/>
        <v>0</v>
      </c>
      <c r="W659" s="56">
        <f t="shared" si="32"/>
        <v>1042.1666666666667</v>
      </c>
    </row>
    <row r="660" spans="1:23" x14ac:dyDescent="0.3">
      <c r="A660" s="13" t="str" cm="1">
        <f t="array" ref="A660:B660">INDEX(BenchmarkResults!$B$1:$D$35,SUMPRODUCT((T660&gt;=BenchmarkResults!$F$3:$F$35)*(mongodb_hardware_log!T660&lt;BenchmarkResults!$G$3:$G$35)*ROW(BenchmarkResults!$F$3:$F$35)),{1,3})</f>
        <v>q2_avg_order_city</v>
      </c>
      <c r="B660">
        <v>1</v>
      </c>
      <c r="C660" s="13">
        <v>1</v>
      </c>
      <c r="D660" s="13">
        <v>0</v>
      </c>
      <c r="E660" s="13">
        <v>134400</v>
      </c>
      <c r="F660" s="13">
        <v>598048</v>
      </c>
      <c r="G660" s="13">
        <v>4720</v>
      </c>
      <c r="H660" s="13">
        <v>1799220</v>
      </c>
      <c r="I660" s="13">
        <v>0</v>
      </c>
      <c r="J660" s="13">
        <v>0</v>
      </c>
      <c r="K660" s="13">
        <v>1009</v>
      </c>
      <c r="L660" s="13">
        <v>24</v>
      </c>
      <c r="M660" s="13">
        <v>727</v>
      </c>
      <c r="N660" s="13">
        <v>216</v>
      </c>
      <c r="O660" s="13">
        <v>33</v>
      </c>
      <c r="P660" s="13">
        <v>1</v>
      </c>
      <c r="Q660" s="13">
        <v>65</v>
      </c>
      <c r="R660" s="13">
        <v>0</v>
      </c>
      <c r="S660" s="13">
        <v>0</v>
      </c>
      <c r="T660" s="23">
        <v>46247.560474537036</v>
      </c>
      <c r="U660" s="55">
        <f t="shared" si="30"/>
        <v>1</v>
      </c>
      <c r="V660" s="55">
        <f t="shared" si="31"/>
        <v>0</v>
      </c>
      <c r="W660" s="56">
        <f t="shared" si="32"/>
        <v>991.5</v>
      </c>
    </row>
    <row r="661" spans="1:23" x14ac:dyDescent="0.3">
      <c r="A661" s="13" t="str" cm="1">
        <f t="array" ref="A661:B661">INDEX(BenchmarkResults!$B$1:$D$35,SUMPRODUCT((T661&gt;=BenchmarkResults!$F$3:$F$35)*(mongodb_hardware_log!T661&lt;BenchmarkResults!$G$3:$G$35)*ROW(BenchmarkResults!$F$3:$F$35)),{1,3})</f>
        <v>q2_avg_order_city</v>
      </c>
      <c r="B661">
        <v>1</v>
      </c>
      <c r="C661" s="13">
        <v>2</v>
      </c>
      <c r="D661" s="13">
        <v>0</v>
      </c>
      <c r="E661" s="13">
        <v>134400</v>
      </c>
      <c r="F661" s="13">
        <v>590236</v>
      </c>
      <c r="G661" s="13">
        <v>4728</v>
      </c>
      <c r="H661" s="13">
        <v>1807688</v>
      </c>
      <c r="I661" s="13">
        <v>0</v>
      </c>
      <c r="J661" s="13">
        <v>0</v>
      </c>
      <c r="K661" s="13">
        <v>851</v>
      </c>
      <c r="L661" s="13">
        <v>37</v>
      </c>
      <c r="M661" s="13">
        <v>728</v>
      </c>
      <c r="N661" s="13">
        <v>207</v>
      </c>
      <c r="O661" s="13">
        <v>32</v>
      </c>
      <c r="P661" s="13">
        <v>1</v>
      </c>
      <c r="Q661" s="13">
        <v>63</v>
      </c>
      <c r="R661" s="13">
        <v>1</v>
      </c>
      <c r="S661" s="13">
        <v>3</v>
      </c>
      <c r="T661" s="23">
        <v>46247.560590277775</v>
      </c>
      <c r="U661" s="55">
        <f t="shared" si="30"/>
        <v>1.1666666666666667</v>
      </c>
      <c r="V661" s="55">
        <f t="shared" si="31"/>
        <v>0</v>
      </c>
      <c r="W661" s="56">
        <f t="shared" si="32"/>
        <v>998.5</v>
      </c>
    </row>
    <row r="662" spans="1:23" x14ac:dyDescent="0.3">
      <c r="A662" s="13" t="str" cm="1">
        <f t="array" ref="A662:B662">INDEX(BenchmarkResults!$B$1:$D$35,SUMPRODUCT((T662&gt;=BenchmarkResults!$F$3:$F$35)*(mongodb_hardware_log!T662&lt;BenchmarkResults!$G$3:$G$35)*ROW(BenchmarkResults!$F$3:$F$35)),{1,3})</f>
        <v>q2_avg_order_city</v>
      </c>
      <c r="B662">
        <v>1</v>
      </c>
      <c r="C662" s="13">
        <v>1</v>
      </c>
      <c r="D662" s="13">
        <v>0</v>
      </c>
      <c r="E662" s="13">
        <v>134400</v>
      </c>
      <c r="F662" s="13">
        <v>582676</v>
      </c>
      <c r="G662" s="13">
        <v>4736</v>
      </c>
      <c r="H662" s="13">
        <v>1814248</v>
      </c>
      <c r="I662" s="13">
        <v>0</v>
      </c>
      <c r="J662" s="13">
        <v>0</v>
      </c>
      <c r="K662" s="13">
        <v>650</v>
      </c>
      <c r="L662" s="13">
        <v>21</v>
      </c>
      <c r="M662" s="13">
        <v>709</v>
      </c>
      <c r="N662" s="13">
        <v>201</v>
      </c>
      <c r="O662" s="13">
        <v>33</v>
      </c>
      <c r="P662" s="13">
        <v>1</v>
      </c>
      <c r="Q662" s="13">
        <v>64</v>
      </c>
      <c r="R662" s="13">
        <v>0</v>
      </c>
      <c r="S662" s="13">
        <v>1</v>
      </c>
      <c r="T662" s="23">
        <v>46247.560706018521</v>
      </c>
      <c r="U662" s="55">
        <f t="shared" si="30"/>
        <v>1.1666666666666667</v>
      </c>
      <c r="V662" s="55">
        <f t="shared" si="31"/>
        <v>0</v>
      </c>
      <c r="W662" s="56">
        <f t="shared" si="32"/>
        <v>948.16666666666663</v>
      </c>
    </row>
    <row r="663" spans="1:23" x14ac:dyDescent="0.3">
      <c r="A663" s="13" t="str" cm="1">
        <f t="array" ref="A663:B663">INDEX(BenchmarkResults!$B$1:$D$35,SUMPRODUCT((T663&gt;=BenchmarkResults!$F$3:$F$35)*(mongodb_hardware_log!T663&lt;BenchmarkResults!$G$3:$G$35)*ROW(BenchmarkResults!$F$3:$F$35)),{1,3})</f>
        <v>q2_avg_order_city</v>
      </c>
      <c r="B663">
        <v>1</v>
      </c>
      <c r="C663" s="13">
        <v>1</v>
      </c>
      <c r="D663" s="13">
        <v>0</v>
      </c>
      <c r="E663" s="13">
        <v>134400</v>
      </c>
      <c r="F663" s="13">
        <v>574612</v>
      </c>
      <c r="G663" s="13">
        <v>4744</v>
      </c>
      <c r="H663" s="13">
        <v>1822720</v>
      </c>
      <c r="I663" s="13">
        <v>0</v>
      </c>
      <c r="J663" s="13">
        <v>0</v>
      </c>
      <c r="K663" s="13">
        <v>844</v>
      </c>
      <c r="L663" s="13">
        <v>10</v>
      </c>
      <c r="M663" s="13">
        <v>707</v>
      </c>
      <c r="N663" s="13">
        <v>207</v>
      </c>
      <c r="O663" s="13">
        <v>33</v>
      </c>
      <c r="P663" s="13">
        <v>1</v>
      </c>
      <c r="Q663" s="13">
        <v>65</v>
      </c>
      <c r="R663" s="13">
        <v>0</v>
      </c>
      <c r="S663" s="13">
        <v>0</v>
      </c>
      <c r="T663" s="23">
        <v>46247.56082175926</v>
      </c>
      <c r="U663" s="55">
        <f t="shared" si="30"/>
        <v>1.1666666666666667</v>
      </c>
      <c r="V663" s="55">
        <f t="shared" si="31"/>
        <v>0</v>
      </c>
      <c r="W663" s="56">
        <f t="shared" si="32"/>
        <v>868.66666666666663</v>
      </c>
    </row>
    <row r="664" spans="1:23" x14ac:dyDescent="0.3">
      <c r="A664" s="13" t="str" cm="1">
        <f t="array" ref="A664:B664">INDEX(BenchmarkResults!$B$1:$D$35,SUMPRODUCT((T664&gt;=BenchmarkResults!$F$3:$F$35)*(mongodb_hardware_log!T664&lt;BenchmarkResults!$G$3:$G$35)*ROW(BenchmarkResults!$F$3:$F$35)),{1,3})</f>
        <v>q2_avg_order_city</v>
      </c>
      <c r="B664">
        <v>1</v>
      </c>
      <c r="C664" s="13">
        <v>1</v>
      </c>
      <c r="D664" s="13">
        <v>0</v>
      </c>
      <c r="E664" s="13">
        <v>134400</v>
      </c>
      <c r="F664" s="13">
        <v>563020</v>
      </c>
      <c r="G664" s="13">
        <v>4752</v>
      </c>
      <c r="H664" s="13">
        <v>1836920</v>
      </c>
      <c r="I664" s="13">
        <v>0</v>
      </c>
      <c r="J664" s="13">
        <v>0</v>
      </c>
      <c r="K664" s="13">
        <v>1422</v>
      </c>
      <c r="L664" s="13">
        <v>11</v>
      </c>
      <c r="M664" s="13">
        <v>726</v>
      </c>
      <c r="N664" s="13">
        <v>226</v>
      </c>
      <c r="O664" s="13">
        <v>33</v>
      </c>
      <c r="P664" s="13">
        <v>1</v>
      </c>
      <c r="Q664" s="13">
        <v>65</v>
      </c>
      <c r="R664" s="13">
        <v>0</v>
      </c>
      <c r="S664" s="13">
        <v>0</v>
      </c>
      <c r="T664" s="23">
        <v>46247.560937499999</v>
      </c>
      <c r="U664" s="55">
        <f t="shared" si="30"/>
        <v>1.1666666666666667</v>
      </c>
      <c r="V664" s="55">
        <f t="shared" si="31"/>
        <v>0</v>
      </c>
      <c r="W664" s="56">
        <f t="shared" si="32"/>
        <v>943.66666666666663</v>
      </c>
    </row>
    <row r="665" spans="1:23" x14ac:dyDescent="0.3">
      <c r="A665" s="13" t="str" cm="1">
        <f t="array" ref="A665:B665">INDEX(BenchmarkResults!$B$1:$D$35,SUMPRODUCT((T665&gt;=BenchmarkResults!$F$3:$F$35)*(mongodb_hardware_log!T665&lt;BenchmarkResults!$G$3:$G$35)*ROW(BenchmarkResults!$F$3:$F$35)),{1,3})</f>
        <v>q2_avg_order_city</v>
      </c>
      <c r="B665">
        <v>1</v>
      </c>
      <c r="C665" s="13">
        <v>1</v>
      </c>
      <c r="D665" s="13">
        <v>0</v>
      </c>
      <c r="E665" s="13">
        <v>134400</v>
      </c>
      <c r="F665" s="13">
        <v>551428</v>
      </c>
      <c r="G665" s="13">
        <v>4760</v>
      </c>
      <c r="H665" s="13">
        <v>1846604</v>
      </c>
      <c r="I665" s="13">
        <v>0</v>
      </c>
      <c r="J665" s="13">
        <v>0</v>
      </c>
      <c r="K665" s="13">
        <v>968</v>
      </c>
      <c r="L665" s="13">
        <v>11</v>
      </c>
      <c r="M665" s="13">
        <v>727</v>
      </c>
      <c r="N665" s="13">
        <v>223</v>
      </c>
      <c r="O665" s="13">
        <v>33</v>
      </c>
      <c r="P665" s="13">
        <v>1</v>
      </c>
      <c r="Q665" s="13">
        <v>65</v>
      </c>
      <c r="R665" s="13">
        <v>1</v>
      </c>
      <c r="S665" s="13">
        <v>0</v>
      </c>
      <c r="T665" s="23">
        <v>46247.561053240737</v>
      </c>
      <c r="U665" s="55">
        <f t="shared" si="30"/>
        <v>1.1666666666666667</v>
      </c>
      <c r="V665" s="55">
        <f t="shared" si="31"/>
        <v>0</v>
      </c>
      <c r="W665" s="56">
        <f t="shared" si="32"/>
        <v>957.33333333333337</v>
      </c>
    </row>
    <row r="666" spans="1:23" x14ac:dyDescent="0.3">
      <c r="A666" s="13" t="str" cm="1">
        <f t="array" ref="A666:B666">INDEX(BenchmarkResults!$B$1:$D$35,SUMPRODUCT((T666&gt;=BenchmarkResults!$F$3:$F$35)*(mongodb_hardware_log!T666&lt;BenchmarkResults!$G$3:$G$35)*ROW(BenchmarkResults!$F$3:$F$35)),{1,3})</f>
        <v>q2_avg_order_city</v>
      </c>
      <c r="B666">
        <v>1</v>
      </c>
      <c r="C666" s="13">
        <v>1</v>
      </c>
      <c r="D666" s="13">
        <v>0</v>
      </c>
      <c r="E666" s="13">
        <v>134400</v>
      </c>
      <c r="F666" s="13">
        <v>543364</v>
      </c>
      <c r="G666" s="13">
        <v>4784</v>
      </c>
      <c r="H666" s="13">
        <v>1856116</v>
      </c>
      <c r="I666" s="13">
        <v>0</v>
      </c>
      <c r="J666" s="13">
        <v>0</v>
      </c>
      <c r="K666" s="13">
        <v>957</v>
      </c>
      <c r="L666" s="13">
        <v>33</v>
      </c>
      <c r="M666" s="13">
        <v>726</v>
      </c>
      <c r="N666" s="13">
        <v>212</v>
      </c>
      <c r="O666" s="13">
        <v>33</v>
      </c>
      <c r="P666" s="13">
        <v>1</v>
      </c>
      <c r="Q666" s="13">
        <v>65</v>
      </c>
      <c r="R666" s="13">
        <v>0</v>
      </c>
      <c r="S666" s="13">
        <v>1</v>
      </c>
      <c r="T666" s="23">
        <v>46247.561168981483</v>
      </c>
      <c r="U666" s="55">
        <f t="shared" si="30"/>
        <v>1.1666666666666667</v>
      </c>
      <c r="V666" s="55">
        <f t="shared" si="31"/>
        <v>0</v>
      </c>
      <c r="W666" s="56">
        <f t="shared" si="32"/>
        <v>948.66666666666663</v>
      </c>
    </row>
    <row r="667" spans="1:23" x14ac:dyDescent="0.3">
      <c r="A667" s="13" t="str" cm="1">
        <f t="array" ref="A667:B667">INDEX(BenchmarkResults!$B$1:$D$35,SUMPRODUCT((T667&gt;=BenchmarkResults!$F$3:$F$35)*(mongodb_hardware_log!T667&lt;BenchmarkResults!$G$3:$G$35)*ROW(BenchmarkResults!$F$3:$F$35)),{1,3})</f>
        <v>q2_avg_order_city</v>
      </c>
      <c r="B667">
        <v>1</v>
      </c>
      <c r="C667" s="13">
        <v>1</v>
      </c>
      <c r="D667" s="13">
        <v>0</v>
      </c>
      <c r="E667" s="13">
        <v>134400</v>
      </c>
      <c r="F667" s="13">
        <v>528244</v>
      </c>
      <c r="G667" s="13">
        <v>4792</v>
      </c>
      <c r="H667" s="13">
        <v>1867100</v>
      </c>
      <c r="I667" s="13">
        <v>0</v>
      </c>
      <c r="J667" s="13">
        <v>0</v>
      </c>
      <c r="K667" s="13">
        <v>1099</v>
      </c>
      <c r="L667" s="13">
        <v>7</v>
      </c>
      <c r="M667" s="13">
        <v>702</v>
      </c>
      <c r="N667" s="13">
        <v>201</v>
      </c>
      <c r="O667" s="13">
        <v>33</v>
      </c>
      <c r="P667" s="13">
        <v>1</v>
      </c>
      <c r="Q667" s="13">
        <v>65</v>
      </c>
      <c r="R667" s="13">
        <v>0</v>
      </c>
      <c r="S667" s="13">
        <v>0</v>
      </c>
      <c r="T667" s="23">
        <v>46247.561284722222</v>
      </c>
      <c r="U667" s="55">
        <f t="shared" si="30"/>
        <v>1</v>
      </c>
      <c r="V667" s="55">
        <f t="shared" si="31"/>
        <v>0</v>
      </c>
      <c r="W667" s="56">
        <f t="shared" si="32"/>
        <v>990</v>
      </c>
    </row>
    <row r="668" spans="1:23" x14ac:dyDescent="0.3">
      <c r="A668" s="13" t="str" cm="1">
        <f t="array" ref="A668:B668">INDEX(BenchmarkResults!$B$1:$D$35,SUMPRODUCT((T668&gt;=BenchmarkResults!$F$3:$F$35)*(mongodb_hardware_log!T668&lt;BenchmarkResults!$G$3:$G$35)*ROW(BenchmarkResults!$F$3:$F$35)),{1,3})</f>
        <v>q2_avg_order_city</v>
      </c>
      <c r="B668">
        <v>1</v>
      </c>
      <c r="C668" s="13">
        <v>1</v>
      </c>
      <c r="D668" s="13">
        <v>0</v>
      </c>
      <c r="E668" s="13">
        <v>134400</v>
      </c>
      <c r="F668" s="13">
        <v>520268</v>
      </c>
      <c r="G668" s="13">
        <v>4800</v>
      </c>
      <c r="H668" s="13">
        <v>1879004</v>
      </c>
      <c r="I668" s="13">
        <v>0</v>
      </c>
      <c r="J668" s="13">
        <v>0</v>
      </c>
      <c r="K668" s="13">
        <v>1182</v>
      </c>
      <c r="L668" s="13">
        <v>11</v>
      </c>
      <c r="M668" s="13">
        <v>731</v>
      </c>
      <c r="N668" s="13">
        <v>229</v>
      </c>
      <c r="O668" s="13">
        <v>33</v>
      </c>
      <c r="P668" s="13">
        <v>1</v>
      </c>
      <c r="Q668" s="13">
        <v>65</v>
      </c>
      <c r="R668" s="13">
        <v>0</v>
      </c>
      <c r="S668" s="13">
        <v>0</v>
      </c>
      <c r="T668" s="23">
        <v>46247.561400462961</v>
      </c>
      <c r="U668" s="55">
        <f t="shared" si="30"/>
        <v>1</v>
      </c>
      <c r="V668" s="55">
        <f t="shared" si="31"/>
        <v>0</v>
      </c>
      <c r="W668" s="56">
        <f t="shared" si="32"/>
        <v>1078.6666666666667</v>
      </c>
    </row>
    <row r="669" spans="1:23" x14ac:dyDescent="0.3">
      <c r="A669" s="13" t="str" cm="1">
        <f t="array" ref="A669:B669">INDEX(BenchmarkResults!$B$1:$D$35,SUMPRODUCT((T669&gt;=BenchmarkResults!$F$3:$F$35)*(mongodb_hardware_log!T669&lt;BenchmarkResults!$G$3:$G$35)*ROW(BenchmarkResults!$F$3:$F$35)),{1,3})</f>
        <v>q2_avg_order_city</v>
      </c>
      <c r="B669">
        <v>1</v>
      </c>
      <c r="C669" s="13">
        <v>4</v>
      </c>
      <c r="D669" s="13">
        <v>0</v>
      </c>
      <c r="E669" s="13">
        <v>134400</v>
      </c>
      <c r="F669" s="13">
        <v>509180</v>
      </c>
      <c r="G669" s="13">
        <v>4808</v>
      </c>
      <c r="H669" s="13">
        <v>1888128</v>
      </c>
      <c r="I669" s="13">
        <v>0</v>
      </c>
      <c r="J669" s="13">
        <v>0</v>
      </c>
      <c r="K669" s="13">
        <v>922</v>
      </c>
      <c r="L669" s="13">
        <v>26</v>
      </c>
      <c r="M669" s="13">
        <v>705</v>
      </c>
      <c r="N669" s="13">
        <v>206</v>
      </c>
      <c r="O669" s="13">
        <v>33</v>
      </c>
      <c r="P669" s="13">
        <v>1</v>
      </c>
      <c r="Q669" s="13">
        <v>66</v>
      </c>
      <c r="R669" s="13">
        <v>0</v>
      </c>
      <c r="S669" s="13">
        <v>0</v>
      </c>
      <c r="T669" s="23">
        <v>46247.561516203707</v>
      </c>
      <c r="U669" s="55">
        <f t="shared" si="30"/>
        <v>1.5</v>
      </c>
      <c r="V669" s="55">
        <f t="shared" si="31"/>
        <v>0</v>
      </c>
      <c r="W669" s="56">
        <f t="shared" si="32"/>
        <v>1091.6666666666667</v>
      </c>
    </row>
    <row r="670" spans="1:23" x14ac:dyDescent="0.3">
      <c r="A670" s="13" t="str" cm="1">
        <f t="array" ref="A670:B670">INDEX(BenchmarkResults!$B$1:$D$35,SUMPRODUCT((T670&gt;=BenchmarkResults!$F$3:$F$35)*(mongodb_hardware_log!T670&lt;BenchmarkResults!$G$3:$G$35)*ROW(BenchmarkResults!$F$3:$F$35)),{1,3})</f>
        <v>q2_avg_order_city</v>
      </c>
      <c r="B670">
        <v>1</v>
      </c>
      <c r="C670" s="13">
        <v>1</v>
      </c>
      <c r="D670" s="13">
        <v>0</v>
      </c>
      <c r="E670" s="13">
        <v>134400</v>
      </c>
      <c r="F670" s="13">
        <v>493052</v>
      </c>
      <c r="G670" s="13">
        <v>4816</v>
      </c>
      <c r="H670" s="13">
        <v>1895900</v>
      </c>
      <c r="I670" s="13">
        <v>0</v>
      </c>
      <c r="J670" s="13">
        <v>0</v>
      </c>
      <c r="K670" s="13">
        <v>770</v>
      </c>
      <c r="L670" s="13">
        <v>16</v>
      </c>
      <c r="M670" s="13">
        <v>707</v>
      </c>
      <c r="N670" s="13">
        <v>206</v>
      </c>
      <c r="O670" s="13">
        <v>33</v>
      </c>
      <c r="P670" s="13">
        <v>1</v>
      </c>
      <c r="Q670" s="13">
        <v>65</v>
      </c>
      <c r="R670" s="13">
        <v>0</v>
      </c>
      <c r="S670" s="13">
        <v>0</v>
      </c>
      <c r="T670" s="23">
        <v>46247.561631944445</v>
      </c>
      <c r="U670" s="55">
        <f t="shared" si="30"/>
        <v>1.5</v>
      </c>
      <c r="V670" s="55">
        <f t="shared" si="31"/>
        <v>0</v>
      </c>
      <c r="W670" s="56">
        <f t="shared" si="32"/>
        <v>983</v>
      </c>
    </row>
    <row r="671" spans="1:23" x14ac:dyDescent="0.3">
      <c r="A671" s="13" t="str" cm="1">
        <f t="array" ref="A671:B671">INDEX(BenchmarkResults!$B$1:$D$35,SUMPRODUCT((T671&gt;=BenchmarkResults!$F$3:$F$35)*(mongodb_hardware_log!T671&lt;BenchmarkResults!$G$3:$G$35)*ROW(BenchmarkResults!$F$3:$F$35)),{1,3})</f>
        <v>q2_avg_order_city</v>
      </c>
      <c r="B671">
        <v>1</v>
      </c>
      <c r="C671" s="13">
        <v>1</v>
      </c>
      <c r="D671" s="13">
        <v>0</v>
      </c>
      <c r="E671" s="13">
        <v>134400</v>
      </c>
      <c r="F671" s="13">
        <v>488516</v>
      </c>
      <c r="G671" s="13">
        <v>4824</v>
      </c>
      <c r="H671" s="13">
        <v>1905736</v>
      </c>
      <c r="I671" s="13">
        <v>0</v>
      </c>
      <c r="J671" s="13">
        <v>0</v>
      </c>
      <c r="K671" s="13">
        <v>989</v>
      </c>
      <c r="L671" s="13">
        <v>12</v>
      </c>
      <c r="M671" s="13">
        <v>731</v>
      </c>
      <c r="N671" s="13">
        <v>229</v>
      </c>
      <c r="O671" s="13">
        <v>33</v>
      </c>
      <c r="P671" s="13">
        <v>1</v>
      </c>
      <c r="Q671" s="13">
        <v>64</v>
      </c>
      <c r="R671" s="13">
        <v>0</v>
      </c>
      <c r="S671" s="13">
        <v>1</v>
      </c>
      <c r="T671" s="23">
        <v>46247.561747685184</v>
      </c>
      <c r="U671" s="55">
        <f t="shared" si="30"/>
        <v>1.5</v>
      </c>
      <c r="V671" s="55">
        <f t="shared" si="31"/>
        <v>0</v>
      </c>
      <c r="W671" s="56">
        <f t="shared" si="32"/>
        <v>986.5</v>
      </c>
    </row>
    <row r="672" spans="1:23" x14ac:dyDescent="0.3">
      <c r="A672" s="13" t="str" cm="1">
        <f t="array" ref="A672:B672">INDEX(BenchmarkResults!$B$1:$D$35,SUMPRODUCT((T672&gt;=BenchmarkResults!$F$3:$F$35)*(mongodb_hardware_log!T672&lt;BenchmarkResults!$G$3:$G$35)*ROW(BenchmarkResults!$F$3:$F$35)),{1,3})</f>
        <v>q2_avg_order_city</v>
      </c>
      <c r="B672">
        <v>1</v>
      </c>
      <c r="C672" s="13">
        <v>1</v>
      </c>
      <c r="D672" s="13">
        <v>0</v>
      </c>
      <c r="E672" s="13">
        <v>134400</v>
      </c>
      <c r="F672" s="13">
        <v>471632</v>
      </c>
      <c r="G672" s="13">
        <v>4872</v>
      </c>
      <c r="H672" s="13">
        <v>1918164</v>
      </c>
      <c r="I672" s="13">
        <v>0</v>
      </c>
      <c r="J672" s="13">
        <v>0</v>
      </c>
      <c r="K672" s="13">
        <v>1243</v>
      </c>
      <c r="L672" s="13">
        <v>36</v>
      </c>
      <c r="M672" s="13">
        <v>749</v>
      </c>
      <c r="N672" s="13">
        <v>230</v>
      </c>
      <c r="O672" s="13">
        <v>33</v>
      </c>
      <c r="P672" s="13">
        <v>1</v>
      </c>
      <c r="Q672" s="13">
        <v>64</v>
      </c>
      <c r="R672" s="13">
        <v>1</v>
      </c>
      <c r="S672" s="13">
        <v>1</v>
      </c>
      <c r="T672" s="23">
        <v>46247.561863425923</v>
      </c>
      <c r="U672" s="55">
        <f t="shared" si="30"/>
        <v>1.5</v>
      </c>
      <c r="V672" s="55">
        <f t="shared" si="31"/>
        <v>0</v>
      </c>
      <c r="W672" s="56">
        <f t="shared" si="32"/>
        <v>1034.1666666666667</v>
      </c>
    </row>
    <row r="673" spans="1:23" x14ac:dyDescent="0.3">
      <c r="A673" s="13" t="str" cm="1">
        <f t="array" ref="A673:B673">INDEX(BenchmarkResults!$B$1:$D$35,SUMPRODUCT((T673&gt;=BenchmarkResults!$F$3:$F$35)*(mongodb_hardware_log!T673&lt;BenchmarkResults!$G$3:$G$35)*ROW(BenchmarkResults!$F$3:$F$35)),{1,3})</f>
        <v>q2_avg_order_city</v>
      </c>
      <c r="B673">
        <v>1</v>
      </c>
      <c r="C673" s="13">
        <v>1</v>
      </c>
      <c r="D673" s="13">
        <v>0</v>
      </c>
      <c r="E673" s="13">
        <v>134400</v>
      </c>
      <c r="F673" s="13">
        <v>469868</v>
      </c>
      <c r="G673" s="13">
        <v>4880</v>
      </c>
      <c r="H673" s="13">
        <v>1925132</v>
      </c>
      <c r="I673" s="13">
        <v>0</v>
      </c>
      <c r="J673" s="13">
        <v>0</v>
      </c>
      <c r="K673" s="13">
        <v>682</v>
      </c>
      <c r="L673" s="13">
        <v>12</v>
      </c>
      <c r="M673" s="13">
        <v>742</v>
      </c>
      <c r="N673" s="13">
        <v>218</v>
      </c>
      <c r="O673" s="13">
        <v>33</v>
      </c>
      <c r="P673" s="13">
        <v>1</v>
      </c>
      <c r="Q673" s="13">
        <v>64</v>
      </c>
      <c r="R673" s="13">
        <v>0</v>
      </c>
      <c r="S673" s="13">
        <v>2</v>
      </c>
      <c r="T673" s="23">
        <v>46247.561979166669</v>
      </c>
      <c r="U673" s="55">
        <f t="shared" si="30"/>
        <v>1.5</v>
      </c>
      <c r="V673" s="55">
        <f t="shared" si="31"/>
        <v>0</v>
      </c>
      <c r="W673" s="56">
        <f t="shared" si="32"/>
        <v>964.66666666666663</v>
      </c>
    </row>
    <row r="674" spans="1:23" x14ac:dyDescent="0.3">
      <c r="A674" s="13" t="str" cm="1">
        <f t="array" ref="A674:B674">INDEX(BenchmarkResults!$B$1:$D$35,SUMPRODUCT((T674&gt;=BenchmarkResults!$F$3:$F$35)*(mongodb_hardware_log!T674&lt;BenchmarkResults!$G$3:$G$35)*ROW(BenchmarkResults!$F$3:$F$35)),{1,3})</f>
        <v>q2_avg_order_city</v>
      </c>
      <c r="B674">
        <v>1</v>
      </c>
      <c r="C674" s="13">
        <v>1</v>
      </c>
      <c r="D674" s="13">
        <v>0</v>
      </c>
      <c r="E674" s="13">
        <v>134400</v>
      </c>
      <c r="F674" s="13">
        <v>464408</v>
      </c>
      <c r="G674" s="13">
        <v>4888</v>
      </c>
      <c r="H674" s="13">
        <v>1936256</v>
      </c>
      <c r="I674" s="13">
        <v>0</v>
      </c>
      <c r="J674" s="13">
        <v>0</v>
      </c>
      <c r="K674" s="13">
        <v>1122</v>
      </c>
      <c r="L674" s="13">
        <v>6</v>
      </c>
      <c r="M674" s="13">
        <v>725</v>
      </c>
      <c r="N674" s="13">
        <v>223</v>
      </c>
      <c r="O674" s="13">
        <v>33</v>
      </c>
      <c r="P674" s="13">
        <v>1</v>
      </c>
      <c r="Q674" s="13">
        <v>65</v>
      </c>
      <c r="R674" s="13">
        <v>0</v>
      </c>
      <c r="S674" s="13">
        <v>0</v>
      </c>
      <c r="T674" s="23">
        <v>46247.562094907407</v>
      </c>
      <c r="U674" s="55">
        <f t="shared" si="30"/>
        <v>1.5</v>
      </c>
      <c r="V674" s="55">
        <f t="shared" si="31"/>
        <v>0</v>
      </c>
      <c r="W674" s="56">
        <f t="shared" si="32"/>
        <v>954.66666666666663</v>
      </c>
    </row>
    <row r="675" spans="1:23" x14ac:dyDescent="0.3">
      <c r="A675" s="13" t="str" cm="1">
        <f t="array" ref="A675:B675">INDEX(BenchmarkResults!$B$1:$D$35,SUMPRODUCT((T675&gt;=BenchmarkResults!$F$3:$F$35)*(mongodb_hardware_log!T675&lt;BenchmarkResults!$G$3:$G$35)*ROW(BenchmarkResults!$F$3:$F$35)),{1,3})</f>
        <v>q2_avg_order_city</v>
      </c>
      <c r="B675">
        <v>1</v>
      </c>
      <c r="C675" s="13">
        <v>1</v>
      </c>
      <c r="D675" s="13">
        <v>0</v>
      </c>
      <c r="E675" s="13">
        <v>134400</v>
      </c>
      <c r="F675" s="13">
        <v>449288</v>
      </c>
      <c r="G675" s="13">
        <v>4904</v>
      </c>
      <c r="H675" s="13">
        <v>1945636</v>
      </c>
      <c r="I675" s="13">
        <v>0</v>
      </c>
      <c r="J675" s="13">
        <v>0</v>
      </c>
      <c r="K675" s="13">
        <v>938</v>
      </c>
      <c r="L675" s="13">
        <v>36</v>
      </c>
      <c r="M675" s="13">
        <v>729</v>
      </c>
      <c r="N675" s="13">
        <v>225</v>
      </c>
      <c r="O675" s="13">
        <v>33</v>
      </c>
      <c r="P675" s="13">
        <v>1</v>
      </c>
      <c r="Q675" s="13">
        <v>65</v>
      </c>
      <c r="R675" s="13">
        <v>1</v>
      </c>
      <c r="S675" s="13">
        <v>0</v>
      </c>
      <c r="T675" s="23">
        <v>46247.562210648146</v>
      </c>
      <c r="U675" s="55">
        <f t="shared" si="30"/>
        <v>1</v>
      </c>
      <c r="V675" s="55">
        <f t="shared" si="31"/>
        <v>0</v>
      </c>
      <c r="W675" s="56">
        <f t="shared" si="32"/>
        <v>957.33333333333337</v>
      </c>
    </row>
    <row r="676" spans="1:23" x14ac:dyDescent="0.3">
      <c r="A676" s="13" t="str" cm="1">
        <f t="array" ref="A676:B676">INDEX(BenchmarkResults!$B$1:$D$35,SUMPRODUCT((T676&gt;=BenchmarkResults!$F$3:$F$35)*(mongodb_hardware_log!T676&lt;BenchmarkResults!$G$3:$G$35)*ROW(BenchmarkResults!$F$3:$F$35)),{1,3})</f>
        <v>q2_avg_order_city</v>
      </c>
      <c r="B676">
        <v>1</v>
      </c>
      <c r="C676" s="13">
        <v>1</v>
      </c>
      <c r="D676" s="13">
        <v>0</v>
      </c>
      <c r="E676" s="13">
        <v>134400</v>
      </c>
      <c r="F676" s="13">
        <v>441728</v>
      </c>
      <c r="G676" s="13">
        <v>4912</v>
      </c>
      <c r="H676" s="13">
        <v>1956804</v>
      </c>
      <c r="I676" s="13">
        <v>0</v>
      </c>
      <c r="J676" s="13">
        <v>0</v>
      </c>
      <c r="K676" s="13">
        <v>1107</v>
      </c>
      <c r="L676" s="13">
        <v>8</v>
      </c>
      <c r="M676" s="13">
        <v>706</v>
      </c>
      <c r="N676" s="13">
        <v>202</v>
      </c>
      <c r="O676" s="13">
        <v>33</v>
      </c>
      <c r="P676" s="13">
        <v>1</v>
      </c>
      <c r="Q676" s="13">
        <v>65</v>
      </c>
      <c r="R676" s="13">
        <v>0</v>
      </c>
      <c r="S676" s="13">
        <v>0</v>
      </c>
      <c r="T676" s="23">
        <v>46247.562326388892</v>
      </c>
      <c r="U676" s="55">
        <f t="shared" si="30"/>
        <v>1</v>
      </c>
      <c r="V676" s="55">
        <f t="shared" si="31"/>
        <v>0</v>
      </c>
      <c r="W676" s="56">
        <f t="shared" si="32"/>
        <v>1013.5</v>
      </c>
    </row>
    <row r="677" spans="1:23" x14ac:dyDescent="0.3">
      <c r="A677" s="13" t="str" cm="1">
        <f t="array" ref="A677:B677">INDEX(BenchmarkResults!$B$1:$D$35,SUMPRODUCT((T677&gt;=BenchmarkResults!$F$3:$F$35)*(mongodb_hardware_log!T677&lt;BenchmarkResults!$G$3:$G$35)*ROW(BenchmarkResults!$F$3:$F$35)),{1,3})</f>
        <v>q2_avg_order_city</v>
      </c>
      <c r="B677">
        <v>1</v>
      </c>
      <c r="C677" s="13">
        <v>1</v>
      </c>
      <c r="D677" s="13">
        <v>0</v>
      </c>
      <c r="E677" s="13">
        <v>134400</v>
      </c>
      <c r="F677" s="13">
        <v>429632</v>
      </c>
      <c r="G677" s="13">
        <v>4920</v>
      </c>
      <c r="H677" s="13">
        <v>1967780</v>
      </c>
      <c r="I677" s="13">
        <v>0</v>
      </c>
      <c r="J677" s="13">
        <v>0</v>
      </c>
      <c r="K677" s="13">
        <v>1100</v>
      </c>
      <c r="L677" s="13">
        <v>10</v>
      </c>
      <c r="M677" s="13">
        <v>722</v>
      </c>
      <c r="N677" s="13">
        <v>227</v>
      </c>
      <c r="O677" s="13">
        <v>33</v>
      </c>
      <c r="P677" s="13">
        <v>1</v>
      </c>
      <c r="Q677" s="13">
        <v>65</v>
      </c>
      <c r="R677" s="13">
        <v>1</v>
      </c>
      <c r="S677" s="13">
        <v>0</v>
      </c>
      <c r="T677" s="23">
        <v>46247.562442129631</v>
      </c>
      <c r="U677" s="55">
        <f t="shared" si="30"/>
        <v>1</v>
      </c>
      <c r="V677" s="55">
        <f t="shared" si="31"/>
        <v>0</v>
      </c>
      <c r="W677" s="56">
        <f t="shared" si="32"/>
        <v>1032</v>
      </c>
    </row>
    <row r="678" spans="1:23" x14ac:dyDescent="0.3">
      <c r="A678" s="13" t="str" cm="1">
        <f t="array" ref="A678:B678">INDEX(BenchmarkResults!$B$1:$D$35,SUMPRODUCT((T678&gt;=BenchmarkResults!$F$3:$F$35)*(mongodb_hardware_log!T678&lt;BenchmarkResults!$G$3:$G$35)*ROW(BenchmarkResults!$F$3:$F$35)),{1,3})</f>
        <v>q2_avg_order_city</v>
      </c>
      <c r="B678">
        <v>1</v>
      </c>
      <c r="C678" s="13">
        <v>1</v>
      </c>
      <c r="D678" s="13">
        <v>0</v>
      </c>
      <c r="E678" s="13">
        <v>134400</v>
      </c>
      <c r="F678" s="13">
        <v>418796</v>
      </c>
      <c r="G678" s="13">
        <v>4952</v>
      </c>
      <c r="H678" s="13">
        <v>1979068</v>
      </c>
      <c r="I678" s="13">
        <v>0</v>
      </c>
      <c r="J678" s="13">
        <v>0</v>
      </c>
      <c r="K678" s="13">
        <v>1132</v>
      </c>
      <c r="L678" s="13">
        <v>28</v>
      </c>
      <c r="M678" s="13">
        <v>743</v>
      </c>
      <c r="N678" s="13">
        <v>235</v>
      </c>
      <c r="O678" s="13">
        <v>33</v>
      </c>
      <c r="P678" s="13">
        <v>1</v>
      </c>
      <c r="Q678" s="13">
        <v>65</v>
      </c>
      <c r="R678" s="13">
        <v>1</v>
      </c>
      <c r="S678" s="13">
        <v>1</v>
      </c>
      <c r="T678" s="23">
        <v>46247.562557870369</v>
      </c>
      <c r="U678" s="55">
        <f t="shared" si="30"/>
        <v>1</v>
      </c>
      <c r="V678" s="55">
        <f t="shared" si="31"/>
        <v>0</v>
      </c>
      <c r="W678" s="56">
        <f t="shared" si="32"/>
        <v>1013.5</v>
      </c>
    </row>
    <row r="679" spans="1:23" x14ac:dyDescent="0.3">
      <c r="A679" s="13" t="str" cm="1">
        <f t="array" ref="A679:B679">INDEX(BenchmarkResults!$B$1:$D$35,SUMPRODUCT((T679&gt;=BenchmarkResults!$F$3:$F$35)*(mongodb_hardware_log!T679&lt;BenchmarkResults!$G$3:$G$35)*ROW(BenchmarkResults!$F$3:$F$35)),{1,3})</f>
        <v>q2_avg_order_city</v>
      </c>
      <c r="B679">
        <v>1</v>
      </c>
      <c r="C679" s="13">
        <v>1</v>
      </c>
      <c r="D679" s="13">
        <v>0</v>
      </c>
      <c r="E679" s="13">
        <v>134400</v>
      </c>
      <c r="F679" s="13">
        <v>412620</v>
      </c>
      <c r="G679" s="13">
        <v>4968</v>
      </c>
      <c r="H679" s="13">
        <v>1987304</v>
      </c>
      <c r="I679" s="13">
        <v>0</v>
      </c>
      <c r="J679" s="13">
        <v>0</v>
      </c>
      <c r="K679" s="13">
        <v>818</v>
      </c>
      <c r="L679" s="13">
        <v>26</v>
      </c>
      <c r="M679" s="13">
        <v>768</v>
      </c>
      <c r="N679" s="13">
        <v>268</v>
      </c>
      <c r="O679" s="13">
        <v>34</v>
      </c>
      <c r="P679" s="13">
        <v>1</v>
      </c>
      <c r="Q679" s="13">
        <v>64</v>
      </c>
      <c r="R679" s="13">
        <v>0</v>
      </c>
      <c r="S679" s="13">
        <v>0</v>
      </c>
      <c r="T679" s="23">
        <v>46247.562673611108</v>
      </c>
      <c r="U679" s="55">
        <f t="shared" si="30"/>
        <v>1</v>
      </c>
      <c r="V679" s="55">
        <f t="shared" si="31"/>
        <v>0</v>
      </c>
      <c r="W679" s="56">
        <f t="shared" si="32"/>
        <v>1036.1666666666667</v>
      </c>
    </row>
    <row r="680" spans="1:23" x14ac:dyDescent="0.3">
      <c r="A680" s="13" t="str" cm="1">
        <f t="array" ref="A680:B680">INDEX(BenchmarkResults!$B$1:$D$35,SUMPRODUCT((T680&gt;=BenchmarkResults!$F$3:$F$35)*(mongodb_hardware_log!T680&lt;BenchmarkResults!$G$3:$G$35)*ROW(BenchmarkResults!$F$3:$F$35)),{1,3})</f>
        <v>q2_avg_order_city</v>
      </c>
      <c r="B680">
        <v>1</v>
      </c>
      <c r="C680" s="13">
        <v>1</v>
      </c>
      <c r="D680" s="13">
        <v>0</v>
      </c>
      <c r="E680" s="13">
        <v>134400</v>
      </c>
      <c r="F680" s="13">
        <v>397500</v>
      </c>
      <c r="G680" s="13">
        <v>4976</v>
      </c>
      <c r="H680" s="13">
        <v>2002540</v>
      </c>
      <c r="I680" s="13">
        <v>0</v>
      </c>
      <c r="J680" s="13">
        <v>0</v>
      </c>
      <c r="K680" s="13">
        <v>1526</v>
      </c>
      <c r="L680" s="13">
        <v>6</v>
      </c>
      <c r="M680" s="13">
        <v>760</v>
      </c>
      <c r="N680" s="13">
        <v>257</v>
      </c>
      <c r="O680" s="13">
        <v>33</v>
      </c>
      <c r="P680" s="13">
        <v>1</v>
      </c>
      <c r="Q680" s="13">
        <v>65</v>
      </c>
      <c r="R680" s="13">
        <v>1</v>
      </c>
      <c r="S680" s="13">
        <v>0</v>
      </c>
      <c r="T680" s="23">
        <v>46247.562789351854</v>
      </c>
      <c r="U680" s="55">
        <f t="shared" si="30"/>
        <v>1</v>
      </c>
      <c r="V680" s="55">
        <f t="shared" si="31"/>
        <v>0</v>
      </c>
      <c r="W680" s="56">
        <f t="shared" si="32"/>
        <v>1103.5</v>
      </c>
    </row>
    <row r="681" spans="1:23" x14ac:dyDescent="0.3">
      <c r="A681" s="13" t="str" cm="1">
        <f t="array" ref="A681:B681">INDEX(BenchmarkResults!$B$1:$D$35,SUMPRODUCT((T681&gt;=BenchmarkResults!$F$3:$F$35)*(mongodb_hardware_log!T681&lt;BenchmarkResults!$G$3:$G$35)*ROW(BenchmarkResults!$F$3:$F$35)),{1,3})</f>
        <v>q2_avg_order_city</v>
      </c>
      <c r="B681">
        <v>1</v>
      </c>
      <c r="C681" s="13">
        <v>1</v>
      </c>
      <c r="D681" s="13">
        <v>0</v>
      </c>
      <c r="E681" s="13">
        <v>134400</v>
      </c>
      <c r="F681" s="13">
        <v>389436</v>
      </c>
      <c r="G681" s="13">
        <v>4984</v>
      </c>
      <c r="H681" s="13">
        <v>2012700</v>
      </c>
      <c r="I681" s="13">
        <v>0</v>
      </c>
      <c r="J681" s="13">
        <v>0</v>
      </c>
      <c r="K681" s="13">
        <v>1013</v>
      </c>
      <c r="L681" s="13">
        <v>17</v>
      </c>
      <c r="M681" s="13">
        <v>701</v>
      </c>
      <c r="N681" s="13">
        <v>200</v>
      </c>
      <c r="O681" s="13">
        <v>33</v>
      </c>
      <c r="P681" s="13">
        <v>1</v>
      </c>
      <c r="Q681" s="13">
        <v>65</v>
      </c>
      <c r="R681" s="13">
        <v>0</v>
      </c>
      <c r="S681" s="13">
        <v>0</v>
      </c>
      <c r="T681" s="23">
        <v>46247.562905092593</v>
      </c>
      <c r="U681" s="55">
        <f t="shared" si="30"/>
        <v>1</v>
      </c>
      <c r="V681" s="55">
        <f t="shared" si="31"/>
        <v>0</v>
      </c>
      <c r="W681" s="56">
        <f t="shared" si="32"/>
        <v>1116</v>
      </c>
    </row>
    <row r="682" spans="1:23" x14ac:dyDescent="0.3">
      <c r="A682" s="13" t="str" cm="1">
        <f t="array" ref="A682:B682">INDEX(BenchmarkResults!$B$1:$D$35,SUMPRODUCT((T682&gt;=BenchmarkResults!$F$3:$F$35)*(mongodb_hardware_log!T682&lt;BenchmarkResults!$G$3:$G$35)*ROW(BenchmarkResults!$F$3:$F$35)),{1,3})</f>
        <v>q2_avg_order_city</v>
      </c>
      <c r="B682">
        <v>1</v>
      </c>
      <c r="C682" s="13">
        <v>1</v>
      </c>
      <c r="D682" s="13">
        <v>0</v>
      </c>
      <c r="E682" s="13">
        <v>134400</v>
      </c>
      <c r="F682" s="13">
        <v>387672</v>
      </c>
      <c r="G682" s="13">
        <v>4992</v>
      </c>
      <c r="H682" s="13">
        <v>2021820</v>
      </c>
      <c r="I682" s="13">
        <v>0</v>
      </c>
      <c r="J682" s="13">
        <v>0</v>
      </c>
      <c r="K682" s="13">
        <v>920</v>
      </c>
      <c r="L682" s="13">
        <v>10</v>
      </c>
      <c r="M682" s="13">
        <v>706</v>
      </c>
      <c r="N682" s="13">
        <v>207</v>
      </c>
      <c r="O682" s="13">
        <v>33</v>
      </c>
      <c r="P682" s="13">
        <v>1</v>
      </c>
      <c r="Q682" s="13">
        <v>65</v>
      </c>
      <c r="R682" s="13">
        <v>0</v>
      </c>
      <c r="S682" s="13">
        <v>0</v>
      </c>
      <c r="T682" s="23">
        <v>46247.563020833331</v>
      </c>
      <c r="U682" s="55">
        <f t="shared" si="30"/>
        <v>1</v>
      </c>
      <c r="V682" s="55">
        <f t="shared" si="31"/>
        <v>0</v>
      </c>
      <c r="W682" s="56">
        <f t="shared" si="32"/>
        <v>1084.8333333333333</v>
      </c>
    </row>
    <row r="683" spans="1:23" x14ac:dyDescent="0.3">
      <c r="A683" s="13" t="str" cm="1">
        <f t="array" ref="A683:B683">INDEX(BenchmarkResults!$B$1:$D$35,SUMPRODUCT((T683&gt;=BenchmarkResults!$F$3:$F$35)*(mongodb_hardware_log!T683&lt;BenchmarkResults!$G$3:$G$35)*ROW(BenchmarkResults!$F$3:$F$35)),{1,3})</f>
        <v>q2_avg_order_city</v>
      </c>
      <c r="B683">
        <v>1</v>
      </c>
      <c r="C683" s="13">
        <v>1</v>
      </c>
      <c r="D683" s="13">
        <v>0</v>
      </c>
      <c r="E683" s="13">
        <v>134400</v>
      </c>
      <c r="F683" s="13">
        <v>369780</v>
      </c>
      <c r="G683" s="13">
        <v>5000</v>
      </c>
      <c r="H683" s="13">
        <v>2032940</v>
      </c>
      <c r="I683" s="13">
        <v>1</v>
      </c>
      <c r="J683" s="13">
        <v>0</v>
      </c>
      <c r="K683" s="13">
        <v>1103</v>
      </c>
      <c r="L683" s="13">
        <v>10</v>
      </c>
      <c r="M683" s="13">
        <v>722</v>
      </c>
      <c r="N683" s="13">
        <v>232</v>
      </c>
      <c r="O683" s="13">
        <v>33</v>
      </c>
      <c r="P683" s="13">
        <v>1</v>
      </c>
      <c r="Q683" s="13">
        <v>65</v>
      </c>
      <c r="R683" s="13">
        <v>0</v>
      </c>
      <c r="S683" s="13">
        <v>0</v>
      </c>
      <c r="T683" s="23">
        <v>46247.563136574077</v>
      </c>
      <c r="U683" s="55">
        <f t="shared" si="30"/>
        <v>1</v>
      </c>
      <c r="V683" s="55">
        <f t="shared" si="31"/>
        <v>0</v>
      </c>
      <c r="W683" s="56">
        <f t="shared" si="32"/>
        <v>1085.3333333333333</v>
      </c>
    </row>
    <row r="684" spans="1:23" x14ac:dyDescent="0.3">
      <c r="A684" s="13" t="str" cm="1">
        <f t="array" ref="A684:B684">INDEX(BenchmarkResults!$B$1:$D$35,SUMPRODUCT((T684&gt;=BenchmarkResults!$F$3:$F$35)*(mongodb_hardware_log!T684&lt;BenchmarkResults!$G$3:$G$35)*ROW(BenchmarkResults!$F$3:$F$35)),{1,3})</f>
        <v>q2_avg_order_city</v>
      </c>
      <c r="B684">
        <v>1</v>
      </c>
      <c r="C684" s="13">
        <v>1</v>
      </c>
      <c r="D684" s="13">
        <v>0</v>
      </c>
      <c r="E684" s="13">
        <v>134400</v>
      </c>
      <c r="F684" s="13">
        <v>361716</v>
      </c>
      <c r="G684" s="13">
        <v>5040</v>
      </c>
      <c r="H684" s="13">
        <v>2043244</v>
      </c>
      <c r="I684" s="13">
        <v>0</v>
      </c>
      <c r="J684" s="13">
        <v>0</v>
      </c>
      <c r="K684" s="13">
        <v>1033</v>
      </c>
      <c r="L684" s="13">
        <v>32</v>
      </c>
      <c r="M684" s="13">
        <v>730</v>
      </c>
      <c r="N684" s="13">
        <v>220</v>
      </c>
      <c r="O684" s="13">
        <v>33</v>
      </c>
      <c r="P684" s="13">
        <v>1</v>
      </c>
      <c r="Q684" s="13">
        <v>65</v>
      </c>
      <c r="R684" s="13">
        <v>0</v>
      </c>
      <c r="S684" s="13">
        <v>0</v>
      </c>
      <c r="T684" s="23">
        <v>46247.563252314816</v>
      </c>
      <c r="U684" s="55">
        <f t="shared" si="30"/>
        <v>1</v>
      </c>
      <c r="V684" s="55">
        <f t="shared" si="31"/>
        <v>0</v>
      </c>
      <c r="W684" s="56">
        <f t="shared" si="32"/>
        <v>1068.8333333333333</v>
      </c>
    </row>
    <row r="685" spans="1:23" x14ac:dyDescent="0.3">
      <c r="A685" s="13" t="str" cm="1">
        <f t="array" ref="A685:B685">INDEX(BenchmarkResults!$B$1:$D$35,SUMPRODUCT((T685&gt;=BenchmarkResults!$F$3:$F$35)*(mongodb_hardware_log!T685&lt;BenchmarkResults!$G$3:$G$35)*ROW(BenchmarkResults!$F$3:$F$35)),{1,3})</f>
        <v>q2_avg_order_city</v>
      </c>
      <c r="B685">
        <v>1</v>
      </c>
      <c r="C685" s="13">
        <v>1</v>
      </c>
      <c r="D685" s="13">
        <v>0</v>
      </c>
      <c r="E685" s="13">
        <v>134400</v>
      </c>
      <c r="F685" s="13">
        <v>349872</v>
      </c>
      <c r="G685" s="13">
        <v>5048</v>
      </c>
      <c r="H685" s="13">
        <v>2052044</v>
      </c>
      <c r="I685" s="13">
        <v>0</v>
      </c>
      <c r="J685" s="13">
        <v>0</v>
      </c>
      <c r="K685" s="13">
        <v>880</v>
      </c>
      <c r="L685" s="13">
        <v>12</v>
      </c>
      <c r="M685" s="13">
        <v>704</v>
      </c>
      <c r="N685" s="13">
        <v>200</v>
      </c>
      <c r="O685" s="13">
        <v>34</v>
      </c>
      <c r="P685" s="13">
        <v>1</v>
      </c>
      <c r="Q685" s="13">
        <v>65</v>
      </c>
      <c r="R685" s="13">
        <v>0</v>
      </c>
      <c r="S685" s="13">
        <v>0</v>
      </c>
      <c r="T685" s="23">
        <v>46247.563368055555</v>
      </c>
      <c r="U685" s="55">
        <f t="shared" si="30"/>
        <v>1</v>
      </c>
      <c r="V685" s="55">
        <f t="shared" si="31"/>
        <v>0</v>
      </c>
      <c r="W685" s="56">
        <f t="shared" si="32"/>
        <v>1079.1666666666667</v>
      </c>
    </row>
    <row r="686" spans="1:23" x14ac:dyDescent="0.3">
      <c r="A686" s="13" t="str" cm="1">
        <f t="array" ref="A686:B686">INDEX(BenchmarkResults!$B$1:$D$35,SUMPRODUCT((T686&gt;=BenchmarkResults!$F$3:$F$35)*(mongodb_hardware_log!T686&lt;BenchmarkResults!$G$3:$G$35)*ROW(BenchmarkResults!$F$3:$F$35)),{1,3})</f>
        <v>q2_avg_order_city</v>
      </c>
      <c r="B686">
        <v>1</v>
      </c>
      <c r="C686" s="13">
        <v>1</v>
      </c>
      <c r="D686" s="13">
        <v>0</v>
      </c>
      <c r="E686" s="13">
        <v>134400</v>
      </c>
      <c r="F686" s="13">
        <v>341052</v>
      </c>
      <c r="G686" s="13">
        <v>5056</v>
      </c>
      <c r="H686" s="13">
        <v>2063864</v>
      </c>
      <c r="I686" s="13">
        <v>0</v>
      </c>
      <c r="J686" s="13">
        <v>0</v>
      </c>
      <c r="K686" s="13">
        <v>1183</v>
      </c>
      <c r="L686" s="13">
        <v>10</v>
      </c>
      <c r="M686" s="13">
        <v>713</v>
      </c>
      <c r="N686" s="13">
        <v>208</v>
      </c>
      <c r="O686" s="13">
        <v>33</v>
      </c>
      <c r="P686" s="13">
        <v>1</v>
      </c>
      <c r="Q686" s="13">
        <v>65</v>
      </c>
      <c r="R686" s="13">
        <v>0</v>
      </c>
      <c r="S686" s="13">
        <v>0</v>
      </c>
      <c r="T686" s="23">
        <v>46247.563483796293</v>
      </c>
      <c r="U686" s="55">
        <f t="shared" si="30"/>
        <v>1</v>
      </c>
      <c r="V686" s="55">
        <f t="shared" si="31"/>
        <v>0</v>
      </c>
      <c r="W686" s="56">
        <f t="shared" si="32"/>
        <v>1022</v>
      </c>
    </row>
    <row r="687" spans="1:23" x14ac:dyDescent="0.3">
      <c r="A687" s="13" t="str" cm="1">
        <f t="array" ref="A687:B687">INDEX(BenchmarkResults!$B$1:$D$35,SUMPRODUCT((T687&gt;=BenchmarkResults!$F$3:$F$35)*(mongodb_hardware_log!T687&lt;BenchmarkResults!$G$3:$G$35)*ROW(BenchmarkResults!$F$3:$F$35)),{1,3})</f>
        <v>q2_avg_order_city</v>
      </c>
      <c r="B687">
        <v>1</v>
      </c>
      <c r="C687" s="13">
        <v>1</v>
      </c>
      <c r="D687" s="13">
        <v>0</v>
      </c>
      <c r="E687" s="13">
        <v>134400</v>
      </c>
      <c r="F687" s="13">
        <v>327192</v>
      </c>
      <c r="G687" s="13">
        <v>5064</v>
      </c>
      <c r="H687" s="13">
        <v>2075820</v>
      </c>
      <c r="I687" s="13">
        <v>0</v>
      </c>
      <c r="J687" s="13">
        <v>0</v>
      </c>
      <c r="K687" s="13">
        <v>1194</v>
      </c>
      <c r="L687" s="13">
        <v>10</v>
      </c>
      <c r="M687" s="13">
        <v>718</v>
      </c>
      <c r="N687" s="13">
        <v>211</v>
      </c>
      <c r="O687" s="13">
        <v>33</v>
      </c>
      <c r="P687" s="13">
        <v>1</v>
      </c>
      <c r="Q687" s="13">
        <v>64</v>
      </c>
      <c r="R687" s="13">
        <v>1</v>
      </c>
      <c r="S687" s="13">
        <v>0</v>
      </c>
      <c r="T687" s="23">
        <v>46247.563599537039</v>
      </c>
      <c r="U687" s="55">
        <f t="shared" si="30"/>
        <v>1</v>
      </c>
      <c r="V687" s="55">
        <f t="shared" si="31"/>
        <v>0</v>
      </c>
      <c r="W687" s="56">
        <f t="shared" si="32"/>
        <v>1052.1666666666667</v>
      </c>
    </row>
    <row r="688" spans="1:23" x14ac:dyDescent="0.3">
      <c r="A688" s="13" t="str" cm="1">
        <f t="array" ref="A688:B688">INDEX(BenchmarkResults!$B$1:$D$35,SUMPRODUCT((T688&gt;=BenchmarkResults!$F$3:$F$35)*(mongodb_hardware_log!T688&lt;BenchmarkResults!$G$3:$G$35)*ROW(BenchmarkResults!$F$3:$F$35)),{1,3})</f>
        <v>q2_avg_order_city</v>
      </c>
      <c r="B688">
        <v>1</v>
      </c>
      <c r="C688" s="13">
        <v>1</v>
      </c>
      <c r="D688" s="13">
        <v>0</v>
      </c>
      <c r="E688" s="13">
        <v>134400</v>
      </c>
      <c r="F688" s="13">
        <v>317364</v>
      </c>
      <c r="G688" s="13">
        <v>5072</v>
      </c>
      <c r="H688" s="13">
        <v>2084888</v>
      </c>
      <c r="I688" s="13">
        <v>0</v>
      </c>
      <c r="J688" s="13">
        <v>0</v>
      </c>
      <c r="K688" s="13">
        <v>910</v>
      </c>
      <c r="L688" s="13">
        <v>16</v>
      </c>
      <c r="M688" s="13">
        <v>716</v>
      </c>
      <c r="N688" s="13">
        <v>208</v>
      </c>
      <c r="O688" s="13">
        <v>33</v>
      </c>
      <c r="P688" s="13">
        <v>1</v>
      </c>
      <c r="Q688" s="13">
        <v>65</v>
      </c>
      <c r="R688" s="13">
        <v>0</v>
      </c>
      <c r="S688" s="13">
        <v>0</v>
      </c>
      <c r="T688" s="23">
        <v>46247.563715277778</v>
      </c>
      <c r="U688" s="55">
        <f t="shared" si="30"/>
        <v>1</v>
      </c>
      <c r="V688" s="55">
        <f t="shared" si="31"/>
        <v>0</v>
      </c>
      <c r="W688" s="56">
        <f t="shared" si="32"/>
        <v>1050.5</v>
      </c>
    </row>
    <row r="689" spans="1:23" x14ac:dyDescent="0.3">
      <c r="A689" s="13" t="str" cm="1">
        <f t="array" ref="A689:B689">INDEX(BenchmarkResults!$B$1:$D$35,SUMPRODUCT((T689&gt;=BenchmarkResults!$F$3:$F$35)*(mongodb_hardware_log!T689&lt;BenchmarkResults!$G$3:$G$35)*ROW(BenchmarkResults!$F$3:$F$35)),{1,3})</f>
        <v>q2_avg_order_city</v>
      </c>
      <c r="B689">
        <v>1</v>
      </c>
      <c r="C689" s="13">
        <v>0</v>
      </c>
      <c r="D689" s="13">
        <v>1</v>
      </c>
      <c r="E689" s="13">
        <v>134400</v>
      </c>
      <c r="F689" s="13">
        <v>313700</v>
      </c>
      <c r="G689" s="13">
        <v>5088</v>
      </c>
      <c r="H689" s="13">
        <v>2093220</v>
      </c>
      <c r="I689" s="13">
        <v>0</v>
      </c>
      <c r="J689" s="13">
        <v>0</v>
      </c>
      <c r="K689" s="13">
        <v>836</v>
      </c>
      <c r="L689" s="13">
        <v>31</v>
      </c>
      <c r="M689" s="13">
        <v>739</v>
      </c>
      <c r="N689" s="13">
        <v>243</v>
      </c>
      <c r="O689" s="13">
        <v>34</v>
      </c>
      <c r="P689" s="13">
        <v>1</v>
      </c>
      <c r="Q689" s="13">
        <v>64</v>
      </c>
      <c r="R689" s="13">
        <v>0</v>
      </c>
      <c r="S689" s="13">
        <v>1</v>
      </c>
      <c r="T689" s="23">
        <v>46247.563831018517</v>
      </c>
      <c r="U689" s="55">
        <f t="shared" si="30"/>
        <v>0.83333333333333337</v>
      </c>
      <c r="V689" s="55">
        <f t="shared" si="31"/>
        <v>0.16666666666666666</v>
      </c>
      <c r="W689" s="56">
        <f t="shared" si="32"/>
        <v>1006</v>
      </c>
    </row>
    <row r="690" spans="1:23" x14ac:dyDescent="0.3">
      <c r="A690" s="13" t="str" cm="1">
        <f t="array" ref="A690:B690">INDEX(BenchmarkResults!$B$1:$D$35,SUMPRODUCT((T690&gt;=BenchmarkResults!$F$3:$F$35)*(mongodb_hardware_log!T690&lt;BenchmarkResults!$G$3:$G$35)*ROW(BenchmarkResults!$F$3:$F$35)),{1,3})</f>
        <v>q2_avg_order_city</v>
      </c>
      <c r="B690">
        <v>1</v>
      </c>
      <c r="C690" s="13">
        <v>1</v>
      </c>
      <c r="D690" s="13">
        <v>0</v>
      </c>
      <c r="E690" s="13">
        <v>134400</v>
      </c>
      <c r="F690" s="13">
        <v>305404</v>
      </c>
      <c r="G690" s="13">
        <v>5112</v>
      </c>
      <c r="H690" s="13">
        <v>2099460</v>
      </c>
      <c r="I690" s="13">
        <v>0</v>
      </c>
      <c r="J690" s="13">
        <v>0</v>
      </c>
      <c r="K690" s="13">
        <v>619</v>
      </c>
      <c r="L690" s="13">
        <v>24</v>
      </c>
      <c r="M690" s="13">
        <v>746</v>
      </c>
      <c r="N690" s="13">
        <v>227</v>
      </c>
      <c r="O690" s="13">
        <v>33</v>
      </c>
      <c r="P690" s="13">
        <v>1</v>
      </c>
      <c r="Q690" s="13">
        <v>64</v>
      </c>
      <c r="R690" s="13">
        <v>0</v>
      </c>
      <c r="S690" s="13">
        <v>1</v>
      </c>
      <c r="T690" s="23">
        <v>46247.563946759263</v>
      </c>
      <c r="U690" s="55">
        <f t="shared" si="30"/>
        <v>0.83333333333333337</v>
      </c>
      <c r="V690" s="55">
        <f t="shared" si="31"/>
        <v>0.16666666666666666</v>
      </c>
      <c r="W690" s="56">
        <f t="shared" si="32"/>
        <v>937</v>
      </c>
    </row>
    <row r="691" spans="1:23" x14ac:dyDescent="0.3">
      <c r="A691" s="13" t="str" cm="1">
        <f t="array" ref="A691:B691">INDEX(BenchmarkResults!$B$1:$D$35,SUMPRODUCT((T691&gt;=BenchmarkResults!$F$3:$F$35)*(mongodb_hardware_log!T691&lt;BenchmarkResults!$G$3:$G$35)*ROW(BenchmarkResults!$F$3:$F$35)),{1,3})</f>
        <v>q2_avg_order_city</v>
      </c>
      <c r="B691">
        <v>1</v>
      </c>
      <c r="C691" s="13">
        <v>1</v>
      </c>
      <c r="D691" s="13">
        <v>0</v>
      </c>
      <c r="E691" s="13">
        <v>134400</v>
      </c>
      <c r="F691" s="13">
        <v>297592</v>
      </c>
      <c r="G691" s="13">
        <v>5120</v>
      </c>
      <c r="H691" s="13">
        <v>2108664</v>
      </c>
      <c r="I691" s="13">
        <v>0</v>
      </c>
      <c r="J691" s="13">
        <v>0</v>
      </c>
      <c r="K691" s="13">
        <v>924</v>
      </c>
      <c r="L691" s="13">
        <v>6</v>
      </c>
      <c r="M691" s="13">
        <v>709</v>
      </c>
      <c r="N691" s="13">
        <v>206</v>
      </c>
      <c r="O691" s="13">
        <v>33</v>
      </c>
      <c r="P691" s="13">
        <v>1</v>
      </c>
      <c r="Q691" s="13">
        <v>65</v>
      </c>
      <c r="R691" s="13">
        <v>0</v>
      </c>
      <c r="S691" s="13">
        <v>0</v>
      </c>
      <c r="T691" s="23">
        <v>46247.564062500001</v>
      </c>
      <c r="U691" s="55">
        <f t="shared" si="30"/>
        <v>0.83333333333333337</v>
      </c>
      <c r="V691" s="55">
        <f t="shared" si="31"/>
        <v>0.16666666666666666</v>
      </c>
      <c r="W691" s="56">
        <f t="shared" si="32"/>
        <v>944.33333333333337</v>
      </c>
    </row>
    <row r="692" spans="1:23" x14ac:dyDescent="0.3">
      <c r="A692" s="13" t="str" cm="1">
        <f t="array" ref="A692:B692">INDEX(BenchmarkResults!$B$1:$D$35,SUMPRODUCT((T692&gt;=BenchmarkResults!$F$3:$F$35)*(mongodb_hardware_log!T692&lt;BenchmarkResults!$G$3:$G$35)*ROW(BenchmarkResults!$F$3:$F$35)),{1,3})</f>
        <v>q2_avg_order_city</v>
      </c>
      <c r="B692">
        <v>1</v>
      </c>
      <c r="C692" s="13">
        <v>1</v>
      </c>
      <c r="D692" s="13">
        <v>0</v>
      </c>
      <c r="E692" s="13">
        <v>134400</v>
      </c>
      <c r="F692" s="13">
        <v>278188</v>
      </c>
      <c r="G692" s="13">
        <v>5128</v>
      </c>
      <c r="H692" s="13">
        <v>2122216</v>
      </c>
      <c r="I692" s="13">
        <v>0</v>
      </c>
      <c r="J692" s="13">
        <v>0</v>
      </c>
      <c r="K692" s="13">
        <v>1354</v>
      </c>
      <c r="L692" s="13">
        <v>19</v>
      </c>
      <c r="M692" s="13">
        <v>715</v>
      </c>
      <c r="N692" s="13">
        <v>205</v>
      </c>
      <c r="O692" s="13">
        <v>34</v>
      </c>
      <c r="P692" s="13">
        <v>1</v>
      </c>
      <c r="Q692" s="13">
        <v>65</v>
      </c>
      <c r="R692" s="13">
        <v>0</v>
      </c>
      <c r="S692" s="13">
        <v>0</v>
      </c>
      <c r="T692" s="23">
        <v>46247.56417824074</v>
      </c>
      <c r="U692" s="55">
        <f t="shared" si="30"/>
        <v>0.83333333333333337</v>
      </c>
      <c r="V692" s="55">
        <f t="shared" si="31"/>
        <v>0.16666666666666666</v>
      </c>
      <c r="W692" s="56">
        <f t="shared" si="32"/>
        <v>972.83333333333337</v>
      </c>
    </row>
    <row r="693" spans="1:23" x14ac:dyDescent="0.3">
      <c r="A693" s="13" t="str" cm="1">
        <f t="array" ref="A693:B693">INDEX(BenchmarkResults!$B$1:$D$35,SUMPRODUCT((T693&gt;=BenchmarkResults!$F$3:$F$35)*(mongodb_hardware_log!T693&lt;BenchmarkResults!$G$3:$G$35)*ROW(BenchmarkResults!$F$3:$F$35)),{1,3})</f>
        <v>q2_avg_order_city</v>
      </c>
      <c r="B693">
        <v>1</v>
      </c>
      <c r="C693" s="13">
        <v>1</v>
      </c>
      <c r="D693" s="13">
        <v>0</v>
      </c>
      <c r="E693" s="13">
        <v>134400</v>
      </c>
      <c r="F693" s="13">
        <v>269620</v>
      </c>
      <c r="G693" s="13">
        <v>5136</v>
      </c>
      <c r="H693" s="13">
        <v>2130956</v>
      </c>
      <c r="I693" s="13">
        <v>0</v>
      </c>
      <c r="J693" s="13">
        <v>0</v>
      </c>
      <c r="K693" s="13">
        <v>878</v>
      </c>
      <c r="L693" s="13">
        <v>23</v>
      </c>
      <c r="M693" s="13">
        <v>702</v>
      </c>
      <c r="N693" s="13">
        <v>195</v>
      </c>
      <c r="O693" s="13">
        <v>33</v>
      </c>
      <c r="P693" s="13">
        <v>1</v>
      </c>
      <c r="Q693" s="13">
        <v>65</v>
      </c>
      <c r="R693" s="13">
        <v>0</v>
      </c>
      <c r="S693" s="13">
        <v>1</v>
      </c>
      <c r="T693" s="23">
        <v>46247.564293981479</v>
      </c>
      <c r="U693" s="55">
        <f t="shared" si="30"/>
        <v>0.83333333333333337</v>
      </c>
      <c r="V693" s="55">
        <f t="shared" si="31"/>
        <v>0.16666666666666666</v>
      </c>
      <c r="W693" s="56">
        <f t="shared" si="32"/>
        <v>920.16666666666663</v>
      </c>
    </row>
    <row r="694" spans="1:23" x14ac:dyDescent="0.3">
      <c r="A694" s="13" t="str" cm="1">
        <f t="array" ref="A694:B694">INDEX(BenchmarkResults!$B$1:$D$35,SUMPRODUCT((T694&gt;=BenchmarkResults!$F$3:$F$35)*(mongodb_hardware_log!T694&lt;BenchmarkResults!$G$3:$G$35)*ROW(BenchmarkResults!$F$3:$F$35)),{1,3})</f>
        <v>q2_avg_order_city</v>
      </c>
      <c r="B694">
        <v>2</v>
      </c>
      <c r="C694" s="13">
        <v>1</v>
      </c>
      <c r="D694" s="13">
        <v>0</v>
      </c>
      <c r="E694" s="13">
        <v>134400</v>
      </c>
      <c r="F694" s="13">
        <v>258788</v>
      </c>
      <c r="G694" s="13">
        <v>5152</v>
      </c>
      <c r="H694" s="13">
        <v>2140988</v>
      </c>
      <c r="I694" s="13">
        <v>4</v>
      </c>
      <c r="J694" s="13">
        <v>0</v>
      </c>
      <c r="K694" s="13">
        <v>998</v>
      </c>
      <c r="L694" s="13">
        <v>28</v>
      </c>
      <c r="M694" s="13">
        <v>724</v>
      </c>
      <c r="N694" s="13">
        <v>221</v>
      </c>
      <c r="O694" s="13">
        <v>33</v>
      </c>
      <c r="P694" s="13">
        <v>1</v>
      </c>
      <c r="Q694" s="13">
        <v>64</v>
      </c>
      <c r="R694" s="13">
        <v>1</v>
      </c>
      <c r="S694" s="13">
        <v>0</v>
      </c>
      <c r="T694" s="23">
        <v>46247.564409722225</v>
      </c>
      <c r="U694" s="55">
        <f t="shared" si="30"/>
        <v>0.83333333333333337</v>
      </c>
      <c r="V694" s="55">
        <f t="shared" si="31"/>
        <v>0.16666666666666666</v>
      </c>
      <c r="W694" s="56">
        <f t="shared" si="32"/>
        <v>934.83333333333337</v>
      </c>
    </row>
    <row r="695" spans="1:23" x14ac:dyDescent="0.3">
      <c r="A695" s="13" t="str" cm="1">
        <f t="array" ref="A695:B695">INDEX(BenchmarkResults!$B$1:$D$35,SUMPRODUCT((T695&gt;=BenchmarkResults!$F$3:$F$35)*(mongodb_hardware_log!T695&lt;BenchmarkResults!$G$3:$G$35)*ROW(BenchmarkResults!$F$3:$F$35)),{1,3})</f>
        <v>q2_avg_order_city</v>
      </c>
      <c r="B695">
        <v>2</v>
      </c>
      <c r="C695" s="13">
        <v>1</v>
      </c>
      <c r="D695" s="13">
        <v>0</v>
      </c>
      <c r="E695" s="13">
        <v>134400</v>
      </c>
      <c r="F695" s="13">
        <v>246692</v>
      </c>
      <c r="G695" s="13">
        <v>5160</v>
      </c>
      <c r="H695" s="13">
        <v>2152076</v>
      </c>
      <c r="I695" s="13">
        <v>0</v>
      </c>
      <c r="J695" s="13">
        <v>0</v>
      </c>
      <c r="K695" s="13">
        <v>1108</v>
      </c>
      <c r="L695" s="13">
        <v>8</v>
      </c>
      <c r="M695" s="13">
        <v>715</v>
      </c>
      <c r="N695" s="13">
        <v>214</v>
      </c>
      <c r="O695" s="13">
        <v>33</v>
      </c>
      <c r="P695" s="13">
        <v>1</v>
      </c>
      <c r="Q695" s="13">
        <v>65</v>
      </c>
      <c r="R695" s="13">
        <v>0</v>
      </c>
      <c r="S695" s="13">
        <v>1</v>
      </c>
      <c r="T695" s="23">
        <v>46247.564525462964</v>
      </c>
      <c r="U695" s="55">
        <f t="shared" si="30"/>
        <v>1</v>
      </c>
      <c r="V695" s="55">
        <f t="shared" si="31"/>
        <v>0</v>
      </c>
      <c r="W695" s="56">
        <f t="shared" si="32"/>
        <v>980.16666666666663</v>
      </c>
    </row>
    <row r="696" spans="1:23" x14ac:dyDescent="0.3">
      <c r="A696" s="13" t="str" cm="1">
        <f t="array" ref="A696:B696">INDEX(BenchmarkResults!$B$1:$D$35,SUMPRODUCT((T696&gt;=BenchmarkResults!$F$3:$F$35)*(mongodb_hardware_log!T696&lt;BenchmarkResults!$G$3:$G$35)*ROW(BenchmarkResults!$F$3:$F$35)),{1,3})</f>
        <v>q2_avg_order_city</v>
      </c>
      <c r="B696">
        <v>2</v>
      </c>
      <c r="C696" s="13">
        <v>2</v>
      </c>
      <c r="D696" s="13">
        <v>0</v>
      </c>
      <c r="E696" s="13">
        <v>134400</v>
      </c>
      <c r="F696" s="13">
        <v>241148</v>
      </c>
      <c r="G696" s="13">
        <v>5208</v>
      </c>
      <c r="H696" s="13">
        <v>2160988</v>
      </c>
      <c r="I696" s="13">
        <v>0</v>
      </c>
      <c r="J696" s="13">
        <v>0</v>
      </c>
      <c r="K696" s="13">
        <v>896</v>
      </c>
      <c r="L696" s="13">
        <v>43</v>
      </c>
      <c r="M696" s="13">
        <v>738</v>
      </c>
      <c r="N696" s="13">
        <v>232</v>
      </c>
      <c r="O696" s="13">
        <v>33</v>
      </c>
      <c r="P696" s="13">
        <v>1</v>
      </c>
      <c r="Q696" s="13">
        <v>64</v>
      </c>
      <c r="R696" s="13">
        <v>1</v>
      </c>
      <c r="S696" s="13">
        <v>1</v>
      </c>
      <c r="T696" s="23">
        <v>46247.564641203702</v>
      </c>
      <c r="U696" s="55">
        <f t="shared" si="30"/>
        <v>1.1666666666666667</v>
      </c>
      <c r="V696" s="55">
        <f t="shared" si="31"/>
        <v>0</v>
      </c>
      <c r="W696" s="56">
        <f t="shared" si="32"/>
        <v>1026.3333333333333</v>
      </c>
    </row>
    <row r="697" spans="1:23" x14ac:dyDescent="0.3">
      <c r="A697" s="13" t="str" cm="1">
        <f t="array" ref="A697:B697">INDEX(BenchmarkResults!$B$1:$D$35,SUMPRODUCT((T697&gt;=BenchmarkResults!$F$3:$F$35)*(mongodb_hardware_log!T697&lt;BenchmarkResults!$G$3:$G$35)*ROW(BenchmarkResults!$F$3:$F$35)),{1,3})</f>
        <v>q2_avg_order_city</v>
      </c>
      <c r="B697">
        <v>2</v>
      </c>
      <c r="C697" s="13">
        <v>1</v>
      </c>
      <c r="D697" s="13">
        <v>0</v>
      </c>
      <c r="E697" s="13">
        <v>134400</v>
      </c>
      <c r="F697" s="13">
        <v>233588</v>
      </c>
      <c r="G697" s="13">
        <v>5216</v>
      </c>
      <c r="H697" s="13">
        <v>2165668</v>
      </c>
      <c r="I697" s="13">
        <v>0</v>
      </c>
      <c r="J697" s="13">
        <v>0</v>
      </c>
      <c r="K697" s="13">
        <v>457</v>
      </c>
      <c r="L697" s="13">
        <v>11</v>
      </c>
      <c r="M697" s="13">
        <v>754</v>
      </c>
      <c r="N697" s="13">
        <v>242</v>
      </c>
      <c r="O697" s="13">
        <v>33</v>
      </c>
      <c r="P697" s="13">
        <v>1</v>
      </c>
      <c r="Q697" s="13">
        <v>64</v>
      </c>
      <c r="R697" s="13">
        <v>1</v>
      </c>
      <c r="S697" s="13">
        <v>1</v>
      </c>
      <c r="T697" s="23">
        <v>46247.564756944441</v>
      </c>
      <c r="U697" s="55">
        <f t="shared" si="30"/>
        <v>1.1666666666666667</v>
      </c>
      <c r="V697" s="55">
        <f t="shared" si="31"/>
        <v>0</v>
      </c>
      <c r="W697" s="56">
        <f t="shared" si="32"/>
        <v>948.5</v>
      </c>
    </row>
    <row r="698" spans="1:23" x14ac:dyDescent="0.3">
      <c r="A698" s="13" t="str" cm="1">
        <f t="array" ref="A698:B698">INDEX(BenchmarkResults!$B$1:$D$35,SUMPRODUCT((T698&gt;=BenchmarkResults!$F$3:$F$35)*(mongodb_hardware_log!T698&lt;BenchmarkResults!$G$3:$G$35)*ROW(BenchmarkResults!$F$3:$F$35)),{1,3})</f>
        <v>q2_avg_order_city</v>
      </c>
      <c r="B698">
        <v>2</v>
      </c>
      <c r="C698" s="13">
        <v>1</v>
      </c>
      <c r="D698" s="13">
        <v>0</v>
      </c>
      <c r="E698" s="13">
        <v>134400</v>
      </c>
      <c r="F698" s="13">
        <v>221744</v>
      </c>
      <c r="G698" s="13">
        <v>5224</v>
      </c>
      <c r="H698" s="13">
        <v>2173940</v>
      </c>
      <c r="I698" s="13">
        <v>0</v>
      </c>
      <c r="J698" s="13">
        <v>0</v>
      </c>
      <c r="K698" s="13">
        <v>831</v>
      </c>
      <c r="L698" s="13">
        <v>13</v>
      </c>
      <c r="M698" s="13">
        <v>736</v>
      </c>
      <c r="N698" s="13">
        <v>217</v>
      </c>
      <c r="O698" s="13">
        <v>33</v>
      </c>
      <c r="P698" s="13">
        <v>1</v>
      </c>
      <c r="Q698" s="13">
        <v>64</v>
      </c>
      <c r="R698" s="13">
        <v>1</v>
      </c>
      <c r="S698" s="13">
        <v>1</v>
      </c>
      <c r="T698" s="23">
        <v>46247.564872685187</v>
      </c>
      <c r="U698" s="55">
        <f t="shared" si="30"/>
        <v>1.1666666666666667</v>
      </c>
      <c r="V698" s="55">
        <f t="shared" si="31"/>
        <v>0</v>
      </c>
      <c r="W698" s="56">
        <f t="shared" si="32"/>
        <v>861.33333333333337</v>
      </c>
    </row>
    <row r="699" spans="1:23" x14ac:dyDescent="0.3">
      <c r="A699" s="13" t="str" cm="1">
        <f t="array" ref="A699:B699">INDEX(BenchmarkResults!$B$1:$D$35,SUMPRODUCT((T699&gt;=BenchmarkResults!$F$3:$F$35)*(mongodb_hardware_log!T699&lt;BenchmarkResults!$G$3:$G$35)*ROW(BenchmarkResults!$F$3:$F$35)),{1,3})</f>
        <v>q2_avg_order_city</v>
      </c>
      <c r="B699">
        <v>2</v>
      </c>
      <c r="C699" s="13">
        <v>1</v>
      </c>
      <c r="D699" s="13">
        <v>0</v>
      </c>
      <c r="E699" s="13">
        <v>134400</v>
      </c>
      <c r="F699" s="13">
        <v>126948</v>
      </c>
      <c r="G699" s="13">
        <v>5232</v>
      </c>
      <c r="H699" s="13">
        <v>1579176</v>
      </c>
      <c r="I699" s="13">
        <v>0</v>
      </c>
      <c r="J699" s="13">
        <v>0</v>
      </c>
      <c r="K699" s="13">
        <v>912</v>
      </c>
      <c r="L699" s="13">
        <v>13</v>
      </c>
      <c r="M699" s="13">
        <v>944</v>
      </c>
      <c r="N699" s="13">
        <v>353</v>
      </c>
      <c r="O699" s="13">
        <v>37</v>
      </c>
      <c r="P699" s="13">
        <v>7</v>
      </c>
      <c r="Q699" s="13">
        <v>55</v>
      </c>
      <c r="R699" s="13">
        <v>1</v>
      </c>
      <c r="S699" s="13">
        <v>0</v>
      </c>
      <c r="T699" s="23">
        <v>46247.564988425926</v>
      </c>
      <c r="U699" s="55">
        <f t="shared" si="30"/>
        <v>1.1666666666666667</v>
      </c>
      <c r="V699" s="55">
        <f t="shared" si="31"/>
        <v>0</v>
      </c>
      <c r="W699" s="56">
        <f t="shared" si="32"/>
        <v>867</v>
      </c>
    </row>
    <row r="700" spans="1:23" x14ac:dyDescent="0.3">
      <c r="A700" s="13" t="str" cm="1">
        <f t="array" ref="A700:B700">INDEX(BenchmarkResults!$B$1:$D$35,SUMPRODUCT((T700&gt;=BenchmarkResults!$F$3:$F$35)*(mongodb_hardware_log!T700&lt;BenchmarkResults!$G$3:$G$35)*ROW(BenchmarkResults!$F$3:$F$35)),{1,3})</f>
        <v>q2_avg_order_city</v>
      </c>
      <c r="B700">
        <v>2</v>
      </c>
      <c r="C700" s="13">
        <v>2</v>
      </c>
      <c r="D700" s="13">
        <v>0</v>
      </c>
      <c r="E700" s="13">
        <v>134400</v>
      </c>
      <c r="F700" s="13">
        <v>806040</v>
      </c>
      <c r="G700" s="13">
        <v>5248</v>
      </c>
      <c r="H700" s="13">
        <v>1587896</v>
      </c>
      <c r="I700" s="13">
        <v>0</v>
      </c>
      <c r="J700" s="13">
        <v>0</v>
      </c>
      <c r="K700" s="13">
        <v>880</v>
      </c>
      <c r="L700" s="13">
        <v>29</v>
      </c>
      <c r="M700" s="13">
        <v>814</v>
      </c>
      <c r="N700" s="13">
        <v>359</v>
      </c>
      <c r="O700" s="13">
        <v>33</v>
      </c>
      <c r="P700" s="13">
        <v>2</v>
      </c>
      <c r="Q700" s="13">
        <v>63</v>
      </c>
      <c r="R700" s="13">
        <v>1</v>
      </c>
      <c r="S700" s="13">
        <v>0</v>
      </c>
      <c r="T700" s="23">
        <v>46247.565104166664</v>
      </c>
      <c r="U700" s="55">
        <f t="shared" si="30"/>
        <v>1.3333333333333333</v>
      </c>
      <c r="V700" s="55">
        <f t="shared" si="31"/>
        <v>0</v>
      </c>
      <c r="W700" s="56">
        <f t="shared" si="32"/>
        <v>847.33333333333337</v>
      </c>
    </row>
    <row r="701" spans="1:23" x14ac:dyDescent="0.3">
      <c r="A701" s="13" t="str" cm="1">
        <f t="array" ref="A701:B701">INDEX(BenchmarkResults!$B$1:$D$35,SUMPRODUCT((T701&gt;=BenchmarkResults!$F$3:$F$35)*(mongodb_hardware_log!T701&lt;BenchmarkResults!$G$3:$G$35)*ROW(BenchmarkResults!$F$3:$F$35)),{1,3})</f>
        <v>q2_avg_order_city</v>
      </c>
      <c r="B701">
        <v>2</v>
      </c>
      <c r="C701" s="13">
        <v>1</v>
      </c>
      <c r="D701" s="13">
        <v>0</v>
      </c>
      <c r="E701" s="13">
        <v>134400</v>
      </c>
      <c r="F701" s="13">
        <v>797472</v>
      </c>
      <c r="G701" s="13">
        <v>5256</v>
      </c>
      <c r="H701" s="13">
        <v>1596296</v>
      </c>
      <c r="I701" s="13">
        <v>0</v>
      </c>
      <c r="J701" s="13">
        <v>0</v>
      </c>
      <c r="K701" s="13">
        <v>831</v>
      </c>
      <c r="L701" s="13">
        <v>15</v>
      </c>
      <c r="M701" s="13">
        <v>721</v>
      </c>
      <c r="N701" s="13">
        <v>220</v>
      </c>
      <c r="O701" s="13">
        <v>33</v>
      </c>
      <c r="P701" s="13">
        <v>1</v>
      </c>
      <c r="Q701" s="13">
        <v>65</v>
      </c>
      <c r="R701" s="13">
        <v>0</v>
      </c>
      <c r="S701" s="13">
        <v>1</v>
      </c>
      <c r="T701" s="23">
        <v>46247.56521990741</v>
      </c>
      <c r="U701" s="55">
        <f t="shared" si="30"/>
        <v>1.3333333333333333</v>
      </c>
      <c r="V701" s="55">
        <f t="shared" si="31"/>
        <v>0</v>
      </c>
      <c r="W701" s="56">
        <f t="shared" si="32"/>
        <v>801.16666666666663</v>
      </c>
    </row>
    <row r="702" spans="1:23" x14ac:dyDescent="0.3">
      <c r="A702" s="13" t="str" cm="1">
        <f t="array" ref="A702:B702">INDEX(BenchmarkResults!$B$1:$D$35,SUMPRODUCT((T702&gt;=BenchmarkResults!$F$3:$F$35)*(mongodb_hardware_log!T702&lt;BenchmarkResults!$G$3:$G$35)*ROW(BenchmarkResults!$F$3:$F$35)),{1,3})</f>
        <v>q2_avg_order_city</v>
      </c>
      <c r="B702">
        <v>2</v>
      </c>
      <c r="C702" s="13">
        <v>1</v>
      </c>
      <c r="D702" s="13">
        <v>1</v>
      </c>
      <c r="E702" s="13">
        <v>134400</v>
      </c>
      <c r="F702" s="13">
        <v>786384</v>
      </c>
      <c r="G702" s="13">
        <v>5264</v>
      </c>
      <c r="H702" s="13">
        <v>1605560</v>
      </c>
      <c r="I702" s="13">
        <v>0</v>
      </c>
      <c r="J702" s="13">
        <v>0</v>
      </c>
      <c r="K702" s="13">
        <v>928</v>
      </c>
      <c r="L702" s="13">
        <v>6</v>
      </c>
      <c r="M702" s="13">
        <v>752</v>
      </c>
      <c r="N702" s="13">
        <v>232</v>
      </c>
      <c r="O702" s="13">
        <v>33</v>
      </c>
      <c r="P702" s="13">
        <v>1</v>
      </c>
      <c r="Q702" s="13">
        <v>65</v>
      </c>
      <c r="R702" s="13">
        <v>1</v>
      </c>
      <c r="S702" s="13">
        <v>1</v>
      </c>
      <c r="T702" s="23">
        <v>46247.565335648149</v>
      </c>
      <c r="U702" s="55">
        <f t="shared" si="30"/>
        <v>1.1666666666666667</v>
      </c>
      <c r="V702" s="55">
        <f t="shared" si="31"/>
        <v>0.16666666666666666</v>
      </c>
      <c r="W702" s="56">
        <f t="shared" si="32"/>
        <v>806.5</v>
      </c>
    </row>
    <row r="703" spans="1:23" x14ac:dyDescent="0.3">
      <c r="A703" s="13" t="str" cm="1">
        <f t="array" ref="A703:B703">INDEX(BenchmarkResults!$B$1:$D$35,SUMPRODUCT((T703&gt;=BenchmarkResults!$F$3:$F$35)*(mongodb_hardware_log!T703&lt;BenchmarkResults!$G$3:$G$35)*ROW(BenchmarkResults!$F$3:$F$35)),{1,3})</f>
        <v>q2_avg_order_city</v>
      </c>
      <c r="B703">
        <v>2</v>
      </c>
      <c r="C703" s="13">
        <v>1</v>
      </c>
      <c r="D703" s="13">
        <v>0</v>
      </c>
      <c r="E703" s="13">
        <v>134400</v>
      </c>
      <c r="F703" s="13">
        <v>778572</v>
      </c>
      <c r="G703" s="13">
        <v>5308</v>
      </c>
      <c r="H703" s="13">
        <v>1615144</v>
      </c>
      <c r="I703" s="13">
        <v>0</v>
      </c>
      <c r="J703" s="13">
        <v>0</v>
      </c>
      <c r="K703" s="13">
        <v>949</v>
      </c>
      <c r="L703" s="13">
        <v>51</v>
      </c>
      <c r="M703" s="13">
        <v>766</v>
      </c>
      <c r="N703" s="13">
        <v>272</v>
      </c>
      <c r="O703" s="13">
        <v>33</v>
      </c>
      <c r="P703" s="13">
        <v>1</v>
      </c>
      <c r="Q703" s="13">
        <v>65</v>
      </c>
      <c r="R703" s="13">
        <v>0</v>
      </c>
      <c r="S703" s="13">
        <v>1</v>
      </c>
      <c r="T703" s="23">
        <v>46247.565451388888</v>
      </c>
      <c r="U703" s="55">
        <f t="shared" si="30"/>
        <v>1.1666666666666667</v>
      </c>
      <c r="V703" s="55">
        <f t="shared" si="31"/>
        <v>0.16666666666666666</v>
      </c>
      <c r="W703" s="56">
        <f t="shared" si="32"/>
        <v>888.5</v>
      </c>
    </row>
    <row r="704" spans="1:23" x14ac:dyDescent="0.3">
      <c r="A704" s="13" t="str" cm="1">
        <f t="array" ref="A704:B704">INDEX(BenchmarkResults!$B$1:$D$35,SUMPRODUCT((T704&gt;=BenchmarkResults!$F$3:$F$35)*(mongodb_hardware_log!T704&lt;BenchmarkResults!$G$3:$G$35)*ROW(BenchmarkResults!$F$3:$F$35)),{1,3})</f>
        <v>q2_avg_order_city</v>
      </c>
      <c r="B704">
        <v>2</v>
      </c>
      <c r="C704" s="13">
        <v>1</v>
      </c>
      <c r="D704" s="13">
        <v>0</v>
      </c>
      <c r="E704" s="13">
        <v>134400</v>
      </c>
      <c r="F704" s="13">
        <v>769848</v>
      </c>
      <c r="G704" s="13">
        <v>5324</v>
      </c>
      <c r="H704" s="13">
        <v>1624104</v>
      </c>
      <c r="I704" s="13">
        <v>0</v>
      </c>
      <c r="J704" s="13">
        <v>0</v>
      </c>
      <c r="K704" s="13">
        <v>893</v>
      </c>
      <c r="L704" s="13">
        <v>10</v>
      </c>
      <c r="M704" s="13">
        <v>727</v>
      </c>
      <c r="N704" s="13">
        <v>231</v>
      </c>
      <c r="O704" s="13">
        <v>33</v>
      </c>
      <c r="P704" s="13">
        <v>1</v>
      </c>
      <c r="Q704" s="13">
        <v>65</v>
      </c>
      <c r="R704" s="13">
        <v>0</v>
      </c>
      <c r="S704" s="13">
        <v>0</v>
      </c>
      <c r="T704" s="23">
        <v>46247.565567129626</v>
      </c>
      <c r="U704" s="55">
        <f t="shared" si="30"/>
        <v>1.1666666666666667</v>
      </c>
      <c r="V704" s="55">
        <f t="shared" si="31"/>
        <v>0.16666666666666666</v>
      </c>
      <c r="W704" s="56">
        <f t="shared" si="32"/>
        <v>898.83333333333337</v>
      </c>
    </row>
    <row r="705" spans="1:23" x14ac:dyDescent="0.3">
      <c r="A705" s="13" t="str" cm="1">
        <f t="array" ref="A705:B705">INDEX(BenchmarkResults!$B$1:$D$35,SUMPRODUCT((T705&gt;=BenchmarkResults!$F$3:$F$35)*(mongodb_hardware_log!T705&lt;BenchmarkResults!$G$3:$G$35)*ROW(BenchmarkResults!$F$3:$F$35)),{1,3})</f>
        <v>q2_avg_order_city</v>
      </c>
      <c r="B705">
        <v>2</v>
      </c>
      <c r="C705" s="13">
        <v>1</v>
      </c>
      <c r="D705" s="13">
        <v>0</v>
      </c>
      <c r="E705" s="13">
        <v>134400</v>
      </c>
      <c r="F705" s="13">
        <v>759768</v>
      </c>
      <c r="G705" s="13">
        <v>5332</v>
      </c>
      <c r="H705" s="13">
        <v>1634656</v>
      </c>
      <c r="I705" s="13">
        <v>0</v>
      </c>
      <c r="J705" s="13">
        <v>0</v>
      </c>
      <c r="K705" s="13">
        <v>1063</v>
      </c>
      <c r="L705" s="13">
        <v>22</v>
      </c>
      <c r="M705" s="13">
        <v>736</v>
      </c>
      <c r="N705" s="13">
        <v>222</v>
      </c>
      <c r="O705" s="13">
        <v>33</v>
      </c>
      <c r="P705" s="13">
        <v>1</v>
      </c>
      <c r="Q705" s="13">
        <v>65</v>
      </c>
      <c r="R705" s="13">
        <v>1</v>
      </c>
      <c r="S705" s="13">
        <v>0</v>
      </c>
      <c r="T705" s="23">
        <v>46247.565682870372</v>
      </c>
      <c r="U705" s="55">
        <f t="shared" si="30"/>
        <v>1.1666666666666667</v>
      </c>
      <c r="V705" s="55">
        <f t="shared" si="31"/>
        <v>0.16666666666666666</v>
      </c>
      <c r="W705" s="56">
        <f t="shared" si="32"/>
        <v>924</v>
      </c>
    </row>
    <row r="706" spans="1:23" x14ac:dyDescent="0.3">
      <c r="A706" s="13" t="str" cm="1">
        <f t="array" ref="A706:B706">INDEX(BenchmarkResults!$B$1:$D$35,SUMPRODUCT((T706&gt;=BenchmarkResults!$F$3:$F$35)*(mongodb_hardware_log!T706&lt;BenchmarkResults!$G$3:$G$35)*ROW(BenchmarkResults!$F$3:$F$35)),{1,3})</f>
        <v>q2_avg_order_city</v>
      </c>
      <c r="B706">
        <v>2</v>
      </c>
      <c r="C706" s="13">
        <v>1</v>
      </c>
      <c r="D706" s="13">
        <v>0</v>
      </c>
      <c r="E706" s="13">
        <v>134400</v>
      </c>
      <c r="F706" s="13">
        <v>748708</v>
      </c>
      <c r="G706" s="13">
        <v>5340</v>
      </c>
      <c r="H706" s="13">
        <v>1643712</v>
      </c>
      <c r="I706" s="13">
        <v>0</v>
      </c>
      <c r="J706" s="13">
        <v>0</v>
      </c>
      <c r="K706" s="13">
        <v>901</v>
      </c>
      <c r="L706" s="13">
        <v>16</v>
      </c>
      <c r="M706" s="13">
        <v>775</v>
      </c>
      <c r="N706" s="13">
        <v>272</v>
      </c>
      <c r="O706" s="13">
        <v>33</v>
      </c>
      <c r="P706" s="13">
        <v>1</v>
      </c>
      <c r="Q706" s="13">
        <v>65</v>
      </c>
      <c r="R706" s="13">
        <v>0</v>
      </c>
      <c r="S706" s="13">
        <v>0</v>
      </c>
      <c r="T706" s="23">
        <v>46247.565798611111</v>
      </c>
      <c r="U706" s="55">
        <f t="shared" si="30"/>
        <v>1</v>
      </c>
      <c r="V706" s="55">
        <f t="shared" si="31"/>
        <v>0.16666666666666666</v>
      </c>
      <c r="W706" s="56">
        <f t="shared" si="32"/>
        <v>927.5</v>
      </c>
    </row>
    <row r="707" spans="1:23" x14ac:dyDescent="0.3">
      <c r="A707" s="13" t="str" cm="1">
        <f t="array" ref="A707:B707">INDEX(BenchmarkResults!$B$1:$D$35,SUMPRODUCT((T707&gt;=BenchmarkResults!$F$3:$F$35)*(mongodb_hardware_log!T707&lt;BenchmarkResults!$G$3:$G$35)*ROW(BenchmarkResults!$F$3:$F$35)),{1,3})</f>
        <v>q2_avg_order_city</v>
      </c>
      <c r="B707">
        <v>2</v>
      </c>
      <c r="C707" s="13">
        <v>1</v>
      </c>
      <c r="D707" s="13">
        <v>0</v>
      </c>
      <c r="E707" s="13">
        <v>134400</v>
      </c>
      <c r="F707" s="13">
        <v>738628</v>
      </c>
      <c r="G707" s="13">
        <v>5348</v>
      </c>
      <c r="H707" s="13">
        <v>1652740</v>
      </c>
      <c r="I707" s="13">
        <v>0</v>
      </c>
      <c r="J707" s="13">
        <v>0</v>
      </c>
      <c r="K707" s="13">
        <v>903</v>
      </c>
      <c r="L707" s="13">
        <v>8</v>
      </c>
      <c r="M707" s="13">
        <v>708</v>
      </c>
      <c r="N707" s="13">
        <v>205</v>
      </c>
      <c r="O707" s="13">
        <v>34</v>
      </c>
      <c r="P707" s="13">
        <v>1</v>
      </c>
      <c r="Q707" s="13">
        <v>64</v>
      </c>
      <c r="R707" s="13">
        <v>0</v>
      </c>
      <c r="S707" s="13">
        <v>1</v>
      </c>
      <c r="T707" s="23">
        <v>46247.56591435185</v>
      </c>
      <c r="U707" s="55">
        <f t="shared" si="30"/>
        <v>1</v>
      </c>
      <c r="V707" s="55">
        <f t="shared" si="31"/>
        <v>0.16666666666666666</v>
      </c>
      <c r="W707" s="56">
        <f t="shared" si="32"/>
        <v>939.5</v>
      </c>
    </row>
    <row r="708" spans="1:23" x14ac:dyDescent="0.3">
      <c r="A708" s="13" t="str" cm="1">
        <f t="array" ref="A708:B708">INDEX(BenchmarkResults!$B$1:$D$35,SUMPRODUCT((T708&gt;=BenchmarkResults!$F$3:$F$35)*(mongodb_hardware_log!T708&lt;BenchmarkResults!$G$3:$G$35)*ROW(BenchmarkResults!$F$3:$F$35)),{1,3})</f>
        <v>q2_avg_order_city</v>
      </c>
      <c r="B708">
        <v>2</v>
      </c>
      <c r="C708" s="13">
        <v>1</v>
      </c>
      <c r="D708" s="13">
        <v>0</v>
      </c>
      <c r="E708" s="13">
        <v>134400</v>
      </c>
      <c r="F708" s="13">
        <v>733336</v>
      </c>
      <c r="G708" s="13">
        <v>5356</v>
      </c>
      <c r="H708" s="13">
        <v>1661396</v>
      </c>
      <c r="I708" s="13">
        <v>0</v>
      </c>
      <c r="J708" s="13">
        <v>0</v>
      </c>
      <c r="K708" s="13">
        <v>860</v>
      </c>
      <c r="L708" s="13">
        <v>8</v>
      </c>
      <c r="M708" s="13">
        <v>727</v>
      </c>
      <c r="N708" s="13">
        <v>217</v>
      </c>
      <c r="O708" s="13">
        <v>33</v>
      </c>
      <c r="P708" s="13">
        <v>1</v>
      </c>
      <c r="Q708" s="13">
        <v>65</v>
      </c>
      <c r="R708" s="13">
        <v>0</v>
      </c>
      <c r="S708" s="13">
        <v>1</v>
      </c>
      <c r="T708" s="23">
        <v>46247.566030092596</v>
      </c>
      <c r="U708" s="55">
        <f t="shared" si="30"/>
        <v>1</v>
      </c>
      <c r="V708" s="55">
        <f t="shared" si="31"/>
        <v>0</v>
      </c>
      <c r="W708" s="56">
        <f t="shared" si="32"/>
        <v>928.16666666666663</v>
      </c>
    </row>
    <row r="709" spans="1:23" x14ac:dyDescent="0.3">
      <c r="A709" s="13" t="str" cm="1">
        <f t="array" ref="A709:B709">INDEX(BenchmarkResults!$B$1:$D$35,SUMPRODUCT((T709&gt;=BenchmarkResults!$F$3:$F$35)*(mongodb_hardware_log!T709&lt;BenchmarkResults!$G$3:$G$35)*ROW(BenchmarkResults!$F$3:$F$35)),{1,3})</f>
        <v>q2_avg_order_city</v>
      </c>
      <c r="B709">
        <v>2</v>
      </c>
      <c r="C709" s="13">
        <v>2</v>
      </c>
      <c r="D709" s="13">
        <v>0</v>
      </c>
      <c r="E709" s="13">
        <v>134400</v>
      </c>
      <c r="F709" s="13">
        <v>729556</v>
      </c>
      <c r="G709" s="13">
        <v>5388</v>
      </c>
      <c r="H709" s="13">
        <v>1670808</v>
      </c>
      <c r="I709" s="13">
        <v>0</v>
      </c>
      <c r="J709" s="13">
        <v>0</v>
      </c>
      <c r="K709" s="13">
        <v>944</v>
      </c>
      <c r="L709" s="13">
        <v>24</v>
      </c>
      <c r="M709" s="13">
        <v>715</v>
      </c>
      <c r="N709" s="13">
        <v>222</v>
      </c>
      <c r="O709" s="13">
        <v>33</v>
      </c>
      <c r="P709" s="13">
        <v>1</v>
      </c>
      <c r="Q709" s="13">
        <v>65</v>
      </c>
      <c r="R709" s="13">
        <v>0</v>
      </c>
      <c r="S709" s="13">
        <v>0</v>
      </c>
      <c r="T709" s="23">
        <v>46247.566145833334</v>
      </c>
      <c r="U709" s="55">
        <f t="shared" si="30"/>
        <v>1.1666666666666667</v>
      </c>
      <c r="V709" s="55">
        <f t="shared" si="31"/>
        <v>0</v>
      </c>
      <c r="W709" s="56">
        <f t="shared" si="32"/>
        <v>927.33333333333337</v>
      </c>
    </row>
    <row r="710" spans="1:23" x14ac:dyDescent="0.3">
      <c r="A710" s="13" t="str" cm="1">
        <f t="array" ref="A710:B710">INDEX(BenchmarkResults!$B$1:$D$35,SUMPRODUCT((T710&gt;=BenchmarkResults!$F$3:$F$35)*(mongodb_hardware_log!T710&lt;BenchmarkResults!$G$3:$G$35)*ROW(BenchmarkResults!$F$3:$F$35)),{1,3})</f>
        <v>q2_avg_order_city</v>
      </c>
      <c r="B710">
        <v>2</v>
      </c>
      <c r="C710" s="13">
        <v>1</v>
      </c>
      <c r="D710" s="13">
        <v>0</v>
      </c>
      <c r="E710" s="13">
        <v>134400</v>
      </c>
      <c r="F710" s="13">
        <v>721020</v>
      </c>
      <c r="G710" s="13">
        <v>5412</v>
      </c>
      <c r="H710" s="13">
        <v>1679908</v>
      </c>
      <c r="I710" s="13">
        <v>0</v>
      </c>
      <c r="J710" s="13">
        <v>0</v>
      </c>
      <c r="K710" s="13">
        <v>913</v>
      </c>
      <c r="L710" s="13">
        <v>36</v>
      </c>
      <c r="M710" s="13">
        <v>731</v>
      </c>
      <c r="N710" s="13">
        <v>229</v>
      </c>
      <c r="O710" s="13">
        <v>34</v>
      </c>
      <c r="P710" s="13">
        <v>1</v>
      </c>
      <c r="Q710" s="13">
        <v>64</v>
      </c>
      <c r="R710" s="13">
        <v>0</v>
      </c>
      <c r="S710" s="13">
        <v>0</v>
      </c>
      <c r="T710" s="23">
        <v>46247.566261574073</v>
      </c>
      <c r="U710" s="55">
        <f t="shared" si="30"/>
        <v>1.1666666666666667</v>
      </c>
      <c r="V710" s="55">
        <f t="shared" si="31"/>
        <v>0</v>
      </c>
      <c r="W710" s="56">
        <f t="shared" si="32"/>
        <v>930.66666666666663</v>
      </c>
    </row>
    <row r="711" spans="1:23" x14ac:dyDescent="0.3">
      <c r="A711" s="13" t="str" cm="1">
        <f t="array" ref="A711:B711">INDEX(BenchmarkResults!$B$1:$D$35,SUMPRODUCT((T711&gt;=BenchmarkResults!$F$3:$F$35)*(mongodb_hardware_log!T711&lt;BenchmarkResults!$G$3:$G$35)*ROW(BenchmarkResults!$F$3:$F$35)),{1,3})</f>
        <v>q2_avg_order_city</v>
      </c>
      <c r="B711">
        <v>2</v>
      </c>
      <c r="C711" s="13">
        <v>2</v>
      </c>
      <c r="D711" s="13">
        <v>0</v>
      </c>
      <c r="E711" s="13">
        <v>134400</v>
      </c>
      <c r="F711" s="13">
        <v>705396</v>
      </c>
      <c r="G711" s="13">
        <v>5420</v>
      </c>
      <c r="H711" s="13">
        <v>1691864</v>
      </c>
      <c r="I711" s="13">
        <v>0</v>
      </c>
      <c r="J711" s="13">
        <v>0</v>
      </c>
      <c r="K711" s="13">
        <v>1197</v>
      </c>
      <c r="L711" s="13">
        <v>10</v>
      </c>
      <c r="M711" s="13">
        <v>714</v>
      </c>
      <c r="N711" s="13">
        <v>209</v>
      </c>
      <c r="O711" s="13">
        <v>33</v>
      </c>
      <c r="P711" s="13">
        <v>1</v>
      </c>
      <c r="Q711" s="13">
        <v>65</v>
      </c>
      <c r="R711" s="13">
        <v>0</v>
      </c>
      <c r="S711" s="13">
        <v>0</v>
      </c>
      <c r="T711" s="23">
        <v>46247.566377314812</v>
      </c>
      <c r="U711" s="55">
        <f t="shared" si="30"/>
        <v>1.3333333333333333</v>
      </c>
      <c r="V711" s="55">
        <f t="shared" si="31"/>
        <v>0</v>
      </c>
      <c r="W711" s="56">
        <f t="shared" si="32"/>
        <v>953</v>
      </c>
    </row>
    <row r="712" spans="1:23" x14ac:dyDescent="0.3">
      <c r="A712" s="13" t="str" cm="1">
        <f t="array" ref="A712:B712">INDEX(BenchmarkResults!$B$1:$D$35,SUMPRODUCT((T712&gt;=BenchmarkResults!$F$3:$F$35)*(mongodb_hardware_log!T712&lt;BenchmarkResults!$G$3:$G$35)*ROW(BenchmarkResults!$F$3:$F$35)),{1,3})</f>
        <v>q2_avg_order_city</v>
      </c>
      <c r="B712">
        <v>2</v>
      </c>
      <c r="C712" s="13">
        <v>1</v>
      </c>
      <c r="D712" s="13">
        <v>0</v>
      </c>
      <c r="E712" s="13">
        <v>134400</v>
      </c>
      <c r="F712" s="13">
        <v>696828</v>
      </c>
      <c r="G712" s="13">
        <v>5428</v>
      </c>
      <c r="H712" s="13">
        <v>1701504</v>
      </c>
      <c r="I712" s="13">
        <v>0</v>
      </c>
      <c r="J712" s="13">
        <v>0</v>
      </c>
      <c r="K712" s="13">
        <v>962</v>
      </c>
      <c r="L712" s="13">
        <v>12</v>
      </c>
      <c r="M712" s="13">
        <v>702</v>
      </c>
      <c r="N712" s="13">
        <v>199</v>
      </c>
      <c r="O712" s="13">
        <v>33</v>
      </c>
      <c r="P712" s="13">
        <v>1</v>
      </c>
      <c r="Q712" s="13">
        <v>65</v>
      </c>
      <c r="R712" s="13">
        <v>0</v>
      </c>
      <c r="S712" s="13">
        <v>0</v>
      </c>
      <c r="T712" s="23">
        <v>46247.566493055558</v>
      </c>
      <c r="U712" s="55">
        <f t="shared" si="30"/>
        <v>1.3333333333333333</v>
      </c>
      <c r="V712" s="55">
        <f t="shared" si="31"/>
        <v>0</v>
      </c>
      <c r="W712" s="56">
        <f t="shared" si="32"/>
        <v>963.16666666666663</v>
      </c>
    </row>
    <row r="713" spans="1:23" x14ac:dyDescent="0.3">
      <c r="A713" s="13" t="str" cm="1">
        <f t="array" ref="A713:B713">INDEX(BenchmarkResults!$B$1:$D$35,SUMPRODUCT((T713&gt;=BenchmarkResults!$F$3:$F$35)*(mongodb_hardware_log!T713&lt;BenchmarkResults!$G$3:$G$35)*ROW(BenchmarkResults!$F$3:$F$35)),{1,3})</f>
        <v>q2_avg_order_city</v>
      </c>
      <c r="B713">
        <v>2</v>
      </c>
      <c r="C713" s="13">
        <v>1</v>
      </c>
      <c r="D713" s="13">
        <v>0</v>
      </c>
      <c r="E713" s="13">
        <v>134400</v>
      </c>
      <c r="F713" s="13">
        <v>696828</v>
      </c>
      <c r="G713" s="13">
        <v>5436</v>
      </c>
      <c r="H713" s="13">
        <v>1711636</v>
      </c>
      <c r="I713" s="13">
        <v>0</v>
      </c>
      <c r="J713" s="13">
        <v>0</v>
      </c>
      <c r="K713" s="13">
        <v>1016</v>
      </c>
      <c r="L713" s="13">
        <v>9</v>
      </c>
      <c r="M713" s="13">
        <v>735</v>
      </c>
      <c r="N713" s="13">
        <v>237</v>
      </c>
      <c r="O713" s="13">
        <v>33</v>
      </c>
      <c r="P713" s="13">
        <v>1</v>
      </c>
      <c r="Q713" s="13">
        <v>65</v>
      </c>
      <c r="R713" s="13">
        <v>0</v>
      </c>
      <c r="S713" s="13">
        <v>1</v>
      </c>
      <c r="T713" s="23">
        <v>46247.566608796296</v>
      </c>
      <c r="U713" s="55">
        <f t="shared" ref="U713:U776" si="33">AVERAGE(C708:C713)</f>
        <v>1.3333333333333333</v>
      </c>
      <c r="V713" s="55">
        <f t="shared" ref="V713:V776" si="34">AVERAGE(D708:D713)</f>
        <v>0</v>
      </c>
      <c r="W713" s="56">
        <f t="shared" ref="W713:W776" si="35">AVERAGE(K708:K713)</f>
        <v>982</v>
      </c>
    </row>
    <row r="714" spans="1:23" x14ac:dyDescent="0.3">
      <c r="A714" s="13" t="str" cm="1">
        <f t="array" ref="A714:B714">INDEX(BenchmarkResults!$B$1:$D$35,SUMPRODUCT((T714&gt;=BenchmarkResults!$F$3:$F$35)*(mongodb_hardware_log!T714&lt;BenchmarkResults!$G$3:$G$35)*ROW(BenchmarkResults!$F$3:$F$35)),{1,3})</f>
        <v>q2_avg_order_city</v>
      </c>
      <c r="B714">
        <v>2</v>
      </c>
      <c r="C714" s="13">
        <v>1</v>
      </c>
      <c r="D714" s="13">
        <v>0</v>
      </c>
      <c r="E714" s="13">
        <v>134400</v>
      </c>
      <c r="F714" s="13">
        <v>689268</v>
      </c>
      <c r="G714" s="13">
        <v>5444</v>
      </c>
      <c r="H714" s="13">
        <v>1720208</v>
      </c>
      <c r="I714" s="13">
        <v>0</v>
      </c>
      <c r="J714" s="13">
        <v>0</v>
      </c>
      <c r="K714" s="13">
        <v>861</v>
      </c>
      <c r="L714" s="13">
        <v>10</v>
      </c>
      <c r="M714" s="13">
        <v>726</v>
      </c>
      <c r="N714" s="13">
        <v>210</v>
      </c>
      <c r="O714" s="13">
        <v>34</v>
      </c>
      <c r="P714" s="13">
        <v>1</v>
      </c>
      <c r="Q714" s="13">
        <v>65</v>
      </c>
      <c r="R714" s="13">
        <v>0</v>
      </c>
      <c r="S714" s="13">
        <v>0</v>
      </c>
      <c r="T714" s="23">
        <v>46247.566724537035</v>
      </c>
      <c r="U714" s="55">
        <f t="shared" si="33"/>
        <v>1.3333333333333333</v>
      </c>
      <c r="V714" s="55">
        <f t="shared" si="34"/>
        <v>0</v>
      </c>
      <c r="W714" s="56">
        <f t="shared" si="35"/>
        <v>982.16666666666663</v>
      </c>
    </row>
    <row r="715" spans="1:23" x14ac:dyDescent="0.3">
      <c r="A715" s="13" t="str" cm="1">
        <f t="array" ref="A715:B715">INDEX(BenchmarkResults!$B$1:$D$35,SUMPRODUCT((T715&gt;=BenchmarkResults!$F$3:$F$35)*(mongodb_hardware_log!T715&lt;BenchmarkResults!$G$3:$G$35)*ROW(BenchmarkResults!$F$3:$F$35)),{1,3})</f>
        <v>q2_avg_order_city</v>
      </c>
      <c r="B715">
        <v>2</v>
      </c>
      <c r="C715" s="13">
        <v>1</v>
      </c>
      <c r="D715" s="13">
        <v>0</v>
      </c>
      <c r="E715" s="13">
        <v>134400</v>
      </c>
      <c r="F715" s="13">
        <v>677676</v>
      </c>
      <c r="G715" s="13">
        <v>5476</v>
      </c>
      <c r="H715" s="13">
        <v>1729652</v>
      </c>
      <c r="I715" s="13">
        <v>0</v>
      </c>
      <c r="J715" s="13">
        <v>0</v>
      </c>
      <c r="K715" s="13">
        <v>937</v>
      </c>
      <c r="L715" s="13">
        <v>26</v>
      </c>
      <c r="M715" s="13">
        <v>718</v>
      </c>
      <c r="N715" s="13">
        <v>217</v>
      </c>
      <c r="O715" s="13">
        <v>33</v>
      </c>
      <c r="P715" s="13">
        <v>1</v>
      </c>
      <c r="Q715" s="13">
        <v>65</v>
      </c>
      <c r="R715" s="13">
        <v>0</v>
      </c>
      <c r="S715" s="13">
        <v>0</v>
      </c>
      <c r="T715" s="23">
        <v>46247.566840277781</v>
      </c>
      <c r="U715" s="55">
        <f t="shared" si="33"/>
        <v>1.1666666666666667</v>
      </c>
      <c r="V715" s="55">
        <f t="shared" si="34"/>
        <v>0</v>
      </c>
      <c r="W715" s="56">
        <f t="shared" si="35"/>
        <v>981</v>
      </c>
    </row>
    <row r="716" spans="1:23" x14ac:dyDescent="0.3">
      <c r="A716" s="13" t="str" cm="1">
        <f t="array" ref="A716:B716">INDEX(BenchmarkResults!$B$1:$D$35,SUMPRODUCT((T716&gt;=BenchmarkResults!$F$3:$F$35)*(mongodb_hardware_log!T716&lt;BenchmarkResults!$G$3:$G$35)*ROW(BenchmarkResults!$F$3:$F$35)),{1,3})</f>
        <v>q2_avg_order_city</v>
      </c>
      <c r="B716">
        <v>2</v>
      </c>
      <c r="C716" s="13">
        <v>1</v>
      </c>
      <c r="D716" s="13">
        <v>0</v>
      </c>
      <c r="E716" s="13">
        <v>134400</v>
      </c>
      <c r="F716" s="13">
        <v>670620</v>
      </c>
      <c r="G716" s="13">
        <v>5484</v>
      </c>
      <c r="H716" s="13">
        <v>1739284</v>
      </c>
      <c r="I716" s="13">
        <v>0</v>
      </c>
      <c r="J716" s="13">
        <v>0</v>
      </c>
      <c r="K716" s="13">
        <v>967</v>
      </c>
      <c r="L716" s="13">
        <v>15</v>
      </c>
      <c r="M716" s="13">
        <v>715</v>
      </c>
      <c r="N716" s="13">
        <v>209</v>
      </c>
      <c r="O716" s="13">
        <v>33</v>
      </c>
      <c r="P716" s="13">
        <v>1</v>
      </c>
      <c r="Q716" s="13">
        <v>65</v>
      </c>
      <c r="R716" s="13">
        <v>0</v>
      </c>
      <c r="S716" s="13">
        <v>0</v>
      </c>
      <c r="T716" s="23">
        <v>46247.56695601852</v>
      </c>
      <c r="U716" s="55">
        <f t="shared" si="33"/>
        <v>1.1666666666666667</v>
      </c>
      <c r="V716" s="55">
        <f t="shared" si="34"/>
        <v>0</v>
      </c>
      <c r="W716" s="56">
        <f t="shared" si="35"/>
        <v>990</v>
      </c>
    </row>
    <row r="717" spans="1:23" x14ac:dyDescent="0.3">
      <c r="A717" s="13" t="str" cm="1">
        <f t="array" ref="A717:B717">INDEX(BenchmarkResults!$B$1:$D$35,SUMPRODUCT((T717&gt;=BenchmarkResults!$F$3:$F$35)*(mongodb_hardware_log!T717&lt;BenchmarkResults!$G$3:$G$35)*ROW(BenchmarkResults!$F$3:$F$35)),{1,3})</f>
        <v>q2_avg_order_city</v>
      </c>
      <c r="B717">
        <v>2</v>
      </c>
      <c r="C717" s="13">
        <v>1</v>
      </c>
      <c r="D717" s="13">
        <v>0</v>
      </c>
      <c r="E717" s="13">
        <v>134400</v>
      </c>
      <c r="F717" s="13">
        <v>662808</v>
      </c>
      <c r="G717" s="13">
        <v>5492</v>
      </c>
      <c r="H717" s="13">
        <v>1748060</v>
      </c>
      <c r="I717" s="13">
        <v>0</v>
      </c>
      <c r="J717" s="13">
        <v>0</v>
      </c>
      <c r="K717" s="13">
        <v>880</v>
      </c>
      <c r="L717" s="13">
        <v>10</v>
      </c>
      <c r="M717" s="13">
        <v>713</v>
      </c>
      <c r="N717" s="13">
        <v>210</v>
      </c>
      <c r="O717" s="13">
        <v>33</v>
      </c>
      <c r="P717" s="13">
        <v>1</v>
      </c>
      <c r="Q717" s="13">
        <v>64</v>
      </c>
      <c r="R717" s="13">
        <v>2</v>
      </c>
      <c r="S717" s="13">
        <v>0</v>
      </c>
      <c r="T717" s="23">
        <v>46247.567071759258</v>
      </c>
      <c r="U717" s="55">
        <f t="shared" si="33"/>
        <v>1</v>
      </c>
      <c r="V717" s="55">
        <f t="shared" si="34"/>
        <v>0</v>
      </c>
      <c r="W717" s="56">
        <f t="shared" si="35"/>
        <v>937.16666666666663</v>
      </c>
    </row>
    <row r="718" spans="1:23" x14ac:dyDescent="0.3">
      <c r="A718" s="13" t="str" cm="1">
        <f t="array" ref="A718:B718">INDEX(BenchmarkResults!$B$1:$D$35,SUMPRODUCT((T718&gt;=BenchmarkResults!$F$3:$F$35)*(mongodb_hardware_log!T718&lt;BenchmarkResults!$G$3:$G$35)*ROW(BenchmarkResults!$F$3:$F$35)),{1,3})</f>
        <v>q2_avg_order_city</v>
      </c>
      <c r="B718">
        <v>2</v>
      </c>
      <c r="C718" s="13">
        <v>1</v>
      </c>
      <c r="D718" s="13">
        <v>0</v>
      </c>
      <c r="E718" s="13">
        <v>134400</v>
      </c>
      <c r="F718" s="13">
        <v>650964</v>
      </c>
      <c r="G718" s="13">
        <v>5500</v>
      </c>
      <c r="H718" s="13">
        <v>1760780</v>
      </c>
      <c r="I718" s="13">
        <v>0</v>
      </c>
      <c r="J718" s="13">
        <v>0</v>
      </c>
      <c r="K718" s="13">
        <v>1263</v>
      </c>
      <c r="L718" s="13">
        <v>10</v>
      </c>
      <c r="M718" s="13">
        <v>710</v>
      </c>
      <c r="N718" s="13">
        <v>206</v>
      </c>
      <c r="O718" s="13">
        <v>33</v>
      </c>
      <c r="P718" s="13">
        <v>1</v>
      </c>
      <c r="Q718" s="13">
        <v>65</v>
      </c>
      <c r="R718" s="13">
        <v>0</v>
      </c>
      <c r="S718" s="13">
        <v>0</v>
      </c>
      <c r="T718" s="23">
        <v>46247.567187499997</v>
      </c>
      <c r="U718" s="55">
        <f t="shared" si="33"/>
        <v>1</v>
      </c>
      <c r="V718" s="55">
        <f t="shared" si="34"/>
        <v>0</v>
      </c>
      <c r="W718" s="56">
        <f t="shared" si="35"/>
        <v>987.33333333333337</v>
      </c>
    </row>
    <row r="719" spans="1:23" x14ac:dyDescent="0.3">
      <c r="A719" s="13" t="str" cm="1">
        <f t="array" ref="A719:B719">INDEX(BenchmarkResults!$B$1:$D$35,SUMPRODUCT((T719&gt;=BenchmarkResults!$F$3:$F$35)*(mongodb_hardware_log!T719&lt;BenchmarkResults!$G$3:$G$35)*ROW(BenchmarkResults!$F$3:$F$35)),{1,3})</f>
        <v>q2_avg_order_city</v>
      </c>
      <c r="B719">
        <v>2</v>
      </c>
      <c r="C719" s="13">
        <v>1</v>
      </c>
      <c r="D719" s="13">
        <v>0</v>
      </c>
      <c r="E719" s="13">
        <v>134400</v>
      </c>
      <c r="F719" s="13">
        <v>638616</v>
      </c>
      <c r="G719" s="13">
        <v>5508</v>
      </c>
      <c r="H719" s="13">
        <v>1772692</v>
      </c>
      <c r="I719" s="13">
        <v>1</v>
      </c>
      <c r="J719" s="13">
        <v>0</v>
      </c>
      <c r="K719" s="13">
        <v>1186</v>
      </c>
      <c r="L719" s="13">
        <v>30</v>
      </c>
      <c r="M719" s="13">
        <v>745</v>
      </c>
      <c r="N719" s="13">
        <v>270</v>
      </c>
      <c r="O719" s="13">
        <v>33</v>
      </c>
      <c r="P719" s="13">
        <v>1</v>
      </c>
      <c r="Q719" s="13">
        <v>64</v>
      </c>
      <c r="R719" s="13">
        <v>1</v>
      </c>
      <c r="S719" s="13">
        <v>0</v>
      </c>
      <c r="T719" s="23">
        <v>46247.567303240743</v>
      </c>
      <c r="U719" s="55">
        <f t="shared" si="33"/>
        <v>1</v>
      </c>
      <c r="V719" s="55">
        <f t="shared" si="34"/>
        <v>0</v>
      </c>
      <c r="W719" s="56">
        <f t="shared" si="35"/>
        <v>1015.6666666666666</v>
      </c>
    </row>
    <row r="720" spans="1:23" x14ac:dyDescent="0.3">
      <c r="A720" s="13" t="str" cm="1">
        <f t="array" ref="A720:B720">INDEX(BenchmarkResults!$B$1:$D$35,SUMPRODUCT((T720&gt;=BenchmarkResults!$F$3:$F$35)*(mongodb_hardware_log!T720&lt;BenchmarkResults!$G$3:$G$35)*ROW(BenchmarkResults!$F$3:$F$35)),{1,3})</f>
        <v>q2_avg_order_city</v>
      </c>
      <c r="B720">
        <v>2</v>
      </c>
      <c r="C720" s="13">
        <v>1</v>
      </c>
      <c r="D720" s="13">
        <v>0</v>
      </c>
      <c r="E720" s="13">
        <v>134400</v>
      </c>
      <c r="F720" s="13">
        <v>630584</v>
      </c>
      <c r="G720" s="13">
        <v>5524</v>
      </c>
      <c r="H720" s="13">
        <v>1779632</v>
      </c>
      <c r="I720" s="13">
        <v>0</v>
      </c>
      <c r="J720" s="13">
        <v>0</v>
      </c>
      <c r="K720" s="13">
        <v>686</v>
      </c>
      <c r="L720" s="13">
        <v>20</v>
      </c>
      <c r="M720" s="13">
        <v>757</v>
      </c>
      <c r="N720" s="13">
        <v>238</v>
      </c>
      <c r="O720" s="13">
        <v>34</v>
      </c>
      <c r="P720" s="13">
        <v>1</v>
      </c>
      <c r="Q720" s="13">
        <v>64</v>
      </c>
      <c r="R720" s="13">
        <v>0</v>
      </c>
      <c r="S720" s="13">
        <v>1</v>
      </c>
      <c r="T720" s="23">
        <v>46247.567418981482</v>
      </c>
      <c r="U720" s="55">
        <f t="shared" si="33"/>
        <v>1</v>
      </c>
      <c r="V720" s="55">
        <f t="shared" si="34"/>
        <v>0</v>
      </c>
      <c r="W720" s="56">
        <f t="shared" si="35"/>
        <v>986.5</v>
      </c>
    </row>
    <row r="721" spans="1:23" x14ac:dyDescent="0.3">
      <c r="A721" s="13" t="str" cm="1">
        <f t="array" ref="A721:B721">INDEX(BenchmarkResults!$B$1:$D$35,SUMPRODUCT((T721&gt;=BenchmarkResults!$F$3:$F$35)*(mongodb_hardware_log!T721&lt;BenchmarkResults!$G$3:$G$35)*ROW(BenchmarkResults!$F$3:$F$35)),{1,3})</f>
        <v>q2_avg_order_city</v>
      </c>
      <c r="B721">
        <v>2</v>
      </c>
      <c r="C721" s="13">
        <v>1</v>
      </c>
      <c r="D721" s="13">
        <v>0</v>
      </c>
      <c r="E721" s="13">
        <v>134400</v>
      </c>
      <c r="F721" s="13">
        <v>619244</v>
      </c>
      <c r="G721" s="13">
        <v>5548</v>
      </c>
      <c r="H721" s="13">
        <v>1787420</v>
      </c>
      <c r="I721" s="13">
        <v>0</v>
      </c>
      <c r="J721" s="13">
        <v>0</v>
      </c>
      <c r="K721" s="13">
        <v>779</v>
      </c>
      <c r="L721" s="13">
        <v>24</v>
      </c>
      <c r="M721" s="13">
        <v>706</v>
      </c>
      <c r="N721" s="13">
        <v>211</v>
      </c>
      <c r="O721" s="13">
        <v>33</v>
      </c>
      <c r="P721" s="13">
        <v>1</v>
      </c>
      <c r="Q721" s="13">
        <v>65</v>
      </c>
      <c r="R721" s="13">
        <v>0</v>
      </c>
      <c r="S721" s="13">
        <v>0</v>
      </c>
      <c r="T721" s="23">
        <v>46247.56753472222</v>
      </c>
      <c r="U721" s="55">
        <f t="shared" si="33"/>
        <v>1</v>
      </c>
      <c r="V721" s="55">
        <f t="shared" si="34"/>
        <v>0</v>
      </c>
      <c r="W721" s="56">
        <f t="shared" si="35"/>
        <v>960.16666666666663</v>
      </c>
    </row>
    <row r="722" spans="1:23" x14ac:dyDescent="0.3">
      <c r="A722" s="13" t="str" cm="1">
        <f t="array" ref="A722:B722">INDEX(BenchmarkResults!$B$1:$D$35,SUMPRODUCT((T722&gt;=BenchmarkResults!$F$3:$F$35)*(mongodb_hardware_log!T722&lt;BenchmarkResults!$G$3:$G$35)*ROW(BenchmarkResults!$F$3:$F$35)),{1,3})</f>
        <v>q2_avg_order_city</v>
      </c>
      <c r="B722">
        <v>2</v>
      </c>
      <c r="C722" s="13">
        <v>1</v>
      </c>
      <c r="D722" s="13">
        <v>0</v>
      </c>
      <c r="E722" s="13">
        <v>134400</v>
      </c>
      <c r="F722" s="13">
        <v>610928</v>
      </c>
      <c r="G722" s="13">
        <v>5556</v>
      </c>
      <c r="H722" s="13">
        <v>1794928</v>
      </c>
      <c r="I722" s="13">
        <v>0</v>
      </c>
      <c r="J722" s="13">
        <v>0</v>
      </c>
      <c r="K722" s="13">
        <v>750</v>
      </c>
      <c r="L722" s="13">
        <v>11</v>
      </c>
      <c r="M722" s="13">
        <v>707</v>
      </c>
      <c r="N722" s="13">
        <v>205</v>
      </c>
      <c r="O722" s="13">
        <v>33</v>
      </c>
      <c r="P722" s="13">
        <v>1</v>
      </c>
      <c r="Q722" s="13">
        <v>65</v>
      </c>
      <c r="R722" s="13">
        <v>0</v>
      </c>
      <c r="S722" s="13">
        <v>1</v>
      </c>
      <c r="T722" s="23">
        <v>46247.567650462966</v>
      </c>
      <c r="U722" s="55">
        <f t="shared" si="33"/>
        <v>1</v>
      </c>
      <c r="V722" s="55">
        <f t="shared" si="34"/>
        <v>0</v>
      </c>
      <c r="W722" s="56">
        <f t="shared" si="35"/>
        <v>924</v>
      </c>
    </row>
    <row r="723" spans="1:23" x14ac:dyDescent="0.3">
      <c r="A723" s="13" t="str" cm="1">
        <f t="array" ref="A723:B723">INDEX(BenchmarkResults!$B$1:$D$35,SUMPRODUCT((T723&gt;=BenchmarkResults!$F$3:$F$35)*(mongodb_hardware_log!T723&lt;BenchmarkResults!$G$3:$G$35)*ROW(BenchmarkResults!$F$3:$F$35)),{1,3})</f>
        <v>q2_avg_order_city</v>
      </c>
      <c r="B723">
        <v>2</v>
      </c>
      <c r="C723" s="13">
        <v>1</v>
      </c>
      <c r="D723" s="13">
        <v>0</v>
      </c>
      <c r="E723" s="13">
        <v>134400</v>
      </c>
      <c r="F723" s="13">
        <v>606140</v>
      </c>
      <c r="G723" s="13">
        <v>5564</v>
      </c>
      <c r="H723" s="13">
        <v>1804804</v>
      </c>
      <c r="I723" s="13">
        <v>0</v>
      </c>
      <c r="J723" s="13">
        <v>0</v>
      </c>
      <c r="K723" s="13">
        <v>988</v>
      </c>
      <c r="L723" s="13">
        <v>26</v>
      </c>
      <c r="M723" s="13">
        <v>722</v>
      </c>
      <c r="N723" s="13">
        <v>218</v>
      </c>
      <c r="O723" s="13">
        <v>33</v>
      </c>
      <c r="P723" s="13">
        <v>1</v>
      </c>
      <c r="Q723" s="13">
        <v>65</v>
      </c>
      <c r="R723" s="13">
        <v>1</v>
      </c>
      <c r="S723" s="13">
        <v>0</v>
      </c>
      <c r="T723" s="23">
        <v>46247.567766203705</v>
      </c>
      <c r="U723" s="55">
        <f t="shared" si="33"/>
        <v>1</v>
      </c>
      <c r="V723" s="55">
        <f t="shared" si="34"/>
        <v>0</v>
      </c>
      <c r="W723" s="56">
        <f t="shared" si="35"/>
        <v>942</v>
      </c>
    </row>
    <row r="724" spans="1:23" x14ac:dyDescent="0.3">
      <c r="A724" s="13" t="str" cm="1">
        <f t="array" ref="A724:B724">INDEX(BenchmarkResults!$B$1:$D$35,SUMPRODUCT((T724&gt;=BenchmarkResults!$F$3:$F$35)*(mongodb_hardware_log!T724&lt;BenchmarkResults!$G$3:$G$35)*ROW(BenchmarkResults!$F$3:$F$35)),{1,3})</f>
        <v>q2_avg_order_city</v>
      </c>
      <c r="B724">
        <v>2</v>
      </c>
      <c r="C724" s="13">
        <v>1</v>
      </c>
      <c r="D724" s="13">
        <v>0</v>
      </c>
      <c r="E724" s="13">
        <v>134400</v>
      </c>
      <c r="F724" s="13">
        <v>594044</v>
      </c>
      <c r="G724" s="13">
        <v>5572</v>
      </c>
      <c r="H724" s="13">
        <v>1811176</v>
      </c>
      <c r="I724" s="13">
        <v>0</v>
      </c>
      <c r="J724" s="13">
        <v>0</v>
      </c>
      <c r="K724" s="13">
        <v>640</v>
      </c>
      <c r="L724" s="13">
        <v>16</v>
      </c>
      <c r="M724" s="13">
        <v>708</v>
      </c>
      <c r="N724" s="13">
        <v>210</v>
      </c>
      <c r="O724" s="13">
        <v>33</v>
      </c>
      <c r="P724" s="13">
        <v>1</v>
      </c>
      <c r="Q724" s="13">
        <v>65</v>
      </c>
      <c r="R724" s="13">
        <v>0</v>
      </c>
      <c r="S724" s="13">
        <v>0</v>
      </c>
      <c r="T724" s="23">
        <v>46247.567881944444</v>
      </c>
      <c r="U724" s="55">
        <f t="shared" si="33"/>
        <v>1</v>
      </c>
      <c r="V724" s="55">
        <f t="shared" si="34"/>
        <v>0</v>
      </c>
      <c r="W724" s="56">
        <f t="shared" si="35"/>
        <v>838.16666666666663</v>
      </c>
    </row>
    <row r="725" spans="1:23" x14ac:dyDescent="0.3">
      <c r="A725" s="13" t="str" cm="1">
        <f t="array" ref="A725:B725">INDEX(BenchmarkResults!$B$1:$D$35,SUMPRODUCT((T725&gt;=BenchmarkResults!$F$3:$F$35)*(mongodb_hardware_log!T725&lt;BenchmarkResults!$G$3:$G$35)*ROW(BenchmarkResults!$F$3:$F$35)),{1,3})</f>
        <v>q2_avg_order_city</v>
      </c>
      <c r="B725">
        <v>2</v>
      </c>
      <c r="C725" s="13">
        <v>1</v>
      </c>
      <c r="D725" s="13">
        <v>0</v>
      </c>
      <c r="E725" s="13">
        <v>134400</v>
      </c>
      <c r="F725" s="13">
        <v>590264</v>
      </c>
      <c r="G725" s="13">
        <v>5580</v>
      </c>
      <c r="H725" s="13">
        <v>1818272</v>
      </c>
      <c r="I725" s="13">
        <v>0</v>
      </c>
      <c r="J725" s="13">
        <v>0</v>
      </c>
      <c r="K725" s="13">
        <v>706</v>
      </c>
      <c r="L725" s="13">
        <v>11</v>
      </c>
      <c r="M725" s="13">
        <v>726</v>
      </c>
      <c r="N725" s="13">
        <v>217</v>
      </c>
      <c r="O725" s="13">
        <v>33</v>
      </c>
      <c r="P725" s="13">
        <v>1</v>
      </c>
      <c r="Q725" s="13">
        <v>65</v>
      </c>
      <c r="R725" s="13">
        <v>0</v>
      </c>
      <c r="S725" s="13">
        <v>2</v>
      </c>
      <c r="T725" s="23">
        <v>46247.567997685182</v>
      </c>
      <c r="U725" s="55">
        <f t="shared" si="33"/>
        <v>1</v>
      </c>
      <c r="V725" s="55">
        <f t="shared" si="34"/>
        <v>0</v>
      </c>
      <c r="W725" s="56">
        <f t="shared" si="35"/>
        <v>758.16666666666663</v>
      </c>
    </row>
    <row r="726" spans="1:23" x14ac:dyDescent="0.3">
      <c r="A726" s="13" t="str" cm="1">
        <f t="array" ref="A726:B726">INDEX(BenchmarkResults!$B$1:$D$35,SUMPRODUCT((T726&gt;=BenchmarkResults!$F$3:$F$35)*(mongodb_hardware_log!T726&lt;BenchmarkResults!$G$3:$G$35)*ROW(BenchmarkResults!$F$3:$F$35)),{1,3})</f>
        <v>q2_avg_order_city</v>
      </c>
      <c r="B726">
        <v>2</v>
      </c>
      <c r="C726" s="13">
        <v>1</v>
      </c>
      <c r="D726" s="13">
        <v>0</v>
      </c>
      <c r="E726" s="13">
        <v>134400</v>
      </c>
      <c r="F726" s="13">
        <v>586484</v>
      </c>
      <c r="G726" s="13">
        <v>5588</v>
      </c>
      <c r="H726" s="13">
        <v>1826096</v>
      </c>
      <c r="I726" s="13">
        <v>0</v>
      </c>
      <c r="J726" s="13">
        <v>0</v>
      </c>
      <c r="K726" s="13">
        <v>782</v>
      </c>
      <c r="L726" s="13">
        <v>11</v>
      </c>
      <c r="M726" s="13">
        <v>786</v>
      </c>
      <c r="N726" s="13">
        <v>238</v>
      </c>
      <c r="O726" s="13">
        <v>32</v>
      </c>
      <c r="P726" s="13">
        <v>1</v>
      </c>
      <c r="Q726" s="13">
        <v>63</v>
      </c>
      <c r="R726" s="13">
        <v>1</v>
      </c>
      <c r="S726" s="13">
        <v>3</v>
      </c>
      <c r="T726" s="23">
        <v>46247.568113425928</v>
      </c>
      <c r="U726" s="55">
        <f t="shared" si="33"/>
        <v>1</v>
      </c>
      <c r="V726" s="55">
        <f t="shared" si="34"/>
        <v>0</v>
      </c>
      <c r="W726" s="56">
        <f t="shared" si="35"/>
        <v>774.16666666666663</v>
      </c>
    </row>
    <row r="727" spans="1:23" x14ac:dyDescent="0.3">
      <c r="A727" s="13" t="str" cm="1">
        <f t="array" ref="A727:B727">INDEX(BenchmarkResults!$B$1:$D$35,SUMPRODUCT((T727&gt;=BenchmarkResults!$F$3:$F$35)*(mongodb_hardware_log!T727&lt;BenchmarkResults!$G$3:$G$35)*ROW(BenchmarkResults!$F$3:$F$35)),{1,3})</f>
        <v>q2_avg_order_city</v>
      </c>
      <c r="B727">
        <v>2</v>
      </c>
      <c r="C727" s="13">
        <v>1</v>
      </c>
      <c r="D727" s="13">
        <v>0</v>
      </c>
      <c r="E727" s="13">
        <v>134400</v>
      </c>
      <c r="F727" s="13">
        <v>570608</v>
      </c>
      <c r="G727" s="13">
        <v>5612</v>
      </c>
      <c r="H727" s="13">
        <v>1834164</v>
      </c>
      <c r="I727" s="13">
        <v>0</v>
      </c>
      <c r="J727" s="13">
        <v>0</v>
      </c>
      <c r="K727" s="13">
        <v>807</v>
      </c>
      <c r="L727" s="13">
        <v>28</v>
      </c>
      <c r="M727" s="13">
        <v>716</v>
      </c>
      <c r="N727" s="13">
        <v>209</v>
      </c>
      <c r="O727" s="13">
        <v>33</v>
      </c>
      <c r="P727" s="13">
        <v>1</v>
      </c>
      <c r="Q727" s="13">
        <v>65</v>
      </c>
      <c r="R727" s="13">
        <v>0</v>
      </c>
      <c r="S727" s="13">
        <v>1</v>
      </c>
      <c r="T727" s="23">
        <v>46247.568229166667</v>
      </c>
      <c r="U727" s="55">
        <f t="shared" si="33"/>
        <v>1</v>
      </c>
      <c r="V727" s="55">
        <f t="shared" si="34"/>
        <v>0</v>
      </c>
      <c r="W727" s="56">
        <f t="shared" si="35"/>
        <v>778.83333333333337</v>
      </c>
    </row>
    <row r="728" spans="1:23" x14ac:dyDescent="0.3">
      <c r="A728" s="13" t="str" cm="1">
        <f t="array" ref="A728:B728">INDEX(BenchmarkResults!$B$1:$D$35,SUMPRODUCT((T728&gt;=BenchmarkResults!$F$3:$F$35)*(mongodb_hardware_log!T728&lt;BenchmarkResults!$G$3:$G$35)*ROW(BenchmarkResults!$F$3:$F$35)),{1,3})</f>
        <v>q2_avg_order_city</v>
      </c>
      <c r="B728">
        <v>2</v>
      </c>
      <c r="C728" s="13">
        <v>1</v>
      </c>
      <c r="D728" s="13">
        <v>0</v>
      </c>
      <c r="E728" s="13">
        <v>134400</v>
      </c>
      <c r="F728" s="13">
        <v>559772</v>
      </c>
      <c r="G728" s="13">
        <v>5620</v>
      </c>
      <c r="H728" s="13">
        <v>1843936</v>
      </c>
      <c r="I728" s="13">
        <v>0</v>
      </c>
      <c r="J728" s="13">
        <v>0</v>
      </c>
      <c r="K728" s="13">
        <v>977</v>
      </c>
      <c r="L728" s="13">
        <v>12</v>
      </c>
      <c r="M728" s="13">
        <v>717</v>
      </c>
      <c r="N728" s="13">
        <v>211</v>
      </c>
      <c r="O728" s="13">
        <v>33</v>
      </c>
      <c r="P728" s="13">
        <v>1</v>
      </c>
      <c r="Q728" s="13">
        <v>65</v>
      </c>
      <c r="R728" s="13">
        <v>0</v>
      </c>
      <c r="S728" s="13">
        <v>0</v>
      </c>
      <c r="T728" s="23">
        <v>46247.568344907406</v>
      </c>
      <c r="U728" s="55">
        <f t="shared" si="33"/>
        <v>1</v>
      </c>
      <c r="V728" s="55">
        <f t="shared" si="34"/>
        <v>0</v>
      </c>
      <c r="W728" s="56">
        <f t="shared" si="35"/>
        <v>816.66666666666663</v>
      </c>
    </row>
    <row r="729" spans="1:23" x14ac:dyDescent="0.3">
      <c r="A729" s="13" t="str" cm="1">
        <f t="array" ref="A729:B729">INDEX(BenchmarkResults!$B$1:$D$35,SUMPRODUCT((T729&gt;=BenchmarkResults!$F$3:$F$35)*(mongodb_hardware_log!T729&lt;BenchmarkResults!$G$3:$G$35)*ROW(BenchmarkResults!$F$3:$F$35)),{1,3})</f>
        <v>q2_avg_order_city</v>
      </c>
      <c r="B729">
        <v>2</v>
      </c>
      <c r="C729" s="13">
        <v>1</v>
      </c>
      <c r="D729" s="13">
        <v>0</v>
      </c>
      <c r="E729" s="13">
        <v>134400</v>
      </c>
      <c r="F729" s="13">
        <v>551708</v>
      </c>
      <c r="G729" s="13">
        <v>5628</v>
      </c>
      <c r="H729" s="13">
        <v>1852632</v>
      </c>
      <c r="I729" s="13">
        <v>0</v>
      </c>
      <c r="J729" s="13">
        <v>0</v>
      </c>
      <c r="K729" s="13">
        <v>872</v>
      </c>
      <c r="L729" s="13">
        <v>12</v>
      </c>
      <c r="M729" s="13">
        <v>713</v>
      </c>
      <c r="N729" s="13">
        <v>208</v>
      </c>
      <c r="O729" s="13">
        <v>33</v>
      </c>
      <c r="P729" s="13">
        <v>1</v>
      </c>
      <c r="Q729" s="13">
        <v>65</v>
      </c>
      <c r="R729" s="13">
        <v>0</v>
      </c>
      <c r="S729" s="13">
        <v>0</v>
      </c>
      <c r="T729" s="23">
        <v>46247.568460648145</v>
      </c>
      <c r="U729" s="55">
        <f t="shared" si="33"/>
        <v>1</v>
      </c>
      <c r="V729" s="55">
        <f t="shared" si="34"/>
        <v>0</v>
      </c>
      <c r="W729" s="56">
        <f t="shared" si="35"/>
        <v>797.33333333333337</v>
      </c>
    </row>
    <row r="730" spans="1:23" x14ac:dyDescent="0.3">
      <c r="A730" s="13" t="str" cm="1">
        <f t="array" ref="A730:B730">INDEX(BenchmarkResults!$B$1:$D$35,SUMPRODUCT((T730&gt;=BenchmarkResults!$F$3:$F$35)*(mongodb_hardware_log!T730&lt;BenchmarkResults!$G$3:$G$35)*ROW(BenchmarkResults!$F$3:$F$35)),{1,3})</f>
        <v>q2_avg_order_city</v>
      </c>
      <c r="B730">
        <v>2</v>
      </c>
      <c r="C730" s="13">
        <v>1</v>
      </c>
      <c r="D730" s="13">
        <v>0</v>
      </c>
      <c r="E730" s="13">
        <v>134400</v>
      </c>
      <c r="F730" s="13">
        <v>546164</v>
      </c>
      <c r="G730" s="13">
        <v>5636</v>
      </c>
      <c r="H730" s="13">
        <v>1862432</v>
      </c>
      <c r="I730" s="13">
        <v>0</v>
      </c>
      <c r="J730" s="13">
        <v>0</v>
      </c>
      <c r="K730" s="13">
        <v>979</v>
      </c>
      <c r="L730" s="13">
        <v>11</v>
      </c>
      <c r="M730" s="13">
        <v>715</v>
      </c>
      <c r="N730" s="13">
        <v>212</v>
      </c>
      <c r="O730" s="13">
        <v>33</v>
      </c>
      <c r="P730" s="13">
        <v>1</v>
      </c>
      <c r="Q730" s="13">
        <v>65</v>
      </c>
      <c r="R730" s="13">
        <v>1</v>
      </c>
      <c r="S730" s="13">
        <v>1</v>
      </c>
      <c r="T730" s="23">
        <v>46247.568576388891</v>
      </c>
      <c r="U730" s="55">
        <f t="shared" si="33"/>
        <v>1</v>
      </c>
      <c r="V730" s="55">
        <f t="shared" si="34"/>
        <v>0</v>
      </c>
      <c r="W730" s="56">
        <f t="shared" si="35"/>
        <v>853.83333333333337</v>
      </c>
    </row>
    <row r="731" spans="1:23" x14ac:dyDescent="0.3">
      <c r="A731" s="13" t="str" cm="1">
        <f t="array" ref="A731:B731">INDEX(BenchmarkResults!$B$1:$D$35,SUMPRODUCT((T731&gt;=BenchmarkResults!$F$3:$F$35)*(mongodb_hardware_log!T731&lt;BenchmarkResults!$G$3:$G$35)*ROW(BenchmarkResults!$F$3:$F$35)),{1,3})</f>
        <v>q2_avg_order_city</v>
      </c>
      <c r="B731">
        <v>2</v>
      </c>
      <c r="C731" s="13">
        <v>1</v>
      </c>
      <c r="D731" s="13">
        <v>0</v>
      </c>
      <c r="E731" s="13">
        <v>134400</v>
      </c>
      <c r="F731" s="13">
        <v>542820</v>
      </c>
      <c r="G731" s="13">
        <v>5652</v>
      </c>
      <c r="H731" s="13">
        <v>1871480</v>
      </c>
      <c r="I731" s="13">
        <v>0</v>
      </c>
      <c r="J731" s="13">
        <v>0</v>
      </c>
      <c r="K731" s="13">
        <v>908</v>
      </c>
      <c r="L731" s="13">
        <v>18</v>
      </c>
      <c r="M731" s="13">
        <v>734</v>
      </c>
      <c r="N731" s="13">
        <v>240</v>
      </c>
      <c r="O731" s="13">
        <v>34</v>
      </c>
      <c r="P731" s="13">
        <v>1</v>
      </c>
      <c r="Q731" s="13">
        <v>64</v>
      </c>
      <c r="R731" s="13">
        <v>0</v>
      </c>
      <c r="S731" s="13">
        <v>0</v>
      </c>
      <c r="T731" s="23">
        <v>46247.568692129629</v>
      </c>
      <c r="U731" s="55">
        <f t="shared" si="33"/>
        <v>1</v>
      </c>
      <c r="V731" s="55">
        <f t="shared" si="34"/>
        <v>0</v>
      </c>
      <c r="W731" s="56">
        <f t="shared" si="35"/>
        <v>887.5</v>
      </c>
    </row>
    <row r="732" spans="1:23" x14ac:dyDescent="0.3">
      <c r="A732" s="13" t="str" cm="1">
        <f t="array" ref="A732:B732">INDEX(BenchmarkResults!$B$1:$D$35,SUMPRODUCT((T732&gt;=BenchmarkResults!$F$3:$F$35)*(mongodb_hardware_log!T732&lt;BenchmarkResults!$G$3:$G$35)*ROW(BenchmarkResults!$F$3:$F$35)),{1,3})</f>
        <v>q2_avg_order_city</v>
      </c>
      <c r="B732">
        <v>2</v>
      </c>
      <c r="C732" s="13">
        <v>1</v>
      </c>
      <c r="D732" s="13">
        <v>0</v>
      </c>
      <c r="E732" s="13">
        <v>134400</v>
      </c>
      <c r="F732" s="13">
        <v>531984</v>
      </c>
      <c r="G732" s="13">
        <v>5660</v>
      </c>
      <c r="H732" s="13">
        <v>1879948</v>
      </c>
      <c r="I732" s="13">
        <v>0</v>
      </c>
      <c r="J732" s="13">
        <v>0</v>
      </c>
      <c r="K732" s="13">
        <v>845</v>
      </c>
      <c r="L732" s="13">
        <v>2</v>
      </c>
      <c r="M732" s="13">
        <v>720</v>
      </c>
      <c r="N732" s="13">
        <v>212</v>
      </c>
      <c r="O732" s="13">
        <v>33</v>
      </c>
      <c r="P732" s="13">
        <v>1</v>
      </c>
      <c r="Q732" s="13">
        <v>65</v>
      </c>
      <c r="R732" s="13">
        <v>0</v>
      </c>
      <c r="S732" s="13">
        <v>0</v>
      </c>
      <c r="T732" s="23">
        <v>46247.568807870368</v>
      </c>
      <c r="U732" s="55">
        <f t="shared" si="33"/>
        <v>1</v>
      </c>
      <c r="V732" s="55">
        <f t="shared" si="34"/>
        <v>0</v>
      </c>
      <c r="W732" s="56">
        <f t="shared" si="35"/>
        <v>898</v>
      </c>
    </row>
    <row r="733" spans="1:23" x14ac:dyDescent="0.3">
      <c r="A733" s="13" t="str" cm="1">
        <f t="array" ref="A733:B733">INDEX(BenchmarkResults!$B$1:$D$35,SUMPRODUCT((T733&gt;=BenchmarkResults!$F$3:$F$35)*(mongodb_hardware_log!T733&lt;BenchmarkResults!$G$3:$G$35)*ROW(BenchmarkResults!$F$3:$F$35)),{1,3})</f>
        <v>q2_avg_order_city</v>
      </c>
      <c r="B733">
        <v>2</v>
      </c>
      <c r="C733" s="13">
        <v>1</v>
      </c>
      <c r="D733" s="13">
        <v>0</v>
      </c>
      <c r="E733" s="13">
        <v>134400</v>
      </c>
      <c r="F733" s="13">
        <v>522408</v>
      </c>
      <c r="G733" s="13">
        <v>5716</v>
      </c>
      <c r="H733" s="13">
        <v>1888308</v>
      </c>
      <c r="I733" s="13">
        <v>0</v>
      </c>
      <c r="J733" s="13">
        <v>0</v>
      </c>
      <c r="K733" s="13">
        <v>826</v>
      </c>
      <c r="L733" s="13">
        <v>41</v>
      </c>
      <c r="M733" s="13">
        <v>790</v>
      </c>
      <c r="N733" s="13">
        <v>303</v>
      </c>
      <c r="O733" s="13">
        <v>33</v>
      </c>
      <c r="P733" s="13">
        <v>1</v>
      </c>
      <c r="Q733" s="13">
        <v>65</v>
      </c>
      <c r="R733" s="13">
        <v>1</v>
      </c>
      <c r="S733" s="13">
        <v>0</v>
      </c>
      <c r="T733" s="23">
        <v>46247.568923611114</v>
      </c>
      <c r="U733" s="55">
        <f t="shared" si="33"/>
        <v>1</v>
      </c>
      <c r="V733" s="55">
        <f t="shared" si="34"/>
        <v>0</v>
      </c>
      <c r="W733" s="56">
        <f t="shared" si="35"/>
        <v>901.16666666666663</v>
      </c>
    </row>
    <row r="734" spans="1:23" x14ac:dyDescent="0.3">
      <c r="A734" s="13" t="str" cm="1">
        <f t="array" ref="A734:B734">INDEX(BenchmarkResults!$B$1:$D$35,SUMPRODUCT((T734&gt;=BenchmarkResults!$F$3:$F$35)*(mongodb_hardware_log!T734&lt;BenchmarkResults!$G$3:$G$35)*ROW(BenchmarkResults!$F$3:$F$35)),{1,3})</f>
        <v>q2_avg_order_city</v>
      </c>
      <c r="B734">
        <v>2</v>
      </c>
      <c r="C734" s="13">
        <v>1</v>
      </c>
      <c r="D734" s="13">
        <v>0</v>
      </c>
      <c r="E734" s="13">
        <v>134400</v>
      </c>
      <c r="F734" s="13">
        <v>514344</v>
      </c>
      <c r="G734" s="13">
        <v>5724</v>
      </c>
      <c r="H734" s="13">
        <v>1896844</v>
      </c>
      <c r="I734" s="13">
        <v>0</v>
      </c>
      <c r="J734" s="13">
        <v>0</v>
      </c>
      <c r="K734" s="13">
        <v>863</v>
      </c>
      <c r="L734" s="13">
        <v>28</v>
      </c>
      <c r="M734" s="13">
        <v>723</v>
      </c>
      <c r="N734" s="13">
        <v>224</v>
      </c>
      <c r="O734" s="13">
        <v>33</v>
      </c>
      <c r="P734" s="13">
        <v>1</v>
      </c>
      <c r="Q734" s="13">
        <v>65</v>
      </c>
      <c r="R734" s="13">
        <v>0</v>
      </c>
      <c r="S734" s="13">
        <v>1</v>
      </c>
      <c r="T734" s="23">
        <v>46247.569039351853</v>
      </c>
      <c r="U734" s="55">
        <f t="shared" si="33"/>
        <v>1</v>
      </c>
      <c r="V734" s="55">
        <f t="shared" si="34"/>
        <v>0</v>
      </c>
      <c r="W734" s="56">
        <f t="shared" si="35"/>
        <v>882.16666666666663</v>
      </c>
    </row>
    <row r="735" spans="1:23" x14ac:dyDescent="0.3">
      <c r="A735" s="13" t="str" cm="1">
        <f t="array" ref="A735:B735">INDEX(BenchmarkResults!$B$1:$D$35,SUMPRODUCT((T735&gt;=BenchmarkResults!$F$3:$F$35)*(mongodb_hardware_log!T735&lt;BenchmarkResults!$G$3:$G$35)*ROW(BenchmarkResults!$F$3:$F$35)),{1,3})</f>
        <v>q2_avg_order_city</v>
      </c>
      <c r="B735">
        <v>2</v>
      </c>
      <c r="C735" s="13">
        <v>1</v>
      </c>
      <c r="D735" s="13">
        <v>0</v>
      </c>
      <c r="E735" s="13">
        <v>134400</v>
      </c>
      <c r="F735" s="13">
        <v>509048</v>
      </c>
      <c r="G735" s="13">
        <v>5740</v>
      </c>
      <c r="H735" s="13">
        <v>1905268</v>
      </c>
      <c r="I735" s="13">
        <v>0</v>
      </c>
      <c r="J735" s="13">
        <v>0</v>
      </c>
      <c r="K735" s="13">
        <v>833</v>
      </c>
      <c r="L735" s="13">
        <v>11</v>
      </c>
      <c r="M735" s="13">
        <v>798</v>
      </c>
      <c r="N735" s="13">
        <v>306</v>
      </c>
      <c r="O735" s="13">
        <v>34</v>
      </c>
      <c r="P735" s="13">
        <v>1</v>
      </c>
      <c r="Q735" s="13">
        <v>64</v>
      </c>
      <c r="R735" s="13">
        <v>0</v>
      </c>
      <c r="S735" s="13">
        <v>0</v>
      </c>
      <c r="T735" s="23">
        <v>46247.569155092591</v>
      </c>
      <c r="U735" s="55">
        <f t="shared" si="33"/>
        <v>1</v>
      </c>
      <c r="V735" s="55">
        <f t="shared" si="34"/>
        <v>0</v>
      </c>
      <c r="W735" s="56">
        <f t="shared" si="35"/>
        <v>875.66666666666663</v>
      </c>
    </row>
    <row r="736" spans="1:23" x14ac:dyDescent="0.3">
      <c r="A736" s="13" t="str" cm="1">
        <f t="array" ref="A736:B736">INDEX(BenchmarkResults!$B$1:$D$35,SUMPRODUCT((T736&gt;=BenchmarkResults!$F$3:$F$35)*(mongodb_hardware_log!T736&lt;BenchmarkResults!$G$3:$G$35)*ROW(BenchmarkResults!$F$3:$F$35)),{1,3})</f>
        <v>q2_avg_order_city</v>
      </c>
      <c r="B736">
        <v>2</v>
      </c>
      <c r="C736" s="13">
        <v>1</v>
      </c>
      <c r="D736" s="13">
        <v>0</v>
      </c>
      <c r="E736" s="13">
        <v>134400</v>
      </c>
      <c r="F736" s="13">
        <v>493676</v>
      </c>
      <c r="G736" s="13">
        <v>5748</v>
      </c>
      <c r="H736" s="13">
        <v>1914416</v>
      </c>
      <c r="I736" s="13">
        <v>0</v>
      </c>
      <c r="J736" s="13">
        <v>0</v>
      </c>
      <c r="K736" s="13">
        <v>924</v>
      </c>
      <c r="L736" s="13">
        <v>11</v>
      </c>
      <c r="M736" s="13">
        <v>715</v>
      </c>
      <c r="N736" s="13">
        <v>210</v>
      </c>
      <c r="O736" s="13">
        <v>33</v>
      </c>
      <c r="P736" s="13">
        <v>1</v>
      </c>
      <c r="Q736" s="13">
        <v>65</v>
      </c>
      <c r="R736" s="13">
        <v>0</v>
      </c>
      <c r="S736" s="13">
        <v>1</v>
      </c>
      <c r="T736" s="23">
        <v>46247.56927083333</v>
      </c>
      <c r="U736" s="55">
        <f t="shared" si="33"/>
        <v>1</v>
      </c>
      <c r="V736" s="55">
        <f t="shared" si="34"/>
        <v>0</v>
      </c>
      <c r="W736" s="56">
        <f t="shared" si="35"/>
        <v>866.5</v>
      </c>
    </row>
    <row r="737" spans="1:23" x14ac:dyDescent="0.3">
      <c r="A737" s="13" t="str" cm="1">
        <f t="array" ref="A737:B737">INDEX(BenchmarkResults!$B$1:$D$35,SUMPRODUCT((T737&gt;=BenchmarkResults!$F$3:$F$35)*(mongodb_hardware_log!T737&lt;BenchmarkResults!$G$3:$G$35)*ROW(BenchmarkResults!$F$3:$F$35)),{1,3})</f>
        <v>q2_avg_order_city</v>
      </c>
      <c r="B737">
        <v>2</v>
      </c>
      <c r="C737" s="13">
        <v>1</v>
      </c>
      <c r="D737" s="13">
        <v>0</v>
      </c>
      <c r="E737" s="13">
        <v>134400</v>
      </c>
      <c r="F737" s="13">
        <v>488132</v>
      </c>
      <c r="G737" s="13">
        <v>5756</v>
      </c>
      <c r="H737" s="13">
        <v>1925008</v>
      </c>
      <c r="I737" s="13">
        <v>0</v>
      </c>
      <c r="J737" s="13">
        <v>0</v>
      </c>
      <c r="K737" s="13">
        <v>1053</v>
      </c>
      <c r="L737" s="13">
        <v>8</v>
      </c>
      <c r="M737" s="13">
        <v>716</v>
      </c>
      <c r="N737" s="13">
        <v>215</v>
      </c>
      <c r="O737" s="13">
        <v>33</v>
      </c>
      <c r="P737" s="13">
        <v>1</v>
      </c>
      <c r="Q737" s="13">
        <v>65</v>
      </c>
      <c r="R737" s="13">
        <v>0</v>
      </c>
      <c r="S737" s="13">
        <v>0</v>
      </c>
      <c r="T737" s="23">
        <v>46247.569386574076</v>
      </c>
      <c r="U737" s="55">
        <f t="shared" si="33"/>
        <v>1</v>
      </c>
      <c r="V737" s="55">
        <f t="shared" si="34"/>
        <v>0</v>
      </c>
      <c r="W737" s="56">
        <f t="shared" si="35"/>
        <v>890.66666666666663</v>
      </c>
    </row>
    <row r="738" spans="1:23" x14ac:dyDescent="0.3">
      <c r="A738" s="13" t="str" cm="1">
        <f t="array" ref="A738:B738">INDEX(BenchmarkResults!$B$1:$D$35,SUMPRODUCT((T738&gt;=BenchmarkResults!$F$3:$F$35)*(mongodb_hardware_log!T738&lt;BenchmarkResults!$G$3:$G$35)*ROW(BenchmarkResults!$F$3:$F$35)),{1,3})</f>
        <v>q2_avg_order_city</v>
      </c>
      <c r="B738">
        <v>2</v>
      </c>
      <c r="C738" s="13">
        <v>1</v>
      </c>
      <c r="D738" s="13">
        <v>0</v>
      </c>
      <c r="E738" s="13">
        <v>134400</v>
      </c>
      <c r="F738" s="13">
        <v>476036</v>
      </c>
      <c r="G738" s="13">
        <v>5764</v>
      </c>
      <c r="H738" s="13">
        <v>1933252</v>
      </c>
      <c r="I738" s="13">
        <v>0</v>
      </c>
      <c r="J738" s="13">
        <v>0</v>
      </c>
      <c r="K738" s="13">
        <v>820</v>
      </c>
      <c r="L738" s="13">
        <v>29</v>
      </c>
      <c r="M738" s="13">
        <v>722</v>
      </c>
      <c r="N738" s="13">
        <v>215</v>
      </c>
      <c r="O738" s="13">
        <v>33</v>
      </c>
      <c r="P738" s="13">
        <v>1</v>
      </c>
      <c r="Q738" s="13">
        <v>65</v>
      </c>
      <c r="R738" s="13">
        <v>0</v>
      </c>
      <c r="S738" s="13">
        <v>1</v>
      </c>
      <c r="T738" s="23">
        <v>46247.569502314815</v>
      </c>
      <c r="U738" s="55">
        <f t="shared" si="33"/>
        <v>1</v>
      </c>
      <c r="V738" s="55">
        <f t="shared" si="34"/>
        <v>0</v>
      </c>
      <c r="W738" s="56">
        <f t="shared" si="35"/>
        <v>886.5</v>
      </c>
    </row>
    <row r="739" spans="1:23" x14ac:dyDescent="0.3">
      <c r="A739" s="13" t="str" cm="1">
        <f t="array" ref="A739:B739">INDEX(BenchmarkResults!$B$1:$D$35,SUMPRODUCT((T739&gt;=BenchmarkResults!$F$3:$F$35)*(mongodb_hardware_log!T739&lt;BenchmarkResults!$G$3:$G$35)*ROW(BenchmarkResults!$F$3:$F$35)),{1,3})</f>
        <v>q2_avg_order_city</v>
      </c>
      <c r="B739">
        <v>2</v>
      </c>
      <c r="C739" s="13">
        <v>1</v>
      </c>
      <c r="D739" s="13">
        <v>0</v>
      </c>
      <c r="E739" s="13">
        <v>134400</v>
      </c>
      <c r="F739" s="13">
        <v>468224</v>
      </c>
      <c r="G739" s="13">
        <v>5788</v>
      </c>
      <c r="H739" s="13">
        <v>1941652</v>
      </c>
      <c r="I739" s="13">
        <v>0</v>
      </c>
      <c r="J739" s="13">
        <v>0</v>
      </c>
      <c r="K739" s="13">
        <v>846</v>
      </c>
      <c r="L739" s="13">
        <v>23</v>
      </c>
      <c r="M739" s="13">
        <v>714</v>
      </c>
      <c r="N739" s="13">
        <v>218</v>
      </c>
      <c r="O739" s="13">
        <v>33</v>
      </c>
      <c r="P739" s="13">
        <v>1</v>
      </c>
      <c r="Q739" s="13">
        <v>65</v>
      </c>
      <c r="R739" s="13">
        <v>0</v>
      </c>
      <c r="S739" s="13">
        <v>0</v>
      </c>
      <c r="T739" s="23">
        <v>46247.569618055553</v>
      </c>
      <c r="U739" s="55">
        <f t="shared" si="33"/>
        <v>1</v>
      </c>
      <c r="V739" s="55">
        <f t="shared" si="34"/>
        <v>0</v>
      </c>
      <c r="W739" s="56">
        <f t="shared" si="35"/>
        <v>889.83333333333337</v>
      </c>
    </row>
    <row r="740" spans="1:23" x14ac:dyDescent="0.3">
      <c r="A740" s="13" t="str" cm="1">
        <f t="array" ref="A740:B740">INDEX(BenchmarkResults!$B$1:$D$35,SUMPRODUCT((T740&gt;=BenchmarkResults!$F$3:$F$35)*(mongodb_hardware_log!T740&lt;BenchmarkResults!$G$3:$G$35)*ROW(BenchmarkResults!$F$3:$F$35)),{1,3})</f>
        <v>q2_avg_order_city</v>
      </c>
      <c r="B740">
        <v>2</v>
      </c>
      <c r="C740" s="13">
        <v>1</v>
      </c>
      <c r="D740" s="13">
        <v>0</v>
      </c>
      <c r="E740" s="13">
        <v>134400</v>
      </c>
      <c r="F740" s="13">
        <v>456380</v>
      </c>
      <c r="G740" s="13">
        <v>5796</v>
      </c>
      <c r="H740" s="13">
        <v>1951352</v>
      </c>
      <c r="I740" s="13">
        <v>0</v>
      </c>
      <c r="J740" s="13">
        <v>0</v>
      </c>
      <c r="K740" s="13">
        <v>964</v>
      </c>
      <c r="L740" s="13">
        <v>9</v>
      </c>
      <c r="M740" s="13">
        <v>722</v>
      </c>
      <c r="N740" s="13">
        <v>220</v>
      </c>
      <c r="O740" s="13">
        <v>33</v>
      </c>
      <c r="P740" s="13">
        <v>1</v>
      </c>
      <c r="Q740" s="13">
        <v>65</v>
      </c>
      <c r="R740" s="13">
        <v>1</v>
      </c>
      <c r="S740" s="13">
        <v>0</v>
      </c>
      <c r="T740" s="23">
        <v>46247.569733796299</v>
      </c>
      <c r="U740" s="55">
        <f t="shared" si="33"/>
        <v>1</v>
      </c>
      <c r="V740" s="55">
        <f t="shared" si="34"/>
        <v>0</v>
      </c>
      <c r="W740" s="56">
        <f t="shared" si="35"/>
        <v>906.66666666666663</v>
      </c>
    </row>
    <row r="741" spans="1:23" x14ac:dyDescent="0.3">
      <c r="A741" s="13" t="str" cm="1">
        <f t="array" ref="A741:B741">INDEX(BenchmarkResults!$B$1:$D$35,SUMPRODUCT((T741&gt;=BenchmarkResults!$F$3:$F$35)*(mongodb_hardware_log!T741&lt;BenchmarkResults!$G$3:$G$35)*ROW(BenchmarkResults!$F$3:$F$35)),{1,3})</f>
        <v>q2_avg_order_city</v>
      </c>
      <c r="B741">
        <v>2</v>
      </c>
      <c r="C741" s="13">
        <v>1</v>
      </c>
      <c r="D741" s="13">
        <v>0</v>
      </c>
      <c r="E741" s="13">
        <v>134400</v>
      </c>
      <c r="F741" s="13">
        <v>443784</v>
      </c>
      <c r="G741" s="13">
        <v>5804</v>
      </c>
      <c r="H741" s="13">
        <v>1959984</v>
      </c>
      <c r="I741" s="13">
        <v>0</v>
      </c>
      <c r="J741" s="13">
        <v>0</v>
      </c>
      <c r="K741" s="13">
        <v>866</v>
      </c>
      <c r="L741" s="13">
        <v>8</v>
      </c>
      <c r="M741" s="13">
        <v>725</v>
      </c>
      <c r="N741" s="13">
        <v>218</v>
      </c>
      <c r="O741" s="13">
        <v>33</v>
      </c>
      <c r="P741" s="13">
        <v>1</v>
      </c>
      <c r="Q741" s="13">
        <v>65</v>
      </c>
      <c r="R741" s="13">
        <v>0</v>
      </c>
      <c r="S741" s="13">
        <v>0</v>
      </c>
      <c r="T741" s="23">
        <v>46247.569849537038</v>
      </c>
      <c r="U741" s="55">
        <f t="shared" si="33"/>
        <v>1</v>
      </c>
      <c r="V741" s="55">
        <f t="shared" si="34"/>
        <v>0</v>
      </c>
      <c r="W741" s="56">
        <f t="shared" si="35"/>
        <v>912.16666666666663</v>
      </c>
    </row>
    <row r="742" spans="1:23" x14ac:dyDescent="0.3">
      <c r="A742" s="13" t="str" cm="1">
        <f t="array" ref="A742:B742">INDEX(BenchmarkResults!$B$1:$D$35,SUMPRODUCT((T742&gt;=BenchmarkResults!$F$3:$F$35)*(mongodb_hardware_log!T742&lt;BenchmarkResults!$G$3:$G$35)*ROW(BenchmarkResults!$F$3:$F$35)),{1,3})</f>
        <v>q2_avg_order_city</v>
      </c>
      <c r="B742">
        <v>2</v>
      </c>
      <c r="C742" s="13">
        <v>1</v>
      </c>
      <c r="D742" s="13">
        <v>0</v>
      </c>
      <c r="E742" s="13">
        <v>134400</v>
      </c>
      <c r="F742" s="13">
        <v>441976</v>
      </c>
      <c r="G742" s="13">
        <v>5820</v>
      </c>
      <c r="H742" s="13">
        <v>1970968</v>
      </c>
      <c r="I742" s="13">
        <v>0</v>
      </c>
      <c r="J742" s="13">
        <v>0</v>
      </c>
      <c r="K742" s="13">
        <v>1104</v>
      </c>
      <c r="L742" s="13">
        <v>20</v>
      </c>
      <c r="M742" s="13">
        <v>719</v>
      </c>
      <c r="N742" s="13">
        <v>217</v>
      </c>
      <c r="O742" s="13">
        <v>33</v>
      </c>
      <c r="P742" s="13">
        <v>1</v>
      </c>
      <c r="Q742" s="13">
        <v>65</v>
      </c>
      <c r="R742" s="13">
        <v>0</v>
      </c>
      <c r="S742" s="13">
        <v>0</v>
      </c>
      <c r="T742" s="23">
        <v>46247.569965277777</v>
      </c>
      <c r="U742" s="55">
        <f t="shared" si="33"/>
        <v>1</v>
      </c>
      <c r="V742" s="55">
        <f t="shared" si="34"/>
        <v>0</v>
      </c>
      <c r="W742" s="56">
        <f t="shared" si="35"/>
        <v>942.16666666666663</v>
      </c>
    </row>
    <row r="743" spans="1:23" x14ac:dyDescent="0.3">
      <c r="A743" s="13" t="str" cm="1">
        <f t="array" ref="A743:B743">INDEX(BenchmarkResults!$B$1:$D$35,SUMPRODUCT((T743&gt;=BenchmarkResults!$F$3:$F$35)*(mongodb_hardware_log!T743&lt;BenchmarkResults!$G$3:$G$35)*ROW(BenchmarkResults!$F$3:$F$35)),{1,3})</f>
        <v>q2_avg_order_city</v>
      </c>
      <c r="B743">
        <v>2</v>
      </c>
      <c r="C743" s="13">
        <v>1</v>
      </c>
      <c r="D743" s="13">
        <v>0</v>
      </c>
      <c r="E743" s="13">
        <v>134400</v>
      </c>
      <c r="F743" s="13">
        <v>433156</v>
      </c>
      <c r="G743" s="13">
        <v>5828</v>
      </c>
      <c r="H743" s="13">
        <v>1980560</v>
      </c>
      <c r="I743" s="13">
        <v>0</v>
      </c>
      <c r="J743" s="13">
        <v>0</v>
      </c>
      <c r="K743" s="13">
        <v>958</v>
      </c>
      <c r="L743" s="13">
        <v>20</v>
      </c>
      <c r="M743" s="13">
        <v>723</v>
      </c>
      <c r="N743" s="13">
        <v>228</v>
      </c>
      <c r="O743" s="13">
        <v>33</v>
      </c>
      <c r="P743" s="13">
        <v>1</v>
      </c>
      <c r="Q743" s="13">
        <v>65</v>
      </c>
      <c r="R743" s="13">
        <v>1</v>
      </c>
      <c r="S743" s="13">
        <v>0</v>
      </c>
      <c r="T743" s="23">
        <v>46247.570081018515</v>
      </c>
      <c r="U743" s="55">
        <f t="shared" si="33"/>
        <v>1</v>
      </c>
      <c r="V743" s="55">
        <f t="shared" si="34"/>
        <v>0</v>
      </c>
      <c r="W743" s="56">
        <f t="shared" si="35"/>
        <v>926.33333333333337</v>
      </c>
    </row>
    <row r="744" spans="1:23" x14ac:dyDescent="0.3">
      <c r="A744" s="13" t="str" cm="1">
        <f t="array" ref="A744:B744">INDEX(BenchmarkResults!$B$1:$D$35,SUMPRODUCT((T744&gt;=BenchmarkResults!$F$3:$F$35)*(mongodb_hardware_log!T744&lt;BenchmarkResults!$G$3:$G$35)*ROW(BenchmarkResults!$F$3:$F$35)),{1,3})</f>
        <v>q2_avg_order_city</v>
      </c>
      <c r="B744">
        <v>2</v>
      </c>
      <c r="C744" s="13">
        <v>1</v>
      </c>
      <c r="D744" s="13">
        <v>0</v>
      </c>
      <c r="E744" s="13">
        <v>134400</v>
      </c>
      <c r="F744" s="13">
        <v>425596</v>
      </c>
      <c r="G744" s="13">
        <v>5836</v>
      </c>
      <c r="H744" s="13">
        <v>1988180</v>
      </c>
      <c r="I744" s="13">
        <v>0</v>
      </c>
      <c r="J744" s="13">
        <v>0</v>
      </c>
      <c r="K744" s="13">
        <v>760</v>
      </c>
      <c r="L744" s="13">
        <v>9</v>
      </c>
      <c r="M744" s="13">
        <v>715</v>
      </c>
      <c r="N744" s="13">
        <v>208</v>
      </c>
      <c r="O744" s="13">
        <v>33</v>
      </c>
      <c r="P744" s="13">
        <v>1</v>
      </c>
      <c r="Q744" s="13">
        <v>65</v>
      </c>
      <c r="R744" s="13">
        <v>0</v>
      </c>
      <c r="S744" s="13">
        <v>0</v>
      </c>
      <c r="T744" s="23">
        <v>46247.570196759261</v>
      </c>
      <c r="U744" s="55">
        <f t="shared" si="33"/>
        <v>1</v>
      </c>
      <c r="V744" s="55">
        <f t="shared" si="34"/>
        <v>0</v>
      </c>
      <c r="W744" s="56">
        <f t="shared" si="35"/>
        <v>916.33333333333337</v>
      </c>
    </row>
    <row r="745" spans="1:23" x14ac:dyDescent="0.3">
      <c r="A745" s="13" t="str" cm="1">
        <f t="array" ref="A745:B745">INDEX(BenchmarkResults!$B$1:$D$35,SUMPRODUCT((T745&gt;=BenchmarkResults!$F$3:$F$35)*(mongodb_hardware_log!T745&lt;BenchmarkResults!$G$3:$G$35)*ROW(BenchmarkResults!$F$3:$F$35)),{1,3})</f>
        <v>q2_avg_order_city</v>
      </c>
      <c r="B745">
        <v>2</v>
      </c>
      <c r="C745" s="13">
        <v>1</v>
      </c>
      <c r="D745" s="13">
        <v>0</v>
      </c>
      <c r="E745" s="13">
        <v>134400</v>
      </c>
      <c r="F745" s="13">
        <v>409468</v>
      </c>
      <c r="G745" s="13">
        <v>5868</v>
      </c>
      <c r="H745" s="13">
        <v>2000900</v>
      </c>
      <c r="I745" s="13">
        <v>0</v>
      </c>
      <c r="J745" s="13">
        <v>0</v>
      </c>
      <c r="K745" s="13">
        <v>1270</v>
      </c>
      <c r="L745" s="13">
        <v>33</v>
      </c>
      <c r="M745" s="13">
        <v>720</v>
      </c>
      <c r="N745" s="13">
        <v>222</v>
      </c>
      <c r="O745" s="13">
        <v>33</v>
      </c>
      <c r="P745" s="13">
        <v>1</v>
      </c>
      <c r="Q745" s="13">
        <v>64</v>
      </c>
      <c r="R745" s="13">
        <v>1</v>
      </c>
      <c r="S745" s="13">
        <v>0</v>
      </c>
      <c r="T745" s="23">
        <v>46247.5703125</v>
      </c>
      <c r="U745" s="55">
        <f t="shared" si="33"/>
        <v>1</v>
      </c>
      <c r="V745" s="55">
        <f t="shared" si="34"/>
        <v>0</v>
      </c>
      <c r="W745" s="56">
        <f t="shared" si="35"/>
        <v>987</v>
      </c>
    </row>
    <row r="746" spans="1:23" x14ac:dyDescent="0.3">
      <c r="A746" s="13" t="str" cm="1">
        <f t="array" ref="A746:B746">INDEX(BenchmarkResults!$B$1:$D$35,SUMPRODUCT((T746&gt;=BenchmarkResults!$F$3:$F$35)*(mongodb_hardware_log!T746&lt;BenchmarkResults!$G$3:$G$35)*ROW(BenchmarkResults!$F$3:$F$35)),{1,3})</f>
        <v>q2_avg_order_city</v>
      </c>
      <c r="B746">
        <v>2</v>
      </c>
      <c r="C746" s="13">
        <v>2</v>
      </c>
      <c r="D746" s="13">
        <v>0</v>
      </c>
      <c r="E746" s="13">
        <v>134400</v>
      </c>
      <c r="F746" s="13">
        <v>405688</v>
      </c>
      <c r="G746" s="13">
        <v>5876</v>
      </c>
      <c r="H746" s="13">
        <v>2007772</v>
      </c>
      <c r="I746" s="13">
        <v>0</v>
      </c>
      <c r="J746" s="13">
        <v>0</v>
      </c>
      <c r="K746" s="13">
        <v>689</v>
      </c>
      <c r="L746" s="13">
        <v>10</v>
      </c>
      <c r="M746" s="13">
        <v>790</v>
      </c>
      <c r="N746" s="13">
        <v>298</v>
      </c>
      <c r="O746" s="13">
        <v>33</v>
      </c>
      <c r="P746" s="13">
        <v>1</v>
      </c>
      <c r="Q746" s="13">
        <v>65</v>
      </c>
      <c r="R746" s="13">
        <v>0</v>
      </c>
      <c r="S746" s="13">
        <v>0</v>
      </c>
      <c r="T746" s="23">
        <v>46247.570428240739</v>
      </c>
      <c r="U746" s="55">
        <f t="shared" si="33"/>
        <v>1.1666666666666667</v>
      </c>
      <c r="V746" s="55">
        <f t="shared" si="34"/>
        <v>0</v>
      </c>
      <c r="W746" s="56">
        <f t="shared" si="35"/>
        <v>941.16666666666663</v>
      </c>
    </row>
    <row r="747" spans="1:23" x14ac:dyDescent="0.3">
      <c r="A747" s="13" t="str" cm="1">
        <f t="array" ref="A747:B747">INDEX(BenchmarkResults!$B$1:$D$35,SUMPRODUCT((T747&gt;=BenchmarkResults!$F$3:$F$35)*(mongodb_hardware_log!T747&lt;BenchmarkResults!$G$3:$G$35)*ROW(BenchmarkResults!$F$3:$F$35)),{1,3})</f>
        <v>q2_avg_order_city</v>
      </c>
      <c r="B747">
        <v>2</v>
      </c>
      <c r="C747" s="13">
        <v>1</v>
      </c>
      <c r="D747" s="13">
        <v>0</v>
      </c>
      <c r="E747" s="13">
        <v>134400</v>
      </c>
      <c r="F747" s="13">
        <v>393088</v>
      </c>
      <c r="G747" s="13">
        <v>5884</v>
      </c>
      <c r="H747" s="13">
        <v>2017016</v>
      </c>
      <c r="I747" s="13">
        <v>0</v>
      </c>
      <c r="J747" s="13">
        <v>0</v>
      </c>
      <c r="K747" s="13">
        <v>923</v>
      </c>
      <c r="L747" s="13">
        <v>10</v>
      </c>
      <c r="M747" s="13">
        <v>712</v>
      </c>
      <c r="N747" s="13">
        <v>206</v>
      </c>
      <c r="O747" s="13">
        <v>33</v>
      </c>
      <c r="P747" s="13">
        <v>1</v>
      </c>
      <c r="Q747" s="13">
        <v>65</v>
      </c>
      <c r="R747" s="13">
        <v>0</v>
      </c>
      <c r="S747" s="13">
        <v>0</v>
      </c>
      <c r="T747" s="23">
        <v>46247.570543981485</v>
      </c>
      <c r="U747" s="55">
        <f t="shared" si="33"/>
        <v>1.1666666666666667</v>
      </c>
      <c r="V747" s="55">
        <f t="shared" si="34"/>
        <v>0</v>
      </c>
      <c r="W747" s="56">
        <f t="shared" si="35"/>
        <v>950.66666666666663</v>
      </c>
    </row>
    <row r="748" spans="1:23" x14ac:dyDescent="0.3">
      <c r="A748" s="13" t="str" cm="1">
        <f t="array" ref="A748:B748">INDEX(BenchmarkResults!$B$1:$D$35,SUMPRODUCT((T748&gt;=BenchmarkResults!$F$3:$F$35)*(mongodb_hardware_log!T748&lt;BenchmarkResults!$G$3:$G$35)*ROW(BenchmarkResults!$F$3:$F$35)),{1,3})</f>
        <v>q2_avg_order_city</v>
      </c>
      <c r="B748">
        <v>2</v>
      </c>
      <c r="C748" s="13">
        <v>2</v>
      </c>
      <c r="D748" s="13">
        <v>0</v>
      </c>
      <c r="E748" s="13">
        <v>134400</v>
      </c>
      <c r="F748" s="13">
        <v>388300</v>
      </c>
      <c r="G748" s="13">
        <v>5892</v>
      </c>
      <c r="H748" s="13">
        <v>2025284</v>
      </c>
      <c r="I748" s="13">
        <v>0</v>
      </c>
      <c r="J748" s="13">
        <v>0</v>
      </c>
      <c r="K748" s="13">
        <v>823</v>
      </c>
      <c r="L748" s="13">
        <v>11</v>
      </c>
      <c r="M748" s="13">
        <v>707</v>
      </c>
      <c r="N748" s="13">
        <v>203</v>
      </c>
      <c r="O748" s="13">
        <v>33</v>
      </c>
      <c r="P748" s="13">
        <v>1</v>
      </c>
      <c r="Q748" s="13">
        <v>65</v>
      </c>
      <c r="R748" s="13">
        <v>0</v>
      </c>
      <c r="S748" s="13">
        <v>0</v>
      </c>
      <c r="T748" s="23">
        <v>46247.570659722223</v>
      </c>
      <c r="U748" s="55">
        <f t="shared" si="33"/>
        <v>1.3333333333333333</v>
      </c>
      <c r="V748" s="55">
        <f t="shared" si="34"/>
        <v>0</v>
      </c>
      <c r="W748" s="56">
        <f t="shared" si="35"/>
        <v>903.83333333333337</v>
      </c>
    </row>
    <row r="749" spans="1:23" x14ac:dyDescent="0.3">
      <c r="A749" s="13" t="str" cm="1">
        <f t="array" ref="A749:B749">INDEX(BenchmarkResults!$B$1:$D$35,SUMPRODUCT((T749&gt;=BenchmarkResults!$F$3:$F$35)*(mongodb_hardware_log!T749&lt;BenchmarkResults!$G$3:$G$35)*ROW(BenchmarkResults!$F$3:$F$35)),{1,3})</f>
        <v>q2_avg_order_city</v>
      </c>
      <c r="B749">
        <v>2</v>
      </c>
      <c r="C749" s="13">
        <v>1</v>
      </c>
      <c r="D749" s="13">
        <v>0</v>
      </c>
      <c r="E749" s="13">
        <v>134400</v>
      </c>
      <c r="F749" s="13">
        <v>370408</v>
      </c>
      <c r="G749" s="13">
        <v>5900</v>
      </c>
      <c r="H749" s="13">
        <v>2036916</v>
      </c>
      <c r="I749" s="13">
        <v>0</v>
      </c>
      <c r="J749" s="13">
        <v>0</v>
      </c>
      <c r="K749" s="13">
        <v>1167</v>
      </c>
      <c r="L749" s="13">
        <v>10</v>
      </c>
      <c r="M749" s="13">
        <v>730</v>
      </c>
      <c r="N749" s="13">
        <v>226</v>
      </c>
      <c r="O749" s="13">
        <v>33</v>
      </c>
      <c r="P749" s="13">
        <v>1</v>
      </c>
      <c r="Q749" s="13">
        <v>64</v>
      </c>
      <c r="R749" s="13">
        <v>1</v>
      </c>
      <c r="S749" s="13">
        <v>1</v>
      </c>
      <c r="T749" s="23">
        <v>46247.570775462962</v>
      </c>
      <c r="U749" s="55">
        <f t="shared" si="33"/>
        <v>1.3333333333333333</v>
      </c>
      <c r="V749" s="55">
        <f t="shared" si="34"/>
        <v>0</v>
      </c>
      <c r="W749" s="56">
        <f t="shared" si="35"/>
        <v>938.66666666666663</v>
      </c>
    </row>
    <row r="750" spans="1:23" x14ac:dyDescent="0.3">
      <c r="A750" s="13" t="str" cm="1">
        <f t="array" ref="A750:B750">INDEX(BenchmarkResults!$B$1:$D$35,SUMPRODUCT((T750&gt;=BenchmarkResults!$F$3:$F$35)*(mongodb_hardware_log!T750&lt;BenchmarkResults!$G$3:$G$35)*ROW(BenchmarkResults!$F$3:$F$35)),{1,3})</f>
        <v>q2_avg_order_city</v>
      </c>
      <c r="B750">
        <v>2</v>
      </c>
      <c r="C750" s="13">
        <v>1</v>
      </c>
      <c r="D750" s="13">
        <v>0</v>
      </c>
      <c r="E750" s="13">
        <v>134400</v>
      </c>
      <c r="F750" s="13">
        <v>365620</v>
      </c>
      <c r="G750" s="13">
        <v>5908</v>
      </c>
      <c r="H750" s="13">
        <v>2045044</v>
      </c>
      <c r="I750" s="13">
        <v>0</v>
      </c>
      <c r="J750" s="13">
        <v>0</v>
      </c>
      <c r="K750" s="13">
        <v>808</v>
      </c>
      <c r="L750" s="13">
        <v>11</v>
      </c>
      <c r="M750" s="13">
        <v>746</v>
      </c>
      <c r="N750" s="13">
        <v>216</v>
      </c>
      <c r="O750" s="13">
        <v>33</v>
      </c>
      <c r="P750" s="13">
        <v>1</v>
      </c>
      <c r="Q750" s="13">
        <v>64</v>
      </c>
      <c r="R750" s="13">
        <v>0</v>
      </c>
      <c r="S750" s="13">
        <v>2</v>
      </c>
      <c r="T750" s="23">
        <v>46247.570891203701</v>
      </c>
      <c r="U750" s="55">
        <f t="shared" si="33"/>
        <v>1.3333333333333333</v>
      </c>
      <c r="V750" s="55">
        <f t="shared" si="34"/>
        <v>0</v>
      </c>
      <c r="W750" s="56">
        <f t="shared" si="35"/>
        <v>946.66666666666663</v>
      </c>
    </row>
    <row r="751" spans="1:23" x14ac:dyDescent="0.3">
      <c r="A751" s="13" t="str" cm="1">
        <f t="array" ref="A751:B751">INDEX(BenchmarkResults!$B$1:$D$35,SUMPRODUCT((T751&gt;=BenchmarkResults!$F$3:$F$35)*(mongodb_hardware_log!T751&lt;BenchmarkResults!$G$3:$G$35)*ROW(BenchmarkResults!$F$3:$F$35)),{1,3})</f>
        <v>q2_avg_order_city</v>
      </c>
      <c r="B751">
        <v>2</v>
      </c>
      <c r="C751" s="13">
        <v>1</v>
      </c>
      <c r="D751" s="13">
        <v>0</v>
      </c>
      <c r="E751" s="13">
        <v>134400</v>
      </c>
      <c r="F751" s="13">
        <v>353780</v>
      </c>
      <c r="G751" s="13">
        <v>5932</v>
      </c>
      <c r="H751" s="13">
        <v>2055704</v>
      </c>
      <c r="I751" s="13">
        <v>0</v>
      </c>
      <c r="J751" s="13">
        <v>0</v>
      </c>
      <c r="K751" s="13">
        <v>1072</v>
      </c>
      <c r="L751" s="13">
        <v>30</v>
      </c>
      <c r="M751" s="13">
        <v>733</v>
      </c>
      <c r="N751" s="13">
        <v>228</v>
      </c>
      <c r="O751" s="13">
        <v>33</v>
      </c>
      <c r="P751" s="13">
        <v>1</v>
      </c>
      <c r="Q751" s="13">
        <v>64</v>
      </c>
      <c r="R751" s="13">
        <v>0</v>
      </c>
      <c r="S751" s="13">
        <v>1</v>
      </c>
      <c r="T751" s="23">
        <v>46247.571006944447</v>
      </c>
      <c r="U751" s="55">
        <f t="shared" si="33"/>
        <v>1.3333333333333333</v>
      </c>
      <c r="V751" s="55">
        <f t="shared" si="34"/>
        <v>0</v>
      </c>
      <c r="W751" s="56">
        <f t="shared" si="35"/>
        <v>913.66666666666663</v>
      </c>
    </row>
    <row r="752" spans="1:23" x14ac:dyDescent="0.3">
      <c r="A752" s="13" t="str" cm="1">
        <f t="array" ref="A752:B752">INDEX(BenchmarkResults!$B$1:$D$35,SUMPRODUCT((T752&gt;=BenchmarkResults!$F$3:$F$35)*(mongodb_hardware_log!T752&lt;BenchmarkResults!$G$3:$G$35)*ROW(BenchmarkResults!$F$3:$F$35)),{1,3})</f>
        <v>q2_avg_order_city</v>
      </c>
      <c r="B752">
        <v>2</v>
      </c>
      <c r="C752" s="13">
        <v>1</v>
      </c>
      <c r="D752" s="13">
        <v>0</v>
      </c>
      <c r="E752" s="13">
        <v>134400</v>
      </c>
      <c r="F752" s="13">
        <v>348944</v>
      </c>
      <c r="G752" s="13">
        <v>5940</v>
      </c>
      <c r="H752" s="13">
        <v>2063712</v>
      </c>
      <c r="I752" s="13">
        <v>0</v>
      </c>
      <c r="J752" s="13">
        <v>0</v>
      </c>
      <c r="K752" s="13">
        <v>803</v>
      </c>
      <c r="L752" s="13">
        <v>26</v>
      </c>
      <c r="M752" s="13">
        <v>713</v>
      </c>
      <c r="N752" s="13">
        <v>210</v>
      </c>
      <c r="O752" s="13">
        <v>34</v>
      </c>
      <c r="P752" s="13">
        <v>1</v>
      </c>
      <c r="Q752" s="13">
        <v>65</v>
      </c>
      <c r="R752" s="13">
        <v>0</v>
      </c>
      <c r="S752" s="13">
        <v>0</v>
      </c>
      <c r="T752" s="23">
        <v>46247.571122685185</v>
      </c>
      <c r="U752" s="55">
        <f t="shared" si="33"/>
        <v>1.1666666666666667</v>
      </c>
      <c r="V752" s="55">
        <f t="shared" si="34"/>
        <v>0</v>
      </c>
      <c r="W752" s="56">
        <f t="shared" si="35"/>
        <v>932.66666666666663</v>
      </c>
    </row>
    <row r="753" spans="1:23" x14ac:dyDescent="0.3">
      <c r="A753" s="13" t="str" cm="1">
        <f t="array" ref="A753:B753">INDEX(BenchmarkResults!$B$1:$D$35,SUMPRODUCT((T753&gt;=BenchmarkResults!$F$3:$F$35)*(mongodb_hardware_log!T753&lt;BenchmarkResults!$G$3:$G$35)*ROW(BenchmarkResults!$F$3:$F$35)),{1,3})</f>
        <v>q2_avg_order_city</v>
      </c>
      <c r="B753">
        <v>2</v>
      </c>
      <c r="C753" s="13">
        <v>1</v>
      </c>
      <c r="D753" s="13">
        <v>0</v>
      </c>
      <c r="E753" s="13">
        <v>134400</v>
      </c>
      <c r="F753" s="13">
        <v>336596</v>
      </c>
      <c r="G753" s="13">
        <v>5956</v>
      </c>
      <c r="H753" s="13">
        <v>2075476</v>
      </c>
      <c r="I753" s="13">
        <v>0</v>
      </c>
      <c r="J753" s="13">
        <v>0</v>
      </c>
      <c r="K753" s="13">
        <v>1168</v>
      </c>
      <c r="L753" s="13">
        <v>18</v>
      </c>
      <c r="M753" s="13">
        <v>721</v>
      </c>
      <c r="N753" s="13">
        <v>213</v>
      </c>
      <c r="O753" s="13">
        <v>33</v>
      </c>
      <c r="P753" s="13">
        <v>1</v>
      </c>
      <c r="Q753" s="13">
        <v>65</v>
      </c>
      <c r="R753" s="13">
        <v>1</v>
      </c>
      <c r="S753" s="13">
        <v>0</v>
      </c>
      <c r="T753" s="23">
        <v>46247.571238425924</v>
      </c>
      <c r="U753" s="55">
        <f t="shared" si="33"/>
        <v>1.1666666666666667</v>
      </c>
      <c r="V753" s="55">
        <f t="shared" si="34"/>
        <v>0</v>
      </c>
      <c r="W753" s="56">
        <f t="shared" si="35"/>
        <v>973.5</v>
      </c>
    </row>
    <row r="754" spans="1:23" x14ac:dyDescent="0.3">
      <c r="A754" s="13" t="str" cm="1">
        <f t="array" ref="A754:B754">INDEX(BenchmarkResults!$B$1:$D$35,SUMPRODUCT((T754&gt;=BenchmarkResults!$F$3:$F$35)*(mongodb_hardware_log!T754&lt;BenchmarkResults!$G$3:$G$35)*ROW(BenchmarkResults!$F$3:$F$35)),{1,3})</f>
        <v>q2_avg_order_city</v>
      </c>
      <c r="B754">
        <v>2</v>
      </c>
      <c r="C754" s="13">
        <v>1</v>
      </c>
      <c r="D754" s="13">
        <v>0</v>
      </c>
      <c r="E754" s="13">
        <v>134400</v>
      </c>
      <c r="F754" s="13">
        <v>326516</v>
      </c>
      <c r="G754" s="13">
        <v>5964</v>
      </c>
      <c r="H754" s="13">
        <v>2082692</v>
      </c>
      <c r="I754" s="13">
        <v>0</v>
      </c>
      <c r="J754" s="13">
        <v>0</v>
      </c>
      <c r="K754" s="13">
        <v>724</v>
      </c>
      <c r="L754" s="13">
        <v>10</v>
      </c>
      <c r="M754" s="13">
        <v>698</v>
      </c>
      <c r="N754" s="13">
        <v>203</v>
      </c>
      <c r="O754" s="13">
        <v>33</v>
      </c>
      <c r="P754" s="13">
        <v>1</v>
      </c>
      <c r="Q754" s="13">
        <v>65</v>
      </c>
      <c r="R754" s="13">
        <v>0</v>
      </c>
      <c r="S754" s="13">
        <v>0</v>
      </c>
      <c r="T754" s="23">
        <v>46247.57135416667</v>
      </c>
      <c r="U754" s="55">
        <f t="shared" si="33"/>
        <v>1</v>
      </c>
      <c r="V754" s="55">
        <f t="shared" si="34"/>
        <v>0</v>
      </c>
      <c r="W754" s="56">
        <f t="shared" si="35"/>
        <v>957</v>
      </c>
    </row>
    <row r="755" spans="1:23" x14ac:dyDescent="0.3">
      <c r="A755" s="13" t="str" cm="1">
        <f t="array" ref="A755:B755">INDEX(BenchmarkResults!$B$1:$D$35,SUMPRODUCT((T755&gt;=BenchmarkResults!$F$3:$F$35)*(mongodb_hardware_log!T755&lt;BenchmarkResults!$G$3:$G$35)*ROW(BenchmarkResults!$F$3:$F$35)),{1,3})</f>
        <v>q2_avg_order_city</v>
      </c>
      <c r="B755">
        <v>2</v>
      </c>
      <c r="C755" s="13">
        <v>1</v>
      </c>
      <c r="D755" s="13">
        <v>0</v>
      </c>
      <c r="E755" s="13">
        <v>134400</v>
      </c>
      <c r="F755" s="13">
        <v>310640</v>
      </c>
      <c r="G755" s="13">
        <v>5972</v>
      </c>
      <c r="H755" s="13">
        <v>2094408</v>
      </c>
      <c r="I755" s="13">
        <v>0</v>
      </c>
      <c r="J755" s="13">
        <v>0</v>
      </c>
      <c r="K755" s="13">
        <v>1169</v>
      </c>
      <c r="L755" s="13">
        <v>22</v>
      </c>
      <c r="M755" s="13">
        <v>724</v>
      </c>
      <c r="N755" s="13">
        <v>228</v>
      </c>
      <c r="O755" s="13">
        <v>33</v>
      </c>
      <c r="P755" s="13">
        <v>1</v>
      </c>
      <c r="Q755" s="13">
        <v>65</v>
      </c>
      <c r="R755" s="13">
        <v>0</v>
      </c>
      <c r="S755" s="13">
        <v>0</v>
      </c>
      <c r="T755" s="23">
        <v>46247.571469907409</v>
      </c>
      <c r="U755" s="55">
        <f t="shared" si="33"/>
        <v>1</v>
      </c>
      <c r="V755" s="55">
        <f t="shared" si="34"/>
        <v>0</v>
      </c>
      <c r="W755" s="56">
        <f t="shared" si="35"/>
        <v>957.33333333333337</v>
      </c>
    </row>
    <row r="756" spans="1:23" x14ac:dyDescent="0.3">
      <c r="A756" s="13" t="str" cm="1">
        <f t="array" ref="A756:B756">INDEX(BenchmarkResults!$B$1:$D$35,SUMPRODUCT((T756&gt;=BenchmarkResults!$F$3:$F$35)*(mongodb_hardware_log!T756&lt;BenchmarkResults!$G$3:$G$35)*ROW(BenchmarkResults!$F$3:$F$35)),{1,3})</f>
        <v>q2_avg_order_city</v>
      </c>
      <c r="B756">
        <v>2</v>
      </c>
      <c r="C756" s="13">
        <v>1</v>
      </c>
      <c r="D756" s="13">
        <v>0</v>
      </c>
      <c r="E756" s="13">
        <v>134400</v>
      </c>
      <c r="F756" s="13">
        <v>309632</v>
      </c>
      <c r="G756" s="13">
        <v>5980</v>
      </c>
      <c r="H756" s="13">
        <v>2102876</v>
      </c>
      <c r="I756" s="13">
        <v>0</v>
      </c>
      <c r="J756" s="13">
        <v>0</v>
      </c>
      <c r="K756" s="13">
        <v>846</v>
      </c>
      <c r="L756" s="13">
        <v>17</v>
      </c>
      <c r="M756" s="13">
        <v>724</v>
      </c>
      <c r="N756" s="13">
        <v>209</v>
      </c>
      <c r="O756" s="13">
        <v>33</v>
      </c>
      <c r="P756" s="13">
        <v>1</v>
      </c>
      <c r="Q756" s="13">
        <v>65</v>
      </c>
      <c r="R756" s="13">
        <v>0</v>
      </c>
      <c r="S756" s="13">
        <v>0</v>
      </c>
      <c r="T756" s="23">
        <v>46247.571585648147</v>
      </c>
      <c r="U756" s="55">
        <f t="shared" si="33"/>
        <v>1</v>
      </c>
      <c r="V756" s="55">
        <f t="shared" si="34"/>
        <v>0</v>
      </c>
      <c r="W756" s="56">
        <f t="shared" si="35"/>
        <v>963.66666666666663</v>
      </c>
    </row>
    <row r="757" spans="1:23" x14ac:dyDescent="0.3">
      <c r="A757" s="13" t="str" cm="1">
        <f t="array" ref="A757:B757">INDEX(BenchmarkResults!$B$1:$D$35,SUMPRODUCT((T757&gt;=BenchmarkResults!$F$3:$F$35)*(mongodb_hardware_log!T757&lt;BenchmarkResults!$G$3:$G$35)*ROW(BenchmarkResults!$F$3:$F$35)),{1,3})</f>
        <v>q2_avg_order_city</v>
      </c>
      <c r="B757">
        <v>2</v>
      </c>
      <c r="C757" s="13">
        <v>1</v>
      </c>
      <c r="D757" s="13">
        <v>0</v>
      </c>
      <c r="E757" s="13">
        <v>134400</v>
      </c>
      <c r="F757" s="13">
        <v>299852</v>
      </c>
      <c r="G757" s="13">
        <v>6004</v>
      </c>
      <c r="H757" s="13">
        <v>2112560</v>
      </c>
      <c r="I757" s="13">
        <v>0</v>
      </c>
      <c r="J757" s="13">
        <v>0</v>
      </c>
      <c r="K757" s="13">
        <v>968</v>
      </c>
      <c r="L757" s="13">
        <v>30</v>
      </c>
      <c r="M757" s="13">
        <v>733</v>
      </c>
      <c r="N757" s="13">
        <v>223</v>
      </c>
      <c r="O757" s="13">
        <v>33</v>
      </c>
      <c r="P757" s="13">
        <v>1</v>
      </c>
      <c r="Q757" s="13">
        <v>65</v>
      </c>
      <c r="R757" s="13">
        <v>1</v>
      </c>
      <c r="S757" s="13">
        <v>1</v>
      </c>
      <c r="T757" s="23">
        <v>46247.571701388886</v>
      </c>
      <c r="U757" s="55">
        <f t="shared" si="33"/>
        <v>1</v>
      </c>
      <c r="V757" s="55">
        <f t="shared" si="34"/>
        <v>0</v>
      </c>
      <c r="W757" s="56">
        <f t="shared" si="35"/>
        <v>946.33333333333337</v>
      </c>
    </row>
    <row r="758" spans="1:23" x14ac:dyDescent="0.3">
      <c r="A758" s="13" t="str" cm="1">
        <f t="array" ref="A758:B758">INDEX(BenchmarkResults!$B$1:$D$35,SUMPRODUCT((T758&gt;=BenchmarkResults!$F$3:$F$35)*(mongodb_hardware_log!T758&lt;BenchmarkResults!$G$3:$G$35)*ROW(BenchmarkResults!$F$3:$F$35)),{1,3})</f>
        <v>q2_avg_order_city</v>
      </c>
      <c r="B758">
        <v>2</v>
      </c>
      <c r="C758" s="13">
        <v>1</v>
      </c>
      <c r="D758" s="13">
        <v>0</v>
      </c>
      <c r="E758" s="13">
        <v>134400</v>
      </c>
      <c r="F758" s="13">
        <v>286748</v>
      </c>
      <c r="G758" s="13">
        <v>6012</v>
      </c>
      <c r="H758" s="13">
        <v>2122408</v>
      </c>
      <c r="I758" s="13">
        <v>0</v>
      </c>
      <c r="J758" s="13">
        <v>0</v>
      </c>
      <c r="K758" s="13">
        <v>985</v>
      </c>
      <c r="L758" s="13">
        <v>11</v>
      </c>
      <c r="M758" s="13">
        <v>729</v>
      </c>
      <c r="N758" s="13">
        <v>215</v>
      </c>
      <c r="O758" s="13">
        <v>33</v>
      </c>
      <c r="P758" s="13">
        <v>1</v>
      </c>
      <c r="Q758" s="13">
        <v>63</v>
      </c>
      <c r="R758" s="13">
        <v>1</v>
      </c>
      <c r="S758" s="13">
        <v>2</v>
      </c>
      <c r="T758" s="23">
        <v>46247.571817129632</v>
      </c>
      <c r="U758" s="55">
        <f t="shared" si="33"/>
        <v>1</v>
      </c>
      <c r="V758" s="55">
        <f t="shared" si="34"/>
        <v>0</v>
      </c>
      <c r="W758" s="56">
        <f t="shared" si="35"/>
        <v>976.66666666666663</v>
      </c>
    </row>
    <row r="759" spans="1:23" x14ac:dyDescent="0.3">
      <c r="A759" s="13" t="str" cm="1">
        <f t="array" ref="A759:B759">INDEX(BenchmarkResults!$B$1:$D$35,SUMPRODUCT((T759&gt;=BenchmarkResults!$F$3:$F$35)*(mongodb_hardware_log!T759&lt;BenchmarkResults!$G$3:$G$35)*ROW(BenchmarkResults!$F$3:$F$35)),{1,3})</f>
        <v>q2_avg_order_city</v>
      </c>
      <c r="B759">
        <v>2</v>
      </c>
      <c r="C759" s="13">
        <v>1</v>
      </c>
      <c r="D759" s="13">
        <v>0</v>
      </c>
      <c r="E759" s="13">
        <v>134400</v>
      </c>
      <c r="F759" s="13">
        <v>277928</v>
      </c>
      <c r="G759" s="13">
        <v>6020</v>
      </c>
      <c r="H759" s="13">
        <v>2132536</v>
      </c>
      <c r="I759" s="13">
        <v>0</v>
      </c>
      <c r="J759" s="13">
        <v>0</v>
      </c>
      <c r="K759" s="13">
        <v>1012</v>
      </c>
      <c r="L759" s="13">
        <v>11</v>
      </c>
      <c r="M759" s="13">
        <v>712</v>
      </c>
      <c r="N759" s="13">
        <v>212</v>
      </c>
      <c r="O759" s="13">
        <v>33</v>
      </c>
      <c r="P759" s="13">
        <v>1</v>
      </c>
      <c r="Q759" s="13">
        <v>65</v>
      </c>
      <c r="R759" s="13">
        <v>0</v>
      </c>
      <c r="S759" s="13">
        <v>0</v>
      </c>
      <c r="T759" s="23">
        <v>46247.571932870371</v>
      </c>
      <c r="U759" s="55">
        <f t="shared" si="33"/>
        <v>1</v>
      </c>
      <c r="V759" s="55">
        <f t="shared" si="34"/>
        <v>0</v>
      </c>
      <c r="W759" s="56">
        <f t="shared" si="35"/>
        <v>950.66666666666663</v>
      </c>
    </row>
    <row r="760" spans="1:23" x14ac:dyDescent="0.3">
      <c r="A760" s="13" t="str" cm="1">
        <f t="array" ref="A760:B760">INDEX(BenchmarkResults!$B$1:$D$35,SUMPRODUCT((T760&gt;=BenchmarkResults!$F$3:$F$35)*(mongodb_hardware_log!T760&lt;BenchmarkResults!$G$3:$G$35)*ROW(BenchmarkResults!$F$3:$F$35)),{1,3})</f>
        <v>q2_avg_order_city</v>
      </c>
      <c r="B760">
        <v>2</v>
      </c>
      <c r="C760" s="13">
        <v>1</v>
      </c>
      <c r="D760" s="13">
        <v>0</v>
      </c>
      <c r="E760" s="13">
        <v>134400</v>
      </c>
      <c r="F760" s="13">
        <v>145012</v>
      </c>
      <c r="G760" s="13">
        <v>6028</v>
      </c>
      <c r="H760" s="13">
        <v>1717540</v>
      </c>
      <c r="I760" s="13">
        <v>0</v>
      </c>
      <c r="J760" s="13">
        <v>0</v>
      </c>
      <c r="K760" s="13">
        <v>384</v>
      </c>
      <c r="L760" s="13">
        <v>13</v>
      </c>
      <c r="M760" s="13">
        <v>899</v>
      </c>
      <c r="N760" s="13">
        <v>310</v>
      </c>
      <c r="O760" s="13">
        <v>37</v>
      </c>
      <c r="P760" s="13">
        <v>7</v>
      </c>
      <c r="Q760" s="13">
        <v>55</v>
      </c>
      <c r="R760" s="13">
        <v>0</v>
      </c>
      <c r="S760" s="13">
        <v>1</v>
      </c>
      <c r="T760" s="23">
        <v>46247.572048611109</v>
      </c>
      <c r="U760" s="55">
        <f t="shared" si="33"/>
        <v>1</v>
      </c>
      <c r="V760" s="55">
        <f t="shared" si="34"/>
        <v>0</v>
      </c>
      <c r="W760" s="56">
        <f t="shared" si="35"/>
        <v>894</v>
      </c>
    </row>
    <row r="761" spans="1:23" x14ac:dyDescent="0.3">
      <c r="A761" s="13" t="str" cm="1">
        <f t="array" ref="A761:B761">INDEX(BenchmarkResults!$B$1:$D$35,SUMPRODUCT((T761&gt;=BenchmarkResults!$F$3:$F$35)*(mongodb_hardware_log!T761&lt;BenchmarkResults!$G$3:$G$35)*ROW(BenchmarkResults!$F$3:$F$35)),{1,3})</f>
        <v>q2_avg_order_city</v>
      </c>
      <c r="B761">
        <v>2</v>
      </c>
      <c r="C761" s="13">
        <v>1</v>
      </c>
      <c r="D761" s="13">
        <v>0</v>
      </c>
      <c r="E761" s="13">
        <v>134400</v>
      </c>
      <c r="F761" s="13">
        <v>840916</v>
      </c>
      <c r="G761" s="13">
        <v>5520</v>
      </c>
      <c r="H761" s="13">
        <v>1550192</v>
      </c>
      <c r="I761" s="13">
        <v>0</v>
      </c>
      <c r="J761" s="13">
        <v>0</v>
      </c>
      <c r="K761" s="13">
        <v>848</v>
      </c>
      <c r="L761" s="13">
        <v>12</v>
      </c>
      <c r="M761" s="13">
        <v>876</v>
      </c>
      <c r="N761" s="13">
        <v>399</v>
      </c>
      <c r="O761" s="13">
        <v>35</v>
      </c>
      <c r="P761" s="13">
        <v>4</v>
      </c>
      <c r="Q761" s="13">
        <v>60</v>
      </c>
      <c r="R761" s="13">
        <v>1</v>
      </c>
      <c r="S761" s="13">
        <v>1</v>
      </c>
      <c r="T761" s="23">
        <v>46247.572164351855</v>
      </c>
      <c r="U761" s="55">
        <f t="shared" si="33"/>
        <v>1</v>
      </c>
      <c r="V761" s="55">
        <f t="shared" si="34"/>
        <v>0</v>
      </c>
      <c r="W761" s="56">
        <f t="shared" si="35"/>
        <v>840.5</v>
      </c>
    </row>
    <row r="762" spans="1:23" x14ac:dyDescent="0.3">
      <c r="A762" s="13" t="str" cm="1">
        <f t="array" ref="A762:B762">INDEX(BenchmarkResults!$B$1:$D$35,SUMPRODUCT((T762&gt;=BenchmarkResults!$F$3:$F$35)*(mongodb_hardware_log!T762&lt;BenchmarkResults!$G$3:$G$35)*ROW(BenchmarkResults!$F$3:$F$35)),{1,3})</f>
        <v>q2_avg_order_city</v>
      </c>
      <c r="B762">
        <v>2</v>
      </c>
      <c r="C762" s="13">
        <v>1</v>
      </c>
      <c r="D762" s="13">
        <v>0</v>
      </c>
      <c r="E762" s="13">
        <v>134400</v>
      </c>
      <c r="F762" s="13">
        <v>828472</v>
      </c>
      <c r="G762" s="13">
        <v>5528</v>
      </c>
      <c r="H762" s="13">
        <v>1560196</v>
      </c>
      <c r="I762" s="13">
        <v>0</v>
      </c>
      <c r="J762" s="13">
        <v>0</v>
      </c>
      <c r="K762" s="13">
        <v>998</v>
      </c>
      <c r="L762" s="13">
        <v>6</v>
      </c>
      <c r="M762" s="13">
        <v>765</v>
      </c>
      <c r="N762" s="13">
        <v>244</v>
      </c>
      <c r="O762" s="13">
        <v>34</v>
      </c>
      <c r="P762" s="13">
        <v>1</v>
      </c>
      <c r="Q762" s="13">
        <v>63</v>
      </c>
      <c r="R762" s="13">
        <v>1</v>
      </c>
      <c r="S762" s="13">
        <v>1</v>
      </c>
      <c r="T762" s="23">
        <v>46247.572280092594</v>
      </c>
      <c r="U762" s="55">
        <f t="shared" si="33"/>
        <v>1</v>
      </c>
      <c r="V762" s="55">
        <f t="shared" si="34"/>
        <v>0</v>
      </c>
      <c r="W762" s="56">
        <f t="shared" si="35"/>
        <v>865.83333333333337</v>
      </c>
    </row>
    <row r="763" spans="1:23" x14ac:dyDescent="0.3">
      <c r="A763" s="13" t="str" cm="1">
        <f t="array" ref="A763:B763">INDEX(BenchmarkResults!$B$1:$D$35,SUMPRODUCT((T763&gt;=BenchmarkResults!$F$3:$F$35)*(mongodb_hardware_log!T763&lt;BenchmarkResults!$G$3:$G$35)*ROW(BenchmarkResults!$F$3:$F$35)),{1,3})</f>
        <v>q2_avg_order_city</v>
      </c>
      <c r="B763">
        <v>2</v>
      </c>
      <c r="C763" s="13">
        <v>1</v>
      </c>
      <c r="D763" s="13">
        <v>0</v>
      </c>
      <c r="E763" s="13">
        <v>134400</v>
      </c>
      <c r="F763" s="13">
        <v>823032</v>
      </c>
      <c r="G763" s="13">
        <v>5560</v>
      </c>
      <c r="H763" s="13">
        <v>1568784</v>
      </c>
      <c r="I763" s="13">
        <v>0</v>
      </c>
      <c r="J763" s="13">
        <v>0</v>
      </c>
      <c r="K763" s="13">
        <v>849</v>
      </c>
      <c r="L763" s="13">
        <v>53</v>
      </c>
      <c r="M763" s="13">
        <v>741</v>
      </c>
      <c r="N763" s="13">
        <v>246</v>
      </c>
      <c r="O763" s="13">
        <v>34</v>
      </c>
      <c r="P763" s="13">
        <v>1</v>
      </c>
      <c r="Q763" s="13">
        <v>64</v>
      </c>
      <c r="R763" s="13">
        <v>0</v>
      </c>
      <c r="S763" s="13">
        <v>0</v>
      </c>
      <c r="T763" s="23">
        <v>46247.572395833333</v>
      </c>
      <c r="U763" s="55">
        <f t="shared" si="33"/>
        <v>1</v>
      </c>
      <c r="V763" s="55">
        <f t="shared" si="34"/>
        <v>0</v>
      </c>
      <c r="W763" s="56">
        <f t="shared" si="35"/>
        <v>846</v>
      </c>
    </row>
    <row r="764" spans="1:23" x14ac:dyDescent="0.3">
      <c r="A764" s="13" t="str" cm="1">
        <f t="array" ref="A764:B764">INDEX(BenchmarkResults!$B$1:$D$35,SUMPRODUCT((T764&gt;=BenchmarkResults!$F$3:$F$35)*(mongodb_hardware_log!T764&lt;BenchmarkResults!$G$3:$G$35)*ROW(BenchmarkResults!$F$3:$F$35)),{1,3})</f>
        <v>q2_avg_order_city</v>
      </c>
      <c r="B764">
        <v>2</v>
      </c>
      <c r="C764" s="13">
        <v>1</v>
      </c>
      <c r="D764" s="13">
        <v>0</v>
      </c>
      <c r="E764" s="13">
        <v>134400</v>
      </c>
      <c r="F764" s="13">
        <v>811468</v>
      </c>
      <c r="G764" s="13">
        <v>5568</v>
      </c>
      <c r="H764" s="13">
        <v>1579164</v>
      </c>
      <c r="I764" s="13">
        <v>0</v>
      </c>
      <c r="J764" s="13">
        <v>0</v>
      </c>
      <c r="K764" s="13">
        <v>1042</v>
      </c>
      <c r="L764" s="13">
        <v>14</v>
      </c>
      <c r="M764" s="13">
        <v>711</v>
      </c>
      <c r="N764" s="13">
        <v>204</v>
      </c>
      <c r="O764" s="13">
        <v>33</v>
      </c>
      <c r="P764" s="13">
        <v>1</v>
      </c>
      <c r="Q764" s="13">
        <v>65</v>
      </c>
      <c r="R764" s="13">
        <v>0</v>
      </c>
      <c r="S764" s="13">
        <v>0</v>
      </c>
      <c r="T764" s="23">
        <v>46247.572511574072</v>
      </c>
      <c r="U764" s="55">
        <f t="shared" si="33"/>
        <v>1</v>
      </c>
      <c r="V764" s="55">
        <f t="shared" si="34"/>
        <v>0</v>
      </c>
      <c r="W764" s="56">
        <f t="shared" si="35"/>
        <v>855.5</v>
      </c>
    </row>
    <row r="765" spans="1:23" x14ac:dyDescent="0.3">
      <c r="A765" s="13" t="str" cm="1">
        <f t="array" ref="A765:B765">INDEX(BenchmarkResults!$B$1:$D$35,SUMPRODUCT((T765&gt;=BenchmarkResults!$F$3:$F$35)*(mongodb_hardware_log!T765&lt;BenchmarkResults!$G$3:$G$35)*ROW(BenchmarkResults!$F$3:$F$35)),{1,3})</f>
        <v>q2_avg_order_city</v>
      </c>
      <c r="B765">
        <v>2</v>
      </c>
      <c r="C765" s="13">
        <v>1</v>
      </c>
      <c r="D765" s="13">
        <v>0</v>
      </c>
      <c r="E765" s="13">
        <v>134400</v>
      </c>
      <c r="F765" s="13">
        <v>799120</v>
      </c>
      <c r="G765" s="13">
        <v>5576</v>
      </c>
      <c r="H765" s="13">
        <v>1588264</v>
      </c>
      <c r="I765" s="13">
        <v>0</v>
      </c>
      <c r="J765" s="13">
        <v>0</v>
      </c>
      <c r="K765" s="13">
        <v>907</v>
      </c>
      <c r="L765" s="13">
        <v>9</v>
      </c>
      <c r="M765" s="13">
        <v>712</v>
      </c>
      <c r="N765" s="13">
        <v>206</v>
      </c>
      <c r="O765" s="13">
        <v>33</v>
      </c>
      <c r="P765" s="13">
        <v>1</v>
      </c>
      <c r="Q765" s="13">
        <v>65</v>
      </c>
      <c r="R765" s="13">
        <v>0</v>
      </c>
      <c r="S765" s="13">
        <v>0</v>
      </c>
      <c r="T765" s="23">
        <v>46247.572627314818</v>
      </c>
      <c r="U765" s="55">
        <f t="shared" si="33"/>
        <v>1</v>
      </c>
      <c r="V765" s="55">
        <f t="shared" si="34"/>
        <v>0</v>
      </c>
      <c r="W765" s="56">
        <f t="shared" si="35"/>
        <v>838</v>
      </c>
    </row>
    <row r="766" spans="1:23" x14ac:dyDescent="0.3">
      <c r="A766" s="13" t="str" cm="1">
        <f t="array" ref="A766:B766">INDEX(BenchmarkResults!$B$1:$D$35,SUMPRODUCT((T766&gt;=BenchmarkResults!$F$3:$F$35)*(mongodb_hardware_log!T766&lt;BenchmarkResults!$G$3:$G$35)*ROW(BenchmarkResults!$F$3:$F$35)),{1,3})</f>
        <v>q2_avg_order_city</v>
      </c>
      <c r="B766">
        <v>2</v>
      </c>
      <c r="C766" s="13">
        <v>2</v>
      </c>
      <c r="D766" s="13">
        <v>0</v>
      </c>
      <c r="E766" s="13">
        <v>134400</v>
      </c>
      <c r="F766" s="13">
        <v>798616</v>
      </c>
      <c r="G766" s="13">
        <v>5584</v>
      </c>
      <c r="H766" s="13">
        <v>1598328</v>
      </c>
      <c r="I766" s="13">
        <v>0</v>
      </c>
      <c r="J766" s="13">
        <v>0</v>
      </c>
      <c r="K766" s="13">
        <v>1005</v>
      </c>
      <c r="L766" s="13">
        <v>20</v>
      </c>
      <c r="M766" s="13">
        <v>727</v>
      </c>
      <c r="N766" s="13">
        <v>221</v>
      </c>
      <c r="O766" s="13">
        <v>33</v>
      </c>
      <c r="P766" s="13">
        <v>1</v>
      </c>
      <c r="Q766" s="13">
        <v>65</v>
      </c>
      <c r="R766" s="13">
        <v>0</v>
      </c>
      <c r="S766" s="13">
        <v>0</v>
      </c>
      <c r="T766" s="23">
        <v>46247.572743055556</v>
      </c>
      <c r="U766" s="55">
        <f t="shared" si="33"/>
        <v>1.1666666666666667</v>
      </c>
      <c r="V766" s="55">
        <f t="shared" si="34"/>
        <v>0</v>
      </c>
      <c r="W766" s="56">
        <f t="shared" si="35"/>
        <v>941.5</v>
      </c>
    </row>
    <row r="767" spans="1:23" x14ac:dyDescent="0.3">
      <c r="A767" s="13" t="str" cm="1">
        <f t="array" ref="A767:B767">INDEX(BenchmarkResults!$B$1:$D$35,SUMPRODUCT((T767&gt;=BenchmarkResults!$F$3:$F$35)*(mongodb_hardware_log!T767&lt;BenchmarkResults!$G$3:$G$35)*ROW(BenchmarkResults!$F$3:$F$35)),{1,3})</f>
        <v>q2_avg_order_city</v>
      </c>
      <c r="B767">
        <v>2</v>
      </c>
      <c r="C767" s="13">
        <v>1</v>
      </c>
      <c r="D767" s="13">
        <v>0</v>
      </c>
      <c r="E767" s="13">
        <v>134400</v>
      </c>
      <c r="F767" s="13">
        <v>811460</v>
      </c>
      <c r="G767" s="13">
        <v>5592</v>
      </c>
      <c r="H767" s="13">
        <v>1605284</v>
      </c>
      <c r="I767" s="13">
        <v>0</v>
      </c>
      <c r="J767" s="13">
        <v>0</v>
      </c>
      <c r="K767" s="13">
        <v>704</v>
      </c>
      <c r="L767" s="13">
        <v>24</v>
      </c>
      <c r="M767" s="13">
        <v>731</v>
      </c>
      <c r="N767" s="13">
        <v>227</v>
      </c>
      <c r="O767" s="13">
        <v>33</v>
      </c>
      <c r="P767" s="13">
        <v>1</v>
      </c>
      <c r="Q767" s="13">
        <v>64</v>
      </c>
      <c r="R767" s="13">
        <v>0</v>
      </c>
      <c r="S767" s="13">
        <v>1</v>
      </c>
      <c r="T767" s="23">
        <v>46247.572858796295</v>
      </c>
      <c r="U767" s="55">
        <f t="shared" si="33"/>
        <v>1.1666666666666667</v>
      </c>
      <c r="V767" s="55">
        <f t="shared" si="34"/>
        <v>0</v>
      </c>
      <c r="W767" s="56">
        <f t="shared" si="35"/>
        <v>917.5</v>
      </c>
    </row>
    <row r="768" spans="1:23" x14ac:dyDescent="0.3">
      <c r="A768" s="13" t="str" cm="1">
        <f t="array" ref="A768:B768">INDEX(BenchmarkResults!$B$1:$D$35,SUMPRODUCT((T768&gt;=BenchmarkResults!$F$3:$F$35)*(mongodb_hardware_log!T768&lt;BenchmarkResults!$G$3:$G$35)*ROW(BenchmarkResults!$F$3:$F$35)),{1,3})</f>
        <v>q2_avg_order_city</v>
      </c>
      <c r="B768">
        <v>2</v>
      </c>
      <c r="C768" s="13">
        <v>2</v>
      </c>
      <c r="D768" s="13">
        <v>0</v>
      </c>
      <c r="E768" s="13">
        <v>134400</v>
      </c>
      <c r="F768" s="13">
        <v>802892</v>
      </c>
      <c r="G768" s="13">
        <v>5600</v>
      </c>
      <c r="H768" s="13">
        <v>1614476</v>
      </c>
      <c r="I768" s="13">
        <v>0</v>
      </c>
      <c r="J768" s="13">
        <v>0</v>
      </c>
      <c r="K768" s="13">
        <v>912</v>
      </c>
      <c r="L768" s="13">
        <v>10</v>
      </c>
      <c r="M768" s="13">
        <v>731</v>
      </c>
      <c r="N768" s="13">
        <v>208</v>
      </c>
      <c r="O768" s="13">
        <v>33</v>
      </c>
      <c r="P768" s="13">
        <v>1</v>
      </c>
      <c r="Q768" s="13">
        <v>65</v>
      </c>
      <c r="R768" s="13">
        <v>0</v>
      </c>
      <c r="S768" s="13">
        <v>2</v>
      </c>
      <c r="T768" s="23">
        <v>46247.572974537034</v>
      </c>
      <c r="U768" s="55">
        <f t="shared" si="33"/>
        <v>1.3333333333333333</v>
      </c>
      <c r="V768" s="55">
        <f t="shared" si="34"/>
        <v>0</v>
      </c>
      <c r="W768" s="56">
        <f t="shared" si="35"/>
        <v>903.16666666666663</v>
      </c>
    </row>
    <row r="769" spans="1:23" x14ac:dyDescent="0.3">
      <c r="A769" s="13" t="str" cm="1">
        <f t="array" ref="A769:B769">INDEX(BenchmarkResults!$B$1:$D$35,SUMPRODUCT((T769&gt;=BenchmarkResults!$F$3:$F$35)*(mongodb_hardware_log!T769&lt;BenchmarkResults!$G$3:$G$35)*ROW(BenchmarkResults!$F$3:$F$35)),{1,3})</f>
        <v>q2_avg_order_city</v>
      </c>
      <c r="B769">
        <v>2</v>
      </c>
      <c r="C769" s="13">
        <v>1</v>
      </c>
      <c r="D769" s="13">
        <v>0</v>
      </c>
      <c r="E769" s="13">
        <v>134400</v>
      </c>
      <c r="F769" s="13">
        <v>796088</v>
      </c>
      <c r="G769" s="13">
        <v>5632</v>
      </c>
      <c r="H769" s="13">
        <v>1623344</v>
      </c>
      <c r="I769" s="13">
        <v>0</v>
      </c>
      <c r="J769" s="13">
        <v>0</v>
      </c>
      <c r="K769" s="13">
        <v>886</v>
      </c>
      <c r="L769" s="13">
        <v>25</v>
      </c>
      <c r="M769" s="13">
        <v>728</v>
      </c>
      <c r="N769" s="13">
        <v>216</v>
      </c>
      <c r="O769" s="13">
        <v>33</v>
      </c>
      <c r="P769" s="13">
        <v>1</v>
      </c>
      <c r="Q769" s="13">
        <v>64</v>
      </c>
      <c r="R769" s="13">
        <v>0</v>
      </c>
      <c r="S769" s="13">
        <v>2</v>
      </c>
      <c r="T769" s="23">
        <v>46247.57309027778</v>
      </c>
      <c r="U769" s="55">
        <f t="shared" si="33"/>
        <v>1.3333333333333333</v>
      </c>
      <c r="V769" s="55">
        <f t="shared" si="34"/>
        <v>0</v>
      </c>
      <c r="W769" s="56">
        <f t="shared" si="35"/>
        <v>909.33333333333337</v>
      </c>
    </row>
    <row r="770" spans="1:23" x14ac:dyDescent="0.3">
      <c r="A770" s="13" t="str" cm="1">
        <f t="array" ref="A770:B770">INDEX(BenchmarkResults!$B$1:$D$35,SUMPRODUCT((T770&gt;=BenchmarkResults!$F$3:$F$35)*(mongodb_hardware_log!T770&lt;BenchmarkResults!$G$3:$G$35)*ROW(BenchmarkResults!$F$3:$F$35)),{1,3})</f>
        <v>q2_avg_order_city</v>
      </c>
      <c r="B770">
        <v>2</v>
      </c>
      <c r="C770" s="13">
        <v>1</v>
      </c>
      <c r="D770" s="13">
        <v>0</v>
      </c>
      <c r="E770" s="13">
        <v>134400</v>
      </c>
      <c r="F770" s="13">
        <v>788024</v>
      </c>
      <c r="G770" s="13">
        <v>5640</v>
      </c>
      <c r="H770" s="13">
        <v>1631152</v>
      </c>
      <c r="I770" s="13">
        <v>0</v>
      </c>
      <c r="J770" s="13">
        <v>0</v>
      </c>
      <c r="K770" s="13">
        <v>779</v>
      </c>
      <c r="L770" s="13">
        <v>8</v>
      </c>
      <c r="M770" s="13">
        <v>756</v>
      </c>
      <c r="N770" s="13">
        <v>224</v>
      </c>
      <c r="O770" s="13">
        <v>32</v>
      </c>
      <c r="P770" s="13">
        <v>1</v>
      </c>
      <c r="Q770" s="13">
        <v>63</v>
      </c>
      <c r="R770" s="13">
        <v>1</v>
      </c>
      <c r="S770" s="13">
        <v>2</v>
      </c>
      <c r="T770" s="23">
        <v>46247.573206018518</v>
      </c>
      <c r="U770" s="55">
        <f t="shared" si="33"/>
        <v>1.3333333333333333</v>
      </c>
      <c r="V770" s="55">
        <f t="shared" si="34"/>
        <v>0</v>
      </c>
      <c r="W770" s="56">
        <f t="shared" si="35"/>
        <v>865.5</v>
      </c>
    </row>
    <row r="771" spans="1:23" x14ac:dyDescent="0.3">
      <c r="A771" s="13" t="str" cm="1">
        <f t="array" ref="A771:B771">INDEX(BenchmarkResults!$B$1:$D$35,SUMPRODUCT((T771&gt;=BenchmarkResults!$F$3:$F$35)*(mongodb_hardware_log!T771&lt;BenchmarkResults!$G$3:$G$35)*ROW(BenchmarkResults!$F$3:$F$35)),{1,3})</f>
        <v>q2_avg_order_city</v>
      </c>
      <c r="B771">
        <v>2</v>
      </c>
      <c r="C771" s="13">
        <v>1</v>
      </c>
      <c r="D771" s="13">
        <v>0</v>
      </c>
      <c r="E771" s="13">
        <v>134400</v>
      </c>
      <c r="F771" s="13">
        <v>782732</v>
      </c>
      <c r="G771" s="13">
        <v>5648</v>
      </c>
      <c r="H771" s="13">
        <v>1636528</v>
      </c>
      <c r="I771" s="13">
        <v>0</v>
      </c>
      <c r="J771" s="13">
        <v>0</v>
      </c>
      <c r="K771" s="13">
        <v>537</v>
      </c>
      <c r="L771" s="13">
        <v>12</v>
      </c>
      <c r="M771" s="13">
        <v>750</v>
      </c>
      <c r="N771" s="13">
        <v>253</v>
      </c>
      <c r="O771" s="13">
        <v>33</v>
      </c>
      <c r="P771" s="13">
        <v>1</v>
      </c>
      <c r="Q771" s="13">
        <v>65</v>
      </c>
      <c r="R771" s="13">
        <v>0</v>
      </c>
      <c r="S771" s="13">
        <v>0</v>
      </c>
      <c r="T771" s="23">
        <v>46247.573321759257</v>
      </c>
      <c r="U771" s="55">
        <f t="shared" si="33"/>
        <v>1.3333333333333333</v>
      </c>
      <c r="V771" s="55">
        <f t="shared" si="34"/>
        <v>0</v>
      </c>
      <c r="W771" s="56">
        <f t="shared" si="35"/>
        <v>803.83333333333337</v>
      </c>
    </row>
    <row r="772" spans="1:23" x14ac:dyDescent="0.3">
      <c r="A772" s="13" t="str" cm="1">
        <f t="array" ref="A772:B772">INDEX(BenchmarkResults!$B$1:$D$35,SUMPRODUCT((T772&gt;=BenchmarkResults!$F$3:$F$35)*(mongodb_hardware_log!T772&lt;BenchmarkResults!$G$3:$G$35)*ROW(BenchmarkResults!$F$3:$F$35)),{1,3})</f>
        <v>q2_avg_order_city</v>
      </c>
      <c r="B772">
        <v>2</v>
      </c>
      <c r="C772" s="13">
        <v>1</v>
      </c>
      <c r="D772" s="13">
        <v>0</v>
      </c>
      <c r="E772" s="13">
        <v>134400</v>
      </c>
      <c r="F772" s="13">
        <v>770388</v>
      </c>
      <c r="G772" s="13">
        <v>5664</v>
      </c>
      <c r="H772" s="13">
        <v>1646872</v>
      </c>
      <c r="I772" s="13">
        <v>0</v>
      </c>
      <c r="J772" s="13">
        <v>0</v>
      </c>
      <c r="K772" s="13">
        <v>1034</v>
      </c>
      <c r="L772" s="13">
        <v>11</v>
      </c>
      <c r="M772" s="13">
        <v>762</v>
      </c>
      <c r="N772" s="13">
        <v>266</v>
      </c>
      <c r="O772" s="13">
        <v>33</v>
      </c>
      <c r="P772" s="13">
        <v>1</v>
      </c>
      <c r="Q772" s="13">
        <v>65</v>
      </c>
      <c r="R772" s="13">
        <v>0</v>
      </c>
      <c r="S772" s="13">
        <v>0</v>
      </c>
      <c r="T772" s="23">
        <v>46247.573437500003</v>
      </c>
      <c r="U772" s="55">
        <f t="shared" si="33"/>
        <v>1.1666666666666667</v>
      </c>
      <c r="V772" s="55">
        <f t="shared" si="34"/>
        <v>0</v>
      </c>
      <c r="W772" s="56">
        <f t="shared" si="35"/>
        <v>808.66666666666663</v>
      </c>
    </row>
    <row r="773" spans="1:23" x14ac:dyDescent="0.3">
      <c r="A773" s="13" t="str" cm="1">
        <f t="array" ref="A773:B773">INDEX(BenchmarkResults!$B$1:$D$35,SUMPRODUCT((T773&gt;=BenchmarkResults!$F$3:$F$35)*(mongodb_hardware_log!T773&lt;BenchmarkResults!$G$3:$G$35)*ROW(BenchmarkResults!$F$3:$F$35)),{1,3})</f>
        <v>q2_avg_order_city</v>
      </c>
      <c r="B773">
        <v>2</v>
      </c>
      <c r="C773" s="13">
        <v>2</v>
      </c>
      <c r="D773" s="13">
        <v>0</v>
      </c>
      <c r="E773" s="13">
        <v>134400</v>
      </c>
      <c r="F773" s="13">
        <v>761296</v>
      </c>
      <c r="G773" s="13">
        <v>5680</v>
      </c>
      <c r="H773" s="13">
        <v>1657040</v>
      </c>
      <c r="I773" s="13">
        <v>0</v>
      </c>
      <c r="J773" s="13">
        <v>0</v>
      </c>
      <c r="K773" s="13">
        <v>1009</v>
      </c>
      <c r="L773" s="13">
        <v>27</v>
      </c>
      <c r="M773" s="13">
        <v>796</v>
      </c>
      <c r="N773" s="13">
        <v>308</v>
      </c>
      <c r="O773" s="13">
        <v>33</v>
      </c>
      <c r="P773" s="13">
        <v>1</v>
      </c>
      <c r="Q773" s="13">
        <v>65</v>
      </c>
      <c r="R773" s="13">
        <v>0</v>
      </c>
      <c r="S773" s="13">
        <v>1</v>
      </c>
      <c r="T773" s="23">
        <v>46247.573553240742</v>
      </c>
      <c r="U773" s="55">
        <f t="shared" si="33"/>
        <v>1.3333333333333333</v>
      </c>
      <c r="V773" s="55">
        <f t="shared" si="34"/>
        <v>0</v>
      </c>
      <c r="W773" s="56">
        <f t="shared" si="35"/>
        <v>859.5</v>
      </c>
    </row>
    <row r="774" spans="1:23" x14ac:dyDescent="0.3">
      <c r="A774" s="13" t="str" cm="1">
        <f t="array" ref="A774:B774">INDEX(BenchmarkResults!$B$1:$D$35,SUMPRODUCT((T774&gt;=BenchmarkResults!$F$3:$F$35)*(mongodb_hardware_log!T774&lt;BenchmarkResults!$G$3:$G$35)*ROW(BenchmarkResults!$F$3:$F$35)),{1,3})</f>
        <v>q2_avg_order_city</v>
      </c>
      <c r="B774">
        <v>2</v>
      </c>
      <c r="C774" s="13">
        <v>1</v>
      </c>
      <c r="D774" s="13">
        <v>0</v>
      </c>
      <c r="E774" s="13">
        <v>134400</v>
      </c>
      <c r="F774" s="13">
        <v>754240</v>
      </c>
      <c r="G774" s="13">
        <v>5688</v>
      </c>
      <c r="H774" s="13">
        <v>1665240</v>
      </c>
      <c r="I774" s="13">
        <v>0</v>
      </c>
      <c r="J774" s="13">
        <v>0</v>
      </c>
      <c r="K774" s="13">
        <v>817</v>
      </c>
      <c r="L774" s="13">
        <v>15</v>
      </c>
      <c r="M774" s="13">
        <v>722</v>
      </c>
      <c r="N774" s="13">
        <v>208</v>
      </c>
      <c r="O774" s="13">
        <v>33</v>
      </c>
      <c r="P774" s="13">
        <v>1</v>
      </c>
      <c r="Q774" s="13">
        <v>65</v>
      </c>
      <c r="R774" s="13">
        <v>0</v>
      </c>
      <c r="S774" s="13">
        <v>0</v>
      </c>
      <c r="T774" s="23">
        <v>46247.57366898148</v>
      </c>
      <c r="U774" s="55">
        <f t="shared" si="33"/>
        <v>1.1666666666666667</v>
      </c>
      <c r="V774" s="55">
        <f t="shared" si="34"/>
        <v>0</v>
      </c>
      <c r="W774" s="56">
        <f t="shared" si="35"/>
        <v>843.66666666666663</v>
      </c>
    </row>
    <row r="775" spans="1:23" x14ac:dyDescent="0.3">
      <c r="A775" s="13" t="str" cm="1">
        <f t="array" ref="A775:B775">INDEX(BenchmarkResults!$B$1:$D$35,SUMPRODUCT((T775&gt;=BenchmarkResults!$F$3:$F$35)*(mongodb_hardware_log!T775&lt;BenchmarkResults!$G$3:$G$35)*ROW(BenchmarkResults!$F$3:$F$35)),{1,3})</f>
        <v>q2_avg_order_city</v>
      </c>
      <c r="B775">
        <v>2</v>
      </c>
      <c r="C775" s="13">
        <v>1</v>
      </c>
      <c r="D775" s="13">
        <v>0</v>
      </c>
      <c r="E775" s="13">
        <v>134400</v>
      </c>
      <c r="F775" s="13">
        <v>740632</v>
      </c>
      <c r="G775" s="13">
        <v>5712</v>
      </c>
      <c r="H775" s="13">
        <v>1677704</v>
      </c>
      <c r="I775" s="13">
        <v>0</v>
      </c>
      <c r="J775" s="13">
        <v>0</v>
      </c>
      <c r="K775" s="13">
        <v>1246</v>
      </c>
      <c r="L775" s="13">
        <v>28</v>
      </c>
      <c r="M775" s="13">
        <v>719</v>
      </c>
      <c r="N775" s="13">
        <v>223</v>
      </c>
      <c r="O775" s="13">
        <v>33</v>
      </c>
      <c r="P775" s="13">
        <v>1</v>
      </c>
      <c r="Q775" s="13">
        <v>65</v>
      </c>
      <c r="R775" s="13">
        <v>0</v>
      </c>
      <c r="S775" s="13">
        <v>0</v>
      </c>
      <c r="T775" s="23">
        <v>46247.573784722219</v>
      </c>
      <c r="U775" s="55">
        <f t="shared" si="33"/>
        <v>1.1666666666666667</v>
      </c>
      <c r="V775" s="55">
        <f t="shared" si="34"/>
        <v>0</v>
      </c>
      <c r="W775" s="56">
        <f t="shared" si="35"/>
        <v>903.66666666666663</v>
      </c>
    </row>
    <row r="776" spans="1:23" x14ac:dyDescent="0.3">
      <c r="A776" s="13" t="str" cm="1">
        <f t="array" ref="A776:B776">INDEX(BenchmarkResults!$B$1:$D$35,SUMPRODUCT((T776&gt;=BenchmarkResults!$F$3:$F$35)*(mongodb_hardware_log!T776&lt;BenchmarkResults!$G$3:$G$35)*ROW(BenchmarkResults!$F$3:$F$35)),{1,3})</f>
        <v>q2_avg_order_city</v>
      </c>
      <c r="B776">
        <v>2</v>
      </c>
      <c r="C776" s="13">
        <v>1</v>
      </c>
      <c r="D776" s="13">
        <v>0</v>
      </c>
      <c r="E776" s="13">
        <v>134400</v>
      </c>
      <c r="F776" s="13">
        <v>726772</v>
      </c>
      <c r="G776" s="13">
        <v>5720</v>
      </c>
      <c r="H776" s="13">
        <v>1690180</v>
      </c>
      <c r="I776" s="13">
        <v>0</v>
      </c>
      <c r="J776" s="13">
        <v>0</v>
      </c>
      <c r="K776" s="13">
        <v>1250</v>
      </c>
      <c r="L776" s="13">
        <v>10</v>
      </c>
      <c r="M776" s="13">
        <v>719</v>
      </c>
      <c r="N776" s="13">
        <v>211</v>
      </c>
      <c r="O776" s="13">
        <v>33</v>
      </c>
      <c r="P776" s="13">
        <v>1</v>
      </c>
      <c r="Q776" s="13">
        <v>65</v>
      </c>
      <c r="R776" s="13">
        <v>0</v>
      </c>
      <c r="S776" s="13">
        <v>0</v>
      </c>
      <c r="T776" s="23">
        <v>46247.573900462965</v>
      </c>
      <c r="U776" s="55">
        <f t="shared" si="33"/>
        <v>1.1666666666666667</v>
      </c>
      <c r="V776" s="55">
        <f t="shared" si="34"/>
        <v>0</v>
      </c>
      <c r="W776" s="56">
        <f t="shared" si="35"/>
        <v>982.16666666666663</v>
      </c>
    </row>
    <row r="777" spans="1:23" x14ac:dyDescent="0.3">
      <c r="A777" s="13" t="str" cm="1">
        <f t="array" ref="A777:B777">INDEX(BenchmarkResults!$B$1:$D$35,SUMPRODUCT((T777&gt;=BenchmarkResults!$F$3:$F$35)*(mongodb_hardware_log!T777&lt;BenchmarkResults!$G$3:$G$35)*ROW(BenchmarkResults!$F$3:$F$35)),{1,3})</f>
        <v>q2_avg_order_city</v>
      </c>
      <c r="B777">
        <v>2</v>
      </c>
      <c r="C777" s="13">
        <v>1</v>
      </c>
      <c r="D777" s="13">
        <v>0</v>
      </c>
      <c r="E777" s="13">
        <v>134400</v>
      </c>
      <c r="F777" s="13">
        <v>717448</v>
      </c>
      <c r="G777" s="13">
        <v>5728</v>
      </c>
      <c r="H777" s="13">
        <v>1699212</v>
      </c>
      <c r="I777" s="13">
        <v>0</v>
      </c>
      <c r="J777" s="13">
        <v>0</v>
      </c>
      <c r="K777" s="13">
        <v>901</v>
      </c>
      <c r="L777" s="13">
        <v>9</v>
      </c>
      <c r="M777" s="13">
        <v>715</v>
      </c>
      <c r="N777" s="13">
        <v>211</v>
      </c>
      <c r="O777" s="13">
        <v>33</v>
      </c>
      <c r="P777" s="13">
        <v>1</v>
      </c>
      <c r="Q777" s="13">
        <v>65</v>
      </c>
      <c r="R777" s="13">
        <v>0</v>
      </c>
      <c r="S777" s="13">
        <v>0</v>
      </c>
      <c r="T777" s="23">
        <v>46247.574016203704</v>
      </c>
      <c r="U777" s="55">
        <f t="shared" ref="U777:U840" si="36">AVERAGE(C772:C777)</f>
        <v>1.1666666666666667</v>
      </c>
      <c r="V777" s="55">
        <f t="shared" ref="V777:V840" si="37">AVERAGE(D772:D777)</f>
        <v>0</v>
      </c>
      <c r="W777" s="56">
        <f t="shared" ref="W777:W840" si="38">AVERAGE(K772:K777)</f>
        <v>1042.8333333333333</v>
      </c>
    </row>
    <row r="778" spans="1:23" x14ac:dyDescent="0.3">
      <c r="A778" s="13" t="str" cm="1">
        <f t="array" ref="A778:B778">INDEX(BenchmarkResults!$B$1:$D$35,SUMPRODUCT((T778&gt;=BenchmarkResults!$F$3:$F$35)*(mongodb_hardware_log!T778&lt;BenchmarkResults!$G$3:$G$35)*ROW(BenchmarkResults!$F$3:$F$35)),{1,3})</f>
        <v>q2_avg_order_city</v>
      </c>
      <c r="B778">
        <v>2</v>
      </c>
      <c r="C778" s="13">
        <v>1</v>
      </c>
      <c r="D778" s="13">
        <v>0</v>
      </c>
      <c r="E778" s="13">
        <v>134400</v>
      </c>
      <c r="F778" s="13">
        <v>706612</v>
      </c>
      <c r="G778" s="13">
        <v>5736</v>
      </c>
      <c r="H778" s="13">
        <v>1707408</v>
      </c>
      <c r="I778" s="13">
        <v>0</v>
      </c>
      <c r="J778" s="13">
        <v>0</v>
      </c>
      <c r="K778" s="13">
        <v>820</v>
      </c>
      <c r="L778" s="13">
        <v>14</v>
      </c>
      <c r="M778" s="13">
        <v>719</v>
      </c>
      <c r="N778" s="13">
        <v>213</v>
      </c>
      <c r="O778" s="13">
        <v>33</v>
      </c>
      <c r="P778" s="13">
        <v>1</v>
      </c>
      <c r="Q778" s="13">
        <v>65</v>
      </c>
      <c r="R778" s="13">
        <v>0</v>
      </c>
      <c r="S778" s="13">
        <v>0</v>
      </c>
      <c r="T778" s="23">
        <v>46247.574131944442</v>
      </c>
      <c r="U778" s="55">
        <f t="shared" si="36"/>
        <v>1.1666666666666667</v>
      </c>
      <c r="V778" s="55">
        <f t="shared" si="37"/>
        <v>0</v>
      </c>
      <c r="W778" s="56">
        <f t="shared" si="38"/>
        <v>1007.1666666666666</v>
      </c>
    </row>
    <row r="779" spans="1:23" x14ac:dyDescent="0.3">
      <c r="A779" s="13" t="str" cm="1">
        <f t="array" ref="A779:B779">INDEX(BenchmarkResults!$B$1:$D$35,SUMPRODUCT((T779&gt;=BenchmarkResults!$F$3:$F$35)*(mongodb_hardware_log!T779&lt;BenchmarkResults!$G$3:$G$35)*ROW(BenchmarkResults!$F$3:$F$35)),{1,3})</f>
        <v>q2_avg_order_city</v>
      </c>
      <c r="B779">
        <v>2</v>
      </c>
      <c r="C779" s="13">
        <v>1</v>
      </c>
      <c r="D779" s="13">
        <v>0</v>
      </c>
      <c r="E779" s="13">
        <v>134400</v>
      </c>
      <c r="F779" s="13">
        <v>699808</v>
      </c>
      <c r="G779" s="13">
        <v>5744</v>
      </c>
      <c r="H779" s="13">
        <v>1717588</v>
      </c>
      <c r="I779" s="13">
        <v>0</v>
      </c>
      <c r="J779" s="13">
        <v>0</v>
      </c>
      <c r="K779" s="13">
        <v>1018</v>
      </c>
      <c r="L779" s="13">
        <v>14</v>
      </c>
      <c r="M779" s="13">
        <v>721</v>
      </c>
      <c r="N779" s="13">
        <v>225</v>
      </c>
      <c r="O779" s="13">
        <v>33</v>
      </c>
      <c r="P779" s="13">
        <v>1</v>
      </c>
      <c r="Q779" s="13">
        <v>65</v>
      </c>
      <c r="R779" s="13">
        <v>0</v>
      </c>
      <c r="S779" s="13">
        <v>0</v>
      </c>
      <c r="T779" s="23">
        <v>46247.574247685188</v>
      </c>
      <c r="U779" s="55">
        <f t="shared" si="36"/>
        <v>1</v>
      </c>
      <c r="V779" s="55">
        <f t="shared" si="37"/>
        <v>0</v>
      </c>
      <c r="W779" s="56">
        <f t="shared" si="38"/>
        <v>1008.6666666666666</v>
      </c>
    </row>
    <row r="780" spans="1:23" x14ac:dyDescent="0.3">
      <c r="A780" s="13" t="str" cm="1">
        <f t="array" ref="A780:B780">INDEX(BenchmarkResults!$B$1:$D$35,SUMPRODUCT((T780&gt;=BenchmarkResults!$F$3:$F$35)*(mongodb_hardware_log!T780&lt;BenchmarkResults!$G$3:$G$35)*ROW(BenchmarkResults!$F$3:$F$35)),{1,3})</f>
        <v>q2_avg_order_city</v>
      </c>
      <c r="B780">
        <v>2</v>
      </c>
      <c r="C780" s="13">
        <v>1</v>
      </c>
      <c r="D780" s="13">
        <v>0</v>
      </c>
      <c r="E780" s="13">
        <v>134400</v>
      </c>
      <c r="F780" s="13">
        <v>692248</v>
      </c>
      <c r="G780" s="13">
        <v>5752</v>
      </c>
      <c r="H780" s="13">
        <v>1727564</v>
      </c>
      <c r="I780" s="13">
        <v>0</v>
      </c>
      <c r="J780" s="13">
        <v>0</v>
      </c>
      <c r="K780" s="13">
        <v>1001</v>
      </c>
      <c r="L780" s="13">
        <v>11</v>
      </c>
      <c r="M780" s="13">
        <v>728</v>
      </c>
      <c r="N780" s="13">
        <v>211</v>
      </c>
      <c r="O780" s="13">
        <v>33</v>
      </c>
      <c r="P780" s="13">
        <v>1</v>
      </c>
      <c r="Q780" s="13">
        <v>65</v>
      </c>
      <c r="R780" s="13">
        <v>1</v>
      </c>
      <c r="S780" s="13">
        <v>0</v>
      </c>
      <c r="T780" s="23">
        <v>46247.574363425927</v>
      </c>
      <c r="U780" s="55">
        <f t="shared" si="36"/>
        <v>1</v>
      </c>
      <c r="V780" s="55">
        <f t="shared" si="37"/>
        <v>0</v>
      </c>
      <c r="W780" s="56">
        <f t="shared" si="38"/>
        <v>1039.3333333333333</v>
      </c>
    </row>
    <row r="781" spans="1:23" x14ac:dyDescent="0.3">
      <c r="A781" s="13" t="str" cm="1">
        <f t="array" ref="A781:B781">INDEX(BenchmarkResults!$B$1:$D$35,SUMPRODUCT((T781&gt;=BenchmarkResults!$F$3:$F$35)*(mongodb_hardware_log!T781&lt;BenchmarkResults!$G$3:$G$35)*ROW(BenchmarkResults!$F$3:$F$35)),{1,3})</f>
        <v>q2_avg_order_city</v>
      </c>
      <c r="B781">
        <v>2</v>
      </c>
      <c r="C781" s="13">
        <v>1</v>
      </c>
      <c r="D781" s="13">
        <v>0</v>
      </c>
      <c r="E781" s="13">
        <v>134400</v>
      </c>
      <c r="F781" s="13">
        <v>676372</v>
      </c>
      <c r="G781" s="13">
        <v>5776</v>
      </c>
      <c r="H781" s="13">
        <v>1737424</v>
      </c>
      <c r="I781" s="13">
        <v>0</v>
      </c>
      <c r="J781" s="13">
        <v>0</v>
      </c>
      <c r="K781" s="13">
        <v>990</v>
      </c>
      <c r="L781" s="13">
        <v>23</v>
      </c>
      <c r="M781" s="13">
        <v>701</v>
      </c>
      <c r="N781" s="13">
        <v>205</v>
      </c>
      <c r="O781" s="13">
        <v>33</v>
      </c>
      <c r="P781" s="13">
        <v>1</v>
      </c>
      <c r="Q781" s="13">
        <v>65</v>
      </c>
      <c r="R781" s="13">
        <v>0</v>
      </c>
      <c r="S781" s="13">
        <v>0</v>
      </c>
      <c r="T781" s="23">
        <v>46247.574479166666</v>
      </c>
      <c r="U781" s="55">
        <f t="shared" si="36"/>
        <v>1</v>
      </c>
      <c r="V781" s="55">
        <f t="shared" si="37"/>
        <v>0</v>
      </c>
      <c r="W781" s="56">
        <f t="shared" si="38"/>
        <v>996.66666666666663</v>
      </c>
    </row>
    <row r="782" spans="1:23" x14ac:dyDescent="0.3">
      <c r="A782" s="13" t="str" cm="1">
        <f t="array" ref="A782:B782">INDEX(BenchmarkResults!$B$1:$D$35,SUMPRODUCT((T782&gt;=BenchmarkResults!$F$3:$F$35)*(mongodb_hardware_log!T782&lt;BenchmarkResults!$G$3:$G$35)*ROW(BenchmarkResults!$F$3:$F$35)),{1,3})</f>
        <v>q2_avg_order_city</v>
      </c>
      <c r="B782">
        <v>2</v>
      </c>
      <c r="C782" s="13">
        <v>1</v>
      </c>
      <c r="D782" s="13">
        <v>0</v>
      </c>
      <c r="E782" s="13">
        <v>134400</v>
      </c>
      <c r="F782" s="13">
        <v>672376</v>
      </c>
      <c r="G782" s="13">
        <v>5792</v>
      </c>
      <c r="H782" s="13">
        <v>1747032</v>
      </c>
      <c r="I782" s="13">
        <v>0</v>
      </c>
      <c r="J782" s="13">
        <v>0</v>
      </c>
      <c r="K782" s="13">
        <v>959</v>
      </c>
      <c r="L782" s="13">
        <v>44</v>
      </c>
      <c r="M782" s="13">
        <v>752</v>
      </c>
      <c r="N782" s="13">
        <v>254</v>
      </c>
      <c r="O782" s="13">
        <v>33</v>
      </c>
      <c r="P782" s="13">
        <v>1</v>
      </c>
      <c r="Q782" s="13">
        <v>63</v>
      </c>
      <c r="R782" s="13">
        <v>1</v>
      </c>
      <c r="S782" s="13">
        <v>1</v>
      </c>
      <c r="T782" s="23">
        <v>46247.574594907404</v>
      </c>
      <c r="U782" s="55">
        <f t="shared" si="36"/>
        <v>1</v>
      </c>
      <c r="V782" s="55">
        <f t="shared" si="37"/>
        <v>0</v>
      </c>
      <c r="W782" s="56">
        <f t="shared" si="38"/>
        <v>948.16666666666663</v>
      </c>
    </row>
    <row r="783" spans="1:23" x14ac:dyDescent="0.3">
      <c r="A783" s="13" t="str" cm="1">
        <f t="array" ref="A783:B783">INDEX(BenchmarkResults!$B$1:$D$35,SUMPRODUCT((T783&gt;=BenchmarkResults!$F$3:$F$35)*(mongodb_hardware_log!T783&lt;BenchmarkResults!$G$3:$G$35)*ROW(BenchmarkResults!$F$3:$F$35)),{1,3})</f>
        <v>q2_avg_order_city</v>
      </c>
      <c r="B783">
        <v>2</v>
      </c>
      <c r="C783" s="13">
        <v>1</v>
      </c>
      <c r="D783" s="13">
        <v>0</v>
      </c>
      <c r="E783" s="13">
        <v>134400</v>
      </c>
      <c r="F783" s="13">
        <v>660896</v>
      </c>
      <c r="G783" s="13">
        <v>5800</v>
      </c>
      <c r="H783" s="13">
        <v>1758452</v>
      </c>
      <c r="I783" s="13">
        <v>0</v>
      </c>
      <c r="J783" s="13">
        <v>0</v>
      </c>
      <c r="K783" s="13">
        <v>1139</v>
      </c>
      <c r="L783" s="13">
        <v>10</v>
      </c>
      <c r="M783" s="13">
        <v>726</v>
      </c>
      <c r="N783" s="13">
        <v>218</v>
      </c>
      <c r="O783" s="13">
        <v>33</v>
      </c>
      <c r="P783" s="13">
        <v>1</v>
      </c>
      <c r="Q783" s="13">
        <v>65</v>
      </c>
      <c r="R783" s="13">
        <v>0</v>
      </c>
      <c r="S783" s="13">
        <v>0</v>
      </c>
      <c r="T783" s="23">
        <v>46247.57471064815</v>
      </c>
      <c r="U783" s="55">
        <f t="shared" si="36"/>
        <v>1</v>
      </c>
      <c r="V783" s="55">
        <f t="shared" si="37"/>
        <v>0</v>
      </c>
      <c r="W783" s="56">
        <f t="shared" si="38"/>
        <v>987.83333333333337</v>
      </c>
    </row>
    <row r="784" spans="1:23" x14ac:dyDescent="0.3">
      <c r="A784" s="13" t="str" cm="1">
        <f t="array" ref="A784:B784">INDEX(BenchmarkResults!$B$1:$D$35,SUMPRODUCT((T784&gt;=BenchmarkResults!$F$3:$F$35)*(mongodb_hardware_log!T784&lt;BenchmarkResults!$G$3:$G$35)*ROW(BenchmarkResults!$F$3:$F$35)),{1,3})</f>
        <v>q2_avg_order_city</v>
      </c>
      <c r="B784">
        <v>2</v>
      </c>
      <c r="C784" s="13">
        <v>1</v>
      </c>
      <c r="D784" s="13">
        <v>0</v>
      </c>
      <c r="E784" s="13">
        <v>134400</v>
      </c>
      <c r="F784" s="13">
        <v>645776</v>
      </c>
      <c r="G784" s="13">
        <v>5808</v>
      </c>
      <c r="H784" s="13">
        <v>1771196</v>
      </c>
      <c r="I784" s="13">
        <v>0</v>
      </c>
      <c r="J784" s="13">
        <v>0</v>
      </c>
      <c r="K784" s="13">
        <v>1275</v>
      </c>
      <c r="L784" s="13">
        <v>24</v>
      </c>
      <c r="M784" s="13">
        <v>716</v>
      </c>
      <c r="N784" s="13">
        <v>208</v>
      </c>
      <c r="O784" s="13">
        <v>33</v>
      </c>
      <c r="P784" s="13">
        <v>1</v>
      </c>
      <c r="Q784" s="13">
        <v>65</v>
      </c>
      <c r="R784" s="13">
        <v>0</v>
      </c>
      <c r="S784" s="13">
        <v>0</v>
      </c>
      <c r="T784" s="23">
        <v>46247.574826388889</v>
      </c>
      <c r="U784" s="55">
        <f t="shared" si="36"/>
        <v>1</v>
      </c>
      <c r="V784" s="55">
        <f t="shared" si="37"/>
        <v>0</v>
      </c>
      <c r="W784" s="56">
        <f t="shared" si="38"/>
        <v>1063.6666666666667</v>
      </c>
    </row>
    <row r="785" spans="1:23" x14ac:dyDescent="0.3">
      <c r="A785" s="13" t="str" cm="1">
        <f t="array" ref="A785:B785">INDEX(BenchmarkResults!$B$1:$D$35,SUMPRODUCT((T785&gt;=BenchmarkResults!$F$3:$F$35)*(mongodb_hardware_log!T785&lt;BenchmarkResults!$G$3:$G$35)*ROW(BenchmarkResults!$F$3:$F$35)),{1,3})</f>
        <v>q2_avg_order_city</v>
      </c>
      <c r="B785">
        <v>2</v>
      </c>
      <c r="C785" s="13">
        <v>2</v>
      </c>
      <c r="D785" s="13">
        <v>0</v>
      </c>
      <c r="E785" s="13">
        <v>134400</v>
      </c>
      <c r="F785" s="13">
        <v>638000</v>
      </c>
      <c r="G785" s="13">
        <v>5816</v>
      </c>
      <c r="H785" s="13">
        <v>1781684</v>
      </c>
      <c r="I785" s="13">
        <v>0</v>
      </c>
      <c r="J785" s="13">
        <v>0</v>
      </c>
      <c r="K785" s="13">
        <v>1053</v>
      </c>
      <c r="L785" s="13">
        <v>12</v>
      </c>
      <c r="M785" s="13">
        <v>730</v>
      </c>
      <c r="N785" s="13">
        <v>233</v>
      </c>
      <c r="O785" s="13">
        <v>33</v>
      </c>
      <c r="P785" s="13">
        <v>1</v>
      </c>
      <c r="Q785" s="13">
        <v>65</v>
      </c>
      <c r="R785" s="13">
        <v>1</v>
      </c>
      <c r="S785" s="13">
        <v>0</v>
      </c>
      <c r="T785" s="23">
        <v>46247.574942129628</v>
      </c>
      <c r="U785" s="55">
        <f t="shared" si="36"/>
        <v>1.1666666666666667</v>
      </c>
      <c r="V785" s="55">
        <f t="shared" si="37"/>
        <v>0</v>
      </c>
      <c r="W785" s="56">
        <f t="shared" si="38"/>
        <v>1069.5</v>
      </c>
    </row>
    <row r="786" spans="1:23" x14ac:dyDescent="0.3">
      <c r="A786" s="13" t="str" cm="1">
        <f t="array" ref="A786:B786">INDEX(BenchmarkResults!$B$1:$D$35,SUMPRODUCT((T786&gt;=BenchmarkResults!$F$3:$F$35)*(mongodb_hardware_log!T786&lt;BenchmarkResults!$G$3:$G$35)*ROW(BenchmarkResults!$F$3:$F$35)),{1,3})</f>
        <v>q2_avg_order_city</v>
      </c>
      <c r="B786">
        <v>2</v>
      </c>
      <c r="C786" s="13">
        <v>1</v>
      </c>
      <c r="D786" s="13">
        <v>0</v>
      </c>
      <c r="E786" s="13">
        <v>134400</v>
      </c>
      <c r="F786" s="13">
        <v>626408</v>
      </c>
      <c r="G786" s="13">
        <v>5832</v>
      </c>
      <c r="H786" s="13">
        <v>1791916</v>
      </c>
      <c r="I786" s="13">
        <v>0</v>
      </c>
      <c r="J786" s="13">
        <v>0</v>
      </c>
      <c r="K786" s="13">
        <v>1030</v>
      </c>
      <c r="L786" s="13">
        <v>30</v>
      </c>
      <c r="M786" s="13">
        <v>726</v>
      </c>
      <c r="N786" s="13">
        <v>210</v>
      </c>
      <c r="O786" s="13">
        <v>33</v>
      </c>
      <c r="P786" s="13">
        <v>1</v>
      </c>
      <c r="Q786" s="13">
        <v>65</v>
      </c>
      <c r="R786" s="13">
        <v>0</v>
      </c>
      <c r="S786" s="13">
        <v>0</v>
      </c>
      <c r="T786" s="23">
        <v>46247.575057870374</v>
      </c>
      <c r="U786" s="55">
        <f t="shared" si="36"/>
        <v>1.1666666666666667</v>
      </c>
      <c r="V786" s="55">
        <f t="shared" si="37"/>
        <v>0</v>
      </c>
      <c r="W786" s="56">
        <f t="shared" si="38"/>
        <v>1074.3333333333333</v>
      </c>
    </row>
    <row r="787" spans="1:23" x14ac:dyDescent="0.3">
      <c r="A787" s="13" t="str" cm="1">
        <f t="array" ref="A787:B787">INDEX(BenchmarkResults!$B$1:$D$35,SUMPRODUCT((T787&gt;=BenchmarkResults!$F$3:$F$35)*(mongodb_hardware_log!T787&lt;BenchmarkResults!$G$3:$G$35)*ROW(BenchmarkResults!$F$3:$F$35)),{1,3})</f>
        <v>q2_avg_order_city</v>
      </c>
      <c r="B787">
        <v>2</v>
      </c>
      <c r="C787" s="13">
        <v>1</v>
      </c>
      <c r="D787" s="13">
        <v>0</v>
      </c>
      <c r="E787" s="13">
        <v>134400</v>
      </c>
      <c r="F787" s="13">
        <v>618848</v>
      </c>
      <c r="G787" s="13">
        <v>5864</v>
      </c>
      <c r="H787" s="13">
        <v>1800184</v>
      </c>
      <c r="I787" s="13">
        <v>0</v>
      </c>
      <c r="J787" s="13">
        <v>0</v>
      </c>
      <c r="K787" s="13">
        <v>813</v>
      </c>
      <c r="L787" s="13">
        <v>30</v>
      </c>
      <c r="M787" s="13">
        <v>719</v>
      </c>
      <c r="N787" s="13">
        <v>223</v>
      </c>
      <c r="O787" s="13">
        <v>33</v>
      </c>
      <c r="P787" s="13">
        <v>1</v>
      </c>
      <c r="Q787" s="13">
        <v>65</v>
      </c>
      <c r="R787" s="13">
        <v>0</v>
      </c>
      <c r="S787" s="13">
        <v>0</v>
      </c>
      <c r="T787" s="23">
        <v>46247.575173611112</v>
      </c>
      <c r="U787" s="55">
        <f t="shared" si="36"/>
        <v>1.1666666666666667</v>
      </c>
      <c r="V787" s="55">
        <f t="shared" si="37"/>
        <v>0</v>
      </c>
      <c r="W787" s="56">
        <f t="shared" si="38"/>
        <v>1044.8333333333333</v>
      </c>
    </row>
    <row r="788" spans="1:23" x14ac:dyDescent="0.3">
      <c r="A788" s="13" t="str" cm="1">
        <f t="array" ref="A788:B788">INDEX(BenchmarkResults!$B$1:$D$35,SUMPRODUCT((T788&gt;=BenchmarkResults!$F$3:$F$35)*(mongodb_hardware_log!T788&lt;BenchmarkResults!$G$3:$G$35)*ROW(BenchmarkResults!$F$3:$F$35)),{1,3})</f>
        <v>q2_avg_order_city</v>
      </c>
      <c r="B788">
        <v>2</v>
      </c>
      <c r="C788" s="13">
        <v>1</v>
      </c>
      <c r="D788" s="13">
        <v>0</v>
      </c>
      <c r="E788" s="13">
        <v>134400</v>
      </c>
      <c r="F788" s="13">
        <v>611708</v>
      </c>
      <c r="G788" s="13">
        <v>5872</v>
      </c>
      <c r="H788" s="13">
        <v>1809148</v>
      </c>
      <c r="I788" s="13">
        <v>0</v>
      </c>
      <c r="J788" s="13">
        <v>0</v>
      </c>
      <c r="K788" s="13">
        <v>899</v>
      </c>
      <c r="L788" s="13">
        <v>10</v>
      </c>
      <c r="M788" s="13">
        <v>732</v>
      </c>
      <c r="N788" s="13">
        <v>227</v>
      </c>
      <c r="O788" s="13">
        <v>33</v>
      </c>
      <c r="P788" s="13">
        <v>1</v>
      </c>
      <c r="Q788" s="13">
        <v>64</v>
      </c>
      <c r="R788" s="13">
        <v>1</v>
      </c>
      <c r="S788" s="13">
        <v>0</v>
      </c>
      <c r="T788" s="23">
        <v>46247.575289351851</v>
      </c>
      <c r="U788" s="55">
        <f t="shared" si="36"/>
        <v>1.1666666666666667</v>
      </c>
      <c r="V788" s="55">
        <f t="shared" si="37"/>
        <v>0</v>
      </c>
      <c r="W788" s="56">
        <f t="shared" si="38"/>
        <v>1034.8333333333333</v>
      </c>
    </row>
    <row r="789" spans="1:23" x14ac:dyDescent="0.3">
      <c r="A789" s="13" t="str" cm="1">
        <f t="array" ref="A789:B789">INDEX(BenchmarkResults!$B$1:$D$35,SUMPRODUCT((T789&gt;=BenchmarkResults!$F$3:$F$35)*(mongodb_hardware_log!T789&lt;BenchmarkResults!$G$3:$G$35)*ROW(BenchmarkResults!$F$3:$F$35)),{1,3})</f>
        <v>q2_avg_order_city</v>
      </c>
      <c r="B789">
        <v>2</v>
      </c>
      <c r="C789" s="13">
        <v>1</v>
      </c>
      <c r="D789" s="13">
        <v>0</v>
      </c>
      <c r="E789" s="13">
        <v>134400</v>
      </c>
      <c r="F789" s="13">
        <v>603896</v>
      </c>
      <c r="G789" s="13">
        <v>5888</v>
      </c>
      <c r="H789" s="13">
        <v>1817332</v>
      </c>
      <c r="I789" s="13">
        <v>0</v>
      </c>
      <c r="J789" s="13">
        <v>0</v>
      </c>
      <c r="K789" s="13">
        <v>814</v>
      </c>
      <c r="L789" s="13">
        <v>25</v>
      </c>
      <c r="M789" s="13">
        <v>698</v>
      </c>
      <c r="N789" s="13">
        <v>198</v>
      </c>
      <c r="O789" s="13">
        <v>33</v>
      </c>
      <c r="P789" s="13">
        <v>1</v>
      </c>
      <c r="Q789" s="13">
        <v>65</v>
      </c>
      <c r="R789" s="13">
        <v>0</v>
      </c>
      <c r="S789" s="13">
        <v>0</v>
      </c>
      <c r="T789" s="23">
        <v>46247.57540509259</v>
      </c>
      <c r="U789" s="55">
        <f t="shared" si="36"/>
        <v>1.1666666666666667</v>
      </c>
      <c r="V789" s="55">
        <f t="shared" si="37"/>
        <v>0</v>
      </c>
      <c r="W789" s="56">
        <f t="shared" si="38"/>
        <v>980.66666666666663</v>
      </c>
    </row>
    <row r="790" spans="1:23" x14ac:dyDescent="0.3">
      <c r="A790" s="13" t="str" cm="1">
        <f t="array" ref="A790:B790">INDEX(BenchmarkResults!$B$1:$D$35,SUMPRODUCT((T790&gt;=BenchmarkResults!$F$3:$F$35)*(mongodb_hardware_log!T790&lt;BenchmarkResults!$G$3:$G$35)*ROW(BenchmarkResults!$F$3:$F$35)),{1,3})</f>
        <v>q2_avg_order_city</v>
      </c>
      <c r="B790">
        <v>2</v>
      </c>
      <c r="C790" s="13">
        <v>1</v>
      </c>
      <c r="D790" s="13">
        <v>0</v>
      </c>
      <c r="E790" s="13">
        <v>134400</v>
      </c>
      <c r="F790" s="13">
        <v>589784</v>
      </c>
      <c r="G790" s="13">
        <v>5896</v>
      </c>
      <c r="H790" s="13">
        <v>1827856</v>
      </c>
      <c r="I790" s="13">
        <v>0</v>
      </c>
      <c r="J790" s="13">
        <v>0</v>
      </c>
      <c r="K790" s="13">
        <v>1051</v>
      </c>
      <c r="L790" s="13">
        <v>13</v>
      </c>
      <c r="M790" s="13">
        <v>707</v>
      </c>
      <c r="N790" s="13">
        <v>208</v>
      </c>
      <c r="O790" s="13">
        <v>33</v>
      </c>
      <c r="P790" s="13">
        <v>1</v>
      </c>
      <c r="Q790" s="13">
        <v>65</v>
      </c>
      <c r="R790" s="13">
        <v>0</v>
      </c>
      <c r="S790" s="13">
        <v>0</v>
      </c>
      <c r="T790" s="23">
        <v>46247.575520833336</v>
      </c>
      <c r="U790" s="55">
        <f t="shared" si="36"/>
        <v>1.1666666666666667</v>
      </c>
      <c r="V790" s="55">
        <f t="shared" si="37"/>
        <v>0</v>
      </c>
      <c r="W790" s="56">
        <f t="shared" si="38"/>
        <v>943.33333333333337</v>
      </c>
    </row>
    <row r="791" spans="1:23" x14ac:dyDescent="0.3">
      <c r="A791" s="13" t="str" cm="1">
        <f t="array" ref="A791:B791">INDEX(BenchmarkResults!$B$1:$D$35,SUMPRODUCT((T791&gt;=BenchmarkResults!$F$3:$F$35)*(mongodb_hardware_log!T791&lt;BenchmarkResults!$G$3:$G$35)*ROW(BenchmarkResults!$F$3:$F$35)),{1,3})</f>
        <v>q2_avg_order_city</v>
      </c>
      <c r="B791">
        <v>2</v>
      </c>
      <c r="C791" s="13">
        <v>1</v>
      </c>
      <c r="D791" s="13">
        <v>0</v>
      </c>
      <c r="E791" s="13">
        <v>134400</v>
      </c>
      <c r="F791" s="13">
        <v>581972</v>
      </c>
      <c r="G791" s="13">
        <v>5904</v>
      </c>
      <c r="H791" s="13">
        <v>1836048</v>
      </c>
      <c r="I791" s="13">
        <v>0</v>
      </c>
      <c r="J791" s="13">
        <v>0</v>
      </c>
      <c r="K791" s="13">
        <v>819</v>
      </c>
      <c r="L791" s="13">
        <v>11</v>
      </c>
      <c r="M791" s="13">
        <v>718</v>
      </c>
      <c r="N791" s="13">
        <v>218</v>
      </c>
      <c r="O791" s="13">
        <v>33</v>
      </c>
      <c r="P791" s="13">
        <v>1</v>
      </c>
      <c r="Q791" s="13">
        <v>65</v>
      </c>
      <c r="R791" s="13">
        <v>0</v>
      </c>
      <c r="S791" s="13">
        <v>1</v>
      </c>
      <c r="T791" s="23">
        <v>46247.575636574074</v>
      </c>
      <c r="U791" s="55">
        <f t="shared" si="36"/>
        <v>1</v>
      </c>
      <c r="V791" s="55">
        <f t="shared" si="37"/>
        <v>0</v>
      </c>
      <c r="W791" s="56">
        <f t="shared" si="38"/>
        <v>904.33333333333337</v>
      </c>
    </row>
    <row r="792" spans="1:23" x14ac:dyDescent="0.3">
      <c r="A792" s="13" t="str" cm="1">
        <f t="array" ref="A792:B792">INDEX(BenchmarkResults!$B$1:$D$35,SUMPRODUCT((T792&gt;=BenchmarkResults!$F$3:$F$35)*(mongodb_hardware_log!T792&lt;BenchmarkResults!$G$3:$G$35)*ROW(BenchmarkResults!$F$3:$F$35)),{1,3})</f>
        <v>q2_avg_order_city</v>
      </c>
      <c r="B792">
        <v>2</v>
      </c>
      <c r="C792" s="13">
        <v>2</v>
      </c>
      <c r="D792" s="13">
        <v>0</v>
      </c>
      <c r="E792" s="13">
        <v>134400</v>
      </c>
      <c r="F792" s="13">
        <v>574412</v>
      </c>
      <c r="G792" s="13">
        <v>5912</v>
      </c>
      <c r="H792" s="13">
        <v>1844672</v>
      </c>
      <c r="I792" s="13">
        <v>0</v>
      </c>
      <c r="J792" s="13">
        <v>0</v>
      </c>
      <c r="K792" s="13">
        <v>868</v>
      </c>
      <c r="L792" s="13">
        <v>6</v>
      </c>
      <c r="M792" s="13">
        <v>734</v>
      </c>
      <c r="N792" s="13">
        <v>217</v>
      </c>
      <c r="O792" s="13">
        <v>34</v>
      </c>
      <c r="P792" s="13">
        <v>1</v>
      </c>
      <c r="Q792" s="13">
        <v>64</v>
      </c>
      <c r="R792" s="13">
        <v>0</v>
      </c>
      <c r="S792" s="13">
        <v>1</v>
      </c>
      <c r="T792" s="23">
        <v>46247.575752314813</v>
      </c>
      <c r="U792" s="55">
        <f t="shared" si="36"/>
        <v>1.1666666666666667</v>
      </c>
      <c r="V792" s="55">
        <f t="shared" si="37"/>
        <v>0</v>
      </c>
      <c r="W792" s="56">
        <f t="shared" si="38"/>
        <v>877.33333333333337</v>
      </c>
    </row>
    <row r="793" spans="1:23" x14ac:dyDescent="0.3">
      <c r="A793" s="13" t="str" cm="1">
        <f t="array" ref="A793:B793">INDEX(BenchmarkResults!$B$1:$D$35,SUMPRODUCT((T793&gt;=BenchmarkResults!$F$3:$F$35)*(mongodb_hardware_log!T793&lt;BenchmarkResults!$G$3:$G$35)*ROW(BenchmarkResults!$F$3:$F$35)),{1,3})</f>
        <v>q2_avg_order_city</v>
      </c>
      <c r="B793">
        <v>2</v>
      </c>
      <c r="C793" s="13">
        <v>1</v>
      </c>
      <c r="D793" s="13">
        <v>0</v>
      </c>
      <c r="E793" s="13">
        <v>134400</v>
      </c>
      <c r="F793" s="13">
        <v>564280</v>
      </c>
      <c r="G793" s="13">
        <v>5960</v>
      </c>
      <c r="H793" s="13">
        <v>1856008</v>
      </c>
      <c r="I793" s="13">
        <v>0</v>
      </c>
      <c r="J793" s="13">
        <v>0</v>
      </c>
      <c r="K793" s="13">
        <v>1125</v>
      </c>
      <c r="L793" s="13">
        <v>48</v>
      </c>
      <c r="M793" s="13">
        <v>762</v>
      </c>
      <c r="N793" s="13">
        <v>255</v>
      </c>
      <c r="O793" s="13">
        <v>33</v>
      </c>
      <c r="P793" s="13">
        <v>1</v>
      </c>
      <c r="Q793" s="13">
        <v>62</v>
      </c>
      <c r="R793" s="13">
        <v>2</v>
      </c>
      <c r="S793" s="13">
        <v>1</v>
      </c>
      <c r="T793" s="23">
        <v>46247.575868055559</v>
      </c>
      <c r="U793" s="55">
        <f t="shared" si="36"/>
        <v>1.1666666666666667</v>
      </c>
      <c r="V793" s="55">
        <f t="shared" si="37"/>
        <v>0</v>
      </c>
      <c r="W793" s="56">
        <f t="shared" si="38"/>
        <v>929.33333333333337</v>
      </c>
    </row>
    <row r="794" spans="1:23" x14ac:dyDescent="0.3">
      <c r="A794" s="13" t="str" cm="1">
        <f t="array" ref="A794:B794">INDEX(BenchmarkResults!$B$1:$D$35,SUMPRODUCT((T794&gt;=BenchmarkResults!$F$3:$F$35)*(mongodb_hardware_log!T794&lt;BenchmarkResults!$G$3:$G$35)*ROW(BenchmarkResults!$F$3:$F$35)),{1,3})</f>
        <v>q2_avg_order_city</v>
      </c>
      <c r="B794">
        <v>2</v>
      </c>
      <c r="C794" s="13">
        <v>1</v>
      </c>
      <c r="D794" s="13">
        <v>0</v>
      </c>
      <c r="E794" s="13">
        <v>134400</v>
      </c>
      <c r="F794" s="13">
        <v>552688</v>
      </c>
      <c r="G794" s="13">
        <v>5976</v>
      </c>
      <c r="H794" s="13">
        <v>1865432</v>
      </c>
      <c r="I794" s="13">
        <v>0</v>
      </c>
      <c r="J794" s="13">
        <v>0</v>
      </c>
      <c r="K794" s="13">
        <v>943</v>
      </c>
      <c r="L794" s="13">
        <v>31</v>
      </c>
      <c r="M794" s="13">
        <v>737</v>
      </c>
      <c r="N794" s="13">
        <v>230</v>
      </c>
      <c r="O794" s="13">
        <v>33</v>
      </c>
      <c r="P794" s="13">
        <v>1</v>
      </c>
      <c r="Q794" s="13">
        <v>64</v>
      </c>
      <c r="R794" s="13">
        <v>1</v>
      </c>
      <c r="S794" s="13">
        <v>0</v>
      </c>
      <c r="T794" s="23">
        <v>46247.575983796298</v>
      </c>
      <c r="U794" s="55">
        <f t="shared" si="36"/>
        <v>1.1666666666666667</v>
      </c>
      <c r="V794" s="55">
        <f t="shared" si="37"/>
        <v>0</v>
      </c>
      <c r="W794" s="56">
        <f t="shared" si="38"/>
        <v>936.66666666666663</v>
      </c>
    </row>
    <row r="795" spans="1:23" x14ac:dyDescent="0.3">
      <c r="A795" s="13" t="str" cm="1">
        <f t="array" ref="A795:B795">INDEX(BenchmarkResults!$B$1:$D$35,SUMPRODUCT((T795&gt;=BenchmarkResults!$F$3:$F$35)*(mongodb_hardware_log!T795&lt;BenchmarkResults!$G$3:$G$35)*ROW(BenchmarkResults!$F$3:$F$35)),{1,3})</f>
        <v>q2_avg_order_city</v>
      </c>
      <c r="B795">
        <v>2</v>
      </c>
      <c r="C795" s="13">
        <v>1</v>
      </c>
      <c r="D795" s="13">
        <v>0</v>
      </c>
      <c r="E795" s="13">
        <v>134400</v>
      </c>
      <c r="F795" s="13">
        <v>544628</v>
      </c>
      <c r="G795" s="13">
        <v>5984</v>
      </c>
      <c r="H795" s="13">
        <v>1873748</v>
      </c>
      <c r="I795" s="13">
        <v>0</v>
      </c>
      <c r="J795" s="13">
        <v>0</v>
      </c>
      <c r="K795" s="13">
        <v>828</v>
      </c>
      <c r="L795" s="13">
        <v>11</v>
      </c>
      <c r="M795" s="13">
        <v>742</v>
      </c>
      <c r="N795" s="13">
        <v>229</v>
      </c>
      <c r="O795" s="13">
        <v>33</v>
      </c>
      <c r="P795" s="13">
        <v>1</v>
      </c>
      <c r="Q795" s="13">
        <v>64</v>
      </c>
      <c r="R795" s="13">
        <v>1</v>
      </c>
      <c r="S795" s="13">
        <v>0</v>
      </c>
      <c r="T795" s="23">
        <v>46247.576099537036</v>
      </c>
      <c r="U795" s="55">
        <f t="shared" si="36"/>
        <v>1.1666666666666667</v>
      </c>
      <c r="V795" s="55">
        <f t="shared" si="37"/>
        <v>0</v>
      </c>
      <c r="W795" s="56">
        <f t="shared" si="38"/>
        <v>939</v>
      </c>
    </row>
    <row r="796" spans="1:23" x14ac:dyDescent="0.3">
      <c r="A796" s="13" t="str" cm="1">
        <f t="array" ref="A796:B796">INDEX(BenchmarkResults!$B$1:$D$35,SUMPRODUCT((T796&gt;=BenchmarkResults!$F$3:$F$35)*(mongodb_hardware_log!T796&lt;BenchmarkResults!$G$3:$G$35)*ROW(BenchmarkResults!$F$3:$F$35)),{1,3})</f>
        <v>q2_avg_order_city</v>
      </c>
      <c r="B796">
        <v>2</v>
      </c>
      <c r="C796" s="13">
        <v>1</v>
      </c>
      <c r="D796" s="13">
        <v>0</v>
      </c>
      <c r="E796" s="13">
        <v>134400</v>
      </c>
      <c r="F796" s="13">
        <v>533036</v>
      </c>
      <c r="G796" s="13">
        <v>5992</v>
      </c>
      <c r="H796" s="13">
        <v>1882596</v>
      </c>
      <c r="I796" s="13">
        <v>0</v>
      </c>
      <c r="J796" s="13">
        <v>0</v>
      </c>
      <c r="K796" s="13">
        <v>885</v>
      </c>
      <c r="L796" s="13">
        <v>8</v>
      </c>
      <c r="M796" s="13">
        <v>716</v>
      </c>
      <c r="N796" s="13">
        <v>210</v>
      </c>
      <c r="O796" s="13">
        <v>33</v>
      </c>
      <c r="P796" s="13">
        <v>1</v>
      </c>
      <c r="Q796" s="13">
        <v>65</v>
      </c>
      <c r="R796" s="13">
        <v>0</v>
      </c>
      <c r="S796" s="13">
        <v>0</v>
      </c>
      <c r="T796" s="23">
        <v>46247.576215277775</v>
      </c>
      <c r="U796" s="55">
        <f t="shared" si="36"/>
        <v>1.1666666666666667</v>
      </c>
      <c r="V796" s="55">
        <f t="shared" si="37"/>
        <v>0</v>
      </c>
      <c r="W796" s="56">
        <f t="shared" si="38"/>
        <v>911.33333333333337</v>
      </c>
    </row>
    <row r="797" spans="1:23" x14ac:dyDescent="0.3">
      <c r="A797" s="13" t="str" cm="1">
        <f t="array" ref="A797:B797">INDEX(BenchmarkResults!$B$1:$D$35,SUMPRODUCT((T797&gt;=BenchmarkResults!$F$3:$F$35)*(mongodb_hardware_log!T797&lt;BenchmarkResults!$G$3:$G$35)*ROW(BenchmarkResults!$F$3:$F$35)),{1,3})</f>
        <v>q2_avg_order_city</v>
      </c>
      <c r="B797">
        <v>2</v>
      </c>
      <c r="C797" s="13">
        <v>1</v>
      </c>
      <c r="D797" s="13">
        <v>0</v>
      </c>
      <c r="E797" s="13">
        <v>134400</v>
      </c>
      <c r="F797" s="13">
        <v>519176</v>
      </c>
      <c r="G797" s="13">
        <v>6000</v>
      </c>
      <c r="H797" s="13">
        <v>1894268</v>
      </c>
      <c r="I797" s="13">
        <v>0</v>
      </c>
      <c r="J797" s="13">
        <v>0</v>
      </c>
      <c r="K797" s="13">
        <v>1168</v>
      </c>
      <c r="L797" s="13">
        <v>8</v>
      </c>
      <c r="M797" s="13">
        <v>720</v>
      </c>
      <c r="N797" s="13">
        <v>221</v>
      </c>
      <c r="O797" s="13">
        <v>33</v>
      </c>
      <c r="P797" s="13">
        <v>1</v>
      </c>
      <c r="Q797" s="13">
        <v>65</v>
      </c>
      <c r="R797" s="13">
        <v>0</v>
      </c>
      <c r="S797" s="13">
        <v>0</v>
      </c>
      <c r="T797" s="23">
        <v>46247.576331018521</v>
      </c>
      <c r="U797" s="55">
        <f t="shared" si="36"/>
        <v>1.1666666666666667</v>
      </c>
      <c r="V797" s="55">
        <f t="shared" si="37"/>
        <v>0</v>
      </c>
      <c r="W797" s="56">
        <f t="shared" si="38"/>
        <v>969.5</v>
      </c>
    </row>
    <row r="798" spans="1:23" x14ac:dyDescent="0.3">
      <c r="A798" s="13" t="str" cm="1">
        <f t="array" ref="A798:B798">INDEX(BenchmarkResults!$B$1:$D$35,SUMPRODUCT((T798&gt;=BenchmarkResults!$F$3:$F$35)*(mongodb_hardware_log!T798&lt;BenchmarkResults!$G$3:$G$35)*ROW(BenchmarkResults!$F$3:$F$35)),{1,3})</f>
        <v>q2_avg_order_city</v>
      </c>
      <c r="B798">
        <v>2</v>
      </c>
      <c r="C798" s="13">
        <v>1</v>
      </c>
      <c r="D798" s="13">
        <v>0</v>
      </c>
      <c r="E798" s="13">
        <v>134400</v>
      </c>
      <c r="F798" s="13">
        <v>517496</v>
      </c>
      <c r="G798" s="13">
        <v>6008</v>
      </c>
      <c r="H798" s="13">
        <v>1902568</v>
      </c>
      <c r="I798" s="13">
        <v>0</v>
      </c>
      <c r="J798" s="13">
        <v>0</v>
      </c>
      <c r="K798" s="13">
        <v>830</v>
      </c>
      <c r="L798" s="13">
        <v>24</v>
      </c>
      <c r="M798" s="13">
        <v>758</v>
      </c>
      <c r="N798" s="13">
        <v>241</v>
      </c>
      <c r="O798" s="13">
        <v>33</v>
      </c>
      <c r="P798" s="13">
        <v>1</v>
      </c>
      <c r="Q798" s="13">
        <v>64</v>
      </c>
      <c r="R798" s="13">
        <v>1</v>
      </c>
      <c r="S798" s="13">
        <v>1</v>
      </c>
      <c r="T798" s="23">
        <v>46247.57644675926</v>
      </c>
      <c r="U798" s="55">
        <f t="shared" si="36"/>
        <v>1</v>
      </c>
      <c r="V798" s="55">
        <f t="shared" si="37"/>
        <v>0</v>
      </c>
      <c r="W798" s="56">
        <f t="shared" si="38"/>
        <v>963.16666666666663</v>
      </c>
    </row>
    <row r="799" spans="1:23" x14ac:dyDescent="0.3">
      <c r="A799" s="13" t="str" cm="1">
        <f t="array" ref="A799:B799">INDEX(BenchmarkResults!$B$1:$D$35,SUMPRODUCT((T799&gt;=BenchmarkResults!$F$3:$F$35)*(mongodb_hardware_log!T799&lt;BenchmarkResults!$G$3:$G$35)*ROW(BenchmarkResults!$F$3:$F$35)),{1,3})</f>
        <v>q2_avg_order_city</v>
      </c>
      <c r="B799">
        <v>2</v>
      </c>
      <c r="C799" s="13">
        <v>1</v>
      </c>
      <c r="D799" s="13">
        <v>0</v>
      </c>
      <c r="E799" s="13">
        <v>134400</v>
      </c>
      <c r="F799" s="13">
        <v>505148</v>
      </c>
      <c r="G799" s="13">
        <v>6032</v>
      </c>
      <c r="H799" s="13">
        <v>1911596</v>
      </c>
      <c r="I799" s="13">
        <v>0</v>
      </c>
      <c r="J799" s="13">
        <v>0</v>
      </c>
      <c r="K799" s="13">
        <v>907</v>
      </c>
      <c r="L799" s="13">
        <v>22</v>
      </c>
      <c r="M799" s="13">
        <v>725</v>
      </c>
      <c r="N799" s="13">
        <v>227</v>
      </c>
      <c r="O799" s="13">
        <v>33</v>
      </c>
      <c r="P799" s="13">
        <v>1</v>
      </c>
      <c r="Q799" s="13">
        <v>65</v>
      </c>
      <c r="R799" s="13">
        <v>0</v>
      </c>
      <c r="S799" s="13">
        <v>0</v>
      </c>
      <c r="T799" s="23">
        <v>46247.576562499999</v>
      </c>
      <c r="U799" s="55">
        <f t="shared" si="36"/>
        <v>1</v>
      </c>
      <c r="V799" s="55">
        <f t="shared" si="37"/>
        <v>0</v>
      </c>
      <c r="W799" s="56">
        <f t="shared" si="38"/>
        <v>926.83333333333337</v>
      </c>
    </row>
    <row r="800" spans="1:23" x14ac:dyDescent="0.3">
      <c r="A800" s="13" t="str" cm="1">
        <f t="array" ref="A800:B800">INDEX(BenchmarkResults!$B$1:$D$35,SUMPRODUCT((T800&gt;=BenchmarkResults!$F$3:$F$35)*(mongodb_hardware_log!T800&lt;BenchmarkResults!$G$3:$G$35)*ROW(BenchmarkResults!$F$3:$F$35)),{1,3})</f>
        <v>q2_avg_order_city</v>
      </c>
      <c r="B800">
        <v>2</v>
      </c>
      <c r="C800" s="13">
        <v>1</v>
      </c>
      <c r="D800" s="13">
        <v>0</v>
      </c>
      <c r="E800" s="13">
        <v>134400</v>
      </c>
      <c r="F800" s="13">
        <v>497084</v>
      </c>
      <c r="G800" s="13">
        <v>6040</v>
      </c>
      <c r="H800" s="13">
        <v>1919624</v>
      </c>
      <c r="I800" s="13">
        <v>0</v>
      </c>
      <c r="J800" s="13">
        <v>0</v>
      </c>
      <c r="K800" s="13">
        <v>800</v>
      </c>
      <c r="L800" s="13">
        <v>17</v>
      </c>
      <c r="M800" s="13">
        <v>723</v>
      </c>
      <c r="N800" s="13">
        <v>216</v>
      </c>
      <c r="O800" s="13">
        <v>33</v>
      </c>
      <c r="P800" s="13">
        <v>1</v>
      </c>
      <c r="Q800" s="13">
        <v>65</v>
      </c>
      <c r="R800" s="13">
        <v>1</v>
      </c>
      <c r="S800" s="13">
        <v>0</v>
      </c>
      <c r="T800" s="23">
        <v>46247.576678240737</v>
      </c>
      <c r="U800" s="55">
        <f t="shared" si="36"/>
        <v>1</v>
      </c>
      <c r="V800" s="55">
        <f t="shared" si="37"/>
        <v>0</v>
      </c>
      <c r="W800" s="56">
        <f t="shared" si="38"/>
        <v>903</v>
      </c>
    </row>
    <row r="801" spans="1:23" x14ac:dyDescent="0.3">
      <c r="A801" s="13" t="str" cm="1">
        <f t="array" ref="A801:B801">INDEX(BenchmarkResults!$B$1:$D$35,SUMPRODUCT((T801&gt;=BenchmarkResults!$F$3:$F$35)*(mongodb_hardware_log!T801&lt;BenchmarkResults!$G$3:$G$35)*ROW(BenchmarkResults!$F$3:$F$35)),{1,3})</f>
        <v>q2_avg_order_city</v>
      </c>
      <c r="B801">
        <v>2</v>
      </c>
      <c r="C801" s="13">
        <v>1</v>
      </c>
      <c r="D801" s="13">
        <v>0</v>
      </c>
      <c r="E801" s="13">
        <v>134400</v>
      </c>
      <c r="F801" s="13">
        <v>488516</v>
      </c>
      <c r="G801" s="13">
        <v>6048</v>
      </c>
      <c r="H801" s="13">
        <v>1928368</v>
      </c>
      <c r="I801" s="13">
        <v>0</v>
      </c>
      <c r="J801" s="13">
        <v>0</v>
      </c>
      <c r="K801" s="13">
        <v>875</v>
      </c>
      <c r="L801" s="13">
        <v>10</v>
      </c>
      <c r="M801" s="13">
        <v>717</v>
      </c>
      <c r="N801" s="13">
        <v>215</v>
      </c>
      <c r="O801" s="13">
        <v>33</v>
      </c>
      <c r="P801" s="13">
        <v>1</v>
      </c>
      <c r="Q801" s="13">
        <v>65</v>
      </c>
      <c r="R801" s="13">
        <v>0</v>
      </c>
      <c r="S801" s="13">
        <v>0</v>
      </c>
      <c r="T801" s="23">
        <v>46247.576793981483</v>
      </c>
      <c r="U801" s="55">
        <f t="shared" si="36"/>
        <v>1</v>
      </c>
      <c r="V801" s="55">
        <f t="shared" si="37"/>
        <v>0</v>
      </c>
      <c r="W801" s="56">
        <f t="shared" si="38"/>
        <v>910.83333333333337</v>
      </c>
    </row>
    <row r="802" spans="1:23" x14ac:dyDescent="0.3">
      <c r="A802" s="13" t="str" cm="1">
        <f t="array" ref="A802:B802">INDEX(BenchmarkResults!$B$1:$D$35,SUMPRODUCT((T802&gt;=BenchmarkResults!$F$3:$F$35)*(mongodb_hardware_log!T802&lt;BenchmarkResults!$G$3:$G$35)*ROW(BenchmarkResults!$F$3:$F$35)),{1,3})</f>
        <v>q2_avg_order_city</v>
      </c>
      <c r="B802">
        <v>2</v>
      </c>
      <c r="C802" s="13">
        <v>1</v>
      </c>
      <c r="D802" s="13">
        <v>0</v>
      </c>
      <c r="E802" s="13">
        <v>134400</v>
      </c>
      <c r="F802" s="13">
        <v>478436</v>
      </c>
      <c r="G802" s="13">
        <v>6056</v>
      </c>
      <c r="H802" s="13">
        <v>1937568</v>
      </c>
      <c r="I802" s="13">
        <v>0</v>
      </c>
      <c r="J802" s="13">
        <v>0</v>
      </c>
      <c r="K802" s="13">
        <v>916</v>
      </c>
      <c r="L802" s="13">
        <v>9</v>
      </c>
      <c r="M802" s="13">
        <v>710</v>
      </c>
      <c r="N802" s="13">
        <v>205</v>
      </c>
      <c r="O802" s="13">
        <v>33</v>
      </c>
      <c r="P802" s="13">
        <v>1</v>
      </c>
      <c r="Q802" s="13">
        <v>65</v>
      </c>
      <c r="R802" s="13">
        <v>0</v>
      </c>
      <c r="S802" s="13">
        <v>1</v>
      </c>
      <c r="T802" s="23">
        <v>46247.576909722222</v>
      </c>
      <c r="U802" s="55">
        <f t="shared" si="36"/>
        <v>1</v>
      </c>
      <c r="V802" s="55">
        <f t="shared" si="37"/>
        <v>0</v>
      </c>
      <c r="W802" s="56">
        <f t="shared" si="38"/>
        <v>916</v>
      </c>
    </row>
    <row r="803" spans="1:23" x14ac:dyDescent="0.3">
      <c r="A803" s="13" t="str" cm="1">
        <f t="array" ref="A803:B803">INDEX(BenchmarkResults!$B$1:$D$35,SUMPRODUCT((T803&gt;=BenchmarkResults!$F$3:$F$35)*(mongodb_hardware_log!T803&lt;BenchmarkResults!$G$3:$G$35)*ROW(BenchmarkResults!$F$3:$F$35)),{1,3})</f>
        <v>q2_avg_order_city</v>
      </c>
      <c r="B803">
        <v>2</v>
      </c>
      <c r="C803" s="13">
        <v>1</v>
      </c>
      <c r="D803" s="13">
        <v>0</v>
      </c>
      <c r="E803" s="13">
        <v>134400</v>
      </c>
      <c r="F803" s="13">
        <v>470944</v>
      </c>
      <c r="G803" s="13">
        <v>6080</v>
      </c>
      <c r="H803" s="13">
        <v>1946484</v>
      </c>
      <c r="I803" s="13">
        <v>0</v>
      </c>
      <c r="J803" s="13">
        <v>0</v>
      </c>
      <c r="K803" s="13">
        <v>899</v>
      </c>
      <c r="L803" s="13">
        <v>16</v>
      </c>
      <c r="M803" s="13">
        <v>746</v>
      </c>
      <c r="N803" s="13">
        <v>244</v>
      </c>
      <c r="O803" s="13">
        <v>33</v>
      </c>
      <c r="P803" s="13">
        <v>1</v>
      </c>
      <c r="Q803" s="13">
        <v>64</v>
      </c>
      <c r="R803" s="13">
        <v>0</v>
      </c>
      <c r="S803" s="13">
        <v>1</v>
      </c>
      <c r="T803" s="23">
        <v>46247.577025462961</v>
      </c>
      <c r="U803" s="55">
        <f t="shared" si="36"/>
        <v>1</v>
      </c>
      <c r="V803" s="55">
        <f t="shared" si="37"/>
        <v>0</v>
      </c>
      <c r="W803" s="56">
        <f t="shared" si="38"/>
        <v>871.16666666666663</v>
      </c>
    </row>
    <row r="804" spans="1:23" x14ac:dyDescent="0.3">
      <c r="A804" s="13" t="str" cm="1">
        <f t="array" ref="A804:B804">INDEX(BenchmarkResults!$B$1:$D$35,SUMPRODUCT((T804&gt;=BenchmarkResults!$F$3:$F$35)*(mongodb_hardware_log!T804&lt;BenchmarkResults!$G$3:$G$35)*ROW(BenchmarkResults!$F$3:$F$35)),{1,3})</f>
        <v>q2_avg_order_city</v>
      </c>
      <c r="B804">
        <v>2</v>
      </c>
      <c r="C804" s="13">
        <v>1</v>
      </c>
      <c r="D804" s="13">
        <v>0</v>
      </c>
      <c r="E804" s="13">
        <v>134400</v>
      </c>
      <c r="F804" s="13">
        <v>463132</v>
      </c>
      <c r="G804" s="13">
        <v>6088</v>
      </c>
      <c r="H804" s="13">
        <v>1955620</v>
      </c>
      <c r="I804" s="13">
        <v>0</v>
      </c>
      <c r="J804" s="13">
        <v>0</v>
      </c>
      <c r="K804" s="13">
        <v>909</v>
      </c>
      <c r="L804" s="13">
        <v>14</v>
      </c>
      <c r="M804" s="13">
        <v>742</v>
      </c>
      <c r="N804" s="13">
        <v>219</v>
      </c>
      <c r="O804" s="13">
        <v>33</v>
      </c>
      <c r="P804" s="13">
        <v>1</v>
      </c>
      <c r="Q804" s="13">
        <v>65</v>
      </c>
      <c r="R804" s="13">
        <v>1</v>
      </c>
      <c r="S804" s="13">
        <v>0</v>
      </c>
      <c r="T804" s="23">
        <v>46247.577141203707</v>
      </c>
      <c r="U804" s="55">
        <f t="shared" si="36"/>
        <v>1</v>
      </c>
      <c r="V804" s="55">
        <f t="shared" si="37"/>
        <v>0</v>
      </c>
      <c r="W804" s="56">
        <f t="shared" si="38"/>
        <v>884.33333333333337</v>
      </c>
    </row>
    <row r="805" spans="1:23" x14ac:dyDescent="0.3">
      <c r="A805" s="13" t="str" cm="1">
        <f t="array" ref="A805:B805">INDEX(BenchmarkResults!$B$1:$D$35,SUMPRODUCT((T805&gt;=BenchmarkResults!$F$3:$F$35)*(mongodb_hardware_log!T805&lt;BenchmarkResults!$G$3:$G$35)*ROW(BenchmarkResults!$F$3:$F$35)),{1,3})</f>
        <v>q2_avg_order_city</v>
      </c>
      <c r="B805">
        <v>2</v>
      </c>
      <c r="C805" s="13">
        <v>1</v>
      </c>
      <c r="D805" s="13">
        <v>0</v>
      </c>
      <c r="E805" s="13">
        <v>134400</v>
      </c>
      <c r="F805" s="13">
        <v>452296</v>
      </c>
      <c r="G805" s="13">
        <v>6120</v>
      </c>
      <c r="H805" s="13">
        <v>1964340</v>
      </c>
      <c r="I805" s="13">
        <v>0</v>
      </c>
      <c r="J805" s="13">
        <v>0</v>
      </c>
      <c r="K805" s="13">
        <v>874</v>
      </c>
      <c r="L805" s="13">
        <v>25</v>
      </c>
      <c r="M805" s="13">
        <v>718</v>
      </c>
      <c r="N805" s="13">
        <v>221</v>
      </c>
      <c r="O805" s="13">
        <v>33</v>
      </c>
      <c r="P805" s="13">
        <v>1</v>
      </c>
      <c r="Q805" s="13">
        <v>65</v>
      </c>
      <c r="R805" s="13">
        <v>0</v>
      </c>
      <c r="S805" s="13">
        <v>0</v>
      </c>
      <c r="T805" s="23">
        <v>46247.577256944445</v>
      </c>
      <c r="U805" s="55">
        <f t="shared" si="36"/>
        <v>1</v>
      </c>
      <c r="V805" s="55">
        <f t="shared" si="37"/>
        <v>0</v>
      </c>
      <c r="W805" s="56">
        <f t="shared" si="38"/>
        <v>878.83333333333337</v>
      </c>
    </row>
    <row r="806" spans="1:23" x14ac:dyDescent="0.3">
      <c r="A806" s="13" t="str" cm="1">
        <f t="array" ref="A806:B806">INDEX(BenchmarkResults!$B$1:$D$35,SUMPRODUCT((T806&gt;=BenchmarkResults!$F$3:$F$35)*(mongodb_hardware_log!T806&lt;BenchmarkResults!$G$3:$G$35)*ROW(BenchmarkResults!$F$3:$F$35)),{1,3})</f>
        <v>q2_avg_order_city</v>
      </c>
      <c r="B806">
        <v>2</v>
      </c>
      <c r="C806" s="13">
        <v>1</v>
      </c>
      <c r="D806" s="13">
        <v>0</v>
      </c>
      <c r="E806" s="13">
        <v>134400</v>
      </c>
      <c r="F806" s="13">
        <v>440228</v>
      </c>
      <c r="G806" s="13">
        <v>6128</v>
      </c>
      <c r="H806" s="13">
        <v>1974912</v>
      </c>
      <c r="I806" s="13">
        <v>0</v>
      </c>
      <c r="J806" s="13">
        <v>0</v>
      </c>
      <c r="K806" s="13">
        <v>1053</v>
      </c>
      <c r="L806" s="13">
        <v>22</v>
      </c>
      <c r="M806" s="13">
        <v>710</v>
      </c>
      <c r="N806" s="13">
        <v>207</v>
      </c>
      <c r="O806" s="13">
        <v>33</v>
      </c>
      <c r="P806" s="13">
        <v>1</v>
      </c>
      <c r="Q806" s="13">
        <v>65</v>
      </c>
      <c r="R806" s="13">
        <v>0</v>
      </c>
      <c r="S806" s="13">
        <v>0</v>
      </c>
      <c r="T806" s="23">
        <v>46247.577372685184</v>
      </c>
      <c r="U806" s="55">
        <f t="shared" si="36"/>
        <v>1</v>
      </c>
      <c r="V806" s="55">
        <f t="shared" si="37"/>
        <v>0</v>
      </c>
      <c r="W806" s="56">
        <f t="shared" si="38"/>
        <v>921</v>
      </c>
    </row>
    <row r="807" spans="1:23" x14ac:dyDescent="0.3">
      <c r="A807" s="13" t="str" cm="1">
        <f t="array" ref="A807:B807">INDEX(BenchmarkResults!$B$1:$D$35,SUMPRODUCT((T807&gt;=BenchmarkResults!$F$3:$F$35)*(mongodb_hardware_log!T807&lt;BenchmarkResults!$G$3:$G$35)*ROW(BenchmarkResults!$F$3:$F$35)),{1,3})</f>
        <v>q2_avg_order_city</v>
      </c>
      <c r="B807">
        <v>2</v>
      </c>
      <c r="C807" s="13">
        <v>2</v>
      </c>
      <c r="D807" s="13">
        <v>0</v>
      </c>
      <c r="E807" s="13">
        <v>134400</v>
      </c>
      <c r="F807" s="13">
        <v>439376</v>
      </c>
      <c r="G807" s="13">
        <v>6136</v>
      </c>
      <c r="H807" s="13">
        <v>1983316</v>
      </c>
      <c r="I807" s="13">
        <v>0</v>
      </c>
      <c r="J807" s="13">
        <v>0</v>
      </c>
      <c r="K807" s="13">
        <v>843</v>
      </c>
      <c r="L807" s="13">
        <v>10</v>
      </c>
      <c r="M807" s="13">
        <v>708</v>
      </c>
      <c r="N807" s="13">
        <v>207</v>
      </c>
      <c r="O807" s="13">
        <v>33</v>
      </c>
      <c r="P807" s="13">
        <v>1</v>
      </c>
      <c r="Q807" s="13">
        <v>65</v>
      </c>
      <c r="R807" s="13">
        <v>1</v>
      </c>
      <c r="S807" s="13">
        <v>0</v>
      </c>
      <c r="T807" s="23">
        <v>46247.577488425923</v>
      </c>
      <c r="U807" s="55">
        <f t="shared" si="36"/>
        <v>1.1666666666666667</v>
      </c>
      <c r="V807" s="55">
        <f t="shared" si="37"/>
        <v>0</v>
      </c>
      <c r="W807" s="56">
        <f t="shared" si="38"/>
        <v>915.66666666666663</v>
      </c>
    </row>
    <row r="808" spans="1:23" x14ac:dyDescent="0.3">
      <c r="A808" s="13" t="str" cm="1">
        <f t="array" ref="A808:B808">INDEX(BenchmarkResults!$B$1:$D$35,SUMPRODUCT((T808&gt;=BenchmarkResults!$F$3:$F$35)*(mongodb_hardware_log!T808&lt;BenchmarkResults!$G$3:$G$35)*ROW(BenchmarkResults!$F$3:$F$35)),{1,3})</f>
        <v>q2_avg_order_city</v>
      </c>
      <c r="B808">
        <v>2</v>
      </c>
      <c r="C808" s="13">
        <v>1</v>
      </c>
      <c r="D808" s="13">
        <v>0</v>
      </c>
      <c r="E808" s="13">
        <v>134400</v>
      </c>
      <c r="F808" s="13">
        <v>427280</v>
      </c>
      <c r="G808" s="13">
        <v>6144</v>
      </c>
      <c r="H808" s="13">
        <v>1991860</v>
      </c>
      <c r="I808" s="13">
        <v>0</v>
      </c>
      <c r="J808" s="13">
        <v>0</v>
      </c>
      <c r="K808" s="13">
        <v>859</v>
      </c>
      <c r="L808" s="13">
        <v>14</v>
      </c>
      <c r="M808" s="13">
        <v>738</v>
      </c>
      <c r="N808" s="13">
        <v>218</v>
      </c>
      <c r="O808" s="13">
        <v>33</v>
      </c>
      <c r="P808" s="13">
        <v>1</v>
      </c>
      <c r="Q808" s="13">
        <v>64</v>
      </c>
      <c r="R808" s="13">
        <v>0</v>
      </c>
      <c r="S808" s="13">
        <v>2</v>
      </c>
      <c r="T808" s="23">
        <v>46247.577604166669</v>
      </c>
      <c r="U808" s="55">
        <f t="shared" si="36"/>
        <v>1.1666666666666667</v>
      </c>
      <c r="V808" s="55">
        <f t="shared" si="37"/>
        <v>0</v>
      </c>
      <c r="W808" s="56">
        <f t="shared" si="38"/>
        <v>906.16666666666663</v>
      </c>
    </row>
    <row r="809" spans="1:23" x14ac:dyDescent="0.3">
      <c r="A809" s="13" t="str" cm="1">
        <f t="array" ref="A809:B809">INDEX(BenchmarkResults!$B$1:$D$35,SUMPRODUCT((T809&gt;=BenchmarkResults!$F$3:$F$35)*(mongodb_hardware_log!T809&lt;BenchmarkResults!$G$3:$G$35)*ROW(BenchmarkResults!$F$3:$F$35)),{1,3})</f>
        <v>q2_avg_order_city</v>
      </c>
      <c r="B809">
        <v>2</v>
      </c>
      <c r="C809" s="13">
        <v>1</v>
      </c>
      <c r="D809" s="13">
        <v>0</v>
      </c>
      <c r="E809" s="13">
        <v>134400</v>
      </c>
      <c r="F809" s="13">
        <v>408632</v>
      </c>
      <c r="G809" s="13">
        <v>6152</v>
      </c>
      <c r="H809" s="13">
        <v>2002588</v>
      </c>
      <c r="I809" s="13">
        <v>0</v>
      </c>
      <c r="J809" s="13">
        <v>0</v>
      </c>
      <c r="K809" s="13">
        <v>1063</v>
      </c>
      <c r="L809" s="13">
        <v>10</v>
      </c>
      <c r="M809" s="13">
        <v>712</v>
      </c>
      <c r="N809" s="13">
        <v>213</v>
      </c>
      <c r="O809" s="13">
        <v>33</v>
      </c>
      <c r="P809" s="13">
        <v>1</v>
      </c>
      <c r="Q809" s="13">
        <v>65</v>
      </c>
      <c r="R809" s="13">
        <v>0</v>
      </c>
      <c r="S809" s="13">
        <v>0</v>
      </c>
      <c r="T809" s="23">
        <v>46247.577719907407</v>
      </c>
      <c r="U809" s="55">
        <f t="shared" si="36"/>
        <v>1.1666666666666667</v>
      </c>
      <c r="V809" s="55">
        <f t="shared" si="37"/>
        <v>0</v>
      </c>
      <c r="W809" s="56">
        <f t="shared" si="38"/>
        <v>933.5</v>
      </c>
    </row>
    <row r="810" spans="1:23" x14ac:dyDescent="0.3">
      <c r="A810" s="13" t="str" cm="1">
        <f t="array" ref="A810:B810">INDEX(BenchmarkResults!$B$1:$D$35,SUMPRODUCT((T810&gt;=BenchmarkResults!$F$3:$F$35)*(mongodb_hardware_log!T810&lt;BenchmarkResults!$G$3:$G$35)*ROW(BenchmarkResults!$F$3:$F$35)),{1,3})</f>
        <v>q2_avg_order_city</v>
      </c>
      <c r="B810">
        <v>2</v>
      </c>
      <c r="C810" s="13">
        <v>1</v>
      </c>
      <c r="D810" s="13">
        <v>0</v>
      </c>
      <c r="E810" s="13">
        <v>134400</v>
      </c>
      <c r="F810" s="13">
        <v>397796</v>
      </c>
      <c r="G810" s="13">
        <v>6160</v>
      </c>
      <c r="H810" s="13">
        <v>2013032</v>
      </c>
      <c r="I810" s="13">
        <v>0</v>
      </c>
      <c r="J810" s="13">
        <v>0</v>
      </c>
      <c r="K810" s="13">
        <v>1046</v>
      </c>
      <c r="L810" s="13">
        <v>10</v>
      </c>
      <c r="M810" s="13">
        <v>738</v>
      </c>
      <c r="N810" s="13">
        <v>214</v>
      </c>
      <c r="O810" s="13">
        <v>33</v>
      </c>
      <c r="P810" s="13">
        <v>1</v>
      </c>
      <c r="Q810" s="13">
        <v>64</v>
      </c>
      <c r="R810" s="13">
        <v>0</v>
      </c>
      <c r="S810" s="13">
        <v>2</v>
      </c>
      <c r="T810" s="23">
        <v>46247.577835648146</v>
      </c>
      <c r="U810" s="55">
        <f t="shared" si="36"/>
        <v>1.1666666666666667</v>
      </c>
      <c r="V810" s="55">
        <f t="shared" si="37"/>
        <v>0</v>
      </c>
      <c r="W810" s="56">
        <f t="shared" si="38"/>
        <v>956.33333333333337</v>
      </c>
    </row>
    <row r="811" spans="1:23" x14ac:dyDescent="0.3">
      <c r="A811" s="13" t="str" cm="1">
        <f t="array" ref="A811:B811">INDEX(BenchmarkResults!$B$1:$D$35,SUMPRODUCT((T811&gt;=BenchmarkResults!$F$3:$F$35)*(mongodb_hardware_log!T811&lt;BenchmarkResults!$G$3:$G$35)*ROW(BenchmarkResults!$F$3:$F$35)),{1,3})</f>
        <v>q2_avg_order_city</v>
      </c>
      <c r="B811">
        <v>2</v>
      </c>
      <c r="C811" s="13">
        <v>1</v>
      </c>
      <c r="D811" s="13">
        <v>0</v>
      </c>
      <c r="E811" s="13">
        <v>134400</v>
      </c>
      <c r="F811" s="13">
        <v>384944</v>
      </c>
      <c r="G811" s="13">
        <v>6192</v>
      </c>
      <c r="H811" s="13">
        <v>2022848</v>
      </c>
      <c r="I811" s="13">
        <v>0</v>
      </c>
      <c r="J811" s="13">
        <v>0</v>
      </c>
      <c r="K811" s="13">
        <v>980</v>
      </c>
      <c r="L811" s="13">
        <v>34</v>
      </c>
      <c r="M811" s="13">
        <v>719</v>
      </c>
      <c r="N811" s="13">
        <v>223</v>
      </c>
      <c r="O811" s="13">
        <v>33</v>
      </c>
      <c r="P811" s="13">
        <v>1</v>
      </c>
      <c r="Q811" s="13">
        <v>65</v>
      </c>
      <c r="R811" s="13">
        <v>0</v>
      </c>
      <c r="S811" s="13">
        <v>0</v>
      </c>
      <c r="T811" s="23">
        <v>46247.577951388892</v>
      </c>
      <c r="U811" s="55">
        <f t="shared" si="36"/>
        <v>1.1666666666666667</v>
      </c>
      <c r="V811" s="55">
        <f t="shared" si="37"/>
        <v>0</v>
      </c>
      <c r="W811" s="56">
        <f t="shared" si="38"/>
        <v>974</v>
      </c>
    </row>
    <row r="812" spans="1:23" x14ac:dyDescent="0.3">
      <c r="A812" s="13" t="str" cm="1">
        <f t="array" ref="A812:B812">INDEX(BenchmarkResults!$B$1:$D$35,SUMPRODUCT((T812&gt;=BenchmarkResults!$F$3:$F$35)*(mongodb_hardware_log!T812&lt;BenchmarkResults!$G$3:$G$35)*ROW(BenchmarkResults!$F$3:$F$35)),{1,3})</f>
        <v>q2_avg_order_city</v>
      </c>
      <c r="B812">
        <v>2</v>
      </c>
      <c r="C812" s="13">
        <v>1</v>
      </c>
      <c r="D812" s="13">
        <v>0</v>
      </c>
      <c r="E812" s="13">
        <v>134400</v>
      </c>
      <c r="F812" s="13">
        <v>380660</v>
      </c>
      <c r="G812" s="13">
        <v>6200</v>
      </c>
      <c r="H812" s="13">
        <v>2032800</v>
      </c>
      <c r="I812" s="13">
        <v>0</v>
      </c>
      <c r="J812" s="13">
        <v>0</v>
      </c>
      <c r="K812" s="13">
        <v>1002</v>
      </c>
      <c r="L812" s="13">
        <v>10</v>
      </c>
      <c r="M812" s="13">
        <v>708</v>
      </c>
      <c r="N812" s="13">
        <v>207</v>
      </c>
      <c r="O812" s="13">
        <v>33</v>
      </c>
      <c r="P812" s="13">
        <v>1</v>
      </c>
      <c r="Q812" s="13">
        <v>65</v>
      </c>
      <c r="R812" s="13">
        <v>0</v>
      </c>
      <c r="S812" s="13">
        <v>0</v>
      </c>
      <c r="T812" s="23">
        <v>46247.578067129631</v>
      </c>
      <c r="U812" s="55">
        <f t="shared" si="36"/>
        <v>1.1666666666666667</v>
      </c>
      <c r="V812" s="55">
        <f t="shared" si="37"/>
        <v>0</v>
      </c>
      <c r="W812" s="56">
        <f t="shared" si="38"/>
        <v>965.5</v>
      </c>
    </row>
    <row r="813" spans="1:23" x14ac:dyDescent="0.3">
      <c r="A813" s="13" t="str" cm="1">
        <f t="array" ref="A813:B813">INDEX(BenchmarkResults!$B$1:$D$35,SUMPRODUCT((T813&gt;=BenchmarkResults!$F$3:$F$35)*(mongodb_hardware_log!T813&lt;BenchmarkResults!$G$3:$G$35)*ROW(BenchmarkResults!$F$3:$F$35)),{1,3})</f>
        <v>q2_avg_order_city</v>
      </c>
      <c r="B813">
        <v>2</v>
      </c>
      <c r="C813" s="13">
        <v>1</v>
      </c>
      <c r="D813" s="13">
        <v>0</v>
      </c>
      <c r="E813" s="13">
        <v>134400</v>
      </c>
      <c r="F813" s="13">
        <v>378904</v>
      </c>
      <c r="G813" s="13">
        <v>6208</v>
      </c>
      <c r="H813" s="13">
        <v>2042480</v>
      </c>
      <c r="I813" s="13">
        <v>0</v>
      </c>
      <c r="J813" s="13">
        <v>0</v>
      </c>
      <c r="K813" s="13">
        <v>965</v>
      </c>
      <c r="L813" s="13">
        <v>10</v>
      </c>
      <c r="M813" s="13">
        <v>739</v>
      </c>
      <c r="N813" s="13">
        <v>232</v>
      </c>
      <c r="O813" s="13">
        <v>33</v>
      </c>
      <c r="P813" s="13">
        <v>1</v>
      </c>
      <c r="Q813" s="13">
        <v>64</v>
      </c>
      <c r="R813" s="13">
        <v>1</v>
      </c>
      <c r="S813" s="13">
        <v>0</v>
      </c>
      <c r="T813" s="23">
        <v>46247.578182870369</v>
      </c>
      <c r="U813" s="55">
        <f t="shared" si="36"/>
        <v>1</v>
      </c>
      <c r="V813" s="55">
        <f t="shared" si="37"/>
        <v>0</v>
      </c>
      <c r="W813" s="56">
        <f t="shared" si="38"/>
        <v>985.83333333333337</v>
      </c>
    </row>
    <row r="814" spans="1:23" x14ac:dyDescent="0.3">
      <c r="A814" s="13" t="str" cm="1">
        <f t="array" ref="A814:B814">INDEX(BenchmarkResults!$B$1:$D$35,SUMPRODUCT((T814&gt;=BenchmarkResults!$F$3:$F$35)*(mongodb_hardware_log!T814&lt;BenchmarkResults!$G$3:$G$35)*ROW(BenchmarkResults!$F$3:$F$35)),{1,3})</f>
        <v>q2_avg_order_city</v>
      </c>
      <c r="B814">
        <v>2</v>
      </c>
      <c r="C814" s="13">
        <v>1</v>
      </c>
      <c r="D814" s="13">
        <v>0</v>
      </c>
      <c r="E814" s="13">
        <v>134400</v>
      </c>
      <c r="F814" s="13">
        <v>365248</v>
      </c>
      <c r="G814" s="13">
        <v>6224</v>
      </c>
      <c r="H814" s="13">
        <v>2053576</v>
      </c>
      <c r="I814" s="13">
        <v>0</v>
      </c>
      <c r="J814" s="13">
        <v>0</v>
      </c>
      <c r="K814" s="13">
        <v>1106</v>
      </c>
      <c r="L814" s="13">
        <v>40</v>
      </c>
      <c r="M814" s="13">
        <v>737</v>
      </c>
      <c r="N814" s="13">
        <v>238</v>
      </c>
      <c r="O814" s="13">
        <v>33</v>
      </c>
      <c r="P814" s="13">
        <v>1</v>
      </c>
      <c r="Q814" s="13">
        <v>64</v>
      </c>
      <c r="R814" s="13">
        <v>1</v>
      </c>
      <c r="S814" s="13">
        <v>0</v>
      </c>
      <c r="T814" s="23">
        <v>46247.578298611108</v>
      </c>
      <c r="U814" s="55">
        <f t="shared" si="36"/>
        <v>1</v>
      </c>
      <c r="V814" s="55">
        <f t="shared" si="37"/>
        <v>0</v>
      </c>
      <c r="W814" s="56">
        <f t="shared" si="38"/>
        <v>1027</v>
      </c>
    </row>
    <row r="815" spans="1:23" x14ac:dyDescent="0.3">
      <c r="A815" s="13" t="str" cm="1">
        <f t="array" ref="A815:B815">INDEX(BenchmarkResults!$B$1:$D$35,SUMPRODUCT((T815&gt;=BenchmarkResults!$F$3:$F$35)*(mongodb_hardware_log!T815&lt;BenchmarkResults!$G$3:$G$35)*ROW(BenchmarkResults!$F$3:$F$35)),{1,3})</f>
        <v>q2_avg_order_city</v>
      </c>
      <c r="B815">
        <v>2</v>
      </c>
      <c r="C815" s="13">
        <v>1</v>
      </c>
      <c r="D815" s="13">
        <v>0</v>
      </c>
      <c r="E815" s="13">
        <v>134400</v>
      </c>
      <c r="F815" s="13">
        <v>348616</v>
      </c>
      <c r="G815" s="13">
        <v>6232</v>
      </c>
      <c r="H815" s="13">
        <v>2066620</v>
      </c>
      <c r="I815" s="13">
        <v>0</v>
      </c>
      <c r="J815" s="13">
        <v>0</v>
      </c>
      <c r="K815" s="13">
        <v>1317</v>
      </c>
      <c r="L815" s="13">
        <v>13</v>
      </c>
      <c r="M815" s="13">
        <v>715</v>
      </c>
      <c r="N815" s="13">
        <v>214</v>
      </c>
      <c r="O815" s="13">
        <v>33</v>
      </c>
      <c r="P815" s="13">
        <v>1</v>
      </c>
      <c r="Q815" s="13">
        <v>65</v>
      </c>
      <c r="R815" s="13">
        <v>0</v>
      </c>
      <c r="S815" s="13">
        <v>0</v>
      </c>
      <c r="T815" s="23">
        <v>46247.578414351854</v>
      </c>
      <c r="U815" s="55">
        <f t="shared" si="36"/>
        <v>1</v>
      </c>
      <c r="V815" s="55">
        <f t="shared" si="37"/>
        <v>0</v>
      </c>
      <c r="W815" s="56">
        <f t="shared" si="38"/>
        <v>1069.3333333333333</v>
      </c>
    </row>
    <row r="816" spans="1:23" x14ac:dyDescent="0.3">
      <c r="A816" s="13" t="str" cm="1">
        <f t="array" ref="A816:B816">INDEX(BenchmarkResults!$B$1:$D$35,SUMPRODUCT((T816&gt;=BenchmarkResults!$F$3:$F$35)*(mongodb_hardware_log!T816&lt;BenchmarkResults!$G$3:$G$35)*ROW(BenchmarkResults!$F$3:$F$35)),{1,3})</f>
        <v>q2_avg_order_city</v>
      </c>
      <c r="B816">
        <v>2</v>
      </c>
      <c r="C816" s="13">
        <v>1</v>
      </c>
      <c r="D816" s="13">
        <v>0</v>
      </c>
      <c r="E816" s="13">
        <v>134400</v>
      </c>
      <c r="F816" s="13">
        <v>344836</v>
      </c>
      <c r="G816" s="13">
        <v>6240</v>
      </c>
      <c r="H816" s="13">
        <v>2076596</v>
      </c>
      <c r="I816" s="13">
        <v>0</v>
      </c>
      <c r="J816" s="13">
        <v>0</v>
      </c>
      <c r="K816" s="13">
        <v>986</v>
      </c>
      <c r="L816" s="13">
        <v>11</v>
      </c>
      <c r="M816" s="13">
        <v>720</v>
      </c>
      <c r="N816" s="13">
        <v>208</v>
      </c>
      <c r="O816" s="13">
        <v>33</v>
      </c>
      <c r="P816" s="13">
        <v>1</v>
      </c>
      <c r="Q816" s="13">
        <v>65</v>
      </c>
      <c r="R816" s="13">
        <v>0</v>
      </c>
      <c r="S816" s="13">
        <v>1</v>
      </c>
      <c r="T816" s="23">
        <v>46247.578530092593</v>
      </c>
      <c r="U816" s="55">
        <f t="shared" si="36"/>
        <v>1</v>
      </c>
      <c r="V816" s="55">
        <f t="shared" si="37"/>
        <v>0</v>
      </c>
      <c r="W816" s="56">
        <f t="shared" si="38"/>
        <v>1059.3333333333333</v>
      </c>
    </row>
    <row r="817" spans="1:23" x14ac:dyDescent="0.3">
      <c r="A817" s="13" t="str" cm="1">
        <f t="array" ref="A817:B817">INDEX(BenchmarkResults!$B$1:$D$35,SUMPRODUCT((T817&gt;=BenchmarkResults!$F$3:$F$35)*(mongodb_hardware_log!T817&lt;BenchmarkResults!$G$3:$G$35)*ROW(BenchmarkResults!$F$3:$F$35)),{1,3})</f>
        <v>q2_avg_order_city</v>
      </c>
      <c r="B817">
        <v>2</v>
      </c>
      <c r="C817" s="13">
        <v>1</v>
      </c>
      <c r="D817" s="13">
        <v>0</v>
      </c>
      <c r="E817" s="13">
        <v>134400</v>
      </c>
      <c r="F817" s="13">
        <v>328960</v>
      </c>
      <c r="G817" s="13">
        <v>6264</v>
      </c>
      <c r="H817" s="13">
        <v>2086392</v>
      </c>
      <c r="I817" s="13">
        <v>0</v>
      </c>
      <c r="J817" s="13">
        <v>0</v>
      </c>
      <c r="K817" s="13">
        <v>982</v>
      </c>
      <c r="L817" s="13">
        <v>30</v>
      </c>
      <c r="M817" s="13">
        <v>708</v>
      </c>
      <c r="N817" s="13">
        <v>213</v>
      </c>
      <c r="O817" s="13">
        <v>34</v>
      </c>
      <c r="P817" s="13">
        <v>1</v>
      </c>
      <c r="Q817" s="13">
        <v>65</v>
      </c>
      <c r="R817" s="13">
        <v>0</v>
      </c>
      <c r="S817" s="13">
        <v>0</v>
      </c>
      <c r="T817" s="23">
        <v>46247.578645833331</v>
      </c>
      <c r="U817" s="55">
        <f t="shared" si="36"/>
        <v>1</v>
      </c>
      <c r="V817" s="55">
        <f t="shared" si="37"/>
        <v>0</v>
      </c>
      <c r="W817" s="56">
        <f t="shared" si="38"/>
        <v>1059.6666666666667</v>
      </c>
    </row>
    <row r="818" spans="1:23" x14ac:dyDescent="0.3">
      <c r="A818" s="13" t="str" cm="1">
        <f t="array" ref="A818:B818">INDEX(BenchmarkResults!$B$1:$D$35,SUMPRODUCT((T818&gt;=BenchmarkResults!$F$3:$F$35)*(mongodb_hardware_log!T818&lt;BenchmarkResults!$G$3:$G$35)*ROW(BenchmarkResults!$F$3:$F$35)),{1,3})</f>
        <v>q2_avg_order_city</v>
      </c>
      <c r="B818">
        <v>2</v>
      </c>
      <c r="C818" s="13">
        <v>1</v>
      </c>
      <c r="D818" s="13">
        <v>0</v>
      </c>
      <c r="E818" s="13">
        <v>134400</v>
      </c>
      <c r="F818" s="13">
        <v>327448</v>
      </c>
      <c r="G818" s="13">
        <v>6272</v>
      </c>
      <c r="H818" s="13">
        <v>2095136</v>
      </c>
      <c r="I818" s="13">
        <v>0</v>
      </c>
      <c r="J818" s="13">
        <v>0</v>
      </c>
      <c r="K818" s="13">
        <v>871</v>
      </c>
      <c r="L818" s="13">
        <v>12</v>
      </c>
      <c r="M818" s="13">
        <v>779</v>
      </c>
      <c r="N818" s="13">
        <v>291</v>
      </c>
      <c r="O818" s="13">
        <v>34</v>
      </c>
      <c r="P818" s="13">
        <v>1</v>
      </c>
      <c r="Q818" s="13">
        <v>64</v>
      </c>
      <c r="R818" s="13">
        <v>0</v>
      </c>
      <c r="S818" s="13">
        <v>0</v>
      </c>
      <c r="T818" s="23">
        <v>46247.578761574077</v>
      </c>
      <c r="U818" s="55">
        <f t="shared" si="36"/>
        <v>1</v>
      </c>
      <c r="V818" s="55">
        <f t="shared" si="37"/>
        <v>0</v>
      </c>
      <c r="W818" s="56">
        <f t="shared" si="38"/>
        <v>1037.8333333333333</v>
      </c>
    </row>
    <row r="819" spans="1:23" x14ac:dyDescent="0.3">
      <c r="A819" s="13" t="str" cm="1">
        <f t="array" ref="A819:B819">INDEX(BenchmarkResults!$B$1:$D$35,SUMPRODUCT((T819&gt;=BenchmarkResults!$F$3:$F$35)*(mongodb_hardware_log!T819&lt;BenchmarkResults!$G$3:$G$35)*ROW(BenchmarkResults!$F$3:$F$35)),{1,3})</f>
        <v>q2_avg_order_city</v>
      </c>
      <c r="B819">
        <v>2</v>
      </c>
      <c r="C819" s="13">
        <v>1</v>
      </c>
      <c r="D819" s="13">
        <v>0</v>
      </c>
      <c r="E819" s="13">
        <v>134400</v>
      </c>
      <c r="F819" s="13">
        <v>310816</v>
      </c>
      <c r="G819" s="13">
        <v>6280</v>
      </c>
      <c r="H819" s="13">
        <v>2105792</v>
      </c>
      <c r="I819" s="13">
        <v>0</v>
      </c>
      <c r="J819" s="13">
        <v>0</v>
      </c>
      <c r="K819" s="13">
        <v>1072</v>
      </c>
      <c r="L819" s="13">
        <v>11</v>
      </c>
      <c r="M819" s="13">
        <v>703</v>
      </c>
      <c r="N819" s="13">
        <v>207</v>
      </c>
      <c r="O819" s="13">
        <v>33</v>
      </c>
      <c r="P819" s="13">
        <v>1</v>
      </c>
      <c r="Q819" s="13">
        <v>65</v>
      </c>
      <c r="R819" s="13">
        <v>0</v>
      </c>
      <c r="S819" s="13">
        <v>0</v>
      </c>
      <c r="T819" s="23">
        <v>46247.578877314816</v>
      </c>
      <c r="U819" s="55">
        <f t="shared" si="36"/>
        <v>1</v>
      </c>
      <c r="V819" s="55">
        <f t="shared" si="37"/>
        <v>0</v>
      </c>
      <c r="W819" s="56">
        <f t="shared" si="38"/>
        <v>1055.6666666666667</v>
      </c>
    </row>
    <row r="820" spans="1:23" x14ac:dyDescent="0.3">
      <c r="A820" s="13" t="str" cm="1">
        <f t="array" ref="A820:B820">INDEX(BenchmarkResults!$B$1:$D$35,SUMPRODUCT((T820&gt;=BenchmarkResults!$F$3:$F$35)*(mongodb_hardware_log!T820&lt;BenchmarkResults!$G$3:$G$35)*ROW(BenchmarkResults!$F$3:$F$35)),{1,3})</f>
        <v>q2_avg_order_city</v>
      </c>
      <c r="B820">
        <v>2</v>
      </c>
      <c r="C820" s="13">
        <v>1</v>
      </c>
      <c r="D820" s="13">
        <v>0</v>
      </c>
      <c r="E820" s="13">
        <v>134400</v>
      </c>
      <c r="F820" s="13">
        <v>302752</v>
      </c>
      <c r="G820" s="13">
        <v>6288</v>
      </c>
      <c r="H820" s="13">
        <v>2116116</v>
      </c>
      <c r="I820" s="13">
        <v>0</v>
      </c>
      <c r="J820" s="13">
        <v>0</v>
      </c>
      <c r="K820" s="13">
        <v>1032</v>
      </c>
      <c r="L820" s="13">
        <v>12</v>
      </c>
      <c r="M820" s="13">
        <v>711</v>
      </c>
      <c r="N820" s="13">
        <v>209</v>
      </c>
      <c r="O820" s="13">
        <v>33</v>
      </c>
      <c r="P820" s="13">
        <v>1</v>
      </c>
      <c r="Q820" s="13">
        <v>65</v>
      </c>
      <c r="R820" s="13">
        <v>0</v>
      </c>
      <c r="S820" s="13">
        <v>0</v>
      </c>
      <c r="T820" s="23">
        <v>46247.578993055555</v>
      </c>
      <c r="U820" s="55">
        <f t="shared" si="36"/>
        <v>1</v>
      </c>
      <c r="V820" s="55">
        <f t="shared" si="37"/>
        <v>0</v>
      </c>
      <c r="W820" s="56">
        <f t="shared" si="38"/>
        <v>1043.3333333333333</v>
      </c>
    </row>
    <row r="821" spans="1:23" x14ac:dyDescent="0.3">
      <c r="A821" s="13" t="str" cm="1">
        <f t="array" ref="A821:B821">INDEX(BenchmarkResults!$B$1:$D$35,SUMPRODUCT((T821&gt;=BenchmarkResults!$F$3:$F$35)*(mongodb_hardware_log!T821&lt;BenchmarkResults!$G$3:$G$35)*ROW(BenchmarkResults!$F$3:$F$35)),{1,3})</f>
        <v>q2_avg_order_city</v>
      </c>
      <c r="B821">
        <v>2</v>
      </c>
      <c r="C821" s="13">
        <v>1</v>
      </c>
      <c r="D821" s="13">
        <v>0</v>
      </c>
      <c r="E821" s="13">
        <v>134400</v>
      </c>
      <c r="F821" s="13">
        <v>115584</v>
      </c>
      <c r="G821" s="13">
        <v>4000</v>
      </c>
      <c r="H821" s="13">
        <v>1724796</v>
      </c>
      <c r="I821" s="13">
        <v>0</v>
      </c>
      <c r="J821" s="13">
        <v>0</v>
      </c>
      <c r="K821" s="13">
        <v>837</v>
      </c>
      <c r="L821" s="13">
        <v>12</v>
      </c>
      <c r="M821" s="13">
        <v>925</v>
      </c>
      <c r="N821" s="13">
        <v>326</v>
      </c>
      <c r="O821" s="13">
        <v>36</v>
      </c>
      <c r="P821" s="13">
        <v>8</v>
      </c>
      <c r="Q821" s="13">
        <v>55</v>
      </c>
      <c r="R821" s="13">
        <v>0</v>
      </c>
      <c r="S821" s="13">
        <v>1</v>
      </c>
      <c r="T821" s="23">
        <v>46247.579108796293</v>
      </c>
      <c r="U821" s="55">
        <f t="shared" si="36"/>
        <v>1</v>
      </c>
      <c r="V821" s="55">
        <f t="shared" si="37"/>
        <v>0</v>
      </c>
      <c r="W821" s="56">
        <f t="shared" si="38"/>
        <v>963.33333333333337</v>
      </c>
    </row>
    <row r="822" spans="1:23" x14ac:dyDescent="0.3">
      <c r="A822" s="13" t="str" cm="1">
        <f t="array" ref="A822:B822">INDEX(BenchmarkResults!$B$1:$D$35,SUMPRODUCT((T822&gt;=BenchmarkResults!$F$3:$F$35)*(mongodb_hardware_log!T822&lt;BenchmarkResults!$G$3:$G$35)*ROW(BenchmarkResults!$F$3:$F$35)),{1,3})</f>
        <v>q2_avg_order_city</v>
      </c>
      <c r="B822">
        <v>2</v>
      </c>
      <c r="C822" s="13">
        <v>1</v>
      </c>
      <c r="D822" s="13">
        <v>0</v>
      </c>
      <c r="E822" s="13">
        <v>134400</v>
      </c>
      <c r="F822" s="13">
        <v>943024</v>
      </c>
      <c r="G822" s="13">
        <v>1196</v>
      </c>
      <c r="H822" s="13">
        <v>1459704</v>
      </c>
      <c r="I822" s="13">
        <v>0</v>
      </c>
      <c r="J822" s="13">
        <v>0</v>
      </c>
      <c r="K822" s="13">
        <v>512</v>
      </c>
      <c r="L822" s="13">
        <v>11</v>
      </c>
      <c r="M822" s="13">
        <v>896</v>
      </c>
      <c r="N822" s="13">
        <v>400</v>
      </c>
      <c r="O822" s="13">
        <v>35</v>
      </c>
      <c r="P822" s="13">
        <v>5</v>
      </c>
      <c r="Q822" s="13">
        <v>59</v>
      </c>
      <c r="R822" s="13">
        <v>0</v>
      </c>
      <c r="S822" s="13">
        <v>1</v>
      </c>
      <c r="T822" s="23">
        <v>46247.579224537039</v>
      </c>
      <c r="U822" s="55">
        <f t="shared" si="36"/>
        <v>1</v>
      </c>
      <c r="V822" s="55">
        <f t="shared" si="37"/>
        <v>0</v>
      </c>
      <c r="W822" s="56">
        <f t="shared" si="38"/>
        <v>884.33333333333337</v>
      </c>
    </row>
    <row r="823" spans="1:23" x14ac:dyDescent="0.3">
      <c r="A823" s="13" t="str" cm="1">
        <f t="array" ref="A823:B823">INDEX(BenchmarkResults!$B$1:$D$35,SUMPRODUCT((T823&gt;=BenchmarkResults!$F$3:$F$35)*(mongodb_hardware_log!T823&lt;BenchmarkResults!$G$3:$G$35)*ROW(BenchmarkResults!$F$3:$F$35)),{1,3})</f>
        <v>q2_avg_order_city</v>
      </c>
      <c r="B823">
        <v>2</v>
      </c>
      <c r="C823" s="13">
        <v>2</v>
      </c>
      <c r="D823" s="13">
        <v>0</v>
      </c>
      <c r="E823" s="13">
        <v>134400</v>
      </c>
      <c r="F823" s="13">
        <v>922892</v>
      </c>
      <c r="G823" s="13">
        <v>1220</v>
      </c>
      <c r="H823" s="13">
        <v>1472340</v>
      </c>
      <c r="I823" s="13">
        <v>0</v>
      </c>
      <c r="J823" s="13">
        <v>0</v>
      </c>
      <c r="K823" s="13">
        <v>1262</v>
      </c>
      <c r="L823" s="13">
        <v>37</v>
      </c>
      <c r="M823" s="13">
        <v>772</v>
      </c>
      <c r="N823" s="13">
        <v>279</v>
      </c>
      <c r="O823" s="13">
        <v>33</v>
      </c>
      <c r="P823" s="13">
        <v>1</v>
      </c>
      <c r="Q823" s="13">
        <v>65</v>
      </c>
      <c r="R823" s="13">
        <v>1</v>
      </c>
      <c r="S823" s="13">
        <v>0</v>
      </c>
      <c r="T823" s="23">
        <v>46247.579340277778</v>
      </c>
      <c r="U823" s="55">
        <f t="shared" si="36"/>
        <v>1.1666666666666667</v>
      </c>
      <c r="V823" s="55">
        <f t="shared" si="37"/>
        <v>0</v>
      </c>
      <c r="W823" s="56">
        <f t="shared" si="38"/>
        <v>931</v>
      </c>
    </row>
    <row r="824" spans="1:23" x14ac:dyDescent="0.3">
      <c r="A824" s="13" t="str" cm="1">
        <f t="array" ref="A824:B824">INDEX(BenchmarkResults!$B$1:$D$35,SUMPRODUCT((T824&gt;=BenchmarkResults!$F$3:$F$35)*(mongodb_hardware_log!T824&lt;BenchmarkResults!$G$3:$G$35)*ROW(BenchmarkResults!$F$3:$F$35)),{1,3})</f>
        <v>q2_avg_order_city</v>
      </c>
      <c r="B824">
        <v>2</v>
      </c>
      <c r="C824" s="13">
        <v>1</v>
      </c>
      <c r="D824" s="13">
        <v>0</v>
      </c>
      <c r="E824" s="13">
        <v>134400</v>
      </c>
      <c r="F824" s="13">
        <v>917108</v>
      </c>
      <c r="G824" s="13">
        <v>1228</v>
      </c>
      <c r="H824" s="13">
        <v>1482804</v>
      </c>
      <c r="I824" s="13">
        <v>0</v>
      </c>
      <c r="J824" s="13">
        <v>0</v>
      </c>
      <c r="K824" s="13">
        <v>1045</v>
      </c>
      <c r="L824" s="13">
        <v>6</v>
      </c>
      <c r="M824" s="13">
        <v>738</v>
      </c>
      <c r="N824" s="13">
        <v>233</v>
      </c>
      <c r="O824" s="13">
        <v>33</v>
      </c>
      <c r="P824" s="13">
        <v>1</v>
      </c>
      <c r="Q824" s="13">
        <v>65</v>
      </c>
      <c r="R824" s="13">
        <v>1</v>
      </c>
      <c r="S824" s="13">
        <v>0</v>
      </c>
      <c r="T824" s="23">
        <v>46247.579456018517</v>
      </c>
      <c r="U824" s="55">
        <f t="shared" si="36"/>
        <v>1.1666666666666667</v>
      </c>
      <c r="V824" s="55">
        <f t="shared" si="37"/>
        <v>0</v>
      </c>
      <c r="W824" s="56">
        <f t="shared" si="38"/>
        <v>960</v>
      </c>
    </row>
    <row r="825" spans="1:23" x14ac:dyDescent="0.3">
      <c r="A825" s="13" t="str" cm="1">
        <f t="array" ref="A825:B825">INDEX(BenchmarkResults!$B$1:$D$35,SUMPRODUCT((T825&gt;=BenchmarkResults!$F$3:$F$35)*(mongodb_hardware_log!T825&lt;BenchmarkResults!$G$3:$G$35)*ROW(BenchmarkResults!$F$3:$F$35)),{1,3})</f>
        <v>q2_avg_order_city</v>
      </c>
      <c r="B825">
        <v>2</v>
      </c>
      <c r="C825" s="13">
        <v>1</v>
      </c>
      <c r="D825" s="13">
        <v>0</v>
      </c>
      <c r="E825" s="13">
        <v>134400</v>
      </c>
      <c r="F825" s="13">
        <v>909044</v>
      </c>
      <c r="G825" s="13">
        <v>1244</v>
      </c>
      <c r="H825" s="13">
        <v>1491660</v>
      </c>
      <c r="I825" s="13">
        <v>0</v>
      </c>
      <c r="J825" s="13">
        <v>0</v>
      </c>
      <c r="K825" s="13">
        <v>892</v>
      </c>
      <c r="L825" s="13">
        <v>27</v>
      </c>
      <c r="M825" s="13">
        <v>707</v>
      </c>
      <c r="N825" s="13">
        <v>208</v>
      </c>
      <c r="O825" s="13">
        <v>33</v>
      </c>
      <c r="P825" s="13">
        <v>1</v>
      </c>
      <c r="Q825" s="13">
        <v>65</v>
      </c>
      <c r="R825" s="13">
        <v>0</v>
      </c>
      <c r="S825" s="13">
        <v>0</v>
      </c>
      <c r="T825" s="23">
        <v>46247.579571759263</v>
      </c>
      <c r="U825" s="55">
        <f t="shared" si="36"/>
        <v>1.1666666666666667</v>
      </c>
      <c r="V825" s="55">
        <f t="shared" si="37"/>
        <v>0</v>
      </c>
      <c r="W825" s="56">
        <f t="shared" si="38"/>
        <v>930</v>
      </c>
    </row>
    <row r="826" spans="1:23" x14ac:dyDescent="0.3">
      <c r="A826" s="13" t="str" cm="1">
        <f t="array" ref="A826:B826">INDEX(BenchmarkResults!$B$1:$D$35,SUMPRODUCT((T826&gt;=BenchmarkResults!$F$3:$F$35)*(mongodb_hardware_log!T826&lt;BenchmarkResults!$G$3:$G$35)*ROW(BenchmarkResults!$F$3:$F$35)),{1,3})</f>
        <v>q2_avg_order_city</v>
      </c>
      <c r="B826">
        <v>2</v>
      </c>
      <c r="C826" s="13">
        <v>1</v>
      </c>
      <c r="D826" s="13">
        <v>0</v>
      </c>
      <c r="E826" s="13">
        <v>134400</v>
      </c>
      <c r="F826" s="13">
        <v>902240</v>
      </c>
      <c r="G826" s="13">
        <v>1252</v>
      </c>
      <c r="H826" s="13">
        <v>1500884</v>
      </c>
      <c r="I826" s="13">
        <v>0</v>
      </c>
      <c r="J826" s="13">
        <v>0</v>
      </c>
      <c r="K826" s="13">
        <v>919</v>
      </c>
      <c r="L826" s="13">
        <v>11</v>
      </c>
      <c r="M826" s="13">
        <v>706</v>
      </c>
      <c r="N826" s="13">
        <v>213</v>
      </c>
      <c r="O826" s="13">
        <v>34</v>
      </c>
      <c r="P826" s="13">
        <v>1</v>
      </c>
      <c r="Q826" s="13">
        <v>65</v>
      </c>
      <c r="R826" s="13">
        <v>0</v>
      </c>
      <c r="S826" s="13">
        <v>0</v>
      </c>
      <c r="T826" s="23">
        <v>46247.579687500001</v>
      </c>
      <c r="U826" s="55">
        <f t="shared" si="36"/>
        <v>1.1666666666666667</v>
      </c>
      <c r="V826" s="55">
        <f t="shared" si="37"/>
        <v>0</v>
      </c>
      <c r="W826" s="56">
        <f t="shared" si="38"/>
        <v>911.16666666666663</v>
      </c>
    </row>
    <row r="827" spans="1:23" x14ac:dyDescent="0.3">
      <c r="A827" s="13" t="str" cm="1">
        <f t="array" ref="A827:B827">INDEX(BenchmarkResults!$B$1:$D$35,SUMPRODUCT((T827&gt;=BenchmarkResults!$F$3:$F$35)*(mongodb_hardware_log!T827&lt;BenchmarkResults!$G$3:$G$35)*ROW(BenchmarkResults!$F$3:$F$35)),{1,3})</f>
        <v>q2_avg_order_city</v>
      </c>
      <c r="B827">
        <v>2</v>
      </c>
      <c r="C827" s="13">
        <v>1</v>
      </c>
      <c r="D827" s="13">
        <v>0</v>
      </c>
      <c r="E827" s="13">
        <v>134400</v>
      </c>
      <c r="F827" s="13">
        <v>890396</v>
      </c>
      <c r="G827" s="13">
        <v>1260</v>
      </c>
      <c r="H827" s="13">
        <v>1511836</v>
      </c>
      <c r="I827" s="13">
        <v>0</v>
      </c>
      <c r="J827" s="13">
        <v>0</v>
      </c>
      <c r="K827" s="13">
        <v>1098</v>
      </c>
      <c r="L827" s="13">
        <v>7</v>
      </c>
      <c r="M827" s="13">
        <v>814</v>
      </c>
      <c r="N827" s="13">
        <v>325</v>
      </c>
      <c r="O827" s="13">
        <v>34</v>
      </c>
      <c r="P827" s="13">
        <v>1</v>
      </c>
      <c r="Q827" s="13">
        <v>65</v>
      </c>
      <c r="R827" s="13">
        <v>0</v>
      </c>
      <c r="S827" s="13">
        <v>0</v>
      </c>
      <c r="T827" s="23">
        <v>46247.57980324074</v>
      </c>
      <c r="U827" s="55">
        <f t="shared" si="36"/>
        <v>1.1666666666666667</v>
      </c>
      <c r="V827" s="55">
        <f t="shared" si="37"/>
        <v>0</v>
      </c>
      <c r="W827" s="56">
        <f t="shared" si="38"/>
        <v>954.66666666666663</v>
      </c>
    </row>
    <row r="828" spans="1:23" x14ac:dyDescent="0.3">
      <c r="A828" s="13" t="str" cm="1">
        <f t="array" ref="A828:B828">INDEX(BenchmarkResults!$B$1:$D$35,SUMPRODUCT((T828&gt;=BenchmarkResults!$F$3:$F$35)*(mongodb_hardware_log!T828&lt;BenchmarkResults!$G$3:$G$35)*ROW(BenchmarkResults!$F$3:$F$35)),{1,3})</f>
        <v>q2_avg_order_city</v>
      </c>
      <c r="B828">
        <v>2</v>
      </c>
      <c r="C828" s="13">
        <v>1</v>
      </c>
      <c r="D828" s="13">
        <v>0</v>
      </c>
      <c r="E828" s="13">
        <v>134400</v>
      </c>
      <c r="F828" s="13">
        <v>882080</v>
      </c>
      <c r="G828" s="13">
        <v>1268</v>
      </c>
      <c r="H828" s="13">
        <v>1520944</v>
      </c>
      <c r="I828" s="13">
        <v>0</v>
      </c>
      <c r="J828" s="13">
        <v>0</v>
      </c>
      <c r="K828" s="13">
        <v>908</v>
      </c>
      <c r="L828" s="13">
        <v>9</v>
      </c>
      <c r="M828" s="13">
        <v>722</v>
      </c>
      <c r="N828" s="13">
        <v>214</v>
      </c>
      <c r="O828" s="13">
        <v>33</v>
      </c>
      <c r="P828" s="13">
        <v>1</v>
      </c>
      <c r="Q828" s="13">
        <v>65</v>
      </c>
      <c r="R828" s="13">
        <v>0</v>
      </c>
      <c r="S828" s="13">
        <v>1</v>
      </c>
      <c r="T828" s="23">
        <v>46247.579918981479</v>
      </c>
      <c r="U828" s="55">
        <f t="shared" si="36"/>
        <v>1.1666666666666667</v>
      </c>
      <c r="V828" s="55">
        <f t="shared" si="37"/>
        <v>0</v>
      </c>
      <c r="W828" s="56">
        <f t="shared" si="38"/>
        <v>1020.6666666666666</v>
      </c>
    </row>
    <row r="829" spans="1:23" x14ac:dyDescent="0.3">
      <c r="A829" s="13" t="str" cm="1">
        <f t="array" ref="A829:B829">INDEX(BenchmarkResults!$B$1:$D$35,SUMPRODUCT((T829&gt;=BenchmarkResults!$F$3:$F$35)*(mongodb_hardware_log!T829&lt;BenchmarkResults!$G$3:$G$35)*ROW(BenchmarkResults!$F$3:$F$35)),{1,3})</f>
        <v>q2_avg_order_city</v>
      </c>
      <c r="B829">
        <v>2</v>
      </c>
      <c r="C829" s="13">
        <v>1</v>
      </c>
      <c r="D829" s="13">
        <v>0</v>
      </c>
      <c r="E829" s="13">
        <v>134400</v>
      </c>
      <c r="F829" s="13">
        <v>872464</v>
      </c>
      <c r="G829" s="13">
        <v>1308</v>
      </c>
      <c r="H829" s="13">
        <v>1530908</v>
      </c>
      <c r="I829" s="13">
        <v>0</v>
      </c>
      <c r="J829" s="13">
        <v>0</v>
      </c>
      <c r="K829" s="13">
        <v>996</v>
      </c>
      <c r="L829" s="13">
        <v>41</v>
      </c>
      <c r="M829" s="13">
        <v>722</v>
      </c>
      <c r="N829" s="13">
        <v>235</v>
      </c>
      <c r="O829" s="13">
        <v>34</v>
      </c>
      <c r="P829" s="13">
        <v>1</v>
      </c>
      <c r="Q829" s="13">
        <v>65</v>
      </c>
      <c r="R829" s="13">
        <v>0</v>
      </c>
      <c r="S829" s="13">
        <v>0</v>
      </c>
      <c r="T829" s="23">
        <v>46247.580034722225</v>
      </c>
      <c r="U829" s="55">
        <f t="shared" si="36"/>
        <v>1</v>
      </c>
      <c r="V829" s="55">
        <f t="shared" si="37"/>
        <v>0</v>
      </c>
      <c r="W829" s="56">
        <f t="shared" si="38"/>
        <v>976.33333333333337</v>
      </c>
    </row>
    <row r="830" spans="1:23" x14ac:dyDescent="0.3">
      <c r="A830" s="13" t="str" cm="1">
        <f t="array" ref="A830:B830">INDEX(BenchmarkResults!$B$1:$D$35,SUMPRODUCT((T830&gt;=BenchmarkResults!$F$3:$F$35)*(mongodb_hardware_log!T830&lt;BenchmarkResults!$G$3:$G$35)*ROW(BenchmarkResults!$F$3:$F$35)),{1,3})</f>
        <v>q2_avg_order_city</v>
      </c>
      <c r="B830">
        <v>2</v>
      </c>
      <c r="C830" s="13">
        <v>1</v>
      </c>
      <c r="D830" s="13">
        <v>0</v>
      </c>
      <c r="E830" s="13">
        <v>134400</v>
      </c>
      <c r="F830" s="13">
        <v>856484</v>
      </c>
      <c r="G830" s="13">
        <v>1316</v>
      </c>
      <c r="H830" s="13">
        <v>1544144</v>
      </c>
      <c r="I830" s="13">
        <v>0</v>
      </c>
      <c r="J830" s="13">
        <v>0</v>
      </c>
      <c r="K830" s="13">
        <v>1326</v>
      </c>
      <c r="L830" s="13">
        <v>12</v>
      </c>
      <c r="M830" s="13">
        <v>736</v>
      </c>
      <c r="N830" s="13">
        <v>231</v>
      </c>
      <c r="O830" s="13">
        <v>34</v>
      </c>
      <c r="P830" s="13">
        <v>1</v>
      </c>
      <c r="Q830" s="13">
        <v>65</v>
      </c>
      <c r="R830" s="13">
        <v>0</v>
      </c>
      <c r="S830" s="13">
        <v>0</v>
      </c>
      <c r="T830" s="23">
        <v>46247.580150462964</v>
      </c>
      <c r="U830" s="55">
        <f t="shared" si="36"/>
        <v>1</v>
      </c>
      <c r="V830" s="55">
        <f t="shared" si="37"/>
        <v>0</v>
      </c>
      <c r="W830" s="56">
        <f t="shared" si="38"/>
        <v>1023.1666666666666</v>
      </c>
    </row>
    <row r="831" spans="1:23" x14ac:dyDescent="0.3">
      <c r="A831" s="13" t="str" cm="1">
        <f t="array" ref="A831:B831">INDEX(BenchmarkResults!$B$1:$D$35,SUMPRODUCT((T831&gt;=BenchmarkResults!$F$3:$F$35)*(mongodb_hardware_log!T831&lt;BenchmarkResults!$G$3:$G$35)*ROW(BenchmarkResults!$F$3:$F$35)),{1,3})</f>
        <v>q2_avg_order_city</v>
      </c>
      <c r="B831">
        <v>2</v>
      </c>
      <c r="C831" s="13">
        <v>1</v>
      </c>
      <c r="D831" s="13">
        <v>0</v>
      </c>
      <c r="E831" s="13">
        <v>134400</v>
      </c>
      <c r="F831" s="13">
        <v>844668</v>
      </c>
      <c r="G831" s="13">
        <v>1332</v>
      </c>
      <c r="H831" s="13">
        <v>1554036</v>
      </c>
      <c r="I831" s="13">
        <v>0</v>
      </c>
      <c r="J831" s="13">
        <v>0</v>
      </c>
      <c r="K831" s="13">
        <v>990</v>
      </c>
      <c r="L831" s="13">
        <v>18</v>
      </c>
      <c r="M831" s="13">
        <v>714</v>
      </c>
      <c r="N831" s="13">
        <v>214</v>
      </c>
      <c r="O831" s="13">
        <v>33</v>
      </c>
      <c r="P831" s="13">
        <v>1</v>
      </c>
      <c r="Q831" s="13">
        <v>65</v>
      </c>
      <c r="R831" s="13">
        <v>0</v>
      </c>
      <c r="S831" s="13">
        <v>0</v>
      </c>
      <c r="T831" s="23">
        <v>46247.580266203702</v>
      </c>
      <c r="U831" s="55">
        <f t="shared" si="36"/>
        <v>1</v>
      </c>
      <c r="V831" s="55">
        <f t="shared" si="37"/>
        <v>0</v>
      </c>
      <c r="W831" s="56">
        <f t="shared" si="38"/>
        <v>1039.5</v>
      </c>
    </row>
    <row r="832" spans="1:23" x14ac:dyDescent="0.3">
      <c r="A832" s="13" t="str" cm="1">
        <f t="array" ref="A832:B832">INDEX(BenchmarkResults!$B$1:$D$35,SUMPRODUCT((T832&gt;=BenchmarkResults!$F$3:$F$35)*(mongodb_hardware_log!T832&lt;BenchmarkResults!$G$3:$G$35)*ROW(BenchmarkResults!$F$3:$F$35)),{1,3})</f>
        <v>q2_avg_order_city</v>
      </c>
      <c r="B832">
        <v>2</v>
      </c>
      <c r="C832" s="13">
        <v>1</v>
      </c>
      <c r="D832" s="13">
        <v>0</v>
      </c>
      <c r="E832" s="13">
        <v>134400</v>
      </c>
      <c r="F832" s="13">
        <v>836856</v>
      </c>
      <c r="G832" s="13">
        <v>1348</v>
      </c>
      <c r="H832" s="13">
        <v>1563192</v>
      </c>
      <c r="I832" s="13">
        <v>0</v>
      </c>
      <c r="J832" s="13">
        <v>0</v>
      </c>
      <c r="K832" s="13">
        <v>918</v>
      </c>
      <c r="L832" s="13">
        <v>13</v>
      </c>
      <c r="M832" s="13">
        <v>722</v>
      </c>
      <c r="N832" s="13">
        <v>220</v>
      </c>
      <c r="O832" s="13">
        <v>33</v>
      </c>
      <c r="P832" s="13">
        <v>1</v>
      </c>
      <c r="Q832" s="13">
        <v>65</v>
      </c>
      <c r="R832" s="13">
        <v>0</v>
      </c>
      <c r="S832" s="13">
        <v>0</v>
      </c>
      <c r="T832" s="23">
        <v>46247.580381944441</v>
      </c>
      <c r="U832" s="55">
        <f t="shared" si="36"/>
        <v>1</v>
      </c>
      <c r="V832" s="55">
        <f t="shared" si="37"/>
        <v>0</v>
      </c>
      <c r="W832" s="56">
        <f t="shared" si="38"/>
        <v>1039.3333333333333</v>
      </c>
    </row>
    <row r="833" spans="1:23" x14ac:dyDescent="0.3">
      <c r="A833" s="13" t="str" cm="1">
        <f t="array" ref="A833:B833">INDEX(BenchmarkResults!$B$1:$D$35,SUMPRODUCT((T833&gt;=BenchmarkResults!$F$3:$F$35)*(mongodb_hardware_log!T833&lt;BenchmarkResults!$G$3:$G$35)*ROW(BenchmarkResults!$F$3:$F$35)),{1,3})</f>
        <v>q2_avg_order_city</v>
      </c>
      <c r="B833">
        <v>2</v>
      </c>
      <c r="C833" s="13">
        <v>1</v>
      </c>
      <c r="D833" s="13">
        <v>0</v>
      </c>
      <c r="E833" s="13">
        <v>133632</v>
      </c>
      <c r="F833" s="13">
        <v>819980</v>
      </c>
      <c r="G833" s="13">
        <v>1428</v>
      </c>
      <c r="H833" s="13">
        <v>1592664</v>
      </c>
      <c r="I833" s="13">
        <v>220</v>
      </c>
      <c r="J833" s="13">
        <v>0</v>
      </c>
      <c r="K833" s="13">
        <v>3053</v>
      </c>
      <c r="L833" s="13">
        <v>50</v>
      </c>
      <c r="M833" s="13">
        <v>1100</v>
      </c>
      <c r="N833" s="13">
        <v>632</v>
      </c>
      <c r="O833" s="13">
        <v>38</v>
      </c>
      <c r="P833" s="13">
        <v>17</v>
      </c>
      <c r="Q833" s="13">
        <v>38</v>
      </c>
      <c r="R833" s="13">
        <v>7</v>
      </c>
      <c r="S833" s="13">
        <v>0</v>
      </c>
      <c r="T833" s="23">
        <v>46247.580497685187</v>
      </c>
      <c r="U833" s="55">
        <f t="shared" si="36"/>
        <v>1</v>
      </c>
      <c r="V833" s="55">
        <f t="shared" si="37"/>
        <v>0</v>
      </c>
      <c r="W833" s="56">
        <f t="shared" si="38"/>
        <v>1365.1666666666667</v>
      </c>
    </row>
    <row r="834" spans="1:23" x14ac:dyDescent="0.3">
      <c r="A834" s="13" t="str" cm="1">
        <f t="array" ref="A834:B834">INDEX(BenchmarkResults!$B$1:$D$35,SUMPRODUCT((T834&gt;=BenchmarkResults!$F$3:$F$35)*(mongodb_hardware_log!T834&lt;BenchmarkResults!$G$3:$G$35)*ROW(BenchmarkResults!$F$3:$F$35)),{1,3})</f>
        <v>q2_avg_order_city</v>
      </c>
      <c r="B834">
        <v>2</v>
      </c>
      <c r="C834" s="13">
        <v>1</v>
      </c>
      <c r="D834" s="13">
        <v>0</v>
      </c>
      <c r="E834" s="13">
        <v>133632</v>
      </c>
      <c r="F834" s="13">
        <v>816480</v>
      </c>
      <c r="G834" s="13">
        <v>1444</v>
      </c>
      <c r="H834" s="13">
        <v>1601008</v>
      </c>
      <c r="I834" s="13">
        <v>0</v>
      </c>
      <c r="J834" s="13">
        <v>0</v>
      </c>
      <c r="K834" s="13">
        <v>838</v>
      </c>
      <c r="L834" s="13">
        <v>22</v>
      </c>
      <c r="M834" s="13">
        <v>736</v>
      </c>
      <c r="N834" s="13">
        <v>233</v>
      </c>
      <c r="O834" s="13">
        <v>33</v>
      </c>
      <c r="P834" s="13">
        <v>1</v>
      </c>
      <c r="Q834" s="13">
        <v>65</v>
      </c>
      <c r="R834" s="13">
        <v>0</v>
      </c>
      <c r="S834" s="13">
        <v>0</v>
      </c>
      <c r="T834" s="23">
        <v>46247.580613425926</v>
      </c>
      <c r="U834" s="55">
        <f t="shared" si="36"/>
        <v>1</v>
      </c>
      <c r="V834" s="55">
        <f t="shared" si="37"/>
        <v>0</v>
      </c>
      <c r="W834" s="56">
        <f t="shared" si="38"/>
        <v>1353.5</v>
      </c>
    </row>
    <row r="835" spans="1:23" x14ac:dyDescent="0.3">
      <c r="A835" s="13" t="str" cm="1">
        <f t="array" ref="A835:B835">INDEX(BenchmarkResults!$B$1:$D$35,SUMPRODUCT((T835&gt;=BenchmarkResults!$F$3:$F$35)*(mongodb_hardware_log!T835&lt;BenchmarkResults!$G$3:$G$35)*ROW(BenchmarkResults!$F$3:$F$35)),{1,3})</f>
        <v>q2_avg_order_city</v>
      </c>
      <c r="B835">
        <v>2</v>
      </c>
      <c r="C835" s="13">
        <v>1</v>
      </c>
      <c r="D835" s="13">
        <v>0</v>
      </c>
      <c r="E835" s="13">
        <v>133632</v>
      </c>
      <c r="F835" s="13">
        <v>810400</v>
      </c>
      <c r="G835" s="13">
        <v>1468</v>
      </c>
      <c r="H835" s="13">
        <v>1609664</v>
      </c>
      <c r="I835" s="13">
        <v>0</v>
      </c>
      <c r="J835" s="13">
        <v>0</v>
      </c>
      <c r="K835" s="13">
        <v>862</v>
      </c>
      <c r="L835" s="13">
        <v>30</v>
      </c>
      <c r="M835" s="13">
        <v>707</v>
      </c>
      <c r="N835" s="13">
        <v>211</v>
      </c>
      <c r="O835" s="13">
        <v>33</v>
      </c>
      <c r="P835" s="13">
        <v>1</v>
      </c>
      <c r="Q835" s="13">
        <v>65</v>
      </c>
      <c r="R835" s="13">
        <v>0</v>
      </c>
      <c r="S835" s="13">
        <v>0</v>
      </c>
      <c r="T835" s="23">
        <v>46247.580729166664</v>
      </c>
      <c r="U835" s="55">
        <f t="shared" si="36"/>
        <v>1</v>
      </c>
      <c r="V835" s="55">
        <f t="shared" si="37"/>
        <v>0</v>
      </c>
      <c r="W835" s="56">
        <f t="shared" si="38"/>
        <v>1331.1666666666667</v>
      </c>
    </row>
    <row r="836" spans="1:23" x14ac:dyDescent="0.3">
      <c r="A836" s="13" t="str" cm="1">
        <f t="array" ref="A836:B836">INDEX(BenchmarkResults!$B$1:$D$35,SUMPRODUCT((T836&gt;=BenchmarkResults!$F$3:$F$35)*(mongodb_hardware_log!T836&lt;BenchmarkResults!$G$3:$G$35)*ROW(BenchmarkResults!$F$3:$F$35)),{1,3})</f>
        <v>q2_avg_order_city</v>
      </c>
      <c r="B836">
        <v>2</v>
      </c>
      <c r="C836" s="13">
        <v>1</v>
      </c>
      <c r="D836" s="13">
        <v>0</v>
      </c>
      <c r="E836" s="13">
        <v>133632</v>
      </c>
      <c r="F836" s="13">
        <v>800572</v>
      </c>
      <c r="G836" s="13">
        <v>1476</v>
      </c>
      <c r="H836" s="13">
        <v>1619420</v>
      </c>
      <c r="I836" s="13">
        <v>0</v>
      </c>
      <c r="J836" s="13">
        <v>0</v>
      </c>
      <c r="K836" s="13">
        <v>970</v>
      </c>
      <c r="L836" s="13">
        <v>22</v>
      </c>
      <c r="M836" s="13">
        <v>710</v>
      </c>
      <c r="N836" s="13">
        <v>207</v>
      </c>
      <c r="O836" s="13">
        <v>33</v>
      </c>
      <c r="P836" s="13">
        <v>1</v>
      </c>
      <c r="Q836" s="13">
        <v>65</v>
      </c>
      <c r="R836" s="13">
        <v>0</v>
      </c>
      <c r="S836" s="13">
        <v>1</v>
      </c>
      <c r="T836" s="23">
        <v>46247.58084490741</v>
      </c>
      <c r="U836" s="55">
        <f t="shared" si="36"/>
        <v>1</v>
      </c>
      <c r="V836" s="55">
        <f t="shared" si="37"/>
        <v>0</v>
      </c>
      <c r="W836" s="56">
        <f t="shared" si="38"/>
        <v>1271.8333333333333</v>
      </c>
    </row>
    <row r="837" spans="1:23" x14ac:dyDescent="0.3">
      <c r="A837" s="13" t="str" cm="1">
        <f t="array" ref="A837:B837">INDEX(BenchmarkResults!$B$1:$D$35,SUMPRODUCT((T837&gt;=BenchmarkResults!$F$3:$F$35)*(mongodb_hardware_log!T837&lt;BenchmarkResults!$G$3:$G$35)*ROW(BenchmarkResults!$F$3:$F$35)),{1,3})</f>
        <v>q2_avg_order_city</v>
      </c>
      <c r="B837">
        <v>2</v>
      </c>
      <c r="C837" s="13">
        <v>1</v>
      </c>
      <c r="D837" s="13">
        <v>0</v>
      </c>
      <c r="E837" s="13">
        <v>133632</v>
      </c>
      <c r="F837" s="13">
        <v>791500</v>
      </c>
      <c r="G837" s="13">
        <v>1484</v>
      </c>
      <c r="H837" s="13">
        <v>1628444</v>
      </c>
      <c r="I837" s="13">
        <v>0</v>
      </c>
      <c r="J837" s="13">
        <v>0</v>
      </c>
      <c r="K837" s="13">
        <v>907</v>
      </c>
      <c r="L837" s="13">
        <v>9</v>
      </c>
      <c r="M837" s="13">
        <v>708</v>
      </c>
      <c r="N837" s="13">
        <v>209</v>
      </c>
      <c r="O837" s="13">
        <v>33</v>
      </c>
      <c r="P837" s="13">
        <v>1</v>
      </c>
      <c r="Q837" s="13">
        <v>65</v>
      </c>
      <c r="R837" s="13">
        <v>0</v>
      </c>
      <c r="S837" s="13">
        <v>0</v>
      </c>
      <c r="T837" s="23">
        <v>46247.580960648149</v>
      </c>
      <c r="U837" s="55">
        <f t="shared" si="36"/>
        <v>1</v>
      </c>
      <c r="V837" s="55">
        <f t="shared" si="37"/>
        <v>0</v>
      </c>
      <c r="W837" s="56">
        <f t="shared" si="38"/>
        <v>1258</v>
      </c>
    </row>
    <row r="838" spans="1:23" x14ac:dyDescent="0.3">
      <c r="A838" s="13" t="str" cm="1">
        <f t="array" ref="A838:B838">INDEX(BenchmarkResults!$B$1:$D$35,SUMPRODUCT((T838&gt;=BenchmarkResults!$F$3:$F$35)*(mongodb_hardware_log!T838&lt;BenchmarkResults!$G$3:$G$35)*ROW(BenchmarkResults!$F$3:$F$35)),{1,3})</f>
        <v>q2_avg_order_city</v>
      </c>
      <c r="B838">
        <v>2</v>
      </c>
      <c r="C838" s="13">
        <v>1</v>
      </c>
      <c r="D838" s="13">
        <v>0</v>
      </c>
      <c r="E838" s="13">
        <v>133632</v>
      </c>
      <c r="F838" s="13">
        <v>779656</v>
      </c>
      <c r="G838" s="13">
        <v>1492</v>
      </c>
      <c r="H838" s="13">
        <v>1638488</v>
      </c>
      <c r="I838" s="13">
        <v>0</v>
      </c>
      <c r="J838" s="13">
        <v>0</v>
      </c>
      <c r="K838" s="13">
        <v>1010</v>
      </c>
      <c r="L838" s="13">
        <v>15</v>
      </c>
      <c r="M838" s="13">
        <v>705</v>
      </c>
      <c r="N838" s="13">
        <v>203</v>
      </c>
      <c r="O838" s="13">
        <v>33</v>
      </c>
      <c r="P838" s="13">
        <v>1</v>
      </c>
      <c r="Q838" s="13">
        <v>65</v>
      </c>
      <c r="R838" s="13">
        <v>0</v>
      </c>
      <c r="S838" s="13">
        <v>0</v>
      </c>
      <c r="T838" s="23">
        <v>46247.581076388888</v>
      </c>
      <c r="U838" s="55">
        <f t="shared" si="36"/>
        <v>1</v>
      </c>
      <c r="V838" s="55">
        <f t="shared" si="37"/>
        <v>0</v>
      </c>
      <c r="W838" s="56">
        <f t="shared" si="38"/>
        <v>1273.3333333333333</v>
      </c>
    </row>
    <row r="839" spans="1:23" x14ac:dyDescent="0.3">
      <c r="A839" s="13" t="str" cm="1">
        <f t="array" ref="A839:B839">INDEX(BenchmarkResults!$B$1:$D$35,SUMPRODUCT((T839&gt;=BenchmarkResults!$F$3:$F$35)*(mongodb_hardware_log!T839&lt;BenchmarkResults!$G$3:$G$35)*ROW(BenchmarkResults!$F$3:$F$35)),{1,3})</f>
        <v>q2_avg_order_city</v>
      </c>
      <c r="B839">
        <v>2</v>
      </c>
      <c r="C839" s="13">
        <v>1</v>
      </c>
      <c r="D839" s="13">
        <v>0</v>
      </c>
      <c r="E839" s="13">
        <v>133632</v>
      </c>
      <c r="F839" s="13">
        <v>768064</v>
      </c>
      <c r="G839" s="13">
        <v>1500</v>
      </c>
      <c r="H839" s="13">
        <v>1648012</v>
      </c>
      <c r="I839" s="13">
        <v>0</v>
      </c>
      <c r="J839" s="13">
        <v>0</v>
      </c>
      <c r="K839" s="13">
        <v>944</v>
      </c>
      <c r="L839" s="13">
        <v>10</v>
      </c>
      <c r="M839" s="13">
        <v>718</v>
      </c>
      <c r="N839" s="13">
        <v>221</v>
      </c>
      <c r="O839" s="13">
        <v>34</v>
      </c>
      <c r="P839" s="13">
        <v>1</v>
      </c>
      <c r="Q839" s="13">
        <v>65</v>
      </c>
      <c r="R839" s="13">
        <v>0</v>
      </c>
      <c r="S839" s="13">
        <v>0</v>
      </c>
      <c r="T839" s="23">
        <v>46247.581192129626</v>
      </c>
      <c r="U839" s="55">
        <f t="shared" si="36"/>
        <v>1</v>
      </c>
      <c r="V839" s="55">
        <f t="shared" si="37"/>
        <v>0</v>
      </c>
      <c r="W839" s="56">
        <f t="shared" si="38"/>
        <v>921.83333333333337</v>
      </c>
    </row>
    <row r="840" spans="1:23" x14ac:dyDescent="0.3">
      <c r="A840" s="13" t="str" cm="1">
        <f t="array" ref="A840:B840">INDEX(BenchmarkResults!$B$1:$D$35,SUMPRODUCT((T840&gt;=BenchmarkResults!$F$3:$F$35)*(mongodb_hardware_log!T840&lt;BenchmarkResults!$G$3:$G$35)*ROW(BenchmarkResults!$F$3:$F$35)),{1,3})</f>
        <v>q2_avg_order_city</v>
      </c>
      <c r="B840">
        <v>2</v>
      </c>
      <c r="C840" s="13">
        <v>1</v>
      </c>
      <c r="D840" s="13">
        <v>0</v>
      </c>
      <c r="E840" s="13">
        <v>133632</v>
      </c>
      <c r="F840" s="13">
        <v>760000</v>
      </c>
      <c r="G840" s="13">
        <v>1508</v>
      </c>
      <c r="H840" s="13">
        <v>1657752</v>
      </c>
      <c r="I840" s="13">
        <v>0</v>
      </c>
      <c r="J840" s="13">
        <v>0</v>
      </c>
      <c r="K840" s="13">
        <v>978</v>
      </c>
      <c r="L840" s="13">
        <v>10</v>
      </c>
      <c r="M840" s="13">
        <v>722</v>
      </c>
      <c r="N840" s="13">
        <v>215</v>
      </c>
      <c r="O840" s="13">
        <v>33</v>
      </c>
      <c r="P840" s="13">
        <v>1</v>
      </c>
      <c r="Q840" s="13">
        <v>65</v>
      </c>
      <c r="R840" s="13">
        <v>0</v>
      </c>
      <c r="S840" s="13">
        <v>0</v>
      </c>
      <c r="T840" s="23">
        <v>46247.581307870372</v>
      </c>
      <c r="U840" s="55">
        <f t="shared" si="36"/>
        <v>1</v>
      </c>
      <c r="V840" s="55">
        <f t="shared" si="37"/>
        <v>0</v>
      </c>
      <c r="W840" s="56">
        <f t="shared" si="38"/>
        <v>945.16666666666663</v>
      </c>
    </row>
    <row r="841" spans="1:23" x14ac:dyDescent="0.3">
      <c r="A841" s="13" t="str" cm="1">
        <f t="array" ref="A841:B841">INDEX(BenchmarkResults!$B$1:$D$35,SUMPRODUCT((T841&gt;=BenchmarkResults!$F$3:$F$35)*(mongodb_hardware_log!T841&lt;BenchmarkResults!$G$3:$G$35)*ROW(BenchmarkResults!$F$3:$F$35)),{1,3})</f>
        <v>q2_avg_order_city</v>
      </c>
      <c r="B841">
        <v>2</v>
      </c>
      <c r="C841" s="13">
        <v>1</v>
      </c>
      <c r="D841" s="13">
        <v>0</v>
      </c>
      <c r="E841" s="13">
        <v>133632</v>
      </c>
      <c r="F841" s="13">
        <v>752188</v>
      </c>
      <c r="G841" s="13">
        <v>1532</v>
      </c>
      <c r="H841" s="13">
        <v>1666436</v>
      </c>
      <c r="I841" s="13">
        <v>0</v>
      </c>
      <c r="J841" s="13">
        <v>0</v>
      </c>
      <c r="K841" s="13">
        <v>864</v>
      </c>
      <c r="L841" s="13">
        <v>23</v>
      </c>
      <c r="M841" s="13">
        <v>707</v>
      </c>
      <c r="N841" s="13">
        <v>210</v>
      </c>
      <c r="O841" s="13">
        <v>33</v>
      </c>
      <c r="P841" s="13">
        <v>1</v>
      </c>
      <c r="Q841" s="13">
        <v>65</v>
      </c>
      <c r="R841" s="13">
        <v>0</v>
      </c>
      <c r="S841" s="13">
        <v>0</v>
      </c>
      <c r="T841" s="23">
        <v>46247.581423611111</v>
      </c>
      <c r="U841" s="55">
        <f t="shared" ref="U841:U904" si="39">AVERAGE(C836:C841)</f>
        <v>1</v>
      </c>
      <c r="V841" s="55">
        <f t="shared" ref="V841:V904" si="40">AVERAGE(D836:D841)</f>
        <v>0</v>
      </c>
      <c r="W841" s="56">
        <f t="shared" ref="W841:W904" si="41">AVERAGE(K836:K841)</f>
        <v>945.5</v>
      </c>
    </row>
    <row r="842" spans="1:23" x14ac:dyDescent="0.3">
      <c r="A842" s="13" t="str" cm="1">
        <f t="array" ref="A842:B842">INDEX(BenchmarkResults!$B$1:$D$35,SUMPRODUCT((T842&gt;=BenchmarkResults!$F$3:$F$35)*(mongodb_hardware_log!T842&lt;BenchmarkResults!$G$3:$G$35)*ROW(BenchmarkResults!$F$3:$F$35)),{1,3})</f>
        <v>q2_avg_order_city</v>
      </c>
      <c r="B842">
        <v>2</v>
      </c>
      <c r="C842" s="13">
        <v>1</v>
      </c>
      <c r="D842" s="13">
        <v>0</v>
      </c>
      <c r="E842" s="13">
        <v>133632</v>
      </c>
      <c r="F842" s="13">
        <v>744892</v>
      </c>
      <c r="G842" s="13">
        <v>1540</v>
      </c>
      <c r="H842" s="13">
        <v>1676044</v>
      </c>
      <c r="I842" s="13">
        <v>0</v>
      </c>
      <c r="J842" s="13">
        <v>0</v>
      </c>
      <c r="K842" s="13">
        <v>958</v>
      </c>
      <c r="L842" s="13">
        <v>13</v>
      </c>
      <c r="M842" s="13">
        <v>707</v>
      </c>
      <c r="N842" s="13">
        <v>211</v>
      </c>
      <c r="O842" s="13">
        <v>33</v>
      </c>
      <c r="P842" s="13">
        <v>1</v>
      </c>
      <c r="Q842" s="13">
        <v>65</v>
      </c>
      <c r="R842" s="13">
        <v>0</v>
      </c>
      <c r="S842" s="13">
        <v>0</v>
      </c>
      <c r="T842" s="23">
        <v>46247.58153935185</v>
      </c>
      <c r="U842" s="55">
        <f t="shared" si="39"/>
        <v>1</v>
      </c>
      <c r="V842" s="55">
        <f t="shared" si="40"/>
        <v>0</v>
      </c>
      <c r="W842" s="56">
        <f t="shared" si="41"/>
        <v>943.5</v>
      </c>
    </row>
    <row r="843" spans="1:23" x14ac:dyDescent="0.3">
      <c r="A843" s="13" t="str" cm="1">
        <f t="array" ref="A843:B843">INDEX(BenchmarkResults!$B$1:$D$35,SUMPRODUCT((T843&gt;=BenchmarkResults!$F$3:$F$35)*(mongodb_hardware_log!T843&lt;BenchmarkResults!$G$3:$G$35)*ROW(BenchmarkResults!$F$3:$F$35)),{1,3})</f>
        <v>q2_avg_order_city</v>
      </c>
      <c r="B843">
        <v>2</v>
      </c>
      <c r="C843" s="13">
        <v>1</v>
      </c>
      <c r="D843" s="13">
        <v>0</v>
      </c>
      <c r="E843" s="13">
        <v>133632</v>
      </c>
      <c r="F843" s="13">
        <v>734308</v>
      </c>
      <c r="G843" s="13">
        <v>1548</v>
      </c>
      <c r="H843" s="13">
        <v>1686548</v>
      </c>
      <c r="I843" s="13">
        <v>0</v>
      </c>
      <c r="J843" s="13">
        <v>0</v>
      </c>
      <c r="K843" s="13">
        <v>1055</v>
      </c>
      <c r="L843" s="13">
        <v>10</v>
      </c>
      <c r="M843" s="13">
        <v>780</v>
      </c>
      <c r="N843" s="13">
        <v>287</v>
      </c>
      <c r="O843" s="13">
        <v>33</v>
      </c>
      <c r="P843" s="13">
        <v>1</v>
      </c>
      <c r="Q843" s="13">
        <v>65</v>
      </c>
      <c r="R843" s="13">
        <v>0</v>
      </c>
      <c r="S843" s="13">
        <v>0</v>
      </c>
      <c r="T843" s="23">
        <v>46247.581655092596</v>
      </c>
      <c r="U843" s="55">
        <f t="shared" si="39"/>
        <v>1</v>
      </c>
      <c r="V843" s="55">
        <f t="shared" si="40"/>
        <v>0</v>
      </c>
      <c r="W843" s="56">
        <f t="shared" si="41"/>
        <v>968.16666666666663</v>
      </c>
    </row>
    <row r="844" spans="1:23" x14ac:dyDescent="0.3">
      <c r="A844" s="13" t="str" cm="1">
        <f t="array" ref="A844:B844">INDEX(BenchmarkResults!$B$1:$D$35,SUMPRODUCT((T844&gt;=BenchmarkResults!$F$3:$F$35)*(mongodb_hardware_log!T844&lt;BenchmarkResults!$G$3:$G$35)*ROW(BenchmarkResults!$F$3:$F$35)),{1,3})</f>
        <v>q2_avg_order_city</v>
      </c>
      <c r="B844">
        <v>2</v>
      </c>
      <c r="C844" s="13">
        <v>1</v>
      </c>
      <c r="D844" s="13">
        <v>0</v>
      </c>
      <c r="E844" s="13">
        <v>133632</v>
      </c>
      <c r="F844" s="13">
        <v>704156</v>
      </c>
      <c r="G844" s="13">
        <v>1556</v>
      </c>
      <c r="H844" s="13">
        <v>1714056</v>
      </c>
      <c r="I844" s="13">
        <v>4</v>
      </c>
      <c r="J844" s="13">
        <v>0</v>
      </c>
      <c r="K844" s="13">
        <v>2756</v>
      </c>
      <c r="L844" s="13">
        <v>12</v>
      </c>
      <c r="M844" s="13">
        <v>802</v>
      </c>
      <c r="N844" s="13">
        <v>307</v>
      </c>
      <c r="O844" s="13">
        <v>34</v>
      </c>
      <c r="P844" s="13">
        <v>2</v>
      </c>
      <c r="Q844" s="13">
        <v>63</v>
      </c>
      <c r="R844" s="13">
        <v>1</v>
      </c>
      <c r="S844" s="13">
        <v>0</v>
      </c>
      <c r="T844" s="23">
        <v>46247.581770833334</v>
      </c>
      <c r="U844" s="55">
        <f t="shared" si="39"/>
        <v>1</v>
      </c>
      <c r="V844" s="55">
        <f t="shared" si="40"/>
        <v>0</v>
      </c>
      <c r="W844" s="56">
        <f t="shared" si="41"/>
        <v>1259.1666666666667</v>
      </c>
    </row>
    <row r="845" spans="1:23" x14ac:dyDescent="0.3">
      <c r="A845" s="13" t="str" cm="1">
        <f t="array" ref="A845:B845">INDEX(BenchmarkResults!$B$1:$D$35,SUMPRODUCT((T845&gt;=BenchmarkResults!$F$3:$F$35)*(mongodb_hardware_log!T845&lt;BenchmarkResults!$G$3:$G$35)*ROW(BenchmarkResults!$F$3:$F$35)),{1,3})</f>
        <v>q2_avg_order_city</v>
      </c>
      <c r="B845">
        <v>2</v>
      </c>
      <c r="C845" s="13">
        <v>1</v>
      </c>
      <c r="D845" s="13">
        <v>0</v>
      </c>
      <c r="E845" s="13">
        <v>133632</v>
      </c>
      <c r="F845" s="13">
        <v>699144</v>
      </c>
      <c r="G845" s="13">
        <v>1564</v>
      </c>
      <c r="H845" s="13">
        <v>1722188</v>
      </c>
      <c r="I845" s="13">
        <v>0</v>
      </c>
      <c r="J845" s="13">
        <v>0</v>
      </c>
      <c r="K845" s="13">
        <v>808</v>
      </c>
      <c r="L845" s="13">
        <v>14</v>
      </c>
      <c r="M845" s="13">
        <v>728</v>
      </c>
      <c r="N845" s="13">
        <v>235</v>
      </c>
      <c r="O845" s="13">
        <v>34</v>
      </c>
      <c r="P845" s="13">
        <v>1</v>
      </c>
      <c r="Q845" s="13">
        <v>65</v>
      </c>
      <c r="R845" s="13">
        <v>0</v>
      </c>
      <c r="S845" s="13">
        <v>0</v>
      </c>
      <c r="T845" s="23">
        <v>46247.581886574073</v>
      </c>
      <c r="U845" s="55">
        <f t="shared" si="39"/>
        <v>1</v>
      </c>
      <c r="V845" s="55">
        <f t="shared" si="40"/>
        <v>0</v>
      </c>
      <c r="W845" s="56">
        <f t="shared" si="41"/>
        <v>1236.5</v>
      </c>
    </row>
    <row r="846" spans="1:23" x14ac:dyDescent="0.3">
      <c r="A846" s="13" t="str" cm="1">
        <f t="array" ref="A846:B846">INDEX(BenchmarkResults!$B$1:$D$35,SUMPRODUCT((T846&gt;=BenchmarkResults!$F$3:$F$35)*(mongodb_hardware_log!T846&lt;BenchmarkResults!$G$3:$G$35)*ROW(BenchmarkResults!$F$3:$F$35)),{1,3})</f>
        <v>q2_avg_order_city</v>
      </c>
      <c r="B846">
        <v>2</v>
      </c>
      <c r="C846" s="13">
        <v>1</v>
      </c>
      <c r="D846" s="13">
        <v>0</v>
      </c>
      <c r="E846" s="13">
        <v>133632</v>
      </c>
      <c r="F846" s="13">
        <v>683020</v>
      </c>
      <c r="G846" s="13">
        <v>1572</v>
      </c>
      <c r="H846" s="13">
        <v>1735188</v>
      </c>
      <c r="I846" s="13">
        <v>0</v>
      </c>
      <c r="J846" s="13">
        <v>0</v>
      </c>
      <c r="K846" s="13">
        <v>1309</v>
      </c>
      <c r="L846" s="13">
        <v>18</v>
      </c>
      <c r="M846" s="13">
        <v>747</v>
      </c>
      <c r="N846" s="13">
        <v>232</v>
      </c>
      <c r="O846" s="13">
        <v>33</v>
      </c>
      <c r="P846" s="13">
        <v>1</v>
      </c>
      <c r="Q846" s="13">
        <v>64</v>
      </c>
      <c r="R846" s="13">
        <v>1</v>
      </c>
      <c r="S846" s="13">
        <v>0</v>
      </c>
      <c r="T846" s="23">
        <v>46247.582002314812</v>
      </c>
      <c r="U846" s="55">
        <f t="shared" si="39"/>
        <v>1</v>
      </c>
      <c r="V846" s="55">
        <f t="shared" si="40"/>
        <v>0</v>
      </c>
      <c r="W846" s="56">
        <f t="shared" si="41"/>
        <v>1291.6666666666667</v>
      </c>
    </row>
    <row r="847" spans="1:23" x14ac:dyDescent="0.3">
      <c r="A847" s="13" t="str" cm="1">
        <f t="array" ref="A847:B847">INDEX(BenchmarkResults!$B$1:$D$35,SUMPRODUCT((T847&gt;=BenchmarkResults!$F$3:$F$35)*(mongodb_hardware_log!T847&lt;BenchmarkResults!$G$3:$G$35)*ROW(BenchmarkResults!$F$3:$F$35)),{1,3})</f>
        <v>q2_avg_order_city</v>
      </c>
      <c r="B847">
        <v>2</v>
      </c>
      <c r="C847" s="13">
        <v>1</v>
      </c>
      <c r="D847" s="13">
        <v>0</v>
      </c>
      <c r="E847" s="13">
        <v>133632</v>
      </c>
      <c r="F847" s="13">
        <v>675560</v>
      </c>
      <c r="G847" s="13">
        <v>1596</v>
      </c>
      <c r="H847" s="13">
        <v>1741652</v>
      </c>
      <c r="I847" s="13">
        <v>0</v>
      </c>
      <c r="J847" s="13">
        <v>0</v>
      </c>
      <c r="K847" s="13">
        <v>639</v>
      </c>
      <c r="L847" s="13">
        <v>61</v>
      </c>
      <c r="M847" s="13">
        <v>713</v>
      </c>
      <c r="N847" s="13">
        <v>219</v>
      </c>
      <c r="O847" s="13">
        <v>34</v>
      </c>
      <c r="P847" s="13">
        <v>1</v>
      </c>
      <c r="Q847" s="13">
        <v>65</v>
      </c>
      <c r="R847" s="13">
        <v>0</v>
      </c>
      <c r="S847" s="13">
        <v>0</v>
      </c>
      <c r="T847" s="23">
        <v>46247.582118055558</v>
      </c>
      <c r="U847" s="55">
        <f t="shared" si="39"/>
        <v>1</v>
      </c>
      <c r="V847" s="55">
        <f t="shared" si="40"/>
        <v>0</v>
      </c>
      <c r="W847" s="56">
        <f t="shared" si="41"/>
        <v>1254.1666666666667</v>
      </c>
    </row>
    <row r="848" spans="1:23" x14ac:dyDescent="0.3">
      <c r="A848" s="13" t="str" cm="1">
        <f t="array" ref="A848:B848">INDEX(BenchmarkResults!$B$1:$D$35,SUMPRODUCT((T848&gt;=BenchmarkResults!$F$3:$F$35)*(mongodb_hardware_log!T848&lt;BenchmarkResults!$G$3:$G$35)*ROW(BenchmarkResults!$F$3:$F$35)),{1,3})</f>
        <v>q2_avg_order_city</v>
      </c>
      <c r="B848">
        <v>2</v>
      </c>
      <c r="C848" s="13">
        <v>1</v>
      </c>
      <c r="D848" s="13">
        <v>0</v>
      </c>
      <c r="E848" s="13">
        <v>133632</v>
      </c>
      <c r="F848" s="13">
        <v>666488</v>
      </c>
      <c r="G848" s="13">
        <v>1604</v>
      </c>
      <c r="H848" s="13">
        <v>1753404</v>
      </c>
      <c r="I848" s="13">
        <v>0</v>
      </c>
      <c r="J848" s="13">
        <v>0</v>
      </c>
      <c r="K848" s="13">
        <v>1173</v>
      </c>
      <c r="L848" s="13">
        <v>17</v>
      </c>
      <c r="M848" s="13">
        <v>699</v>
      </c>
      <c r="N848" s="13">
        <v>199</v>
      </c>
      <c r="O848" s="13">
        <v>33</v>
      </c>
      <c r="P848" s="13">
        <v>1</v>
      </c>
      <c r="Q848" s="13">
        <v>65</v>
      </c>
      <c r="R848" s="13">
        <v>0</v>
      </c>
      <c r="S848" s="13">
        <v>0</v>
      </c>
      <c r="T848" s="23">
        <v>46247.582233796296</v>
      </c>
      <c r="U848" s="55">
        <f t="shared" si="39"/>
        <v>1</v>
      </c>
      <c r="V848" s="55">
        <f t="shared" si="40"/>
        <v>0</v>
      </c>
      <c r="W848" s="56">
        <f t="shared" si="41"/>
        <v>1290</v>
      </c>
    </row>
    <row r="849" spans="1:23" x14ac:dyDescent="0.3">
      <c r="A849" s="13" t="str" cm="1">
        <f t="array" ref="A849:B849">INDEX(BenchmarkResults!$B$1:$D$35,SUMPRODUCT((T849&gt;=BenchmarkResults!$F$3:$F$35)*(mongodb_hardware_log!T849&lt;BenchmarkResults!$G$3:$G$35)*ROW(BenchmarkResults!$F$3:$F$35)),{1,3})</f>
        <v>q2_avg_order_city</v>
      </c>
      <c r="B849">
        <v>2</v>
      </c>
      <c r="C849" s="13">
        <v>1</v>
      </c>
      <c r="D849" s="13">
        <v>0</v>
      </c>
      <c r="E849" s="13">
        <v>133632</v>
      </c>
      <c r="F849" s="13">
        <v>649352</v>
      </c>
      <c r="G849" s="13">
        <v>1612</v>
      </c>
      <c r="H849" s="13">
        <v>1768352</v>
      </c>
      <c r="I849" s="13">
        <v>0</v>
      </c>
      <c r="J849" s="13">
        <v>0</v>
      </c>
      <c r="K849" s="13">
        <v>1499</v>
      </c>
      <c r="L849" s="13">
        <v>10</v>
      </c>
      <c r="M849" s="13">
        <v>725</v>
      </c>
      <c r="N849" s="13">
        <v>218</v>
      </c>
      <c r="O849" s="13">
        <v>33</v>
      </c>
      <c r="P849" s="13">
        <v>1</v>
      </c>
      <c r="Q849" s="13">
        <v>64</v>
      </c>
      <c r="R849" s="13">
        <v>1</v>
      </c>
      <c r="S849" s="13">
        <v>0</v>
      </c>
      <c r="T849" s="23">
        <v>46247.582349537035</v>
      </c>
      <c r="U849" s="55">
        <f t="shared" si="39"/>
        <v>1</v>
      </c>
      <c r="V849" s="55">
        <f t="shared" si="40"/>
        <v>0</v>
      </c>
      <c r="W849" s="56">
        <f t="shared" si="41"/>
        <v>1364</v>
      </c>
    </row>
    <row r="850" spans="1:23" x14ac:dyDescent="0.3">
      <c r="A850" s="13" t="str" cm="1">
        <f t="array" ref="A850:B850">INDEX(BenchmarkResults!$B$1:$D$35,SUMPRODUCT((T850&gt;=BenchmarkResults!$F$3:$F$35)*(mongodb_hardware_log!T850&lt;BenchmarkResults!$G$3:$G$35)*ROW(BenchmarkResults!$F$3:$F$35)),{1,3})</f>
        <v>q2_avg_order_city</v>
      </c>
      <c r="B850">
        <v>2</v>
      </c>
      <c r="C850" s="13">
        <v>1</v>
      </c>
      <c r="D850" s="13">
        <v>0</v>
      </c>
      <c r="E850" s="13">
        <v>133632</v>
      </c>
      <c r="F850" s="13">
        <v>638264</v>
      </c>
      <c r="G850" s="13">
        <v>1620</v>
      </c>
      <c r="H850" s="13">
        <v>1776884</v>
      </c>
      <c r="I850" s="13">
        <v>0</v>
      </c>
      <c r="J850" s="13">
        <v>0</v>
      </c>
      <c r="K850" s="13">
        <v>858</v>
      </c>
      <c r="L850" s="13">
        <v>23</v>
      </c>
      <c r="M850" s="13">
        <v>712</v>
      </c>
      <c r="N850" s="13">
        <v>210</v>
      </c>
      <c r="O850" s="13">
        <v>33</v>
      </c>
      <c r="P850" s="13">
        <v>1</v>
      </c>
      <c r="Q850" s="13">
        <v>65</v>
      </c>
      <c r="R850" s="13">
        <v>0</v>
      </c>
      <c r="S850" s="13">
        <v>0</v>
      </c>
      <c r="T850" s="23">
        <v>46247.582465277781</v>
      </c>
      <c r="U850" s="55">
        <f t="shared" si="39"/>
        <v>1</v>
      </c>
      <c r="V850" s="55">
        <f t="shared" si="40"/>
        <v>0</v>
      </c>
      <c r="W850" s="56">
        <f t="shared" si="41"/>
        <v>1047.6666666666667</v>
      </c>
    </row>
    <row r="851" spans="1:23" x14ac:dyDescent="0.3">
      <c r="A851" s="13" t="str" cm="1">
        <f t="array" ref="A851:B851">INDEX(BenchmarkResults!$B$1:$D$35,SUMPRODUCT((T851&gt;=BenchmarkResults!$F$3:$F$35)*(mongodb_hardware_log!T851&lt;BenchmarkResults!$G$3:$G$35)*ROW(BenchmarkResults!$F$3:$F$35)),{1,3})</f>
        <v>q2_avg_order_city</v>
      </c>
      <c r="B851">
        <v>2</v>
      </c>
      <c r="C851" s="13">
        <v>1</v>
      </c>
      <c r="D851" s="13">
        <v>0</v>
      </c>
      <c r="E851" s="13">
        <v>133632</v>
      </c>
      <c r="F851" s="13">
        <v>630200</v>
      </c>
      <c r="G851" s="13">
        <v>1628</v>
      </c>
      <c r="H851" s="13">
        <v>1786988</v>
      </c>
      <c r="I851" s="13">
        <v>0</v>
      </c>
      <c r="J851" s="13">
        <v>0</v>
      </c>
      <c r="K851" s="13">
        <v>1010</v>
      </c>
      <c r="L851" s="13">
        <v>11</v>
      </c>
      <c r="M851" s="13">
        <v>709</v>
      </c>
      <c r="N851" s="13">
        <v>217</v>
      </c>
      <c r="O851" s="13">
        <v>33</v>
      </c>
      <c r="P851" s="13">
        <v>1</v>
      </c>
      <c r="Q851" s="13">
        <v>65</v>
      </c>
      <c r="R851" s="13">
        <v>0</v>
      </c>
      <c r="S851" s="13">
        <v>0</v>
      </c>
      <c r="T851" s="23">
        <v>46247.58258101852</v>
      </c>
      <c r="U851" s="55">
        <f t="shared" si="39"/>
        <v>1</v>
      </c>
      <c r="V851" s="55">
        <f t="shared" si="40"/>
        <v>0</v>
      </c>
      <c r="W851" s="56">
        <f t="shared" si="41"/>
        <v>1081.3333333333333</v>
      </c>
    </row>
    <row r="852" spans="1:23" x14ac:dyDescent="0.3">
      <c r="A852" s="13" t="str" cm="1">
        <f t="array" ref="A852:B852">INDEX(BenchmarkResults!$B$1:$D$35,SUMPRODUCT((T852&gt;=BenchmarkResults!$F$3:$F$35)*(mongodb_hardware_log!T852&lt;BenchmarkResults!$G$3:$G$35)*ROW(BenchmarkResults!$F$3:$F$35)),{1,3})</f>
        <v>q2_avg_order_city</v>
      </c>
      <c r="B852">
        <v>2</v>
      </c>
      <c r="C852" s="13">
        <v>1</v>
      </c>
      <c r="D852" s="13">
        <v>0</v>
      </c>
      <c r="E852" s="13">
        <v>133632</v>
      </c>
      <c r="F852" s="13">
        <v>614324</v>
      </c>
      <c r="G852" s="13">
        <v>1636</v>
      </c>
      <c r="H852" s="13">
        <v>1797812</v>
      </c>
      <c r="I852" s="13">
        <v>0</v>
      </c>
      <c r="J852" s="13">
        <v>0</v>
      </c>
      <c r="K852" s="13">
        <v>1073</v>
      </c>
      <c r="L852" s="13">
        <v>10</v>
      </c>
      <c r="M852" s="13">
        <v>718</v>
      </c>
      <c r="N852" s="13">
        <v>205</v>
      </c>
      <c r="O852" s="13">
        <v>33</v>
      </c>
      <c r="P852" s="13">
        <v>1</v>
      </c>
      <c r="Q852" s="13">
        <v>65</v>
      </c>
      <c r="R852" s="13">
        <v>0</v>
      </c>
      <c r="S852" s="13">
        <v>0</v>
      </c>
      <c r="T852" s="23">
        <v>46247.582696759258</v>
      </c>
      <c r="U852" s="55">
        <f t="shared" si="39"/>
        <v>1</v>
      </c>
      <c r="V852" s="55">
        <f t="shared" si="40"/>
        <v>0</v>
      </c>
      <c r="W852" s="56">
        <f t="shared" si="41"/>
        <v>1042</v>
      </c>
    </row>
    <row r="853" spans="1:23" x14ac:dyDescent="0.3">
      <c r="A853" s="13" t="str" cm="1">
        <f t="array" ref="A853:B853">INDEX(BenchmarkResults!$B$1:$D$35,SUMPRODUCT((T853&gt;=BenchmarkResults!$F$3:$F$35)*(mongodb_hardware_log!T853&lt;BenchmarkResults!$G$3:$G$35)*ROW(BenchmarkResults!$F$3:$F$35)),{1,3})</f>
        <v>q2_avg_order_city</v>
      </c>
      <c r="B853">
        <v>2</v>
      </c>
      <c r="C853" s="13">
        <v>1</v>
      </c>
      <c r="D853" s="13">
        <v>0</v>
      </c>
      <c r="E853" s="13">
        <v>133632</v>
      </c>
      <c r="F853" s="13">
        <v>613568</v>
      </c>
      <c r="G853" s="13">
        <v>1692</v>
      </c>
      <c r="H853" s="13">
        <v>1807888</v>
      </c>
      <c r="I853" s="13">
        <v>0</v>
      </c>
      <c r="J853" s="13">
        <v>0</v>
      </c>
      <c r="K853" s="13">
        <v>1000</v>
      </c>
      <c r="L853" s="13">
        <v>38</v>
      </c>
      <c r="M853" s="13">
        <v>782</v>
      </c>
      <c r="N853" s="13">
        <v>289</v>
      </c>
      <c r="O853" s="13">
        <v>33</v>
      </c>
      <c r="P853" s="13">
        <v>1</v>
      </c>
      <c r="Q853" s="13">
        <v>64</v>
      </c>
      <c r="R853" s="13">
        <v>2</v>
      </c>
      <c r="S853" s="13">
        <v>0</v>
      </c>
      <c r="T853" s="23">
        <v>46247.582812499997</v>
      </c>
      <c r="U853" s="55">
        <f t="shared" si="39"/>
        <v>1</v>
      </c>
      <c r="V853" s="55">
        <f t="shared" si="40"/>
        <v>0</v>
      </c>
      <c r="W853" s="56">
        <f t="shared" si="41"/>
        <v>1102.1666666666667</v>
      </c>
    </row>
    <row r="854" spans="1:23" x14ac:dyDescent="0.3">
      <c r="A854" s="13" t="str" cm="1">
        <f t="array" ref="A854:B854">INDEX(BenchmarkResults!$B$1:$D$35,SUMPRODUCT((T854&gt;=BenchmarkResults!$F$3:$F$35)*(mongodb_hardware_log!T854&lt;BenchmarkResults!$G$3:$G$35)*ROW(BenchmarkResults!$F$3:$F$35)),{1,3})</f>
        <v>q2_avg_order_city</v>
      </c>
      <c r="B854">
        <v>2</v>
      </c>
      <c r="C854" s="13">
        <v>1</v>
      </c>
      <c r="D854" s="13">
        <v>0</v>
      </c>
      <c r="E854" s="13">
        <v>133632</v>
      </c>
      <c r="F854" s="13">
        <v>598196</v>
      </c>
      <c r="G854" s="13">
        <v>1700</v>
      </c>
      <c r="H854" s="13">
        <v>1817112</v>
      </c>
      <c r="I854" s="13">
        <v>3</v>
      </c>
      <c r="J854" s="13">
        <v>0</v>
      </c>
      <c r="K854" s="13">
        <v>926</v>
      </c>
      <c r="L854" s="13">
        <v>6</v>
      </c>
      <c r="M854" s="13">
        <v>727</v>
      </c>
      <c r="N854" s="13">
        <v>210</v>
      </c>
      <c r="O854" s="13">
        <v>33</v>
      </c>
      <c r="P854" s="13">
        <v>2</v>
      </c>
      <c r="Q854" s="13">
        <v>64</v>
      </c>
      <c r="R854" s="13">
        <v>0</v>
      </c>
      <c r="S854" s="13">
        <v>1</v>
      </c>
      <c r="T854" s="23">
        <v>46247.582928240743</v>
      </c>
      <c r="U854" s="55">
        <f t="shared" si="39"/>
        <v>1</v>
      </c>
      <c r="V854" s="55">
        <f t="shared" si="40"/>
        <v>0</v>
      </c>
      <c r="W854" s="56">
        <f t="shared" si="41"/>
        <v>1061</v>
      </c>
    </row>
    <row r="855" spans="1:23" x14ac:dyDescent="0.3">
      <c r="A855" s="13" t="str" cm="1">
        <f t="array" ref="A855:B855">INDEX(BenchmarkResults!$B$1:$D$35,SUMPRODUCT((T855&gt;=BenchmarkResults!$F$3:$F$35)*(mongodb_hardware_log!T855&lt;BenchmarkResults!$G$3:$G$35)*ROW(BenchmarkResults!$F$3:$F$35)),{1,3})</f>
        <v>q2_avg_order_city</v>
      </c>
      <c r="B855">
        <v>2</v>
      </c>
      <c r="C855" s="13">
        <v>1</v>
      </c>
      <c r="D855" s="13">
        <v>0</v>
      </c>
      <c r="E855" s="13">
        <v>133632</v>
      </c>
      <c r="F855" s="13">
        <v>594680</v>
      </c>
      <c r="G855" s="13">
        <v>1716</v>
      </c>
      <c r="H855" s="13">
        <v>1827460</v>
      </c>
      <c r="I855" s="13">
        <v>0</v>
      </c>
      <c r="J855" s="13">
        <v>0</v>
      </c>
      <c r="K855" s="13">
        <v>1033</v>
      </c>
      <c r="L855" s="13">
        <v>21</v>
      </c>
      <c r="M855" s="13">
        <v>805</v>
      </c>
      <c r="N855" s="13">
        <v>302</v>
      </c>
      <c r="O855" s="13">
        <v>33</v>
      </c>
      <c r="P855" s="13">
        <v>1</v>
      </c>
      <c r="Q855" s="13">
        <v>64</v>
      </c>
      <c r="R855" s="13">
        <v>1</v>
      </c>
      <c r="S855" s="13">
        <v>1</v>
      </c>
      <c r="T855" s="23">
        <v>46247.583043981482</v>
      </c>
      <c r="U855" s="55">
        <f t="shared" si="39"/>
        <v>1</v>
      </c>
      <c r="V855" s="55">
        <f t="shared" si="40"/>
        <v>0</v>
      </c>
      <c r="W855" s="56">
        <f t="shared" si="41"/>
        <v>983.33333333333337</v>
      </c>
    </row>
    <row r="856" spans="1:23" x14ac:dyDescent="0.3">
      <c r="A856" s="13" t="str" cm="1">
        <f t="array" ref="A856:B856">INDEX(BenchmarkResults!$B$1:$D$35,SUMPRODUCT((T856&gt;=BenchmarkResults!$F$3:$F$35)*(mongodb_hardware_log!T856&lt;BenchmarkResults!$G$3:$G$35)*ROW(BenchmarkResults!$F$3:$F$35)),{1,3})</f>
        <v>q2_avg_order_city</v>
      </c>
      <c r="B856">
        <v>2</v>
      </c>
      <c r="C856" s="13">
        <v>1</v>
      </c>
      <c r="D856" s="13">
        <v>0</v>
      </c>
      <c r="E856" s="13">
        <v>133632</v>
      </c>
      <c r="F856" s="13">
        <v>582584</v>
      </c>
      <c r="G856" s="13">
        <v>1724</v>
      </c>
      <c r="H856" s="13">
        <v>1836068</v>
      </c>
      <c r="I856" s="13">
        <v>0</v>
      </c>
      <c r="J856" s="13">
        <v>0</v>
      </c>
      <c r="K856" s="13">
        <v>868</v>
      </c>
      <c r="L856" s="13">
        <v>14</v>
      </c>
      <c r="M856" s="13">
        <v>719</v>
      </c>
      <c r="N856" s="13">
        <v>216</v>
      </c>
      <c r="O856" s="13">
        <v>33</v>
      </c>
      <c r="P856" s="13">
        <v>1</v>
      </c>
      <c r="Q856" s="13">
        <v>65</v>
      </c>
      <c r="R856" s="13">
        <v>0</v>
      </c>
      <c r="S856" s="13">
        <v>0</v>
      </c>
      <c r="T856" s="23">
        <v>46247.58315972222</v>
      </c>
      <c r="U856" s="55">
        <f t="shared" si="39"/>
        <v>1</v>
      </c>
      <c r="V856" s="55">
        <f t="shared" si="40"/>
        <v>0</v>
      </c>
      <c r="W856" s="56">
        <f t="shared" si="41"/>
        <v>985</v>
      </c>
    </row>
    <row r="857" spans="1:23" x14ac:dyDescent="0.3">
      <c r="A857" s="13" t="str" cm="1">
        <f t="array" ref="A857:B857">INDEX(BenchmarkResults!$B$1:$D$35,SUMPRODUCT((T857&gt;=BenchmarkResults!$F$3:$F$35)*(mongodb_hardware_log!T857&lt;BenchmarkResults!$G$3:$G$35)*ROW(BenchmarkResults!$F$3:$F$35)),{1,3})</f>
        <v>q2_avg_order_city</v>
      </c>
      <c r="B857">
        <v>2</v>
      </c>
      <c r="C857" s="13">
        <v>1</v>
      </c>
      <c r="D857" s="13">
        <v>0</v>
      </c>
      <c r="E857" s="13">
        <v>133632</v>
      </c>
      <c r="F857" s="13">
        <v>573008</v>
      </c>
      <c r="G857" s="13">
        <v>1732</v>
      </c>
      <c r="H857" s="13">
        <v>1844800</v>
      </c>
      <c r="I857" s="13">
        <v>0</v>
      </c>
      <c r="J857" s="13">
        <v>0</v>
      </c>
      <c r="K857" s="13">
        <v>872</v>
      </c>
      <c r="L857" s="13">
        <v>9</v>
      </c>
      <c r="M857" s="13">
        <v>716</v>
      </c>
      <c r="N857" s="13">
        <v>217</v>
      </c>
      <c r="O857" s="13">
        <v>33</v>
      </c>
      <c r="P857" s="13">
        <v>1</v>
      </c>
      <c r="Q857" s="13">
        <v>65</v>
      </c>
      <c r="R857" s="13">
        <v>0</v>
      </c>
      <c r="S857" s="13">
        <v>0</v>
      </c>
      <c r="T857" s="23">
        <v>46247.583275462966</v>
      </c>
      <c r="U857" s="55">
        <f t="shared" si="39"/>
        <v>1</v>
      </c>
      <c r="V857" s="55">
        <f t="shared" si="40"/>
        <v>0</v>
      </c>
      <c r="W857" s="56">
        <f t="shared" si="41"/>
        <v>962</v>
      </c>
    </row>
    <row r="858" spans="1:23" x14ac:dyDescent="0.3">
      <c r="A858" s="13" t="str" cm="1">
        <f t="array" ref="A858:B858">INDEX(BenchmarkResults!$B$1:$D$35,SUMPRODUCT((T858&gt;=BenchmarkResults!$F$3:$F$35)*(mongodb_hardware_log!T858&lt;BenchmarkResults!$G$3:$G$35)*ROW(BenchmarkResults!$F$3:$F$35)),{1,3})</f>
        <v>q2_avg_order_city</v>
      </c>
      <c r="B858">
        <v>2</v>
      </c>
      <c r="C858" s="13">
        <v>1</v>
      </c>
      <c r="D858" s="13">
        <v>0</v>
      </c>
      <c r="E858" s="13">
        <v>133632</v>
      </c>
      <c r="F858" s="13">
        <v>564944</v>
      </c>
      <c r="G858" s="13">
        <v>1748</v>
      </c>
      <c r="H858" s="13">
        <v>1854200</v>
      </c>
      <c r="I858" s="13">
        <v>0</v>
      </c>
      <c r="J858" s="13">
        <v>0</v>
      </c>
      <c r="K858" s="13">
        <v>933</v>
      </c>
      <c r="L858" s="13">
        <v>27</v>
      </c>
      <c r="M858" s="13">
        <v>729</v>
      </c>
      <c r="N858" s="13">
        <v>210</v>
      </c>
      <c r="O858" s="13">
        <v>33</v>
      </c>
      <c r="P858" s="13">
        <v>1</v>
      </c>
      <c r="Q858" s="13">
        <v>65</v>
      </c>
      <c r="R858" s="13">
        <v>0</v>
      </c>
      <c r="S858" s="13">
        <v>1</v>
      </c>
      <c r="T858" s="23">
        <v>46247.583391203705</v>
      </c>
      <c r="U858" s="55">
        <f t="shared" si="39"/>
        <v>1</v>
      </c>
      <c r="V858" s="55">
        <f t="shared" si="40"/>
        <v>0</v>
      </c>
      <c r="W858" s="56">
        <f t="shared" si="41"/>
        <v>938.66666666666663</v>
      </c>
    </row>
    <row r="859" spans="1:23" x14ac:dyDescent="0.3">
      <c r="A859" s="13" t="str" cm="1">
        <f t="array" ref="A859:B859">INDEX(BenchmarkResults!$B$1:$D$35,SUMPRODUCT((T859&gt;=BenchmarkResults!$F$3:$F$35)*(mongodb_hardware_log!T859&lt;BenchmarkResults!$G$3:$G$35)*ROW(BenchmarkResults!$F$3:$F$35)),{1,3})</f>
        <v>q2_avg_order_city</v>
      </c>
      <c r="B859">
        <v>2</v>
      </c>
      <c r="C859" s="13">
        <v>1</v>
      </c>
      <c r="D859" s="13">
        <v>0</v>
      </c>
      <c r="E859" s="13">
        <v>133632</v>
      </c>
      <c r="F859" s="13">
        <v>549824</v>
      </c>
      <c r="G859" s="13">
        <v>1772</v>
      </c>
      <c r="H859" s="13">
        <v>1863416</v>
      </c>
      <c r="I859" s="13">
        <v>0</v>
      </c>
      <c r="J859" s="13">
        <v>0</v>
      </c>
      <c r="K859" s="13">
        <v>931</v>
      </c>
      <c r="L859" s="13">
        <v>26</v>
      </c>
      <c r="M859" s="13">
        <v>715</v>
      </c>
      <c r="N859" s="13">
        <v>214</v>
      </c>
      <c r="O859" s="13">
        <v>33</v>
      </c>
      <c r="P859" s="13">
        <v>1</v>
      </c>
      <c r="Q859" s="13">
        <v>65</v>
      </c>
      <c r="R859" s="13">
        <v>0</v>
      </c>
      <c r="S859" s="13">
        <v>1</v>
      </c>
      <c r="T859" s="23">
        <v>46247.583506944444</v>
      </c>
      <c r="U859" s="55">
        <f t="shared" si="39"/>
        <v>1</v>
      </c>
      <c r="V859" s="55">
        <f t="shared" si="40"/>
        <v>0</v>
      </c>
      <c r="W859" s="56">
        <f t="shared" si="41"/>
        <v>927.16666666666663</v>
      </c>
    </row>
    <row r="860" spans="1:23" x14ac:dyDescent="0.3">
      <c r="A860" s="13" t="str" cm="1">
        <f t="array" ref="A860:B860">INDEX(BenchmarkResults!$B$1:$D$35,SUMPRODUCT((T860&gt;=BenchmarkResults!$F$3:$F$35)*(mongodb_hardware_log!T860&lt;BenchmarkResults!$G$3:$G$35)*ROW(BenchmarkResults!$F$3:$F$35)),{1,3})</f>
        <v>q2_avg_order_city</v>
      </c>
      <c r="B860">
        <v>2</v>
      </c>
      <c r="C860" s="13">
        <v>1</v>
      </c>
      <c r="D860" s="13">
        <v>0</v>
      </c>
      <c r="E860" s="13">
        <v>133632</v>
      </c>
      <c r="F860" s="13">
        <v>547616</v>
      </c>
      <c r="G860" s="13">
        <v>1780</v>
      </c>
      <c r="H860" s="13">
        <v>1872772</v>
      </c>
      <c r="I860" s="13">
        <v>0</v>
      </c>
      <c r="J860" s="13">
        <v>0</v>
      </c>
      <c r="K860" s="13">
        <v>926</v>
      </c>
      <c r="L860" s="13">
        <v>24</v>
      </c>
      <c r="M860" s="13">
        <v>743</v>
      </c>
      <c r="N860" s="13">
        <v>242</v>
      </c>
      <c r="O860" s="13">
        <v>33</v>
      </c>
      <c r="P860" s="13">
        <v>1</v>
      </c>
      <c r="Q860" s="13">
        <v>64</v>
      </c>
      <c r="R860" s="13">
        <v>1</v>
      </c>
      <c r="S860" s="13">
        <v>0</v>
      </c>
      <c r="T860" s="23">
        <v>46247.583622685182</v>
      </c>
      <c r="U860" s="55">
        <f t="shared" si="39"/>
        <v>1</v>
      </c>
      <c r="V860" s="55">
        <f t="shared" si="40"/>
        <v>0</v>
      </c>
      <c r="W860" s="56">
        <f t="shared" si="41"/>
        <v>927.16666666666663</v>
      </c>
    </row>
    <row r="861" spans="1:23" x14ac:dyDescent="0.3">
      <c r="A861" s="13" t="str" cm="1">
        <f t="array" ref="A861:B861">INDEX(BenchmarkResults!$B$1:$D$35,SUMPRODUCT((T861&gt;=BenchmarkResults!$F$3:$F$35)*(mongodb_hardware_log!T861&lt;BenchmarkResults!$G$3:$G$35)*ROW(BenchmarkResults!$F$3:$F$35)),{1,3})</f>
        <v>q2_avg_order_city</v>
      </c>
      <c r="B861">
        <v>2</v>
      </c>
      <c r="C861" s="13">
        <v>1</v>
      </c>
      <c r="D861" s="13">
        <v>0</v>
      </c>
      <c r="E861" s="13">
        <v>133632</v>
      </c>
      <c r="F861" s="13">
        <v>536528</v>
      </c>
      <c r="G861" s="13">
        <v>1788</v>
      </c>
      <c r="H861" s="13">
        <v>1884428</v>
      </c>
      <c r="I861" s="13">
        <v>0</v>
      </c>
      <c r="J861" s="13">
        <v>0</v>
      </c>
      <c r="K861" s="13">
        <v>1175</v>
      </c>
      <c r="L861" s="13">
        <v>9</v>
      </c>
      <c r="M861" s="13">
        <v>698</v>
      </c>
      <c r="N861" s="13">
        <v>198</v>
      </c>
      <c r="O861" s="13">
        <v>33</v>
      </c>
      <c r="P861" s="13">
        <v>1</v>
      </c>
      <c r="Q861" s="13">
        <v>65</v>
      </c>
      <c r="R861" s="13">
        <v>0</v>
      </c>
      <c r="S861" s="13">
        <v>0</v>
      </c>
      <c r="T861" s="23">
        <v>46247.583738425928</v>
      </c>
      <c r="U861" s="55">
        <f t="shared" si="39"/>
        <v>1</v>
      </c>
      <c r="V861" s="55">
        <f t="shared" si="40"/>
        <v>0</v>
      </c>
      <c r="W861" s="56">
        <f t="shared" si="41"/>
        <v>950.83333333333337</v>
      </c>
    </row>
    <row r="862" spans="1:23" x14ac:dyDescent="0.3">
      <c r="A862" s="13" t="str" cm="1">
        <f t="array" ref="A862:B862">INDEX(BenchmarkResults!$B$1:$D$35,SUMPRODUCT((T862&gt;=BenchmarkResults!$F$3:$F$35)*(mongodb_hardware_log!T862&lt;BenchmarkResults!$G$3:$G$35)*ROW(BenchmarkResults!$F$3:$F$35)),{1,3})</f>
        <v>q2_avg_order_city</v>
      </c>
      <c r="B862">
        <v>2</v>
      </c>
      <c r="C862" s="13">
        <v>1</v>
      </c>
      <c r="D862" s="13">
        <v>0</v>
      </c>
      <c r="E862" s="13">
        <v>133376</v>
      </c>
      <c r="F862" s="13">
        <v>525188</v>
      </c>
      <c r="G862" s="13">
        <v>1796</v>
      </c>
      <c r="H862" s="13">
        <v>1896416</v>
      </c>
      <c r="I862" s="13">
        <v>0</v>
      </c>
      <c r="J862" s="13">
        <v>0</v>
      </c>
      <c r="K862" s="13">
        <v>1196</v>
      </c>
      <c r="L862" s="13">
        <v>15</v>
      </c>
      <c r="M862" s="13">
        <v>719</v>
      </c>
      <c r="N862" s="13">
        <v>216</v>
      </c>
      <c r="O862" s="13">
        <v>33</v>
      </c>
      <c r="P862" s="13">
        <v>1</v>
      </c>
      <c r="Q862" s="13">
        <v>65</v>
      </c>
      <c r="R862" s="13">
        <v>0</v>
      </c>
      <c r="S862" s="13">
        <v>0</v>
      </c>
      <c r="T862" s="23">
        <v>46247.583854166667</v>
      </c>
      <c r="U862" s="55">
        <f t="shared" si="39"/>
        <v>1</v>
      </c>
      <c r="V862" s="55">
        <f t="shared" si="40"/>
        <v>0</v>
      </c>
      <c r="W862" s="56">
        <f t="shared" si="41"/>
        <v>1005.5</v>
      </c>
    </row>
    <row r="863" spans="1:23" x14ac:dyDescent="0.3">
      <c r="A863" s="13" t="str" cm="1">
        <f t="array" ref="A863:B863">INDEX(BenchmarkResults!$B$1:$D$35,SUMPRODUCT((T863&gt;=BenchmarkResults!$F$3:$F$35)*(mongodb_hardware_log!T863&lt;BenchmarkResults!$G$3:$G$35)*ROW(BenchmarkResults!$F$3:$F$35)),{1,3})</f>
        <v>q2_avg_order_city</v>
      </c>
      <c r="B863">
        <v>2</v>
      </c>
      <c r="C863" s="13">
        <v>1</v>
      </c>
      <c r="D863" s="13">
        <v>0</v>
      </c>
      <c r="E863" s="13">
        <v>133376</v>
      </c>
      <c r="F863" s="13">
        <v>515540</v>
      </c>
      <c r="G863" s="13">
        <v>1804</v>
      </c>
      <c r="H863" s="13">
        <v>1906360</v>
      </c>
      <c r="I863" s="13">
        <v>1</v>
      </c>
      <c r="J863" s="13">
        <v>0</v>
      </c>
      <c r="K863" s="13">
        <v>993</v>
      </c>
      <c r="L863" s="13">
        <v>12</v>
      </c>
      <c r="M863" s="13">
        <v>725</v>
      </c>
      <c r="N863" s="13">
        <v>230</v>
      </c>
      <c r="O863" s="13">
        <v>33</v>
      </c>
      <c r="P863" s="13">
        <v>1</v>
      </c>
      <c r="Q863" s="13">
        <v>64</v>
      </c>
      <c r="R863" s="13">
        <v>0</v>
      </c>
      <c r="S863" s="13">
        <v>1</v>
      </c>
      <c r="T863" s="23">
        <v>46247.583969907406</v>
      </c>
      <c r="U863" s="55">
        <f t="shared" si="39"/>
        <v>1</v>
      </c>
      <c r="V863" s="55">
        <f t="shared" si="40"/>
        <v>0</v>
      </c>
      <c r="W863" s="56">
        <f t="shared" si="41"/>
        <v>1025.6666666666667</v>
      </c>
    </row>
    <row r="864" spans="1:23" x14ac:dyDescent="0.3">
      <c r="A864" s="13" t="str" cm="1">
        <f t="array" ref="A864:B864">INDEX(BenchmarkResults!$B$1:$D$35,SUMPRODUCT((T864&gt;=BenchmarkResults!$F$3:$F$35)*(mongodb_hardware_log!T864&lt;BenchmarkResults!$G$3:$G$35)*ROW(BenchmarkResults!$F$3:$F$35)),{1,3})</f>
        <v>q2_avg_order_city</v>
      </c>
      <c r="B864">
        <v>2</v>
      </c>
      <c r="C864" s="13">
        <v>1</v>
      </c>
      <c r="D864" s="13">
        <v>0</v>
      </c>
      <c r="E864" s="13">
        <v>133376</v>
      </c>
      <c r="F864" s="13">
        <v>507728</v>
      </c>
      <c r="G864" s="13">
        <v>1828</v>
      </c>
      <c r="H864" s="13">
        <v>1914492</v>
      </c>
      <c r="I864" s="13">
        <v>0</v>
      </c>
      <c r="J864" s="13">
        <v>0</v>
      </c>
      <c r="K864" s="13">
        <v>817</v>
      </c>
      <c r="L864" s="13">
        <v>39</v>
      </c>
      <c r="M864" s="13">
        <v>728</v>
      </c>
      <c r="N864" s="13">
        <v>215</v>
      </c>
      <c r="O864" s="13">
        <v>33</v>
      </c>
      <c r="P864" s="13">
        <v>1</v>
      </c>
      <c r="Q864" s="13">
        <v>65</v>
      </c>
      <c r="R864" s="13">
        <v>0</v>
      </c>
      <c r="S864" s="13">
        <v>1</v>
      </c>
      <c r="T864" s="23">
        <v>46247.584085648145</v>
      </c>
      <c r="U864" s="55">
        <f t="shared" si="39"/>
        <v>1</v>
      </c>
      <c r="V864" s="55">
        <f t="shared" si="40"/>
        <v>0</v>
      </c>
      <c r="W864" s="56">
        <f t="shared" si="41"/>
        <v>1006.3333333333334</v>
      </c>
    </row>
    <row r="865" spans="1:23" x14ac:dyDescent="0.3">
      <c r="A865" s="13" t="str" cm="1">
        <f t="array" ref="A865:B865">INDEX(BenchmarkResults!$B$1:$D$35,SUMPRODUCT((T865&gt;=BenchmarkResults!$F$3:$F$35)*(mongodb_hardware_log!T865&lt;BenchmarkResults!$G$3:$G$35)*ROW(BenchmarkResults!$F$3:$F$35)),{1,3})</f>
        <v>q2_avg_order_city</v>
      </c>
      <c r="B865">
        <v>2</v>
      </c>
      <c r="C865" s="13">
        <v>1</v>
      </c>
      <c r="D865" s="13">
        <v>0</v>
      </c>
      <c r="E865" s="13">
        <v>133376</v>
      </c>
      <c r="F865" s="13">
        <v>500504</v>
      </c>
      <c r="G865" s="13">
        <v>1868</v>
      </c>
      <c r="H865" s="13">
        <v>1923476</v>
      </c>
      <c r="I865" s="13">
        <v>0</v>
      </c>
      <c r="J865" s="13">
        <v>0</v>
      </c>
      <c r="K865" s="13">
        <v>890</v>
      </c>
      <c r="L865" s="13">
        <v>38</v>
      </c>
      <c r="M865" s="13">
        <v>731</v>
      </c>
      <c r="N865" s="13">
        <v>233</v>
      </c>
      <c r="O865" s="13">
        <v>33</v>
      </c>
      <c r="P865" s="13">
        <v>1</v>
      </c>
      <c r="Q865" s="13">
        <v>65</v>
      </c>
      <c r="R865" s="13">
        <v>0</v>
      </c>
      <c r="S865" s="13">
        <v>1</v>
      </c>
      <c r="T865" s="23">
        <v>46247.584201388891</v>
      </c>
      <c r="U865" s="55">
        <f t="shared" si="39"/>
        <v>1</v>
      </c>
      <c r="V865" s="55">
        <f t="shared" si="40"/>
        <v>0</v>
      </c>
      <c r="W865" s="56">
        <f t="shared" si="41"/>
        <v>999.5</v>
      </c>
    </row>
    <row r="866" spans="1:23" x14ac:dyDescent="0.3">
      <c r="A866" s="13" t="str" cm="1">
        <f t="array" ref="A866:B866">INDEX(BenchmarkResults!$B$1:$D$35,SUMPRODUCT((T866&gt;=BenchmarkResults!$F$3:$F$35)*(mongodb_hardware_log!T866&lt;BenchmarkResults!$G$3:$G$35)*ROW(BenchmarkResults!$F$3:$F$35)),{1,3})</f>
        <v>q2_avg_order_city</v>
      </c>
      <c r="B866">
        <v>2</v>
      </c>
      <c r="C866" s="13">
        <v>1</v>
      </c>
      <c r="D866" s="13">
        <v>0</v>
      </c>
      <c r="E866" s="13">
        <v>133376</v>
      </c>
      <c r="F866" s="13">
        <v>488912</v>
      </c>
      <c r="G866" s="13">
        <v>1876</v>
      </c>
      <c r="H866" s="13">
        <v>1932120</v>
      </c>
      <c r="I866" s="13">
        <v>0</v>
      </c>
      <c r="J866" s="13">
        <v>0</v>
      </c>
      <c r="K866" s="13">
        <v>872</v>
      </c>
      <c r="L866" s="13">
        <v>10</v>
      </c>
      <c r="M866" s="13">
        <v>705</v>
      </c>
      <c r="N866" s="13">
        <v>208</v>
      </c>
      <c r="O866" s="13">
        <v>33</v>
      </c>
      <c r="P866" s="13">
        <v>1</v>
      </c>
      <c r="Q866" s="13">
        <v>65</v>
      </c>
      <c r="R866" s="13">
        <v>0</v>
      </c>
      <c r="S866" s="13">
        <v>0</v>
      </c>
      <c r="T866" s="23">
        <v>46247.584317129629</v>
      </c>
      <c r="U866" s="55">
        <f t="shared" si="39"/>
        <v>1</v>
      </c>
      <c r="V866" s="55">
        <f t="shared" si="40"/>
        <v>0</v>
      </c>
      <c r="W866" s="56">
        <f t="shared" si="41"/>
        <v>990.5</v>
      </c>
    </row>
    <row r="867" spans="1:23" x14ac:dyDescent="0.3">
      <c r="A867" s="13" t="str" cm="1">
        <f t="array" ref="A867:B867">INDEX(BenchmarkResults!$B$1:$D$35,SUMPRODUCT((T867&gt;=BenchmarkResults!$F$3:$F$35)*(mongodb_hardware_log!T867&lt;BenchmarkResults!$G$3:$G$35)*ROW(BenchmarkResults!$F$3:$F$35)),{1,3})</f>
        <v>q2_avg_order_city</v>
      </c>
      <c r="B867">
        <v>2</v>
      </c>
      <c r="C867" s="13">
        <v>1</v>
      </c>
      <c r="D867" s="13">
        <v>0</v>
      </c>
      <c r="E867" s="13">
        <v>133376</v>
      </c>
      <c r="F867" s="13">
        <v>481604</v>
      </c>
      <c r="G867" s="13">
        <v>1884</v>
      </c>
      <c r="H867" s="13">
        <v>1940788</v>
      </c>
      <c r="I867" s="13">
        <v>0</v>
      </c>
      <c r="J867" s="13">
        <v>0</v>
      </c>
      <c r="K867" s="13">
        <v>866</v>
      </c>
      <c r="L867" s="13">
        <v>13</v>
      </c>
      <c r="M867" s="13">
        <v>720</v>
      </c>
      <c r="N867" s="13">
        <v>217</v>
      </c>
      <c r="O867" s="13">
        <v>33</v>
      </c>
      <c r="P867" s="13">
        <v>1</v>
      </c>
      <c r="Q867" s="13">
        <v>65</v>
      </c>
      <c r="R867" s="13">
        <v>1</v>
      </c>
      <c r="S867" s="13">
        <v>0</v>
      </c>
      <c r="T867" s="23">
        <v>46247.584432870368</v>
      </c>
      <c r="U867" s="55">
        <f t="shared" si="39"/>
        <v>1</v>
      </c>
      <c r="V867" s="55">
        <f t="shared" si="40"/>
        <v>0</v>
      </c>
      <c r="W867" s="56">
        <f t="shared" si="41"/>
        <v>939</v>
      </c>
    </row>
    <row r="868" spans="1:23" x14ac:dyDescent="0.3">
      <c r="A868" s="13" t="str" cm="1">
        <f t="array" ref="A868:B868">INDEX(BenchmarkResults!$B$1:$D$35,SUMPRODUCT((T868&gt;=BenchmarkResults!$F$3:$F$35)*(mongodb_hardware_log!T868&lt;BenchmarkResults!$G$3:$G$35)*ROW(BenchmarkResults!$F$3:$F$35)),{1,3})</f>
        <v>q2_avg_order_city</v>
      </c>
      <c r="B868">
        <v>2</v>
      </c>
      <c r="C868" s="13">
        <v>1</v>
      </c>
      <c r="D868" s="13">
        <v>0</v>
      </c>
      <c r="E868" s="13">
        <v>133376</v>
      </c>
      <c r="F868" s="13">
        <v>467492</v>
      </c>
      <c r="G868" s="13">
        <v>1892</v>
      </c>
      <c r="H868" s="13">
        <v>1952108</v>
      </c>
      <c r="I868" s="13">
        <v>0</v>
      </c>
      <c r="J868" s="13">
        <v>0</v>
      </c>
      <c r="K868" s="13">
        <v>1124</v>
      </c>
      <c r="L868" s="13">
        <v>23</v>
      </c>
      <c r="M868" s="13">
        <v>714</v>
      </c>
      <c r="N868" s="13">
        <v>214</v>
      </c>
      <c r="O868" s="13">
        <v>33</v>
      </c>
      <c r="P868" s="13">
        <v>1</v>
      </c>
      <c r="Q868" s="13">
        <v>65</v>
      </c>
      <c r="R868" s="13">
        <v>0</v>
      </c>
      <c r="S868" s="13">
        <v>0</v>
      </c>
      <c r="T868" s="23">
        <v>46247.584548611114</v>
      </c>
      <c r="U868" s="55">
        <f t="shared" si="39"/>
        <v>1</v>
      </c>
      <c r="V868" s="55">
        <f t="shared" si="40"/>
        <v>0</v>
      </c>
      <c r="W868" s="56">
        <f t="shared" si="41"/>
        <v>927</v>
      </c>
    </row>
    <row r="869" spans="1:23" x14ac:dyDescent="0.3">
      <c r="A869" s="13" t="str" cm="1">
        <f t="array" ref="A869:B869">INDEX(BenchmarkResults!$B$1:$D$35,SUMPRODUCT((T869&gt;=BenchmarkResults!$F$3:$F$35)*(mongodb_hardware_log!T869&lt;BenchmarkResults!$G$3:$G$35)*ROW(BenchmarkResults!$F$3:$F$35)),{1,3})</f>
        <v>q2_avg_order_city</v>
      </c>
      <c r="B869">
        <v>2</v>
      </c>
      <c r="C869" s="13">
        <v>1</v>
      </c>
      <c r="D869" s="13">
        <v>0</v>
      </c>
      <c r="E869" s="13">
        <v>133376</v>
      </c>
      <c r="F869" s="13">
        <v>455900</v>
      </c>
      <c r="G869" s="13">
        <v>1900</v>
      </c>
      <c r="H869" s="13">
        <v>1960388</v>
      </c>
      <c r="I869" s="13">
        <v>0</v>
      </c>
      <c r="J869" s="13">
        <v>0</v>
      </c>
      <c r="K869" s="13">
        <v>837</v>
      </c>
      <c r="L869" s="13">
        <v>11</v>
      </c>
      <c r="M869" s="13">
        <v>728</v>
      </c>
      <c r="N869" s="13">
        <v>227</v>
      </c>
      <c r="O869" s="13">
        <v>33</v>
      </c>
      <c r="P869" s="13">
        <v>1</v>
      </c>
      <c r="Q869" s="13">
        <v>65</v>
      </c>
      <c r="R869" s="13">
        <v>0</v>
      </c>
      <c r="S869" s="13">
        <v>0</v>
      </c>
      <c r="T869" s="23">
        <v>46247.584664351853</v>
      </c>
      <c r="U869" s="55">
        <f t="shared" si="39"/>
        <v>1</v>
      </c>
      <c r="V869" s="55">
        <f t="shared" si="40"/>
        <v>0</v>
      </c>
      <c r="W869" s="56">
        <f t="shared" si="41"/>
        <v>901</v>
      </c>
    </row>
    <row r="870" spans="1:23" x14ac:dyDescent="0.3">
      <c r="A870" s="13" t="str" cm="1">
        <f t="array" ref="A870:B870">INDEX(BenchmarkResults!$B$1:$D$35,SUMPRODUCT((T870&gt;=BenchmarkResults!$F$3:$F$35)*(mongodb_hardware_log!T870&lt;BenchmarkResults!$G$3:$G$35)*ROW(BenchmarkResults!$F$3:$F$35)),{1,3})</f>
        <v>q2_avg_order_city</v>
      </c>
      <c r="B870">
        <v>2</v>
      </c>
      <c r="C870" s="13">
        <v>1</v>
      </c>
      <c r="D870" s="13">
        <v>0</v>
      </c>
      <c r="E870" s="13">
        <v>133376</v>
      </c>
      <c r="F870" s="13">
        <v>447836</v>
      </c>
      <c r="G870" s="13">
        <v>1908</v>
      </c>
      <c r="H870" s="13">
        <v>1969404</v>
      </c>
      <c r="I870" s="13">
        <v>0</v>
      </c>
      <c r="J870" s="13">
        <v>0</v>
      </c>
      <c r="K870" s="13">
        <v>897</v>
      </c>
      <c r="L870" s="13">
        <v>11</v>
      </c>
      <c r="M870" s="13">
        <v>722</v>
      </c>
      <c r="N870" s="13">
        <v>207</v>
      </c>
      <c r="O870" s="13">
        <v>33</v>
      </c>
      <c r="P870" s="13">
        <v>1</v>
      </c>
      <c r="Q870" s="13">
        <v>65</v>
      </c>
      <c r="R870" s="13">
        <v>0</v>
      </c>
      <c r="S870" s="13">
        <v>0</v>
      </c>
      <c r="T870" s="23">
        <v>46247.584780092591</v>
      </c>
      <c r="U870" s="55">
        <f t="shared" si="39"/>
        <v>1</v>
      </c>
      <c r="V870" s="55">
        <f t="shared" si="40"/>
        <v>0</v>
      </c>
      <c r="W870" s="56">
        <f t="shared" si="41"/>
        <v>914.33333333333337</v>
      </c>
    </row>
    <row r="871" spans="1:23" x14ac:dyDescent="0.3">
      <c r="A871" s="13" t="str" cm="1">
        <f t="array" ref="A871:B871">INDEX(BenchmarkResults!$B$1:$D$35,SUMPRODUCT((T871&gt;=BenchmarkResults!$F$3:$F$35)*(mongodb_hardware_log!T871&lt;BenchmarkResults!$G$3:$G$35)*ROW(BenchmarkResults!$F$3:$F$35)),{1,3})</f>
        <v>q2_avg_order_city</v>
      </c>
      <c r="B871">
        <v>2</v>
      </c>
      <c r="C871" s="13">
        <v>1</v>
      </c>
      <c r="D871" s="13">
        <v>0</v>
      </c>
      <c r="E871" s="13">
        <v>133376</v>
      </c>
      <c r="F871" s="13">
        <v>431960</v>
      </c>
      <c r="G871" s="13">
        <v>1932</v>
      </c>
      <c r="H871" s="13">
        <v>1980836</v>
      </c>
      <c r="I871" s="13">
        <v>0</v>
      </c>
      <c r="J871" s="13">
        <v>0</v>
      </c>
      <c r="K871" s="13">
        <v>1139</v>
      </c>
      <c r="L871" s="13">
        <v>24</v>
      </c>
      <c r="M871" s="13">
        <v>720</v>
      </c>
      <c r="N871" s="13">
        <v>228</v>
      </c>
      <c r="O871" s="13">
        <v>33</v>
      </c>
      <c r="P871" s="13">
        <v>1</v>
      </c>
      <c r="Q871" s="13">
        <v>65</v>
      </c>
      <c r="R871" s="13">
        <v>1</v>
      </c>
      <c r="S871" s="13">
        <v>0</v>
      </c>
      <c r="T871" s="23">
        <v>46247.58489583333</v>
      </c>
      <c r="U871" s="55">
        <f t="shared" si="39"/>
        <v>1</v>
      </c>
      <c r="V871" s="55">
        <f t="shared" si="40"/>
        <v>0</v>
      </c>
      <c r="W871" s="56">
        <f t="shared" si="41"/>
        <v>955.83333333333337</v>
      </c>
    </row>
    <row r="872" spans="1:23" x14ac:dyDescent="0.3">
      <c r="A872" s="13" t="str" cm="1">
        <f t="array" ref="A872:B872">INDEX(BenchmarkResults!$B$1:$D$35,SUMPRODUCT((T872&gt;=BenchmarkResults!$F$3:$F$35)*(mongodb_hardware_log!T872&lt;BenchmarkResults!$G$3:$G$35)*ROW(BenchmarkResults!$F$3:$F$35)),{1,3})</f>
        <v>q2_avg_order_city</v>
      </c>
      <c r="B872">
        <v>2</v>
      </c>
      <c r="C872" s="13">
        <v>1</v>
      </c>
      <c r="D872" s="13">
        <v>0</v>
      </c>
      <c r="E872" s="13">
        <v>133376</v>
      </c>
      <c r="F872" s="13">
        <v>428432</v>
      </c>
      <c r="G872" s="13">
        <v>1940</v>
      </c>
      <c r="H872" s="13">
        <v>1990828</v>
      </c>
      <c r="I872" s="13">
        <v>0</v>
      </c>
      <c r="J872" s="13">
        <v>0</v>
      </c>
      <c r="K872" s="13">
        <v>1002</v>
      </c>
      <c r="L872" s="13">
        <v>10</v>
      </c>
      <c r="M872" s="13">
        <v>724</v>
      </c>
      <c r="N872" s="13">
        <v>220</v>
      </c>
      <c r="O872" s="13">
        <v>33</v>
      </c>
      <c r="P872" s="13">
        <v>1</v>
      </c>
      <c r="Q872" s="13">
        <v>65</v>
      </c>
      <c r="R872" s="13">
        <v>1</v>
      </c>
      <c r="S872" s="13">
        <v>0</v>
      </c>
      <c r="T872" s="23">
        <v>46247.585011574076</v>
      </c>
      <c r="U872" s="55">
        <f t="shared" si="39"/>
        <v>1</v>
      </c>
      <c r="V872" s="55">
        <f t="shared" si="40"/>
        <v>0</v>
      </c>
      <c r="W872" s="56">
        <f t="shared" si="41"/>
        <v>977.5</v>
      </c>
    </row>
    <row r="873" spans="1:23" x14ac:dyDescent="0.3">
      <c r="A873" s="13" t="str" cm="1">
        <f t="array" ref="A873:B873">INDEX(BenchmarkResults!$B$1:$D$35,SUMPRODUCT((T873&gt;=BenchmarkResults!$F$3:$F$35)*(mongodb_hardware_log!T873&lt;BenchmarkResults!$G$3:$G$35)*ROW(BenchmarkResults!$F$3:$F$35)),{1,3})</f>
        <v>q2_avg_order_city</v>
      </c>
      <c r="B873">
        <v>2</v>
      </c>
      <c r="C873" s="13">
        <v>1</v>
      </c>
      <c r="D873" s="13">
        <v>0</v>
      </c>
      <c r="E873" s="13">
        <v>133376</v>
      </c>
      <c r="F873" s="13">
        <v>416084</v>
      </c>
      <c r="G873" s="13">
        <v>1948</v>
      </c>
      <c r="H873" s="13">
        <v>2003068</v>
      </c>
      <c r="I873" s="13">
        <v>0</v>
      </c>
      <c r="J873" s="13">
        <v>0</v>
      </c>
      <c r="K873" s="13">
        <v>1222</v>
      </c>
      <c r="L873" s="13">
        <v>10</v>
      </c>
      <c r="M873" s="13">
        <v>721</v>
      </c>
      <c r="N873" s="13">
        <v>216</v>
      </c>
      <c r="O873" s="13">
        <v>33</v>
      </c>
      <c r="P873" s="13">
        <v>1</v>
      </c>
      <c r="Q873" s="13">
        <v>65</v>
      </c>
      <c r="R873" s="13">
        <v>0</v>
      </c>
      <c r="S873" s="13">
        <v>0</v>
      </c>
      <c r="T873" s="23">
        <v>46247.585127314815</v>
      </c>
      <c r="U873" s="55">
        <f t="shared" si="39"/>
        <v>1</v>
      </c>
      <c r="V873" s="55">
        <f t="shared" si="40"/>
        <v>0</v>
      </c>
      <c r="W873" s="56">
        <f t="shared" si="41"/>
        <v>1036.8333333333333</v>
      </c>
    </row>
    <row r="874" spans="1:23" x14ac:dyDescent="0.3">
      <c r="A874" s="13" t="str" cm="1">
        <f t="array" ref="A874:B874">INDEX(BenchmarkResults!$B$1:$D$35,SUMPRODUCT((T874&gt;=BenchmarkResults!$F$3:$F$35)*(mongodb_hardware_log!T874&lt;BenchmarkResults!$G$3:$G$35)*ROW(BenchmarkResults!$F$3:$F$35)),{1,3})</f>
        <v>q2_avg_order_city</v>
      </c>
      <c r="B874">
        <v>2</v>
      </c>
      <c r="C874" s="13">
        <v>1</v>
      </c>
      <c r="D874" s="13">
        <v>0</v>
      </c>
      <c r="E874" s="13">
        <v>133376</v>
      </c>
      <c r="F874" s="13">
        <v>398948</v>
      </c>
      <c r="G874" s="13">
        <v>1956</v>
      </c>
      <c r="H874" s="13">
        <v>2011960</v>
      </c>
      <c r="I874" s="13">
        <v>0</v>
      </c>
      <c r="J874" s="13">
        <v>0</v>
      </c>
      <c r="K874" s="13">
        <v>894</v>
      </c>
      <c r="L874" s="13">
        <v>15</v>
      </c>
      <c r="M874" s="13">
        <v>698</v>
      </c>
      <c r="N874" s="13">
        <v>200</v>
      </c>
      <c r="O874" s="13">
        <v>33</v>
      </c>
      <c r="P874" s="13">
        <v>1</v>
      </c>
      <c r="Q874" s="13">
        <v>65</v>
      </c>
      <c r="R874" s="13">
        <v>0</v>
      </c>
      <c r="S874" s="13">
        <v>0</v>
      </c>
      <c r="T874" s="23">
        <v>46247.585243055553</v>
      </c>
      <c r="U874" s="55">
        <f t="shared" si="39"/>
        <v>1</v>
      </c>
      <c r="V874" s="55">
        <f t="shared" si="40"/>
        <v>0</v>
      </c>
      <c r="W874" s="56">
        <f t="shared" si="41"/>
        <v>998.5</v>
      </c>
    </row>
    <row r="875" spans="1:23" x14ac:dyDescent="0.3">
      <c r="A875" s="13" t="str" cm="1">
        <f t="array" ref="A875:B875">INDEX(BenchmarkResults!$B$1:$D$35,SUMPRODUCT((T875&gt;=BenchmarkResults!$F$3:$F$35)*(mongodb_hardware_log!T875&lt;BenchmarkResults!$G$3:$G$35)*ROW(BenchmarkResults!$F$3:$F$35)),{1,3})</f>
        <v>q2_avg_order_city</v>
      </c>
      <c r="B875">
        <v>2</v>
      </c>
      <c r="C875" s="13">
        <v>1</v>
      </c>
      <c r="D875" s="13">
        <v>0</v>
      </c>
      <c r="E875" s="13">
        <v>133376</v>
      </c>
      <c r="F875" s="13">
        <v>394104</v>
      </c>
      <c r="G875" s="13">
        <v>1972</v>
      </c>
      <c r="H875" s="13">
        <v>2022584</v>
      </c>
      <c r="I875" s="13">
        <v>0</v>
      </c>
      <c r="J875" s="13">
        <v>0</v>
      </c>
      <c r="K875" s="13">
        <v>1061</v>
      </c>
      <c r="L875" s="13">
        <v>34</v>
      </c>
      <c r="M875" s="13">
        <v>734</v>
      </c>
      <c r="N875" s="13">
        <v>236</v>
      </c>
      <c r="O875" s="13">
        <v>34</v>
      </c>
      <c r="P875" s="13">
        <v>1</v>
      </c>
      <c r="Q875" s="13">
        <v>64</v>
      </c>
      <c r="R875" s="13">
        <v>0</v>
      </c>
      <c r="S875" s="13">
        <v>0</v>
      </c>
      <c r="T875" s="23">
        <v>46247.585358796299</v>
      </c>
      <c r="U875" s="55">
        <f t="shared" si="39"/>
        <v>1</v>
      </c>
      <c r="V875" s="55">
        <f t="shared" si="40"/>
        <v>0</v>
      </c>
      <c r="W875" s="56">
        <f t="shared" si="41"/>
        <v>1035.8333333333333</v>
      </c>
    </row>
    <row r="876" spans="1:23" x14ac:dyDescent="0.3">
      <c r="A876" s="13" t="str" cm="1">
        <f t="array" ref="A876:B876">INDEX(BenchmarkResults!$B$1:$D$35,SUMPRODUCT((T876&gt;=BenchmarkResults!$F$3:$F$35)*(mongodb_hardware_log!T876&lt;BenchmarkResults!$G$3:$G$35)*ROW(BenchmarkResults!$F$3:$F$35)),{1,3})</f>
        <v>q2_avg_order_city</v>
      </c>
      <c r="B876">
        <v>2</v>
      </c>
      <c r="C876" s="13">
        <v>1</v>
      </c>
      <c r="D876" s="13">
        <v>0</v>
      </c>
      <c r="E876" s="13">
        <v>133376</v>
      </c>
      <c r="F876" s="13">
        <v>378256</v>
      </c>
      <c r="G876" s="13">
        <v>1980</v>
      </c>
      <c r="H876" s="13">
        <v>2033572</v>
      </c>
      <c r="I876" s="13">
        <v>0</v>
      </c>
      <c r="J876" s="13">
        <v>0</v>
      </c>
      <c r="K876" s="13">
        <v>1098</v>
      </c>
      <c r="L876" s="13">
        <v>8</v>
      </c>
      <c r="M876" s="13">
        <v>737</v>
      </c>
      <c r="N876" s="13">
        <v>226</v>
      </c>
      <c r="O876" s="13">
        <v>33</v>
      </c>
      <c r="P876" s="13">
        <v>2</v>
      </c>
      <c r="Q876" s="13">
        <v>64</v>
      </c>
      <c r="R876" s="13">
        <v>0</v>
      </c>
      <c r="S876" s="13">
        <v>0</v>
      </c>
      <c r="T876" s="23">
        <v>46247.585474537038</v>
      </c>
      <c r="U876" s="55">
        <f t="shared" si="39"/>
        <v>1</v>
      </c>
      <c r="V876" s="55">
        <f t="shared" si="40"/>
        <v>0</v>
      </c>
      <c r="W876" s="56">
        <f t="shared" si="41"/>
        <v>1069.3333333333333</v>
      </c>
    </row>
    <row r="877" spans="1:23" x14ac:dyDescent="0.3">
      <c r="A877" s="13" t="str" cm="1">
        <f t="array" ref="A877:B877">INDEX(BenchmarkResults!$B$1:$D$35,SUMPRODUCT((T877&gt;=BenchmarkResults!$F$3:$F$35)*(mongodb_hardware_log!T877&lt;BenchmarkResults!$G$3:$G$35)*ROW(BenchmarkResults!$F$3:$F$35)),{1,3})</f>
        <v>q2_avg_order_city</v>
      </c>
      <c r="B877">
        <v>2</v>
      </c>
      <c r="C877" s="13">
        <v>1</v>
      </c>
      <c r="D877" s="13">
        <v>0</v>
      </c>
      <c r="E877" s="13">
        <v>133376</v>
      </c>
      <c r="F877" s="13">
        <v>367168</v>
      </c>
      <c r="G877" s="13">
        <v>2012</v>
      </c>
      <c r="H877" s="13">
        <v>2042664</v>
      </c>
      <c r="I877" s="13">
        <v>0</v>
      </c>
      <c r="J877" s="13">
        <v>0</v>
      </c>
      <c r="K877" s="13">
        <v>906</v>
      </c>
      <c r="L877" s="13">
        <v>30</v>
      </c>
      <c r="M877" s="13">
        <v>728</v>
      </c>
      <c r="N877" s="13">
        <v>227</v>
      </c>
      <c r="O877" s="13">
        <v>33</v>
      </c>
      <c r="P877" s="13">
        <v>1</v>
      </c>
      <c r="Q877" s="13">
        <v>65</v>
      </c>
      <c r="R877" s="13">
        <v>1</v>
      </c>
      <c r="S877" s="13">
        <v>0</v>
      </c>
      <c r="T877" s="23">
        <v>46247.585590277777</v>
      </c>
      <c r="U877" s="55">
        <f t="shared" si="39"/>
        <v>1</v>
      </c>
      <c r="V877" s="55">
        <f t="shared" si="40"/>
        <v>0</v>
      </c>
      <c r="W877" s="56">
        <f t="shared" si="41"/>
        <v>1030.5</v>
      </c>
    </row>
    <row r="878" spans="1:23" x14ac:dyDescent="0.3">
      <c r="A878" s="13" t="str" cm="1">
        <f t="array" ref="A878:B878">INDEX(BenchmarkResults!$B$1:$D$35,SUMPRODUCT((T878&gt;=BenchmarkResults!$F$3:$F$35)*(mongodb_hardware_log!T878&lt;BenchmarkResults!$G$3:$G$35)*ROW(BenchmarkResults!$F$3:$F$35)),{1,3})</f>
        <v>q2_avg_order_city</v>
      </c>
      <c r="B878">
        <v>2</v>
      </c>
      <c r="C878" s="13">
        <v>1</v>
      </c>
      <c r="D878" s="13">
        <v>0</v>
      </c>
      <c r="E878" s="13">
        <v>133376</v>
      </c>
      <c r="F878" s="13">
        <v>359860</v>
      </c>
      <c r="G878" s="13">
        <v>2028</v>
      </c>
      <c r="H878" s="13">
        <v>2055208</v>
      </c>
      <c r="I878" s="13">
        <v>0</v>
      </c>
      <c r="J878" s="13">
        <v>0</v>
      </c>
      <c r="K878" s="13">
        <v>1260</v>
      </c>
      <c r="L878" s="13">
        <v>17</v>
      </c>
      <c r="M878" s="13">
        <v>708</v>
      </c>
      <c r="N878" s="13">
        <v>206</v>
      </c>
      <c r="O878" s="13">
        <v>33</v>
      </c>
      <c r="P878" s="13">
        <v>1</v>
      </c>
      <c r="Q878" s="13">
        <v>65</v>
      </c>
      <c r="R878" s="13">
        <v>0</v>
      </c>
      <c r="S878" s="13">
        <v>0</v>
      </c>
      <c r="T878" s="23">
        <v>46247.585706018515</v>
      </c>
      <c r="U878" s="55">
        <f t="shared" si="39"/>
        <v>1</v>
      </c>
      <c r="V878" s="55">
        <f t="shared" si="40"/>
        <v>0</v>
      </c>
      <c r="W878" s="56">
        <f t="shared" si="41"/>
        <v>1073.5</v>
      </c>
    </row>
    <row r="879" spans="1:23" x14ac:dyDescent="0.3">
      <c r="A879" s="13" t="str" cm="1">
        <f t="array" ref="A879:B879">INDEX(BenchmarkResults!$B$1:$D$35,SUMPRODUCT((T879&gt;=BenchmarkResults!$F$3:$F$35)*(mongodb_hardware_log!T879&lt;BenchmarkResults!$G$3:$G$35)*ROW(BenchmarkResults!$F$3:$F$35)),{1,3})</f>
        <v>q2_avg_order_city</v>
      </c>
      <c r="B879">
        <v>2</v>
      </c>
      <c r="C879" s="13">
        <v>1</v>
      </c>
      <c r="D879" s="13">
        <v>0</v>
      </c>
      <c r="E879" s="13">
        <v>133376</v>
      </c>
      <c r="F879" s="13">
        <v>347764</v>
      </c>
      <c r="G879" s="13">
        <v>2036</v>
      </c>
      <c r="H879" s="13">
        <v>2064672</v>
      </c>
      <c r="I879" s="13">
        <v>0</v>
      </c>
      <c r="J879" s="13">
        <v>0</v>
      </c>
      <c r="K879" s="13">
        <v>939</v>
      </c>
      <c r="L879" s="13">
        <v>7</v>
      </c>
      <c r="M879" s="13">
        <v>707</v>
      </c>
      <c r="N879" s="13">
        <v>209</v>
      </c>
      <c r="O879" s="13">
        <v>33</v>
      </c>
      <c r="P879" s="13">
        <v>1</v>
      </c>
      <c r="Q879" s="13">
        <v>65</v>
      </c>
      <c r="R879" s="13">
        <v>0</v>
      </c>
      <c r="S879" s="13">
        <v>0</v>
      </c>
      <c r="T879" s="23">
        <v>46247.585821759261</v>
      </c>
      <c r="U879" s="55">
        <f t="shared" si="39"/>
        <v>1</v>
      </c>
      <c r="V879" s="55">
        <f t="shared" si="40"/>
        <v>0</v>
      </c>
      <c r="W879" s="56">
        <f t="shared" si="41"/>
        <v>1026.3333333333333</v>
      </c>
    </row>
    <row r="880" spans="1:23" x14ac:dyDescent="0.3">
      <c r="A880" s="13" t="str" cm="1">
        <f t="array" ref="A880:B880">INDEX(BenchmarkResults!$B$1:$D$35,SUMPRODUCT((T880&gt;=BenchmarkResults!$F$3:$F$35)*(mongodb_hardware_log!T880&lt;BenchmarkResults!$G$3:$G$35)*ROW(BenchmarkResults!$F$3:$F$35)),{1,3})</f>
        <v>q2_avg_order_city</v>
      </c>
      <c r="B880">
        <v>2</v>
      </c>
      <c r="C880" s="13">
        <v>1</v>
      </c>
      <c r="D880" s="13">
        <v>0</v>
      </c>
      <c r="E880" s="13">
        <v>133376</v>
      </c>
      <c r="F880" s="13">
        <v>339452</v>
      </c>
      <c r="G880" s="13">
        <v>2044</v>
      </c>
      <c r="H880" s="13">
        <v>2074468</v>
      </c>
      <c r="I880" s="13">
        <v>0</v>
      </c>
      <c r="J880" s="13">
        <v>0</v>
      </c>
      <c r="K880" s="13">
        <v>989</v>
      </c>
      <c r="L880" s="13">
        <v>12</v>
      </c>
      <c r="M880" s="13">
        <v>709</v>
      </c>
      <c r="N880" s="13">
        <v>209</v>
      </c>
      <c r="O880" s="13">
        <v>33</v>
      </c>
      <c r="P880" s="13">
        <v>1</v>
      </c>
      <c r="Q880" s="13">
        <v>65</v>
      </c>
      <c r="R880" s="13">
        <v>0</v>
      </c>
      <c r="S880" s="13">
        <v>0</v>
      </c>
      <c r="T880" s="23">
        <v>46247.5859375</v>
      </c>
      <c r="U880" s="55">
        <f t="shared" si="39"/>
        <v>1</v>
      </c>
      <c r="V880" s="55">
        <f t="shared" si="40"/>
        <v>0</v>
      </c>
      <c r="W880" s="56">
        <f t="shared" si="41"/>
        <v>1042.1666666666667</v>
      </c>
    </row>
    <row r="881" spans="1:23" x14ac:dyDescent="0.3">
      <c r="A881" s="13" t="str" cm="1">
        <f t="array" ref="A881:B881">INDEX(BenchmarkResults!$B$1:$D$35,SUMPRODUCT((T881&gt;=BenchmarkResults!$F$3:$F$35)*(mongodb_hardware_log!T881&lt;BenchmarkResults!$G$3:$G$35)*ROW(BenchmarkResults!$F$3:$F$35)),{1,3})</f>
        <v>q2_avg_order_city</v>
      </c>
      <c r="B881">
        <v>2</v>
      </c>
      <c r="C881" s="13">
        <v>1</v>
      </c>
      <c r="D881" s="13">
        <v>0</v>
      </c>
      <c r="E881" s="13">
        <v>133376</v>
      </c>
      <c r="F881" s="13">
        <v>332064</v>
      </c>
      <c r="G881" s="13">
        <v>2052</v>
      </c>
      <c r="H881" s="13">
        <v>2084816</v>
      </c>
      <c r="I881" s="13">
        <v>0</v>
      </c>
      <c r="J881" s="13">
        <v>0</v>
      </c>
      <c r="K881" s="13">
        <v>1033</v>
      </c>
      <c r="L881" s="13">
        <v>20</v>
      </c>
      <c r="M881" s="13">
        <v>715</v>
      </c>
      <c r="N881" s="13">
        <v>216</v>
      </c>
      <c r="O881" s="13">
        <v>34</v>
      </c>
      <c r="P881" s="13">
        <v>1</v>
      </c>
      <c r="Q881" s="13">
        <v>65</v>
      </c>
      <c r="R881" s="13">
        <v>0</v>
      </c>
      <c r="S881" s="13">
        <v>0</v>
      </c>
      <c r="T881" s="23">
        <v>46247.586053240739</v>
      </c>
      <c r="U881" s="55">
        <f t="shared" si="39"/>
        <v>1</v>
      </c>
      <c r="V881" s="55">
        <f t="shared" si="40"/>
        <v>0</v>
      </c>
      <c r="W881" s="56">
        <f t="shared" si="41"/>
        <v>1037.5</v>
      </c>
    </row>
    <row r="882" spans="1:23" x14ac:dyDescent="0.3">
      <c r="A882" s="13" t="str" cm="1">
        <f t="array" ref="A882:B882">INDEX(BenchmarkResults!$B$1:$D$35,SUMPRODUCT((T882&gt;=BenchmarkResults!$F$3:$F$35)*(mongodb_hardware_log!T882&lt;BenchmarkResults!$G$3:$G$35)*ROW(BenchmarkResults!$F$3:$F$35)),{1,3})</f>
        <v>q2_avg_order_city</v>
      </c>
      <c r="B882">
        <v>2</v>
      </c>
      <c r="C882" s="13">
        <v>1</v>
      </c>
      <c r="D882" s="13">
        <v>0</v>
      </c>
      <c r="E882" s="13">
        <v>133376</v>
      </c>
      <c r="F882" s="13">
        <v>133700</v>
      </c>
      <c r="G882" s="13">
        <v>636</v>
      </c>
      <c r="H882" s="13">
        <v>1706324</v>
      </c>
      <c r="I882" s="13">
        <v>0</v>
      </c>
      <c r="J882" s="13">
        <v>0</v>
      </c>
      <c r="K882" s="13">
        <v>608</v>
      </c>
      <c r="L882" s="13">
        <v>6</v>
      </c>
      <c r="M882" s="13">
        <v>940</v>
      </c>
      <c r="N882" s="13">
        <v>321</v>
      </c>
      <c r="O882" s="13">
        <v>38</v>
      </c>
      <c r="P882" s="13">
        <v>10</v>
      </c>
      <c r="Q882" s="13">
        <v>52</v>
      </c>
      <c r="R882" s="13">
        <v>0</v>
      </c>
      <c r="S882" s="13">
        <v>0</v>
      </c>
      <c r="T882" s="23">
        <v>46247.586168981485</v>
      </c>
      <c r="U882" s="55">
        <f t="shared" si="39"/>
        <v>1</v>
      </c>
      <c r="V882" s="55">
        <f t="shared" si="40"/>
        <v>0</v>
      </c>
      <c r="W882" s="56">
        <f t="shared" si="41"/>
        <v>955.83333333333337</v>
      </c>
    </row>
    <row r="883" spans="1:23" x14ac:dyDescent="0.3">
      <c r="A883" s="13" t="str" cm="1">
        <f t="array" ref="A883:B883">INDEX(BenchmarkResults!$B$1:$D$35,SUMPRODUCT((T883&gt;=BenchmarkResults!$F$3:$F$35)*(mongodb_hardware_log!T883&lt;BenchmarkResults!$G$3:$G$35)*ROW(BenchmarkResults!$F$3:$F$35)),{1,3})</f>
        <v>q2_avg_order_city</v>
      </c>
      <c r="B883">
        <v>2</v>
      </c>
      <c r="C883" s="13">
        <v>1</v>
      </c>
      <c r="D883" s="13">
        <v>0</v>
      </c>
      <c r="E883" s="13">
        <v>133376</v>
      </c>
      <c r="F883" s="13">
        <v>886240</v>
      </c>
      <c r="G883" s="13">
        <v>644</v>
      </c>
      <c r="H883" s="13">
        <v>1493280</v>
      </c>
      <c r="I883" s="13">
        <v>0</v>
      </c>
      <c r="J883" s="13">
        <v>0</v>
      </c>
      <c r="K883" s="13">
        <v>1236</v>
      </c>
      <c r="L883" s="13">
        <v>24</v>
      </c>
      <c r="M883" s="13">
        <v>901</v>
      </c>
      <c r="N883" s="13">
        <v>431</v>
      </c>
      <c r="O883" s="13">
        <v>36</v>
      </c>
      <c r="P883" s="13">
        <v>5</v>
      </c>
      <c r="Q883" s="13">
        <v>59</v>
      </c>
      <c r="R883" s="13">
        <v>0</v>
      </c>
      <c r="S883" s="13">
        <v>0</v>
      </c>
      <c r="T883" s="23">
        <v>46247.586284722223</v>
      </c>
      <c r="U883" s="55">
        <f t="shared" si="39"/>
        <v>1</v>
      </c>
      <c r="V883" s="55">
        <f t="shared" si="40"/>
        <v>0</v>
      </c>
      <c r="W883" s="56">
        <f t="shared" si="41"/>
        <v>1010.8333333333334</v>
      </c>
    </row>
    <row r="884" spans="1:23" x14ac:dyDescent="0.3">
      <c r="A884" s="13" t="str" cm="1">
        <f t="array" ref="A884:B884">INDEX(BenchmarkResults!$B$1:$D$35,SUMPRODUCT((T884&gt;=BenchmarkResults!$F$3:$F$35)*(mongodb_hardware_log!T884&lt;BenchmarkResults!$G$3:$G$35)*ROW(BenchmarkResults!$F$3:$F$35)),{1,3})</f>
        <v>q2_avg_order_city</v>
      </c>
      <c r="B884">
        <v>2</v>
      </c>
      <c r="C884" s="13">
        <v>1</v>
      </c>
      <c r="D884" s="13">
        <v>0</v>
      </c>
      <c r="E884" s="13">
        <v>133376</v>
      </c>
      <c r="F884" s="13">
        <v>882712</v>
      </c>
      <c r="G884" s="13">
        <v>652</v>
      </c>
      <c r="H884" s="13">
        <v>1507500</v>
      </c>
      <c r="I884" s="13">
        <v>0</v>
      </c>
      <c r="J884" s="13">
        <v>0</v>
      </c>
      <c r="K884" s="13">
        <v>1420</v>
      </c>
      <c r="L884" s="13">
        <v>19</v>
      </c>
      <c r="M884" s="13">
        <v>727</v>
      </c>
      <c r="N884" s="13">
        <v>221</v>
      </c>
      <c r="O884" s="13">
        <v>33</v>
      </c>
      <c r="P884" s="13">
        <v>1</v>
      </c>
      <c r="Q884" s="13">
        <v>65</v>
      </c>
      <c r="R884" s="13">
        <v>0</v>
      </c>
      <c r="S884" s="13">
        <v>0</v>
      </c>
      <c r="T884" s="23">
        <v>46247.586400462962</v>
      </c>
      <c r="U884" s="55">
        <f t="shared" si="39"/>
        <v>1</v>
      </c>
      <c r="V884" s="55">
        <f t="shared" si="40"/>
        <v>0</v>
      </c>
      <c r="W884" s="56">
        <f t="shared" si="41"/>
        <v>1037.5</v>
      </c>
    </row>
    <row r="885" spans="1:23" x14ac:dyDescent="0.3">
      <c r="A885" s="13" t="str" cm="1">
        <f t="array" ref="A885:B885">INDEX(BenchmarkResults!$B$1:$D$35,SUMPRODUCT((T885&gt;=BenchmarkResults!$F$3:$F$35)*(mongodb_hardware_log!T885&lt;BenchmarkResults!$G$3:$G$35)*ROW(BenchmarkResults!$F$3:$F$35)),{1,3})</f>
        <v>q2_avg_order_city</v>
      </c>
      <c r="B885">
        <v>2</v>
      </c>
      <c r="C885" s="13">
        <v>1</v>
      </c>
      <c r="D885" s="13">
        <v>0</v>
      </c>
      <c r="E885" s="13">
        <v>133376</v>
      </c>
      <c r="F885" s="13">
        <v>875420</v>
      </c>
      <c r="G885" s="13">
        <v>660</v>
      </c>
      <c r="H885" s="13">
        <v>1518804</v>
      </c>
      <c r="I885" s="13">
        <v>0</v>
      </c>
      <c r="J885" s="13">
        <v>0</v>
      </c>
      <c r="K885" s="13">
        <v>1139</v>
      </c>
      <c r="L885" s="13">
        <v>20</v>
      </c>
      <c r="M885" s="13">
        <v>720</v>
      </c>
      <c r="N885" s="13">
        <v>218</v>
      </c>
      <c r="O885" s="13">
        <v>34</v>
      </c>
      <c r="P885" s="13">
        <v>1</v>
      </c>
      <c r="Q885" s="13">
        <v>65</v>
      </c>
      <c r="R885" s="13">
        <v>0</v>
      </c>
      <c r="S885" s="13">
        <v>0</v>
      </c>
      <c r="T885" s="23">
        <v>46247.586516203701</v>
      </c>
      <c r="U885" s="55">
        <f t="shared" si="39"/>
        <v>1</v>
      </c>
      <c r="V885" s="55">
        <f t="shared" si="40"/>
        <v>0</v>
      </c>
      <c r="W885" s="56">
        <f t="shared" si="41"/>
        <v>1070.8333333333333</v>
      </c>
    </row>
    <row r="886" spans="1:23" x14ac:dyDescent="0.3">
      <c r="A886" s="13" t="str" cm="1">
        <f t="array" ref="A886:B886">INDEX(BenchmarkResults!$B$1:$D$35,SUMPRODUCT((T886&gt;=BenchmarkResults!$F$3:$F$35)*(mongodb_hardware_log!T886&lt;BenchmarkResults!$G$3:$G$35)*ROW(BenchmarkResults!$F$3:$F$35)),{1,3})</f>
        <v>q2_avg_order_city</v>
      </c>
      <c r="B886">
        <v>2</v>
      </c>
      <c r="C886" s="13">
        <v>1</v>
      </c>
      <c r="D886" s="13">
        <v>0</v>
      </c>
      <c r="E886" s="13">
        <v>133376</v>
      </c>
      <c r="F886" s="13">
        <v>859544</v>
      </c>
      <c r="G886" s="13">
        <v>676</v>
      </c>
      <c r="H886" s="13">
        <v>1530284</v>
      </c>
      <c r="I886" s="13">
        <v>0</v>
      </c>
      <c r="J886" s="13">
        <v>0</v>
      </c>
      <c r="K886" s="13">
        <v>1139</v>
      </c>
      <c r="L886" s="13">
        <v>31</v>
      </c>
      <c r="M886" s="13">
        <v>718</v>
      </c>
      <c r="N886" s="13">
        <v>213</v>
      </c>
      <c r="O886" s="13">
        <v>33</v>
      </c>
      <c r="P886" s="13">
        <v>1</v>
      </c>
      <c r="Q886" s="13">
        <v>65</v>
      </c>
      <c r="R886" s="13">
        <v>0</v>
      </c>
      <c r="S886" s="13">
        <v>0</v>
      </c>
      <c r="T886" s="23">
        <v>46247.586631944447</v>
      </c>
      <c r="U886" s="55">
        <f t="shared" si="39"/>
        <v>1</v>
      </c>
      <c r="V886" s="55">
        <f t="shared" si="40"/>
        <v>0</v>
      </c>
      <c r="W886" s="56">
        <f t="shared" si="41"/>
        <v>1095.8333333333333</v>
      </c>
    </row>
    <row r="887" spans="1:23" x14ac:dyDescent="0.3">
      <c r="A887" s="13" t="str" cm="1">
        <f t="array" ref="A887:B887">INDEX(BenchmarkResults!$B$1:$D$35,SUMPRODUCT((T887&gt;=BenchmarkResults!$F$3:$F$35)*(mongodb_hardware_log!T887&lt;BenchmarkResults!$G$3:$G$35)*ROW(BenchmarkResults!$F$3:$F$35)),{1,3})</f>
        <v>q2_avg_order_city</v>
      </c>
      <c r="B887">
        <v>2</v>
      </c>
      <c r="C887" s="13">
        <v>1</v>
      </c>
      <c r="D887" s="13">
        <v>0</v>
      </c>
      <c r="E887" s="13">
        <v>133376</v>
      </c>
      <c r="F887" s="13">
        <v>843668</v>
      </c>
      <c r="G887" s="13">
        <v>684</v>
      </c>
      <c r="H887" s="13">
        <v>1539680</v>
      </c>
      <c r="I887" s="13">
        <v>0</v>
      </c>
      <c r="J887" s="13">
        <v>0</v>
      </c>
      <c r="K887" s="13">
        <v>941</v>
      </c>
      <c r="L887" s="13">
        <v>4</v>
      </c>
      <c r="M887" s="13">
        <v>707</v>
      </c>
      <c r="N887" s="13">
        <v>203</v>
      </c>
      <c r="O887" s="13">
        <v>33</v>
      </c>
      <c r="P887" s="13">
        <v>1</v>
      </c>
      <c r="Q887" s="13">
        <v>65</v>
      </c>
      <c r="R887" s="13">
        <v>0</v>
      </c>
      <c r="S887" s="13">
        <v>0</v>
      </c>
      <c r="T887" s="23">
        <v>46247.586747685185</v>
      </c>
      <c r="U887" s="55">
        <f t="shared" si="39"/>
        <v>1</v>
      </c>
      <c r="V887" s="55">
        <f t="shared" si="40"/>
        <v>0</v>
      </c>
      <c r="W887" s="56">
        <f t="shared" si="41"/>
        <v>1080.5</v>
      </c>
    </row>
    <row r="888" spans="1:23" x14ac:dyDescent="0.3">
      <c r="A888" s="13" t="str" cm="1">
        <f t="array" ref="A888:B888">INDEX(BenchmarkResults!$B$1:$D$35,SUMPRODUCT((T888&gt;=BenchmarkResults!$F$3:$F$35)*(mongodb_hardware_log!T888&lt;BenchmarkResults!$G$3:$G$35)*ROW(BenchmarkResults!$F$3:$F$35)),{1,3})</f>
        <v>q2_avg_order_city</v>
      </c>
      <c r="B888">
        <v>2</v>
      </c>
      <c r="C888" s="13">
        <v>1</v>
      </c>
      <c r="D888" s="13">
        <v>0</v>
      </c>
      <c r="E888" s="13">
        <v>133376</v>
      </c>
      <c r="F888" s="13">
        <v>843416</v>
      </c>
      <c r="G888" s="13">
        <v>692</v>
      </c>
      <c r="H888" s="13">
        <v>1549964</v>
      </c>
      <c r="I888" s="13">
        <v>0</v>
      </c>
      <c r="J888" s="13">
        <v>0</v>
      </c>
      <c r="K888" s="13">
        <v>1032</v>
      </c>
      <c r="L888" s="13">
        <v>8</v>
      </c>
      <c r="M888" s="13">
        <v>729</v>
      </c>
      <c r="N888" s="13">
        <v>215</v>
      </c>
      <c r="O888" s="13">
        <v>33</v>
      </c>
      <c r="P888" s="13">
        <v>1</v>
      </c>
      <c r="Q888" s="13">
        <v>65</v>
      </c>
      <c r="R888" s="13">
        <v>0</v>
      </c>
      <c r="S888" s="13">
        <v>1</v>
      </c>
      <c r="T888" s="23">
        <v>46247.586863425924</v>
      </c>
      <c r="U888" s="55">
        <f t="shared" si="39"/>
        <v>1</v>
      </c>
      <c r="V888" s="55">
        <f t="shared" si="40"/>
        <v>0</v>
      </c>
      <c r="W888" s="56">
        <f t="shared" si="41"/>
        <v>1151.1666666666667</v>
      </c>
    </row>
    <row r="889" spans="1:23" x14ac:dyDescent="0.3">
      <c r="A889" s="13" t="str" cm="1">
        <f t="array" ref="A889:B889">INDEX(BenchmarkResults!$B$1:$D$35,SUMPRODUCT((T889&gt;=BenchmarkResults!$F$3:$F$35)*(mongodb_hardware_log!T889&lt;BenchmarkResults!$G$3:$G$35)*ROW(BenchmarkResults!$F$3:$F$35)),{1,3})</f>
        <v>q2_avg_order_city</v>
      </c>
      <c r="B889">
        <v>2</v>
      </c>
      <c r="C889" s="13">
        <v>1</v>
      </c>
      <c r="D889" s="13">
        <v>0</v>
      </c>
      <c r="E889" s="13">
        <v>133376</v>
      </c>
      <c r="F889" s="13">
        <v>831824</v>
      </c>
      <c r="G889" s="13">
        <v>724</v>
      </c>
      <c r="H889" s="13">
        <v>1561056</v>
      </c>
      <c r="I889" s="13">
        <v>0</v>
      </c>
      <c r="J889" s="13">
        <v>0</v>
      </c>
      <c r="K889" s="13">
        <v>1119</v>
      </c>
      <c r="L889" s="13">
        <v>34</v>
      </c>
      <c r="M889" s="13">
        <v>726</v>
      </c>
      <c r="N889" s="13">
        <v>222</v>
      </c>
      <c r="O889" s="13">
        <v>33</v>
      </c>
      <c r="P889" s="13">
        <v>1</v>
      </c>
      <c r="Q889" s="13">
        <v>64</v>
      </c>
      <c r="R889" s="13">
        <v>0</v>
      </c>
      <c r="S889" s="13">
        <v>1</v>
      </c>
      <c r="T889" s="23">
        <v>46247.58697916667</v>
      </c>
      <c r="U889" s="55">
        <f t="shared" si="39"/>
        <v>1</v>
      </c>
      <c r="V889" s="55">
        <f t="shared" si="40"/>
        <v>0</v>
      </c>
      <c r="W889" s="56">
        <f t="shared" si="41"/>
        <v>1131.6666666666667</v>
      </c>
    </row>
    <row r="890" spans="1:23" x14ac:dyDescent="0.3">
      <c r="A890" s="13" t="str" cm="1">
        <f t="array" ref="A890:B890">INDEX(BenchmarkResults!$B$1:$D$35,SUMPRODUCT((T890&gt;=BenchmarkResults!$F$3:$F$35)*(mongodb_hardware_log!T890&lt;BenchmarkResults!$G$3:$G$35)*ROW(BenchmarkResults!$F$3:$F$35)),{1,3})</f>
        <v>q2_avg_order_city</v>
      </c>
      <c r="B890">
        <v>2</v>
      </c>
      <c r="C890" s="13">
        <v>1</v>
      </c>
      <c r="D890" s="13">
        <v>0</v>
      </c>
      <c r="E890" s="13">
        <v>133376</v>
      </c>
      <c r="F890" s="13">
        <v>820136</v>
      </c>
      <c r="G890" s="13">
        <v>740</v>
      </c>
      <c r="H890" s="13">
        <v>1572228</v>
      </c>
      <c r="I890" s="13">
        <v>0</v>
      </c>
      <c r="J890" s="13">
        <v>0</v>
      </c>
      <c r="K890" s="13">
        <v>1110</v>
      </c>
      <c r="L890" s="13">
        <v>30</v>
      </c>
      <c r="M890" s="13">
        <v>729</v>
      </c>
      <c r="N890" s="13">
        <v>228</v>
      </c>
      <c r="O890" s="13">
        <v>34</v>
      </c>
      <c r="P890" s="13">
        <v>1</v>
      </c>
      <c r="Q890" s="13">
        <v>64</v>
      </c>
      <c r="R890" s="13">
        <v>0</v>
      </c>
      <c r="S890" s="13">
        <v>0</v>
      </c>
      <c r="T890" s="23">
        <v>46247.587094907409</v>
      </c>
      <c r="U890" s="55">
        <f t="shared" si="39"/>
        <v>1</v>
      </c>
      <c r="V890" s="55">
        <f t="shared" si="40"/>
        <v>0</v>
      </c>
      <c r="W890" s="56">
        <f t="shared" si="41"/>
        <v>1080</v>
      </c>
    </row>
    <row r="891" spans="1:23" x14ac:dyDescent="0.3">
      <c r="A891" s="13" t="str" cm="1">
        <f t="array" ref="A891:B891">INDEX(BenchmarkResults!$B$1:$D$35,SUMPRODUCT((T891&gt;=BenchmarkResults!$F$3:$F$35)*(mongodb_hardware_log!T891&lt;BenchmarkResults!$G$3:$G$35)*ROW(BenchmarkResults!$F$3:$F$35)),{1,3})</f>
        <v>q2_avg_order_city</v>
      </c>
      <c r="B891">
        <v>2</v>
      </c>
      <c r="C891" s="13">
        <v>1</v>
      </c>
      <c r="D891" s="13">
        <v>0</v>
      </c>
      <c r="E891" s="13">
        <v>133376</v>
      </c>
      <c r="F891" s="13">
        <v>808292</v>
      </c>
      <c r="G891" s="13">
        <v>748</v>
      </c>
      <c r="H891" s="13">
        <v>1581836</v>
      </c>
      <c r="I891" s="13">
        <v>0</v>
      </c>
      <c r="J891" s="13">
        <v>0</v>
      </c>
      <c r="K891" s="13">
        <v>954</v>
      </c>
      <c r="L891" s="13">
        <v>5</v>
      </c>
      <c r="M891" s="13">
        <v>724</v>
      </c>
      <c r="N891" s="13">
        <v>221</v>
      </c>
      <c r="O891" s="13">
        <v>33</v>
      </c>
      <c r="P891" s="13">
        <v>1</v>
      </c>
      <c r="Q891" s="13">
        <v>65</v>
      </c>
      <c r="R891" s="13">
        <v>1</v>
      </c>
      <c r="S891" s="13">
        <v>0</v>
      </c>
      <c r="T891" s="23">
        <v>46247.587210648147</v>
      </c>
      <c r="U891" s="55">
        <f t="shared" si="39"/>
        <v>1</v>
      </c>
      <c r="V891" s="55">
        <f t="shared" si="40"/>
        <v>0</v>
      </c>
      <c r="W891" s="56">
        <f t="shared" si="41"/>
        <v>1049.1666666666667</v>
      </c>
    </row>
    <row r="892" spans="1:23" x14ac:dyDescent="0.3">
      <c r="A892" s="13" t="str" cm="1">
        <f t="array" ref="A892:B892">INDEX(BenchmarkResults!$B$1:$D$35,SUMPRODUCT((T892&gt;=BenchmarkResults!$F$3:$F$35)*(mongodb_hardware_log!T892&lt;BenchmarkResults!$G$3:$G$35)*ROW(BenchmarkResults!$F$3:$F$35)),{1,3})</f>
        <v>q2_avg_order_city</v>
      </c>
      <c r="B892">
        <v>2</v>
      </c>
      <c r="C892" s="13">
        <v>1</v>
      </c>
      <c r="D892" s="13">
        <v>0</v>
      </c>
      <c r="E892" s="13">
        <v>133376</v>
      </c>
      <c r="F892" s="13">
        <v>793172</v>
      </c>
      <c r="G892" s="13">
        <v>756</v>
      </c>
      <c r="H892" s="13">
        <v>1594076</v>
      </c>
      <c r="I892" s="13">
        <v>0</v>
      </c>
      <c r="J892" s="13">
        <v>0</v>
      </c>
      <c r="K892" s="13">
        <v>1223</v>
      </c>
      <c r="L892" s="13">
        <v>16</v>
      </c>
      <c r="M892" s="13">
        <v>701</v>
      </c>
      <c r="N892" s="13">
        <v>206</v>
      </c>
      <c r="O892" s="13">
        <v>34</v>
      </c>
      <c r="P892" s="13">
        <v>1</v>
      </c>
      <c r="Q892" s="13">
        <v>65</v>
      </c>
      <c r="R892" s="13">
        <v>0</v>
      </c>
      <c r="S892" s="13">
        <v>0</v>
      </c>
      <c r="T892" s="23">
        <v>46247.587326388886</v>
      </c>
      <c r="U892" s="55">
        <f t="shared" si="39"/>
        <v>1</v>
      </c>
      <c r="V892" s="55">
        <f t="shared" si="40"/>
        <v>0</v>
      </c>
      <c r="W892" s="56">
        <f t="shared" si="41"/>
        <v>1063.1666666666667</v>
      </c>
    </row>
    <row r="893" spans="1:23" x14ac:dyDescent="0.3">
      <c r="A893" s="13" t="str" cm="1">
        <f t="array" ref="A893:B893">INDEX(BenchmarkResults!$B$1:$D$35,SUMPRODUCT((T893&gt;=BenchmarkResults!$F$3:$F$35)*(mongodb_hardware_log!T893&lt;BenchmarkResults!$G$3:$G$35)*ROW(BenchmarkResults!$F$3:$F$35)),{1,3})</f>
        <v>q2_avg_order_city</v>
      </c>
      <c r="B893">
        <v>2</v>
      </c>
      <c r="C893" s="13">
        <v>1</v>
      </c>
      <c r="D893" s="13">
        <v>0</v>
      </c>
      <c r="E893" s="13">
        <v>133376</v>
      </c>
      <c r="F893" s="13">
        <v>785360</v>
      </c>
      <c r="G893" s="13">
        <v>764</v>
      </c>
      <c r="H893" s="13">
        <v>1604580</v>
      </c>
      <c r="I893" s="13">
        <v>0</v>
      </c>
      <c r="J893" s="13">
        <v>0</v>
      </c>
      <c r="K893" s="13">
        <v>1056</v>
      </c>
      <c r="L893" s="13">
        <v>10</v>
      </c>
      <c r="M893" s="13">
        <v>706</v>
      </c>
      <c r="N893" s="13">
        <v>214</v>
      </c>
      <c r="O893" s="13">
        <v>33</v>
      </c>
      <c r="P893" s="13">
        <v>1</v>
      </c>
      <c r="Q893" s="13">
        <v>65</v>
      </c>
      <c r="R893" s="13">
        <v>0</v>
      </c>
      <c r="S893" s="13">
        <v>0</v>
      </c>
      <c r="T893" s="23">
        <v>46247.587442129632</v>
      </c>
      <c r="U893" s="55">
        <f t="shared" si="39"/>
        <v>1</v>
      </c>
      <c r="V893" s="55">
        <f t="shared" si="40"/>
        <v>0</v>
      </c>
      <c r="W893" s="56">
        <f t="shared" si="41"/>
        <v>1082.3333333333333</v>
      </c>
    </row>
    <row r="894" spans="1:23" x14ac:dyDescent="0.3">
      <c r="A894" s="13" t="str" cm="1">
        <f t="array" ref="A894:B894">INDEX(BenchmarkResults!$B$1:$D$35,SUMPRODUCT((T894&gt;=BenchmarkResults!$F$3:$F$35)*(mongodb_hardware_log!T894&lt;BenchmarkResults!$G$3:$G$35)*ROW(BenchmarkResults!$F$3:$F$35)),{1,3})</f>
        <v>q2_avg_order_city</v>
      </c>
      <c r="B894">
        <v>2</v>
      </c>
      <c r="C894" s="13">
        <v>1</v>
      </c>
      <c r="D894" s="13">
        <v>0</v>
      </c>
      <c r="E894" s="13">
        <v>133376</v>
      </c>
      <c r="F894" s="13">
        <v>775280</v>
      </c>
      <c r="G894" s="13">
        <v>772</v>
      </c>
      <c r="H894" s="13">
        <v>1615460</v>
      </c>
      <c r="I894" s="13">
        <v>0</v>
      </c>
      <c r="J894" s="13">
        <v>0</v>
      </c>
      <c r="K894" s="13">
        <v>1082</v>
      </c>
      <c r="L894" s="13">
        <v>9</v>
      </c>
      <c r="M894" s="13">
        <v>789</v>
      </c>
      <c r="N894" s="13">
        <v>287</v>
      </c>
      <c r="O894" s="13">
        <v>33</v>
      </c>
      <c r="P894" s="13">
        <v>1</v>
      </c>
      <c r="Q894" s="13">
        <v>65</v>
      </c>
      <c r="R894" s="13">
        <v>0</v>
      </c>
      <c r="S894" s="13">
        <v>0</v>
      </c>
      <c r="T894" s="23">
        <v>46247.587557870371</v>
      </c>
      <c r="U894" s="55">
        <f t="shared" si="39"/>
        <v>1</v>
      </c>
      <c r="V894" s="55">
        <f t="shared" si="40"/>
        <v>0</v>
      </c>
      <c r="W894" s="56">
        <f t="shared" si="41"/>
        <v>1090.6666666666667</v>
      </c>
    </row>
    <row r="895" spans="1:23" x14ac:dyDescent="0.3">
      <c r="A895" s="13" t="str" cm="1">
        <f t="array" ref="A895:B895">INDEX(BenchmarkResults!$B$1:$D$35,SUMPRODUCT((T895&gt;=BenchmarkResults!$F$3:$F$35)*(mongodb_hardware_log!T895&lt;BenchmarkResults!$G$3:$G$35)*ROW(BenchmarkResults!$F$3:$F$35)),{1,3})</f>
        <v>q2_avg_order_city</v>
      </c>
      <c r="B895">
        <v>2</v>
      </c>
      <c r="C895" s="13">
        <v>1</v>
      </c>
      <c r="D895" s="13">
        <v>0</v>
      </c>
      <c r="E895" s="13">
        <v>133376</v>
      </c>
      <c r="F895" s="13">
        <v>766716</v>
      </c>
      <c r="G895" s="13">
        <v>796</v>
      </c>
      <c r="H895" s="13">
        <v>1625980</v>
      </c>
      <c r="I895" s="13">
        <v>0</v>
      </c>
      <c r="J895" s="13">
        <v>0</v>
      </c>
      <c r="K895" s="13">
        <v>1052</v>
      </c>
      <c r="L895" s="13">
        <v>23</v>
      </c>
      <c r="M895" s="13">
        <v>716</v>
      </c>
      <c r="N895" s="13">
        <v>222</v>
      </c>
      <c r="O895" s="13">
        <v>34</v>
      </c>
      <c r="P895" s="13">
        <v>1</v>
      </c>
      <c r="Q895" s="13">
        <v>64</v>
      </c>
      <c r="R895" s="13">
        <v>1</v>
      </c>
      <c r="S895" s="13">
        <v>0</v>
      </c>
      <c r="T895" s="23">
        <v>46247.587673611109</v>
      </c>
      <c r="U895" s="55">
        <f t="shared" si="39"/>
        <v>1</v>
      </c>
      <c r="V895" s="55">
        <f t="shared" si="40"/>
        <v>0</v>
      </c>
      <c r="W895" s="56">
        <f t="shared" si="41"/>
        <v>1079.5</v>
      </c>
    </row>
    <row r="896" spans="1:23" x14ac:dyDescent="0.3">
      <c r="A896" s="13" t="str" cm="1">
        <f t="array" ref="A896:B896">INDEX(BenchmarkResults!$B$1:$D$35,SUMPRODUCT((T896&gt;=BenchmarkResults!$F$3:$F$35)*(mongodb_hardware_log!T896&lt;BenchmarkResults!$G$3:$G$35)*ROW(BenchmarkResults!$F$3:$F$35)),{1,3})</f>
        <v>q2_avg_order_city</v>
      </c>
      <c r="B896">
        <v>2</v>
      </c>
      <c r="C896" s="13">
        <v>1</v>
      </c>
      <c r="D896" s="13">
        <v>0</v>
      </c>
      <c r="E896" s="13">
        <v>133376</v>
      </c>
      <c r="F896" s="13">
        <v>756560</v>
      </c>
      <c r="G896" s="13">
        <v>812</v>
      </c>
      <c r="H896" s="13">
        <v>1636056</v>
      </c>
      <c r="I896" s="13">
        <v>0</v>
      </c>
      <c r="J896" s="13">
        <v>0</v>
      </c>
      <c r="K896" s="13">
        <v>1007</v>
      </c>
      <c r="L896" s="13">
        <v>24</v>
      </c>
      <c r="M896" s="13">
        <v>739</v>
      </c>
      <c r="N896" s="13">
        <v>233</v>
      </c>
      <c r="O896" s="13">
        <v>34</v>
      </c>
      <c r="P896" s="13">
        <v>1</v>
      </c>
      <c r="Q896" s="13">
        <v>64</v>
      </c>
      <c r="R896" s="13">
        <v>1</v>
      </c>
      <c r="S896" s="13">
        <v>0</v>
      </c>
      <c r="T896" s="23">
        <v>46247.587789351855</v>
      </c>
      <c r="U896" s="55">
        <f t="shared" si="39"/>
        <v>1</v>
      </c>
      <c r="V896" s="55">
        <f t="shared" si="40"/>
        <v>0</v>
      </c>
      <c r="W896" s="56">
        <f t="shared" si="41"/>
        <v>1062.3333333333333</v>
      </c>
    </row>
    <row r="897" spans="1:23" x14ac:dyDescent="0.3">
      <c r="A897" s="13" t="str" cm="1">
        <f t="array" ref="A897:B897">INDEX(BenchmarkResults!$B$1:$D$35,SUMPRODUCT((T897&gt;=BenchmarkResults!$F$3:$F$35)*(mongodb_hardware_log!T897&lt;BenchmarkResults!$G$3:$G$35)*ROW(BenchmarkResults!$F$3:$F$35)),{1,3})</f>
        <v>q2_avg_order_city</v>
      </c>
      <c r="B897">
        <v>2</v>
      </c>
      <c r="C897" s="13">
        <v>1</v>
      </c>
      <c r="D897" s="13">
        <v>0</v>
      </c>
      <c r="E897" s="13">
        <v>133376</v>
      </c>
      <c r="F897" s="13">
        <v>741692</v>
      </c>
      <c r="G897" s="13">
        <v>828</v>
      </c>
      <c r="H897" s="13">
        <v>1650048</v>
      </c>
      <c r="I897" s="13">
        <v>0</v>
      </c>
      <c r="J897" s="13">
        <v>0</v>
      </c>
      <c r="K897" s="13">
        <v>1407</v>
      </c>
      <c r="L897" s="13">
        <v>11</v>
      </c>
      <c r="M897" s="13">
        <v>702</v>
      </c>
      <c r="N897" s="13">
        <v>198</v>
      </c>
      <c r="O897" s="13">
        <v>33</v>
      </c>
      <c r="P897" s="13">
        <v>1</v>
      </c>
      <c r="Q897" s="13">
        <v>65</v>
      </c>
      <c r="R897" s="13">
        <v>0</v>
      </c>
      <c r="S897" s="13">
        <v>0</v>
      </c>
      <c r="T897" s="23">
        <v>46247.587905092594</v>
      </c>
      <c r="U897" s="55">
        <f t="shared" si="39"/>
        <v>1</v>
      </c>
      <c r="V897" s="55">
        <f t="shared" si="40"/>
        <v>0</v>
      </c>
      <c r="W897" s="56">
        <f t="shared" si="41"/>
        <v>1137.8333333333333</v>
      </c>
    </row>
    <row r="898" spans="1:23" x14ac:dyDescent="0.3">
      <c r="A898" s="13" t="str" cm="1">
        <f t="array" ref="A898:B898">INDEX(BenchmarkResults!$B$1:$D$35,SUMPRODUCT((T898&gt;=BenchmarkResults!$F$3:$F$35)*(mongodb_hardware_log!T898&lt;BenchmarkResults!$G$3:$G$35)*ROW(BenchmarkResults!$F$3:$F$35)),{1,3})</f>
        <v>q2_avg_order_city</v>
      </c>
      <c r="B898">
        <v>2</v>
      </c>
      <c r="C898" s="13">
        <v>1</v>
      </c>
      <c r="D898" s="13">
        <v>0</v>
      </c>
      <c r="E898" s="13">
        <v>133376</v>
      </c>
      <c r="F898" s="13">
        <v>722792</v>
      </c>
      <c r="G898" s="13">
        <v>836</v>
      </c>
      <c r="H898" s="13">
        <v>1660600</v>
      </c>
      <c r="I898" s="13">
        <v>0</v>
      </c>
      <c r="J898" s="13">
        <v>0</v>
      </c>
      <c r="K898" s="13">
        <v>1048</v>
      </c>
      <c r="L898" s="13">
        <v>27</v>
      </c>
      <c r="M898" s="13">
        <v>709</v>
      </c>
      <c r="N898" s="13">
        <v>206</v>
      </c>
      <c r="O898" s="13">
        <v>34</v>
      </c>
      <c r="P898" s="13">
        <v>1</v>
      </c>
      <c r="Q898" s="13">
        <v>65</v>
      </c>
      <c r="R898" s="13">
        <v>0</v>
      </c>
      <c r="S898" s="13">
        <v>0</v>
      </c>
      <c r="T898" s="23">
        <v>46247.588020833333</v>
      </c>
      <c r="U898" s="55">
        <f t="shared" si="39"/>
        <v>1</v>
      </c>
      <c r="V898" s="55">
        <f t="shared" si="40"/>
        <v>0</v>
      </c>
      <c r="W898" s="56">
        <f t="shared" si="41"/>
        <v>1108.6666666666667</v>
      </c>
    </row>
    <row r="899" spans="1:23" x14ac:dyDescent="0.3">
      <c r="A899" s="13" t="str" cm="1">
        <f t="array" ref="A899:B899">INDEX(BenchmarkResults!$B$1:$D$35,SUMPRODUCT((T899&gt;=BenchmarkResults!$F$3:$F$35)*(mongodb_hardware_log!T899&lt;BenchmarkResults!$G$3:$G$35)*ROW(BenchmarkResults!$F$3:$F$35)),{1,3})</f>
        <v>q2_avg_order_city</v>
      </c>
      <c r="B899">
        <v>2</v>
      </c>
      <c r="C899" s="13">
        <v>1</v>
      </c>
      <c r="D899" s="13">
        <v>0</v>
      </c>
      <c r="E899" s="13">
        <v>133376</v>
      </c>
      <c r="F899" s="13">
        <v>719768</v>
      </c>
      <c r="G899" s="13">
        <v>852</v>
      </c>
      <c r="H899" s="13">
        <v>1671864</v>
      </c>
      <c r="I899" s="13">
        <v>0</v>
      </c>
      <c r="J899" s="13">
        <v>0</v>
      </c>
      <c r="K899" s="13">
        <v>1132</v>
      </c>
      <c r="L899" s="13">
        <v>11</v>
      </c>
      <c r="M899" s="13">
        <v>711</v>
      </c>
      <c r="N899" s="13">
        <v>215</v>
      </c>
      <c r="O899" s="13">
        <v>33</v>
      </c>
      <c r="P899" s="13">
        <v>1</v>
      </c>
      <c r="Q899" s="13">
        <v>65</v>
      </c>
      <c r="R899" s="13">
        <v>0</v>
      </c>
      <c r="S899" s="13">
        <v>0</v>
      </c>
      <c r="T899" s="23">
        <v>46247.588136574072</v>
      </c>
      <c r="U899" s="55">
        <f t="shared" si="39"/>
        <v>1</v>
      </c>
      <c r="V899" s="55">
        <f t="shared" si="40"/>
        <v>0</v>
      </c>
      <c r="W899" s="56">
        <f t="shared" si="41"/>
        <v>1121.3333333333333</v>
      </c>
    </row>
    <row r="900" spans="1:23" x14ac:dyDescent="0.3">
      <c r="A900" s="13" t="str" cm="1">
        <f t="array" ref="A900:B900">INDEX(BenchmarkResults!$B$1:$D$35,SUMPRODUCT((T900&gt;=BenchmarkResults!$F$3:$F$35)*(mongodb_hardware_log!T900&lt;BenchmarkResults!$G$3:$G$35)*ROW(BenchmarkResults!$F$3:$F$35)),{1,3})</f>
        <v>q2_avg_order_city</v>
      </c>
      <c r="B900">
        <v>2</v>
      </c>
      <c r="C900" s="13">
        <v>2</v>
      </c>
      <c r="D900" s="13">
        <v>0</v>
      </c>
      <c r="E900" s="13">
        <v>133376</v>
      </c>
      <c r="F900" s="13">
        <v>703892</v>
      </c>
      <c r="G900" s="13">
        <v>860</v>
      </c>
      <c r="H900" s="13">
        <v>1683204</v>
      </c>
      <c r="I900" s="13">
        <v>0</v>
      </c>
      <c r="J900" s="13">
        <v>0</v>
      </c>
      <c r="K900" s="13">
        <v>1137</v>
      </c>
      <c r="L900" s="13">
        <v>12</v>
      </c>
      <c r="M900" s="13">
        <v>706</v>
      </c>
      <c r="N900" s="13">
        <v>205</v>
      </c>
      <c r="O900" s="13">
        <v>33</v>
      </c>
      <c r="P900" s="13">
        <v>1</v>
      </c>
      <c r="Q900" s="13">
        <v>65</v>
      </c>
      <c r="R900" s="13">
        <v>0</v>
      </c>
      <c r="S900" s="13">
        <v>0</v>
      </c>
      <c r="T900" s="23">
        <v>46247.588252314818</v>
      </c>
      <c r="U900" s="55">
        <f t="shared" si="39"/>
        <v>1.1666666666666667</v>
      </c>
      <c r="V900" s="55">
        <f t="shared" si="40"/>
        <v>0</v>
      </c>
      <c r="W900" s="56">
        <f t="shared" si="41"/>
        <v>1130.5</v>
      </c>
    </row>
    <row r="901" spans="1:23" x14ac:dyDescent="0.3">
      <c r="A901" s="13" t="str" cm="1">
        <f t="array" ref="A901:B901">INDEX(BenchmarkResults!$B$1:$D$35,SUMPRODUCT((T901&gt;=BenchmarkResults!$F$3:$F$35)*(mongodb_hardware_log!T901&lt;BenchmarkResults!$G$3:$G$35)*ROW(BenchmarkResults!$F$3:$F$35)),{1,3})</f>
        <v>q2_avg_order_city</v>
      </c>
      <c r="B901">
        <v>2</v>
      </c>
      <c r="C901" s="13">
        <v>1</v>
      </c>
      <c r="D901" s="13">
        <v>0</v>
      </c>
      <c r="E901" s="13">
        <v>133376</v>
      </c>
      <c r="F901" s="13">
        <v>696080</v>
      </c>
      <c r="G901" s="13">
        <v>892</v>
      </c>
      <c r="H901" s="13">
        <v>1694752</v>
      </c>
      <c r="I901" s="13">
        <v>0</v>
      </c>
      <c r="J901" s="13">
        <v>0</v>
      </c>
      <c r="K901" s="13">
        <v>1152</v>
      </c>
      <c r="L901" s="13">
        <v>27</v>
      </c>
      <c r="M901" s="13">
        <v>708</v>
      </c>
      <c r="N901" s="13">
        <v>211</v>
      </c>
      <c r="O901" s="13">
        <v>33</v>
      </c>
      <c r="P901" s="13">
        <v>1</v>
      </c>
      <c r="Q901" s="13">
        <v>65</v>
      </c>
      <c r="R901" s="13">
        <v>0</v>
      </c>
      <c r="S901" s="13">
        <v>0</v>
      </c>
      <c r="T901" s="23">
        <v>46247.588368055556</v>
      </c>
      <c r="U901" s="55">
        <f t="shared" si="39"/>
        <v>1.1666666666666667</v>
      </c>
      <c r="V901" s="55">
        <f t="shared" si="40"/>
        <v>0</v>
      </c>
      <c r="W901" s="56">
        <f t="shared" si="41"/>
        <v>1147.1666666666667</v>
      </c>
    </row>
    <row r="902" spans="1:23" x14ac:dyDescent="0.3">
      <c r="A902" s="13" t="str" cm="1">
        <f t="array" ref="A902:B902">INDEX(BenchmarkResults!$B$1:$D$35,SUMPRODUCT((T902&gt;=BenchmarkResults!$F$3:$F$35)*(mongodb_hardware_log!T902&lt;BenchmarkResults!$G$3:$G$35)*ROW(BenchmarkResults!$F$3:$F$35)),{1,3})</f>
        <v>q2_avg_order_city</v>
      </c>
      <c r="B902">
        <v>2</v>
      </c>
      <c r="C902" s="13">
        <v>1</v>
      </c>
      <c r="D902" s="13">
        <v>0</v>
      </c>
      <c r="E902" s="13">
        <v>133376</v>
      </c>
      <c r="F902" s="13">
        <v>685244</v>
      </c>
      <c r="G902" s="13">
        <v>900</v>
      </c>
      <c r="H902" s="13">
        <v>1705276</v>
      </c>
      <c r="I902" s="13">
        <v>0</v>
      </c>
      <c r="J902" s="13">
        <v>0</v>
      </c>
      <c r="K902" s="13">
        <v>1051</v>
      </c>
      <c r="L902" s="13">
        <v>12</v>
      </c>
      <c r="M902" s="13">
        <v>706</v>
      </c>
      <c r="N902" s="13">
        <v>206</v>
      </c>
      <c r="O902" s="13">
        <v>33</v>
      </c>
      <c r="P902" s="13">
        <v>1</v>
      </c>
      <c r="Q902" s="13">
        <v>65</v>
      </c>
      <c r="R902" s="13">
        <v>0</v>
      </c>
      <c r="S902" s="13">
        <v>0</v>
      </c>
      <c r="T902" s="23">
        <v>46247.588483796295</v>
      </c>
      <c r="U902" s="55">
        <f t="shared" si="39"/>
        <v>1.1666666666666667</v>
      </c>
      <c r="V902" s="55">
        <f t="shared" si="40"/>
        <v>0</v>
      </c>
      <c r="W902" s="56">
        <f t="shared" si="41"/>
        <v>1154.5</v>
      </c>
    </row>
    <row r="903" spans="1:23" x14ac:dyDescent="0.3">
      <c r="A903" s="13" t="str" cm="1">
        <f t="array" ref="A903:B903">INDEX(BenchmarkResults!$B$1:$D$35,SUMPRODUCT((T903&gt;=BenchmarkResults!$F$3:$F$35)*(mongodb_hardware_log!T903&lt;BenchmarkResults!$G$3:$G$35)*ROW(BenchmarkResults!$F$3:$F$35)),{1,3})</f>
        <v>q2_avg_order_city</v>
      </c>
      <c r="B903">
        <v>2</v>
      </c>
      <c r="C903" s="13">
        <v>1</v>
      </c>
      <c r="D903" s="13">
        <v>0</v>
      </c>
      <c r="E903" s="13">
        <v>133376</v>
      </c>
      <c r="F903" s="13">
        <v>674408</v>
      </c>
      <c r="G903" s="13">
        <v>908</v>
      </c>
      <c r="H903" s="13">
        <v>1717228</v>
      </c>
      <c r="I903" s="13">
        <v>0</v>
      </c>
      <c r="J903" s="13">
        <v>0</v>
      </c>
      <c r="K903" s="13">
        <v>1191</v>
      </c>
      <c r="L903" s="13">
        <v>12</v>
      </c>
      <c r="M903" s="13">
        <v>708</v>
      </c>
      <c r="N903" s="13">
        <v>205</v>
      </c>
      <c r="O903" s="13">
        <v>33</v>
      </c>
      <c r="P903" s="13">
        <v>1</v>
      </c>
      <c r="Q903" s="13">
        <v>65</v>
      </c>
      <c r="R903" s="13">
        <v>0</v>
      </c>
      <c r="S903" s="13">
        <v>0</v>
      </c>
      <c r="T903" s="23">
        <v>46247.588599537034</v>
      </c>
      <c r="U903" s="55">
        <f t="shared" si="39"/>
        <v>1.1666666666666667</v>
      </c>
      <c r="V903" s="55">
        <f t="shared" si="40"/>
        <v>0</v>
      </c>
      <c r="W903" s="56">
        <f t="shared" si="41"/>
        <v>1118.5</v>
      </c>
    </row>
    <row r="904" spans="1:23" x14ac:dyDescent="0.3">
      <c r="A904" s="13" t="str" cm="1">
        <f t="array" ref="A904:B904">INDEX(BenchmarkResults!$B$1:$D$35,SUMPRODUCT((T904&gt;=BenchmarkResults!$F$3:$F$35)*(mongodb_hardware_log!T904&lt;BenchmarkResults!$G$3:$G$35)*ROW(BenchmarkResults!$F$3:$F$35)),{1,3})</f>
        <v>q2_avg_order_city</v>
      </c>
      <c r="B904">
        <v>2</v>
      </c>
      <c r="C904" s="13">
        <v>1</v>
      </c>
      <c r="D904" s="13">
        <v>0</v>
      </c>
      <c r="E904" s="13">
        <v>133376</v>
      </c>
      <c r="F904" s="13">
        <v>658532</v>
      </c>
      <c r="G904" s="13">
        <v>916</v>
      </c>
      <c r="H904" s="13">
        <v>1728556</v>
      </c>
      <c r="I904" s="13">
        <v>0</v>
      </c>
      <c r="J904" s="13">
        <v>0</v>
      </c>
      <c r="K904" s="13">
        <v>1132</v>
      </c>
      <c r="L904" s="13">
        <v>10</v>
      </c>
      <c r="M904" s="13">
        <v>703</v>
      </c>
      <c r="N904" s="13">
        <v>198</v>
      </c>
      <c r="O904" s="13">
        <v>33</v>
      </c>
      <c r="P904" s="13">
        <v>1</v>
      </c>
      <c r="Q904" s="13">
        <v>65</v>
      </c>
      <c r="R904" s="13">
        <v>0</v>
      </c>
      <c r="S904" s="13">
        <v>0</v>
      </c>
      <c r="T904" s="23">
        <v>46247.58871527778</v>
      </c>
      <c r="U904" s="55">
        <f t="shared" si="39"/>
        <v>1.1666666666666667</v>
      </c>
      <c r="V904" s="55">
        <f t="shared" si="40"/>
        <v>0</v>
      </c>
      <c r="W904" s="56">
        <f t="shared" si="41"/>
        <v>1132.5</v>
      </c>
    </row>
    <row r="905" spans="1:23" x14ac:dyDescent="0.3">
      <c r="A905" s="13" t="str" cm="1">
        <f t="array" ref="A905:B905">INDEX(BenchmarkResults!$B$1:$D$35,SUMPRODUCT((T905&gt;=BenchmarkResults!$F$3:$F$35)*(mongodb_hardware_log!T905&lt;BenchmarkResults!$G$3:$G$35)*ROW(BenchmarkResults!$F$3:$F$35)),{1,3})</f>
        <v>q2_avg_order_city</v>
      </c>
      <c r="B905">
        <v>2</v>
      </c>
      <c r="C905" s="13">
        <v>1</v>
      </c>
      <c r="D905" s="13">
        <v>0</v>
      </c>
      <c r="E905" s="13">
        <v>133376</v>
      </c>
      <c r="F905" s="13">
        <v>644544</v>
      </c>
      <c r="G905" s="13">
        <v>924</v>
      </c>
      <c r="H905" s="13">
        <v>1743828</v>
      </c>
      <c r="I905" s="13">
        <v>0</v>
      </c>
      <c r="J905" s="13">
        <v>0</v>
      </c>
      <c r="K905" s="13">
        <v>1527</v>
      </c>
      <c r="L905" s="13">
        <v>31</v>
      </c>
      <c r="M905" s="13">
        <v>749</v>
      </c>
      <c r="N905" s="13">
        <v>266</v>
      </c>
      <c r="O905" s="13">
        <v>33</v>
      </c>
      <c r="P905" s="13">
        <v>1</v>
      </c>
      <c r="Q905" s="13">
        <v>65</v>
      </c>
      <c r="R905" s="13">
        <v>1</v>
      </c>
      <c r="S905" s="13">
        <v>0</v>
      </c>
      <c r="T905" s="23">
        <v>46247.588831018518</v>
      </c>
      <c r="U905" s="55">
        <f t="shared" ref="U905:U968" si="42">AVERAGE(C900:C905)</f>
        <v>1.1666666666666667</v>
      </c>
      <c r="V905" s="55">
        <f t="shared" ref="V905:V968" si="43">AVERAGE(D900:D905)</f>
        <v>0</v>
      </c>
      <c r="W905" s="56">
        <f t="shared" ref="W905:W968" si="44">AVERAGE(K900:K905)</f>
        <v>1198.3333333333333</v>
      </c>
    </row>
    <row r="906" spans="1:23" x14ac:dyDescent="0.3">
      <c r="A906" s="13" t="str" cm="1">
        <f t="array" ref="A906:B906">INDEX(BenchmarkResults!$B$1:$D$35,SUMPRODUCT((T906&gt;=BenchmarkResults!$F$3:$F$35)*(mongodb_hardware_log!T906&lt;BenchmarkResults!$G$3:$G$35)*ROW(BenchmarkResults!$F$3:$F$35)),{1,3})</f>
        <v>q2_avg_order_city</v>
      </c>
      <c r="B906">
        <v>2</v>
      </c>
      <c r="C906" s="13">
        <v>1</v>
      </c>
      <c r="D906" s="13">
        <v>0</v>
      </c>
      <c r="E906" s="13">
        <v>133376</v>
      </c>
      <c r="F906" s="13">
        <v>644936</v>
      </c>
      <c r="G906" s="13">
        <v>940</v>
      </c>
      <c r="H906" s="13">
        <v>1749524</v>
      </c>
      <c r="I906" s="13">
        <v>0</v>
      </c>
      <c r="J906" s="13">
        <v>0</v>
      </c>
      <c r="K906" s="13">
        <v>574</v>
      </c>
      <c r="L906" s="13">
        <v>20</v>
      </c>
      <c r="M906" s="13">
        <v>751</v>
      </c>
      <c r="N906" s="13">
        <v>240</v>
      </c>
      <c r="O906" s="13">
        <v>34</v>
      </c>
      <c r="P906" s="13">
        <v>1</v>
      </c>
      <c r="Q906" s="13">
        <v>64</v>
      </c>
      <c r="R906" s="13">
        <v>0</v>
      </c>
      <c r="S906" s="13">
        <v>1</v>
      </c>
      <c r="T906" s="23">
        <v>46247.588946759257</v>
      </c>
      <c r="U906" s="55">
        <f t="shared" si="42"/>
        <v>1</v>
      </c>
      <c r="V906" s="55">
        <f t="shared" si="43"/>
        <v>0</v>
      </c>
      <c r="W906" s="56">
        <f t="shared" si="44"/>
        <v>1104.5</v>
      </c>
    </row>
    <row r="907" spans="1:23" x14ac:dyDescent="0.3">
      <c r="A907" s="13" t="str" cm="1">
        <f t="array" ref="A907:B907">INDEX(BenchmarkResults!$B$1:$D$35,SUMPRODUCT((T907&gt;=BenchmarkResults!$F$3:$F$35)*(mongodb_hardware_log!T907&lt;BenchmarkResults!$G$3:$G$35)*ROW(BenchmarkResults!$F$3:$F$35)),{1,3})</f>
        <v>q2_avg_order_city</v>
      </c>
      <c r="B907">
        <v>2</v>
      </c>
      <c r="C907" s="13">
        <v>1</v>
      </c>
      <c r="D907" s="13">
        <v>0</v>
      </c>
      <c r="E907" s="13">
        <v>133376</v>
      </c>
      <c r="F907" s="13">
        <v>653104</v>
      </c>
      <c r="G907" s="13">
        <v>964</v>
      </c>
      <c r="H907" s="13">
        <v>1765356</v>
      </c>
      <c r="I907" s="13">
        <v>0</v>
      </c>
      <c r="J907" s="13">
        <v>0</v>
      </c>
      <c r="K907" s="13">
        <v>1579</v>
      </c>
      <c r="L907" s="13">
        <v>25</v>
      </c>
      <c r="M907" s="13">
        <v>712</v>
      </c>
      <c r="N907" s="13">
        <v>221</v>
      </c>
      <c r="O907" s="13">
        <v>33</v>
      </c>
      <c r="P907" s="13">
        <v>1</v>
      </c>
      <c r="Q907" s="13">
        <v>65</v>
      </c>
      <c r="R907" s="13">
        <v>0</v>
      </c>
      <c r="S907" s="13">
        <v>0</v>
      </c>
      <c r="T907" s="23">
        <v>46247.589062500003</v>
      </c>
      <c r="U907" s="55">
        <f t="shared" si="42"/>
        <v>1</v>
      </c>
      <c r="V907" s="55">
        <f t="shared" si="43"/>
        <v>0</v>
      </c>
      <c r="W907" s="56">
        <f t="shared" si="44"/>
        <v>1175.6666666666667</v>
      </c>
    </row>
    <row r="908" spans="1:23" x14ac:dyDescent="0.3">
      <c r="A908" s="13" t="str" cm="1">
        <f t="array" ref="A908:B908">INDEX(BenchmarkResults!$B$1:$D$35,SUMPRODUCT((T908&gt;=BenchmarkResults!$F$3:$F$35)*(mongodb_hardware_log!T908&lt;BenchmarkResults!$G$3:$G$35)*ROW(BenchmarkResults!$F$3:$F$35)),{1,3})</f>
        <v>q2_avg_order_city</v>
      </c>
      <c r="B908">
        <v>2</v>
      </c>
      <c r="C908" s="13">
        <v>5</v>
      </c>
      <c r="D908" s="13">
        <v>0</v>
      </c>
      <c r="E908" s="13">
        <v>133376</v>
      </c>
      <c r="F908" s="13">
        <v>635464</v>
      </c>
      <c r="G908" s="13">
        <v>972</v>
      </c>
      <c r="H908" s="13">
        <v>1776996</v>
      </c>
      <c r="I908" s="13">
        <v>0</v>
      </c>
      <c r="J908" s="13">
        <v>0</v>
      </c>
      <c r="K908" s="13">
        <v>1163</v>
      </c>
      <c r="L908" s="13">
        <v>10</v>
      </c>
      <c r="M908" s="13">
        <v>714</v>
      </c>
      <c r="N908" s="13">
        <v>207</v>
      </c>
      <c r="O908" s="13">
        <v>33</v>
      </c>
      <c r="P908" s="13">
        <v>1</v>
      </c>
      <c r="Q908" s="13">
        <v>66</v>
      </c>
      <c r="R908" s="13">
        <v>0</v>
      </c>
      <c r="S908" s="13">
        <v>0</v>
      </c>
      <c r="T908" s="23">
        <v>46247.589178240742</v>
      </c>
      <c r="U908" s="55">
        <f t="shared" si="42"/>
        <v>1.6666666666666667</v>
      </c>
      <c r="V908" s="55">
        <f t="shared" si="43"/>
        <v>0</v>
      </c>
      <c r="W908" s="56">
        <f t="shared" si="44"/>
        <v>1194.3333333333333</v>
      </c>
    </row>
    <row r="909" spans="1:23" x14ac:dyDescent="0.3">
      <c r="A909" s="13" t="str" cm="1">
        <f t="array" ref="A909:B909">INDEX(BenchmarkResults!$B$1:$D$35,SUMPRODUCT((T909&gt;=BenchmarkResults!$F$3:$F$35)*(mongodb_hardware_log!T909&lt;BenchmarkResults!$G$3:$G$35)*ROW(BenchmarkResults!$F$3:$F$35)),{1,3})</f>
        <v>q2_avg_order_city</v>
      </c>
      <c r="B909">
        <v>2</v>
      </c>
      <c r="C909" s="13">
        <v>1</v>
      </c>
      <c r="D909" s="13">
        <v>0</v>
      </c>
      <c r="E909" s="13">
        <v>133376</v>
      </c>
      <c r="F909" s="13">
        <v>628660</v>
      </c>
      <c r="G909" s="13">
        <v>988</v>
      </c>
      <c r="H909" s="13">
        <v>1788600</v>
      </c>
      <c r="I909" s="13">
        <v>0</v>
      </c>
      <c r="J909" s="13">
        <v>0</v>
      </c>
      <c r="K909" s="13">
        <v>1160</v>
      </c>
      <c r="L909" s="13">
        <v>42</v>
      </c>
      <c r="M909" s="13">
        <v>703</v>
      </c>
      <c r="N909" s="13">
        <v>203</v>
      </c>
      <c r="O909" s="13">
        <v>33</v>
      </c>
      <c r="P909" s="13">
        <v>1</v>
      </c>
      <c r="Q909" s="13">
        <v>65</v>
      </c>
      <c r="R909" s="13">
        <v>1</v>
      </c>
      <c r="S909" s="13">
        <v>0</v>
      </c>
      <c r="T909" s="23">
        <v>46247.58929398148</v>
      </c>
      <c r="U909" s="55">
        <f t="shared" si="42"/>
        <v>1.6666666666666667</v>
      </c>
      <c r="V909" s="55">
        <f t="shared" si="43"/>
        <v>0</v>
      </c>
      <c r="W909" s="56">
        <f t="shared" si="44"/>
        <v>1189.1666666666667</v>
      </c>
    </row>
    <row r="910" spans="1:23" x14ac:dyDescent="0.3">
      <c r="A910" s="13" t="str" cm="1">
        <f t="array" ref="A910:B910">INDEX(BenchmarkResults!$B$1:$D$35,SUMPRODUCT((T910&gt;=BenchmarkResults!$F$3:$F$35)*(mongodb_hardware_log!T910&lt;BenchmarkResults!$G$3:$G$35)*ROW(BenchmarkResults!$F$3:$F$35)),{1,3})</f>
        <v>q2_avg_order_city</v>
      </c>
      <c r="B910">
        <v>2</v>
      </c>
      <c r="C910" s="13">
        <v>1</v>
      </c>
      <c r="D910" s="13">
        <v>0</v>
      </c>
      <c r="E910" s="13">
        <v>133376</v>
      </c>
      <c r="F910" s="13">
        <v>612784</v>
      </c>
      <c r="G910" s="13">
        <v>996</v>
      </c>
      <c r="H910" s="13">
        <v>1801004</v>
      </c>
      <c r="I910" s="13">
        <v>0</v>
      </c>
      <c r="J910" s="13">
        <v>0</v>
      </c>
      <c r="K910" s="13">
        <v>1240</v>
      </c>
      <c r="L910" s="13">
        <v>8</v>
      </c>
      <c r="M910" s="13">
        <v>710</v>
      </c>
      <c r="N910" s="13">
        <v>206</v>
      </c>
      <c r="O910" s="13">
        <v>33</v>
      </c>
      <c r="P910" s="13">
        <v>1</v>
      </c>
      <c r="Q910" s="13">
        <v>65</v>
      </c>
      <c r="R910" s="13">
        <v>0</v>
      </c>
      <c r="S910" s="13">
        <v>0</v>
      </c>
      <c r="T910" s="23">
        <v>46247.589409722219</v>
      </c>
      <c r="U910" s="55">
        <f t="shared" si="42"/>
        <v>1.6666666666666667</v>
      </c>
      <c r="V910" s="55">
        <f t="shared" si="43"/>
        <v>0</v>
      </c>
      <c r="W910" s="56">
        <f t="shared" si="44"/>
        <v>1207.1666666666667</v>
      </c>
    </row>
    <row r="911" spans="1:23" x14ac:dyDescent="0.3">
      <c r="A911" s="13" t="str" cm="1">
        <f t="array" ref="A911:B911">INDEX(BenchmarkResults!$B$1:$D$35,SUMPRODUCT((T911&gt;=BenchmarkResults!$F$3:$F$35)*(mongodb_hardware_log!T911&lt;BenchmarkResults!$G$3:$G$35)*ROW(BenchmarkResults!$F$3:$F$35)),{1,3})</f>
        <v>q2_avg_order_city</v>
      </c>
      <c r="B911">
        <v>2</v>
      </c>
      <c r="C911" s="13">
        <v>1</v>
      </c>
      <c r="D911" s="13">
        <v>0</v>
      </c>
      <c r="E911" s="13">
        <v>133376</v>
      </c>
      <c r="F911" s="13">
        <v>607296</v>
      </c>
      <c r="G911" s="13">
        <v>1004</v>
      </c>
      <c r="H911" s="13">
        <v>1810792</v>
      </c>
      <c r="I911" s="13">
        <v>0</v>
      </c>
      <c r="J911" s="13">
        <v>0</v>
      </c>
      <c r="K911" s="13">
        <v>979</v>
      </c>
      <c r="L911" s="13">
        <v>11</v>
      </c>
      <c r="M911" s="13">
        <v>715</v>
      </c>
      <c r="N911" s="13">
        <v>216</v>
      </c>
      <c r="O911" s="13">
        <v>33</v>
      </c>
      <c r="P911" s="13">
        <v>1</v>
      </c>
      <c r="Q911" s="13">
        <v>65</v>
      </c>
      <c r="R911" s="13">
        <v>0</v>
      </c>
      <c r="S911" s="13">
        <v>0</v>
      </c>
      <c r="T911" s="23">
        <v>46247.589525462965</v>
      </c>
      <c r="U911" s="55">
        <f t="shared" si="42"/>
        <v>1.6666666666666667</v>
      </c>
      <c r="V911" s="55">
        <f t="shared" si="43"/>
        <v>0</v>
      </c>
      <c r="W911" s="56">
        <f t="shared" si="44"/>
        <v>1115.8333333333333</v>
      </c>
    </row>
    <row r="912" spans="1:23" x14ac:dyDescent="0.3">
      <c r="A912" s="13" t="str" cm="1">
        <f t="array" ref="A912:B912">INDEX(BenchmarkResults!$B$1:$D$35,SUMPRODUCT((T912&gt;=BenchmarkResults!$F$3:$F$35)*(mongodb_hardware_log!T912&lt;BenchmarkResults!$G$3:$G$35)*ROW(BenchmarkResults!$F$3:$F$35)),{1,3})</f>
        <v>q2_avg_order_city</v>
      </c>
      <c r="B912">
        <v>2</v>
      </c>
      <c r="C912" s="13">
        <v>1</v>
      </c>
      <c r="D912" s="13">
        <v>0</v>
      </c>
      <c r="E912" s="13">
        <v>133376</v>
      </c>
      <c r="F912" s="13">
        <v>591672</v>
      </c>
      <c r="G912" s="13">
        <v>1020</v>
      </c>
      <c r="H912" s="13">
        <v>1821380</v>
      </c>
      <c r="I912" s="13">
        <v>0</v>
      </c>
      <c r="J912" s="13">
        <v>0</v>
      </c>
      <c r="K912" s="13">
        <v>1059</v>
      </c>
      <c r="L912" s="13">
        <v>31</v>
      </c>
      <c r="M912" s="13">
        <v>724</v>
      </c>
      <c r="N912" s="13">
        <v>215</v>
      </c>
      <c r="O912" s="13">
        <v>33</v>
      </c>
      <c r="P912" s="13">
        <v>1</v>
      </c>
      <c r="Q912" s="13">
        <v>65</v>
      </c>
      <c r="R912" s="13">
        <v>0</v>
      </c>
      <c r="S912" s="13">
        <v>0</v>
      </c>
      <c r="T912" s="23">
        <v>46247.589641203704</v>
      </c>
      <c r="U912" s="55">
        <f t="shared" si="42"/>
        <v>1.6666666666666667</v>
      </c>
      <c r="V912" s="55">
        <f t="shared" si="43"/>
        <v>0</v>
      </c>
      <c r="W912" s="56">
        <f t="shared" si="44"/>
        <v>1196.6666666666667</v>
      </c>
    </row>
    <row r="913" spans="1:23" x14ac:dyDescent="0.3">
      <c r="A913" s="13" t="str" cm="1">
        <f t="array" ref="A913:B913">INDEX(BenchmarkResults!$B$1:$D$35,SUMPRODUCT((T913&gt;=BenchmarkResults!$F$3:$F$35)*(mongodb_hardware_log!T913&lt;BenchmarkResults!$G$3:$G$35)*ROW(BenchmarkResults!$F$3:$F$35)),{1,3})</f>
        <v>q2_avg_order_city</v>
      </c>
      <c r="B913">
        <v>2</v>
      </c>
      <c r="C913" s="13">
        <v>1</v>
      </c>
      <c r="D913" s="13">
        <v>0</v>
      </c>
      <c r="E913" s="13">
        <v>133376</v>
      </c>
      <c r="F913" s="13">
        <v>575796</v>
      </c>
      <c r="G913" s="13">
        <v>1068</v>
      </c>
      <c r="H913" s="13">
        <v>1833988</v>
      </c>
      <c r="I913" s="13">
        <v>0</v>
      </c>
      <c r="J913" s="13">
        <v>0</v>
      </c>
      <c r="K913" s="13">
        <v>1255</v>
      </c>
      <c r="L913" s="13">
        <v>30</v>
      </c>
      <c r="M913" s="13">
        <v>743</v>
      </c>
      <c r="N913" s="13">
        <v>248</v>
      </c>
      <c r="O913" s="13">
        <v>34</v>
      </c>
      <c r="P913" s="13">
        <v>1</v>
      </c>
      <c r="Q913" s="13">
        <v>64</v>
      </c>
      <c r="R913" s="13">
        <v>0</v>
      </c>
      <c r="S913" s="13">
        <v>1</v>
      </c>
      <c r="T913" s="23">
        <v>46247.589756944442</v>
      </c>
      <c r="U913" s="55">
        <f t="shared" si="42"/>
        <v>1.6666666666666667</v>
      </c>
      <c r="V913" s="55">
        <f t="shared" si="43"/>
        <v>0</v>
      </c>
      <c r="W913" s="56">
        <f t="shared" si="44"/>
        <v>1142.6666666666667</v>
      </c>
    </row>
    <row r="914" spans="1:23" x14ac:dyDescent="0.3">
      <c r="A914" s="13" t="str" cm="1">
        <f t="array" ref="A914:B914">INDEX(BenchmarkResults!$B$1:$D$35,SUMPRODUCT((T914&gt;=BenchmarkResults!$F$3:$F$35)*(mongodb_hardware_log!T914&lt;BenchmarkResults!$G$3:$G$35)*ROW(BenchmarkResults!$F$3:$F$35)),{1,3})</f>
        <v>q2_avg_order_city</v>
      </c>
      <c r="B914">
        <v>2</v>
      </c>
      <c r="C914" s="13">
        <v>1</v>
      </c>
      <c r="D914" s="13">
        <v>0</v>
      </c>
      <c r="E914" s="13">
        <v>133376</v>
      </c>
      <c r="F914" s="13">
        <v>567984</v>
      </c>
      <c r="G914" s="13">
        <v>1076</v>
      </c>
      <c r="H914" s="13">
        <v>1844444</v>
      </c>
      <c r="I914" s="13">
        <v>0</v>
      </c>
      <c r="J914" s="13">
        <v>0</v>
      </c>
      <c r="K914" s="13">
        <v>1046</v>
      </c>
      <c r="L914" s="13">
        <v>7</v>
      </c>
      <c r="M914" s="13">
        <v>732</v>
      </c>
      <c r="N914" s="13">
        <v>224</v>
      </c>
      <c r="O914" s="13">
        <v>33</v>
      </c>
      <c r="P914" s="13">
        <v>1</v>
      </c>
      <c r="Q914" s="13">
        <v>65</v>
      </c>
      <c r="R914" s="13">
        <v>1</v>
      </c>
      <c r="S914" s="13">
        <v>0</v>
      </c>
      <c r="T914" s="23">
        <v>46247.589872685188</v>
      </c>
      <c r="U914" s="55">
        <f t="shared" si="42"/>
        <v>1</v>
      </c>
      <c r="V914" s="55">
        <f t="shared" si="43"/>
        <v>0</v>
      </c>
      <c r="W914" s="56">
        <f t="shared" si="44"/>
        <v>1123.1666666666667</v>
      </c>
    </row>
    <row r="915" spans="1:23" x14ac:dyDescent="0.3">
      <c r="A915" s="13" t="str" cm="1">
        <f t="array" ref="A915:B915">INDEX(BenchmarkResults!$B$1:$D$35,SUMPRODUCT((T915&gt;=BenchmarkResults!$F$3:$F$35)*(mongodb_hardware_log!T915&lt;BenchmarkResults!$G$3:$G$35)*ROW(BenchmarkResults!$F$3:$F$35)),{1,3})</f>
        <v>q2_avg_order_city</v>
      </c>
      <c r="B915">
        <v>2</v>
      </c>
      <c r="C915" s="13">
        <v>1</v>
      </c>
      <c r="D915" s="13">
        <v>0</v>
      </c>
      <c r="E915" s="13">
        <v>133376</v>
      </c>
      <c r="F915" s="13">
        <v>552864</v>
      </c>
      <c r="G915" s="13">
        <v>1084</v>
      </c>
      <c r="H915" s="13">
        <v>1855520</v>
      </c>
      <c r="I915" s="13">
        <v>0</v>
      </c>
      <c r="J915" s="13">
        <v>0</v>
      </c>
      <c r="K915" s="13">
        <v>1107</v>
      </c>
      <c r="L915" s="13">
        <v>14</v>
      </c>
      <c r="M915" s="13">
        <v>717</v>
      </c>
      <c r="N915" s="13">
        <v>212</v>
      </c>
      <c r="O915" s="13">
        <v>33</v>
      </c>
      <c r="P915" s="13">
        <v>1</v>
      </c>
      <c r="Q915" s="13">
        <v>65</v>
      </c>
      <c r="R915" s="13">
        <v>0</v>
      </c>
      <c r="S915" s="13">
        <v>0</v>
      </c>
      <c r="T915" s="23">
        <v>46247.589988425927</v>
      </c>
      <c r="U915" s="55">
        <f t="shared" si="42"/>
        <v>1</v>
      </c>
      <c r="V915" s="55">
        <f t="shared" si="43"/>
        <v>0</v>
      </c>
      <c r="W915" s="56">
        <f t="shared" si="44"/>
        <v>1114.3333333333333</v>
      </c>
    </row>
    <row r="916" spans="1:23" x14ac:dyDescent="0.3">
      <c r="A916" s="13" t="str" cm="1">
        <f t="array" ref="A916:B916">INDEX(BenchmarkResults!$B$1:$D$35,SUMPRODUCT((T916&gt;=BenchmarkResults!$F$3:$F$35)*(mongodb_hardware_log!T916&lt;BenchmarkResults!$G$3:$G$35)*ROW(BenchmarkResults!$F$3:$F$35)),{1,3})</f>
        <v>q2_avg_order_city</v>
      </c>
      <c r="B916">
        <v>2</v>
      </c>
      <c r="C916" s="13">
        <v>1</v>
      </c>
      <c r="D916" s="13">
        <v>0</v>
      </c>
      <c r="E916" s="13">
        <v>133376</v>
      </c>
      <c r="F916" s="13">
        <v>549516</v>
      </c>
      <c r="G916" s="13">
        <v>1092</v>
      </c>
      <c r="H916" s="13">
        <v>1868020</v>
      </c>
      <c r="I916" s="13">
        <v>0</v>
      </c>
      <c r="J916" s="13">
        <v>0</v>
      </c>
      <c r="K916" s="13">
        <v>1250</v>
      </c>
      <c r="L916" s="13">
        <v>13</v>
      </c>
      <c r="M916" s="13">
        <v>735</v>
      </c>
      <c r="N916" s="13">
        <v>230</v>
      </c>
      <c r="O916" s="13">
        <v>33</v>
      </c>
      <c r="P916" s="13">
        <v>1</v>
      </c>
      <c r="Q916" s="13">
        <v>65</v>
      </c>
      <c r="R916" s="13">
        <v>1</v>
      </c>
      <c r="S916" s="13">
        <v>0</v>
      </c>
      <c r="T916" s="23">
        <v>46247.590104166666</v>
      </c>
      <c r="U916" s="55">
        <f t="shared" si="42"/>
        <v>1</v>
      </c>
      <c r="V916" s="55">
        <f t="shared" si="43"/>
        <v>0</v>
      </c>
      <c r="W916" s="56">
        <f t="shared" si="44"/>
        <v>1116</v>
      </c>
    </row>
    <row r="917" spans="1:23" x14ac:dyDescent="0.3">
      <c r="A917" s="13" t="str" cm="1">
        <f t="array" ref="A917:B917">INDEX(BenchmarkResults!$B$1:$D$35,SUMPRODUCT((T917&gt;=BenchmarkResults!$F$3:$F$35)*(mongodb_hardware_log!T917&lt;BenchmarkResults!$G$3:$G$35)*ROW(BenchmarkResults!$F$3:$F$35)),{1,3})</f>
        <v>q2_avg_order_city</v>
      </c>
      <c r="B917">
        <v>2</v>
      </c>
      <c r="C917" s="13">
        <v>1</v>
      </c>
      <c r="D917" s="13">
        <v>0</v>
      </c>
      <c r="E917" s="13">
        <v>133376</v>
      </c>
      <c r="F917" s="13">
        <v>536412</v>
      </c>
      <c r="G917" s="13">
        <v>1108</v>
      </c>
      <c r="H917" s="13">
        <v>1880884</v>
      </c>
      <c r="I917" s="13">
        <v>0</v>
      </c>
      <c r="J917" s="13">
        <v>0</v>
      </c>
      <c r="K917" s="13">
        <v>1286</v>
      </c>
      <c r="L917" s="13">
        <v>24</v>
      </c>
      <c r="M917" s="13">
        <v>723</v>
      </c>
      <c r="N917" s="13">
        <v>218</v>
      </c>
      <c r="O917" s="13">
        <v>33</v>
      </c>
      <c r="P917" s="13">
        <v>1</v>
      </c>
      <c r="Q917" s="13">
        <v>65</v>
      </c>
      <c r="R917" s="13">
        <v>0</v>
      </c>
      <c r="S917" s="13">
        <v>0</v>
      </c>
      <c r="T917" s="23">
        <v>46247.590219907404</v>
      </c>
      <c r="U917" s="55">
        <f t="shared" si="42"/>
        <v>1</v>
      </c>
      <c r="V917" s="55">
        <f t="shared" si="43"/>
        <v>0</v>
      </c>
      <c r="W917" s="56">
        <f t="shared" si="44"/>
        <v>1167.1666666666667</v>
      </c>
    </row>
    <row r="918" spans="1:23" x14ac:dyDescent="0.3">
      <c r="A918" s="13" t="str" cm="1">
        <f t="array" ref="A918:B918">INDEX(BenchmarkResults!$B$1:$D$35,SUMPRODUCT((T918&gt;=BenchmarkResults!$F$3:$F$35)*(mongodb_hardware_log!T918&lt;BenchmarkResults!$G$3:$G$35)*ROW(BenchmarkResults!$F$3:$F$35)),{1,3})</f>
        <v>q2_avg_order_city</v>
      </c>
      <c r="B918">
        <v>2</v>
      </c>
      <c r="C918" s="13">
        <v>1</v>
      </c>
      <c r="D918" s="13">
        <v>0</v>
      </c>
      <c r="E918" s="13">
        <v>133376</v>
      </c>
      <c r="F918" s="13">
        <v>531876</v>
      </c>
      <c r="G918" s="13">
        <v>1116</v>
      </c>
      <c r="H918" s="13">
        <v>1887372</v>
      </c>
      <c r="I918" s="13">
        <v>0</v>
      </c>
      <c r="J918" s="13">
        <v>0</v>
      </c>
      <c r="K918" s="13">
        <v>648</v>
      </c>
      <c r="L918" s="13">
        <v>8</v>
      </c>
      <c r="M918" s="13">
        <v>759</v>
      </c>
      <c r="N918" s="13">
        <v>222</v>
      </c>
      <c r="O918" s="13">
        <v>32</v>
      </c>
      <c r="P918" s="13">
        <v>1</v>
      </c>
      <c r="Q918" s="13">
        <v>63</v>
      </c>
      <c r="R918" s="13">
        <v>0</v>
      </c>
      <c r="S918" s="13">
        <v>3</v>
      </c>
      <c r="T918" s="23">
        <v>46247.59033564815</v>
      </c>
      <c r="U918" s="55">
        <f t="shared" si="42"/>
        <v>1</v>
      </c>
      <c r="V918" s="55">
        <f t="shared" si="43"/>
        <v>0</v>
      </c>
      <c r="W918" s="56">
        <f t="shared" si="44"/>
        <v>1098.6666666666667</v>
      </c>
    </row>
    <row r="919" spans="1:23" x14ac:dyDescent="0.3">
      <c r="A919" s="13" t="str" cm="1">
        <f t="array" ref="A919:B919">INDEX(BenchmarkResults!$B$1:$D$35,SUMPRODUCT((T919&gt;=BenchmarkResults!$F$3:$F$35)*(mongodb_hardware_log!T919&lt;BenchmarkResults!$G$3:$G$35)*ROW(BenchmarkResults!$F$3:$F$35)),{1,3})</f>
        <v>q2_avg_order_city</v>
      </c>
      <c r="B919">
        <v>2</v>
      </c>
      <c r="C919" s="13">
        <v>1</v>
      </c>
      <c r="D919" s="13">
        <v>0</v>
      </c>
      <c r="E919" s="13">
        <v>133376</v>
      </c>
      <c r="F919" s="13">
        <v>516756</v>
      </c>
      <c r="G919" s="13">
        <v>1148</v>
      </c>
      <c r="H919" s="13">
        <v>1897636</v>
      </c>
      <c r="I919" s="13">
        <v>0</v>
      </c>
      <c r="J919" s="13">
        <v>0</v>
      </c>
      <c r="K919" s="13">
        <v>1026</v>
      </c>
      <c r="L919" s="13">
        <v>32</v>
      </c>
      <c r="M919" s="13">
        <v>760</v>
      </c>
      <c r="N919" s="13">
        <v>222</v>
      </c>
      <c r="O919" s="13">
        <v>32</v>
      </c>
      <c r="P919" s="13">
        <v>1</v>
      </c>
      <c r="Q919" s="13">
        <v>63</v>
      </c>
      <c r="R919" s="13">
        <v>0</v>
      </c>
      <c r="S919" s="13">
        <v>4</v>
      </c>
      <c r="T919" s="23">
        <v>46247.590451388889</v>
      </c>
      <c r="U919" s="55">
        <f t="shared" si="42"/>
        <v>1</v>
      </c>
      <c r="V919" s="55">
        <f t="shared" si="43"/>
        <v>0</v>
      </c>
      <c r="W919" s="56">
        <f t="shared" si="44"/>
        <v>1060.5</v>
      </c>
    </row>
    <row r="920" spans="1:23" x14ac:dyDescent="0.3">
      <c r="A920" s="13" t="str" cm="1">
        <f t="array" ref="A920:B920">INDEX(BenchmarkResults!$B$1:$D$35,SUMPRODUCT((T920&gt;=BenchmarkResults!$F$3:$F$35)*(mongodb_hardware_log!T920&lt;BenchmarkResults!$G$3:$G$35)*ROW(BenchmarkResults!$F$3:$F$35)),{1,3})</f>
        <v>q2_avg_order_city</v>
      </c>
      <c r="B920">
        <v>2</v>
      </c>
      <c r="C920" s="13">
        <v>1</v>
      </c>
      <c r="D920" s="13">
        <v>0</v>
      </c>
      <c r="E920" s="13">
        <v>133376</v>
      </c>
      <c r="F920" s="13">
        <v>509700</v>
      </c>
      <c r="G920" s="13">
        <v>1156</v>
      </c>
      <c r="H920" s="13">
        <v>1908412</v>
      </c>
      <c r="I920" s="13">
        <v>0</v>
      </c>
      <c r="J920" s="13">
        <v>0</v>
      </c>
      <c r="K920" s="13">
        <v>1078</v>
      </c>
      <c r="L920" s="13">
        <v>8</v>
      </c>
      <c r="M920" s="13">
        <v>732</v>
      </c>
      <c r="N920" s="13">
        <v>217</v>
      </c>
      <c r="O920" s="13">
        <v>33</v>
      </c>
      <c r="P920" s="13">
        <v>1</v>
      </c>
      <c r="Q920" s="13">
        <v>65</v>
      </c>
      <c r="R920" s="13">
        <v>1</v>
      </c>
      <c r="S920" s="13">
        <v>1</v>
      </c>
      <c r="T920" s="23">
        <v>46247.590567129628</v>
      </c>
      <c r="U920" s="55">
        <f t="shared" si="42"/>
        <v>1</v>
      </c>
      <c r="V920" s="55">
        <f t="shared" si="43"/>
        <v>0</v>
      </c>
      <c r="W920" s="56">
        <f t="shared" si="44"/>
        <v>1065.8333333333333</v>
      </c>
    </row>
    <row r="921" spans="1:23" x14ac:dyDescent="0.3">
      <c r="A921" s="13" t="str" cm="1">
        <f t="array" ref="A921:B921">INDEX(BenchmarkResults!$B$1:$D$35,SUMPRODUCT((T921&gt;=BenchmarkResults!$F$3:$F$35)*(mongodb_hardware_log!T921&lt;BenchmarkResults!$G$3:$G$35)*ROW(BenchmarkResults!$F$3:$F$35)),{1,3})</f>
        <v>q2_avg_order_city</v>
      </c>
      <c r="B921">
        <v>2</v>
      </c>
      <c r="C921" s="13">
        <v>1</v>
      </c>
      <c r="D921" s="13">
        <v>0</v>
      </c>
      <c r="E921" s="13">
        <v>133376</v>
      </c>
      <c r="F921" s="13">
        <v>492060</v>
      </c>
      <c r="G921" s="13">
        <v>1164</v>
      </c>
      <c r="H921" s="13">
        <v>1919604</v>
      </c>
      <c r="I921" s="13">
        <v>0</v>
      </c>
      <c r="J921" s="13">
        <v>0</v>
      </c>
      <c r="K921" s="13">
        <v>1119</v>
      </c>
      <c r="L921" s="13">
        <v>10</v>
      </c>
      <c r="M921" s="13">
        <v>716</v>
      </c>
      <c r="N921" s="13">
        <v>207</v>
      </c>
      <c r="O921" s="13">
        <v>33</v>
      </c>
      <c r="P921" s="13">
        <v>1</v>
      </c>
      <c r="Q921" s="13">
        <v>65</v>
      </c>
      <c r="R921" s="13">
        <v>0</v>
      </c>
      <c r="S921" s="13">
        <v>0</v>
      </c>
      <c r="T921" s="23">
        <v>46247.590682870374</v>
      </c>
      <c r="U921" s="55">
        <f t="shared" si="42"/>
        <v>1</v>
      </c>
      <c r="V921" s="55">
        <f t="shared" si="43"/>
        <v>0</v>
      </c>
      <c r="W921" s="56">
        <f t="shared" si="44"/>
        <v>1067.8333333333333</v>
      </c>
    </row>
    <row r="922" spans="1:23" x14ac:dyDescent="0.3">
      <c r="A922" s="13" t="str" cm="1">
        <f t="array" ref="A922:B922">INDEX(BenchmarkResults!$B$1:$D$35,SUMPRODUCT((T922&gt;=BenchmarkResults!$F$3:$F$35)*(mongodb_hardware_log!T922&lt;BenchmarkResults!$G$3:$G$35)*ROW(BenchmarkResults!$F$3:$F$35)),{1,3})</f>
        <v>q2_avg_order_city</v>
      </c>
      <c r="B922">
        <v>2</v>
      </c>
      <c r="C922" s="13">
        <v>1</v>
      </c>
      <c r="D922" s="13">
        <v>0</v>
      </c>
      <c r="E922" s="13">
        <v>133376</v>
      </c>
      <c r="F922" s="13">
        <v>487272</v>
      </c>
      <c r="G922" s="13">
        <v>1172</v>
      </c>
      <c r="H922" s="13">
        <v>1931228</v>
      </c>
      <c r="I922" s="13">
        <v>0</v>
      </c>
      <c r="J922" s="13">
        <v>0</v>
      </c>
      <c r="K922" s="13">
        <v>1162</v>
      </c>
      <c r="L922" s="13">
        <v>10</v>
      </c>
      <c r="M922" s="13">
        <v>719</v>
      </c>
      <c r="N922" s="13">
        <v>212</v>
      </c>
      <c r="O922" s="13">
        <v>33</v>
      </c>
      <c r="P922" s="13">
        <v>1</v>
      </c>
      <c r="Q922" s="13">
        <v>65</v>
      </c>
      <c r="R922" s="13">
        <v>0</v>
      </c>
      <c r="S922" s="13">
        <v>0</v>
      </c>
      <c r="T922" s="23">
        <v>46247.590798611112</v>
      </c>
      <c r="U922" s="55">
        <f t="shared" si="42"/>
        <v>1</v>
      </c>
      <c r="V922" s="55">
        <f t="shared" si="43"/>
        <v>0</v>
      </c>
      <c r="W922" s="56">
        <f t="shared" si="44"/>
        <v>1053.1666666666667</v>
      </c>
    </row>
    <row r="923" spans="1:23" x14ac:dyDescent="0.3">
      <c r="A923" s="13" t="str" cm="1">
        <f t="array" ref="A923:B923">INDEX(BenchmarkResults!$B$1:$D$35,SUMPRODUCT((T923&gt;=BenchmarkResults!$F$3:$F$35)*(mongodb_hardware_log!T923&lt;BenchmarkResults!$G$3:$G$35)*ROW(BenchmarkResults!$F$3:$F$35)),{1,3})</f>
        <v>q2_avg_order_city</v>
      </c>
      <c r="B923">
        <v>2</v>
      </c>
      <c r="C923" s="13">
        <v>1</v>
      </c>
      <c r="D923" s="13">
        <v>0</v>
      </c>
      <c r="E923" s="13">
        <v>133376</v>
      </c>
      <c r="F923" s="13">
        <v>478916</v>
      </c>
      <c r="G923" s="13">
        <v>1188</v>
      </c>
      <c r="H923" s="13">
        <v>1941856</v>
      </c>
      <c r="I923" s="13">
        <v>0</v>
      </c>
      <c r="J923" s="13">
        <v>0</v>
      </c>
      <c r="K923" s="13">
        <v>1063</v>
      </c>
      <c r="L923" s="13">
        <v>11</v>
      </c>
      <c r="M923" s="13">
        <v>716</v>
      </c>
      <c r="N923" s="13">
        <v>210</v>
      </c>
      <c r="O923" s="13">
        <v>33</v>
      </c>
      <c r="P923" s="13">
        <v>1</v>
      </c>
      <c r="Q923" s="13">
        <v>65</v>
      </c>
      <c r="R923" s="13">
        <v>0</v>
      </c>
      <c r="S923" s="13">
        <v>1</v>
      </c>
      <c r="T923" s="23">
        <v>46247.590914351851</v>
      </c>
      <c r="U923" s="55">
        <f t="shared" si="42"/>
        <v>1</v>
      </c>
      <c r="V923" s="55">
        <f t="shared" si="43"/>
        <v>0</v>
      </c>
      <c r="W923" s="56">
        <f t="shared" si="44"/>
        <v>1016</v>
      </c>
    </row>
    <row r="924" spans="1:23" x14ac:dyDescent="0.3">
      <c r="A924" s="13" t="str" cm="1">
        <f t="array" ref="A924:B924">INDEX(BenchmarkResults!$B$1:$D$35,SUMPRODUCT((T924&gt;=BenchmarkResults!$F$3:$F$35)*(mongodb_hardware_log!T924&lt;BenchmarkResults!$G$3:$G$35)*ROW(BenchmarkResults!$F$3:$F$35)),{1,3})</f>
        <v>q2_avg_order_city</v>
      </c>
      <c r="B924">
        <v>2</v>
      </c>
      <c r="C924" s="13">
        <v>1</v>
      </c>
      <c r="D924" s="13">
        <v>0</v>
      </c>
      <c r="E924" s="13">
        <v>133376</v>
      </c>
      <c r="F924" s="13">
        <v>465812</v>
      </c>
      <c r="G924" s="13">
        <v>1196</v>
      </c>
      <c r="H924" s="13">
        <v>1952704</v>
      </c>
      <c r="I924" s="13">
        <v>0</v>
      </c>
      <c r="J924" s="13">
        <v>0</v>
      </c>
      <c r="K924" s="13">
        <v>1084</v>
      </c>
      <c r="L924" s="13">
        <v>10</v>
      </c>
      <c r="M924" s="13">
        <v>709</v>
      </c>
      <c r="N924" s="13">
        <v>201</v>
      </c>
      <c r="O924" s="13">
        <v>33</v>
      </c>
      <c r="P924" s="13">
        <v>1</v>
      </c>
      <c r="Q924" s="13">
        <v>65</v>
      </c>
      <c r="R924" s="13">
        <v>0</v>
      </c>
      <c r="S924" s="13">
        <v>0</v>
      </c>
      <c r="T924" s="23">
        <v>46247.59103009259</v>
      </c>
      <c r="U924" s="55">
        <f t="shared" si="42"/>
        <v>1</v>
      </c>
      <c r="V924" s="55">
        <f t="shared" si="43"/>
        <v>0</v>
      </c>
      <c r="W924" s="56">
        <f t="shared" si="44"/>
        <v>1088.6666666666667</v>
      </c>
    </row>
    <row r="925" spans="1:23" x14ac:dyDescent="0.3">
      <c r="A925" s="13" t="str" cm="1">
        <f t="array" ref="A925:B925">INDEX(BenchmarkResults!$B$1:$D$35,SUMPRODUCT((T925&gt;=BenchmarkResults!$F$3:$F$35)*(mongodb_hardware_log!T925&lt;BenchmarkResults!$G$3:$G$35)*ROW(BenchmarkResults!$F$3:$F$35)),{1,3})</f>
        <v>q2_avg_order_city</v>
      </c>
      <c r="B925">
        <v>2</v>
      </c>
      <c r="C925" s="13">
        <v>1</v>
      </c>
      <c r="D925" s="13">
        <v>0</v>
      </c>
      <c r="E925" s="13">
        <v>133376</v>
      </c>
      <c r="F925" s="13">
        <v>456236</v>
      </c>
      <c r="G925" s="13">
        <v>1236</v>
      </c>
      <c r="H925" s="13">
        <v>1964472</v>
      </c>
      <c r="I925" s="13">
        <v>0</v>
      </c>
      <c r="J925" s="13">
        <v>0</v>
      </c>
      <c r="K925" s="13">
        <v>1179</v>
      </c>
      <c r="L925" s="13">
        <v>31</v>
      </c>
      <c r="M925" s="13">
        <v>718</v>
      </c>
      <c r="N925" s="13">
        <v>227</v>
      </c>
      <c r="O925" s="13">
        <v>33</v>
      </c>
      <c r="P925" s="13">
        <v>1</v>
      </c>
      <c r="Q925" s="13">
        <v>65</v>
      </c>
      <c r="R925" s="13">
        <v>0</v>
      </c>
      <c r="S925" s="13">
        <v>0</v>
      </c>
      <c r="T925" s="23">
        <v>46247.591145833336</v>
      </c>
      <c r="U925" s="55">
        <f t="shared" si="42"/>
        <v>1</v>
      </c>
      <c r="V925" s="55">
        <f t="shared" si="43"/>
        <v>0</v>
      </c>
      <c r="W925" s="56">
        <f t="shared" si="44"/>
        <v>1114.1666666666667</v>
      </c>
    </row>
    <row r="926" spans="1:23" x14ac:dyDescent="0.3">
      <c r="A926" s="13" t="str" cm="1">
        <f t="array" ref="A926:B926">INDEX(BenchmarkResults!$B$1:$D$35,SUMPRODUCT((T926&gt;=BenchmarkResults!$F$3:$F$35)*(mongodb_hardware_log!T926&lt;BenchmarkResults!$G$3:$G$35)*ROW(BenchmarkResults!$F$3:$F$35)),{1,3})</f>
        <v>q2_avg_order_city</v>
      </c>
      <c r="B926">
        <v>2</v>
      </c>
      <c r="C926" s="13">
        <v>1</v>
      </c>
      <c r="D926" s="13">
        <v>1</v>
      </c>
      <c r="E926" s="13">
        <v>133376</v>
      </c>
      <c r="F926" s="13">
        <v>445012</v>
      </c>
      <c r="G926" s="13">
        <v>1248</v>
      </c>
      <c r="H926" s="13">
        <v>1976136</v>
      </c>
      <c r="I926" s="13">
        <v>0</v>
      </c>
      <c r="J926" s="13">
        <v>0</v>
      </c>
      <c r="K926" s="13">
        <v>1166</v>
      </c>
      <c r="L926" s="13">
        <v>32</v>
      </c>
      <c r="M926" s="13">
        <v>750</v>
      </c>
      <c r="N926" s="13">
        <v>236</v>
      </c>
      <c r="O926" s="13">
        <v>34</v>
      </c>
      <c r="P926" s="13">
        <v>1</v>
      </c>
      <c r="Q926" s="13">
        <v>63</v>
      </c>
      <c r="R926" s="13">
        <v>0</v>
      </c>
      <c r="S926" s="13">
        <v>2</v>
      </c>
      <c r="T926" s="23">
        <v>46247.591261574074</v>
      </c>
      <c r="U926" s="55">
        <f t="shared" si="42"/>
        <v>1</v>
      </c>
      <c r="V926" s="55">
        <f t="shared" si="43"/>
        <v>0.16666666666666666</v>
      </c>
      <c r="W926" s="56">
        <f t="shared" si="44"/>
        <v>1128.8333333333333</v>
      </c>
    </row>
    <row r="927" spans="1:23" x14ac:dyDescent="0.3">
      <c r="A927" s="13" t="str" cm="1">
        <f t="array" ref="A927:B927">INDEX(BenchmarkResults!$B$1:$D$35,SUMPRODUCT((T927&gt;=BenchmarkResults!$F$3:$F$35)*(mongodb_hardware_log!T927&lt;BenchmarkResults!$G$3:$G$35)*ROW(BenchmarkResults!$F$3:$F$35)),{1,3})</f>
        <v>q2_avg_order_city</v>
      </c>
      <c r="B927">
        <v>2</v>
      </c>
      <c r="C927" s="13">
        <v>1</v>
      </c>
      <c r="D927" s="13">
        <v>0</v>
      </c>
      <c r="E927" s="13">
        <v>133376</v>
      </c>
      <c r="F927" s="13">
        <v>427876</v>
      </c>
      <c r="G927" s="13">
        <v>1260</v>
      </c>
      <c r="H927" s="13">
        <v>1987236</v>
      </c>
      <c r="I927" s="13">
        <v>0</v>
      </c>
      <c r="J927" s="13">
        <v>0</v>
      </c>
      <c r="K927" s="13">
        <v>1109</v>
      </c>
      <c r="L927" s="13">
        <v>22</v>
      </c>
      <c r="M927" s="13">
        <v>719</v>
      </c>
      <c r="N927" s="13">
        <v>211</v>
      </c>
      <c r="O927" s="13">
        <v>33</v>
      </c>
      <c r="P927" s="13">
        <v>1</v>
      </c>
      <c r="Q927" s="13">
        <v>65</v>
      </c>
      <c r="R927" s="13">
        <v>0</v>
      </c>
      <c r="S927" s="13">
        <v>1</v>
      </c>
      <c r="T927" s="23">
        <v>46247.591377314813</v>
      </c>
      <c r="U927" s="55">
        <f t="shared" si="42"/>
        <v>1</v>
      </c>
      <c r="V927" s="55">
        <f t="shared" si="43"/>
        <v>0.16666666666666666</v>
      </c>
      <c r="W927" s="56">
        <f t="shared" si="44"/>
        <v>1127.1666666666667</v>
      </c>
    </row>
    <row r="928" spans="1:23" x14ac:dyDescent="0.3">
      <c r="A928" s="13" t="str" cm="1">
        <f t="array" ref="A928:B928">INDEX(BenchmarkResults!$B$1:$D$35,SUMPRODUCT((T928&gt;=BenchmarkResults!$F$3:$F$35)*(mongodb_hardware_log!T928&lt;BenchmarkResults!$G$3:$G$35)*ROW(BenchmarkResults!$F$3:$F$35)),{1,3})</f>
        <v>q2_avg_order_city</v>
      </c>
      <c r="B928">
        <v>2</v>
      </c>
      <c r="C928" s="13">
        <v>2</v>
      </c>
      <c r="D928" s="13">
        <v>0</v>
      </c>
      <c r="E928" s="13">
        <v>133376</v>
      </c>
      <c r="F928" s="13">
        <v>419812</v>
      </c>
      <c r="G928" s="13">
        <v>1268</v>
      </c>
      <c r="H928" s="13">
        <v>1996744</v>
      </c>
      <c r="I928" s="13">
        <v>0</v>
      </c>
      <c r="J928" s="13">
        <v>0</v>
      </c>
      <c r="K928" s="13">
        <v>951</v>
      </c>
      <c r="L928" s="13">
        <v>11</v>
      </c>
      <c r="M928" s="13">
        <v>708</v>
      </c>
      <c r="N928" s="13">
        <v>205</v>
      </c>
      <c r="O928" s="13">
        <v>33</v>
      </c>
      <c r="P928" s="13">
        <v>1</v>
      </c>
      <c r="Q928" s="13">
        <v>65</v>
      </c>
      <c r="R928" s="13">
        <v>0</v>
      </c>
      <c r="S928" s="13">
        <v>0</v>
      </c>
      <c r="T928" s="23">
        <v>46247.591493055559</v>
      </c>
      <c r="U928" s="55">
        <f t="shared" si="42"/>
        <v>1.1666666666666667</v>
      </c>
      <c r="V928" s="55">
        <f t="shared" si="43"/>
        <v>0.16666666666666666</v>
      </c>
      <c r="W928" s="56">
        <f t="shared" si="44"/>
        <v>1092</v>
      </c>
    </row>
    <row r="929" spans="1:23" x14ac:dyDescent="0.3">
      <c r="A929" s="13" t="str" cm="1">
        <f t="array" ref="A929:B929">INDEX(BenchmarkResults!$B$1:$D$35,SUMPRODUCT((T929&gt;=BenchmarkResults!$F$3:$F$35)*(mongodb_hardware_log!T929&lt;BenchmarkResults!$G$3:$G$35)*ROW(BenchmarkResults!$F$3:$F$35)),{1,3})</f>
        <v>q2_avg_order_city</v>
      </c>
      <c r="B929">
        <v>2</v>
      </c>
      <c r="C929" s="13">
        <v>1</v>
      </c>
      <c r="D929" s="13">
        <v>0</v>
      </c>
      <c r="E929" s="13">
        <v>133376</v>
      </c>
      <c r="F929" s="13">
        <v>410992</v>
      </c>
      <c r="G929" s="13">
        <v>1276</v>
      </c>
      <c r="H929" s="13">
        <v>2007528</v>
      </c>
      <c r="I929" s="13">
        <v>0</v>
      </c>
      <c r="J929" s="13">
        <v>0</v>
      </c>
      <c r="K929" s="13">
        <v>1078</v>
      </c>
      <c r="L929" s="13">
        <v>16</v>
      </c>
      <c r="M929" s="13">
        <v>724</v>
      </c>
      <c r="N929" s="13">
        <v>216</v>
      </c>
      <c r="O929" s="13">
        <v>33</v>
      </c>
      <c r="P929" s="13">
        <v>1</v>
      </c>
      <c r="Q929" s="13">
        <v>65</v>
      </c>
      <c r="R929" s="13">
        <v>0</v>
      </c>
      <c r="S929" s="13">
        <v>1</v>
      </c>
      <c r="T929" s="23">
        <v>46247.591608796298</v>
      </c>
      <c r="U929" s="55">
        <f t="shared" si="42"/>
        <v>1.1666666666666667</v>
      </c>
      <c r="V929" s="55">
        <f t="shared" si="43"/>
        <v>0.16666666666666666</v>
      </c>
      <c r="W929" s="56">
        <f t="shared" si="44"/>
        <v>1094.5</v>
      </c>
    </row>
    <row r="930" spans="1:23" x14ac:dyDescent="0.3">
      <c r="A930" s="13" t="str" cm="1">
        <f t="array" ref="A930:B930">INDEX(BenchmarkResults!$B$1:$D$35,SUMPRODUCT((T930&gt;=BenchmarkResults!$F$3:$F$35)*(mongodb_hardware_log!T930&lt;BenchmarkResults!$G$3:$G$35)*ROW(BenchmarkResults!$F$3:$F$35)),{1,3})</f>
        <v>q2_avg_order_city</v>
      </c>
      <c r="B930">
        <v>2</v>
      </c>
      <c r="C930" s="13">
        <v>1</v>
      </c>
      <c r="D930" s="13">
        <v>0</v>
      </c>
      <c r="E930" s="13">
        <v>133376</v>
      </c>
      <c r="F930" s="13">
        <v>403936</v>
      </c>
      <c r="G930" s="13">
        <v>1292</v>
      </c>
      <c r="H930" s="13">
        <v>2017404</v>
      </c>
      <c r="I930" s="13">
        <v>0</v>
      </c>
      <c r="J930" s="13">
        <v>0</v>
      </c>
      <c r="K930" s="13">
        <v>987</v>
      </c>
      <c r="L930" s="13">
        <v>12</v>
      </c>
      <c r="M930" s="13">
        <v>726</v>
      </c>
      <c r="N930" s="13">
        <v>216</v>
      </c>
      <c r="O930" s="13">
        <v>33</v>
      </c>
      <c r="P930" s="13">
        <v>1</v>
      </c>
      <c r="Q930" s="13">
        <v>65</v>
      </c>
      <c r="R930" s="13">
        <v>1</v>
      </c>
      <c r="S930" s="13">
        <v>1</v>
      </c>
      <c r="T930" s="23">
        <v>46247.591724537036</v>
      </c>
      <c r="U930" s="55">
        <f t="shared" si="42"/>
        <v>1.1666666666666667</v>
      </c>
      <c r="V930" s="55">
        <f t="shared" si="43"/>
        <v>0.16666666666666666</v>
      </c>
      <c r="W930" s="56">
        <f t="shared" si="44"/>
        <v>1078.3333333333333</v>
      </c>
    </row>
    <row r="931" spans="1:23" x14ac:dyDescent="0.3">
      <c r="A931" s="13" t="str" cm="1">
        <f t="array" ref="A931:B931">INDEX(BenchmarkResults!$B$1:$D$35,SUMPRODUCT((T931&gt;=BenchmarkResults!$F$3:$F$35)*(mongodb_hardware_log!T931&lt;BenchmarkResults!$G$3:$G$35)*ROW(BenchmarkResults!$F$3:$F$35)),{1,3})</f>
        <v>q2_avg_order_city</v>
      </c>
      <c r="B931">
        <v>2</v>
      </c>
      <c r="C931" s="13">
        <v>1</v>
      </c>
      <c r="D931" s="13">
        <v>0</v>
      </c>
      <c r="E931" s="13">
        <v>133376</v>
      </c>
      <c r="F931" s="13">
        <v>395116</v>
      </c>
      <c r="G931" s="13">
        <v>1316</v>
      </c>
      <c r="H931" s="13">
        <v>2024212</v>
      </c>
      <c r="I931" s="13">
        <v>0</v>
      </c>
      <c r="J931" s="13">
        <v>0</v>
      </c>
      <c r="K931" s="13">
        <v>681</v>
      </c>
      <c r="L931" s="13">
        <v>24</v>
      </c>
      <c r="M931" s="13">
        <v>735</v>
      </c>
      <c r="N931" s="13">
        <v>223</v>
      </c>
      <c r="O931" s="13">
        <v>33</v>
      </c>
      <c r="P931" s="13">
        <v>1</v>
      </c>
      <c r="Q931" s="13">
        <v>64</v>
      </c>
      <c r="R931" s="13">
        <v>0</v>
      </c>
      <c r="S931" s="13">
        <v>1</v>
      </c>
      <c r="T931" s="23">
        <v>46247.591840277775</v>
      </c>
      <c r="U931" s="55">
        <f t="shared" si="42"/>
        <v>1.1666666666666667</v>
      </c>
      <c r="V931" s="55">
        <f t="shared" si="43"/>
        <v>0.16666666666666666</v>
      </c>
      <c r="W931" s="56">
        <f t="shared" si="44"/>
        <v>995.33333333333337</v>
      </c>
    </row>
    <row r="932" spans="1:23" x14ac:dyDescent="0.3">
      <c r="A932" s="13" t="str" cm="1">
        <f t="array" ref="A932:B932">INDEX(BenchmarkResults!$B$1:$D$35,SUMPRODUCT((T932&gt;=BenchmarkResults!$F$3:$F$35)*(mongodb_hardware_log!T932&lt;BenchmarkResults!$G$3:$G$35)*ROW(BenchmarkResults!$F$3:$F$35)),{1,3})</f>
        <v>q2_avg_order_city</v>
      </c>
      <c r="B932">
        <v>2</v>
      </c>
      <c r="C932" s="13">
        <v>1</v>
      </c>
      <c r="D932" s="13">
        <v>0</v>
      </c>
      <c r="E932" s="13">
        <v>133376</v>
      </c>
      <c r="F932" s="13">
        <v>383524</v>
      </c>
      <c r="G932" s="13">
        <v>1324</v>
      </c>
      <c r="H932" s="13">
        <v>2034724</v>
      </c>
      <c r="I932" s="13">
        <v>0</v>
      </c>
      <c r="J932" s="13">
        <v>0</v>
      </c>
      <c r="K932" s="13">
        <v>1051</v>
      </c>
      <c r="L932" s="13">
        <v>10</v>
      </c>
      <c r="M932" s="13">
        <v>726</v>
      </c>
      <c r="N932" s="13">
        <v>216</v>
      </c>
      <c r="O932" s="13">
        <v>33</v>
      </c>
      <c r="P932" s="13">
        <v>1</v>
      </c>
      <c r="Q932" s="13">
        <v>65</v>
      </c>
      <c r="R932" s="13">
        <v>1</v>
      </c>
      <c r="S932" s="13">
        <v>1</v>
      </c>
      <c r="T932" s="23">
        <v>46247.591956018521</v>
      </c>
      <c r="U932" s="55">
        <f t="shared" si="42"/>
        <v>1.1666666666666667</v>
      </c>
      <c r="V932" s="55">
        <f t="shared" si="43"/>
        <v>0</v>
      </c>
      <c r="W932" s="56">
        <f t="shared" si="44"/>
        <v>976.16666666666663</v>
      </c>
    </row>
    <row r="933" spans="1:23" x14ac:dyDescent="0.3">
      <c r="A933" s="13" t="str" cm="1">
        <f t="array" ref="A933:B933">INDEX(BenchmarkResults!$B$1:$D$35,SUMPRODUCT((T933&gt;=BenchmarkResults!$F$3:$F$35)*(mongodb_hardware_log!T933&lt;BenchmarkResults!$G$3:$G$35)*ROW(BenchmarkResults!$F$3:$F$35)),{1,3})</f>
        <v>q2_avg_order_city</v>
      </c>
      <c r="B933">
        <v>2</v>
      </c>
      <c r="C933" s="13">
        <v>1</v>
      </c>
      <c r="D933" s="13">
        <v>0</v>
      </c>
      <c r="E933" s="13">
        <v>133376</v>
      </c>
      <c r="F933" s="13">
        <v>372688</v>
      </c>
      <c r="G933" s="13">
        <v>1332</v>
      </c>
      <c r="H933" s="13">
        <v>2045796</v>
      </c>
      <c r="I933" s="13">
        <v>0</v>
      </c>
      <c r="J933" s="13">
        <v>0</v>
      </c>
      <c r="K933" s="13">
        <v>1107</v>
      </c>
      <c r="L933" s="13">
        <v>17</v>
      </c>
      <c r="M933" s="13">
        <v>704</v>
      </c>
      <c r="N933" s="13">
        <v>197</v>
      </c>
      <c r="O933" s="13">
        <v>33</v>
      </c>
      <c r="P933" s="13">
        <v>1</v>
      </c>
      <c r="Q933" s="13">
        <v>65</v>
      </c>
      <c r="R933" s="13">
        <v>0</v>
      </c>
      <c r="S933" s="13">
        <v>0</v>
      </c>
      <c r="T933" s="23">
        <v>46247.59207175926</v>
      </c>
      <c r="U933" s="55">
        <f t="shared" si="42"/>
        <v>1.1666666666666667</v>
      </c>
      <c r="V933" s="55">
        <f t="shared" si="43"/>
        <v>0</v>
      </c>
      <c r="W933" s="56">
        <f t="shared" si="44"/>
        <v>975.83333333333337</v>
      </c>
    </row>
    <row r="934" spans="1:23" x14ac:dyDescent="0.3">
      <c r="A934" s="13" t="str" cm="1">
        <f t="array" ref="A934:B934">INDEX(BenchmarkResults!$B$1:$D$35,SUMPRODUCT((T934&gt;=BenchmarkResults!$F$3:$F$35)*(mongodb_hardware_log!T934&lt;BenchmarkResults!$G$3:$G$35)*ROW(BenchmarkResults!$F$3:$F$35)),{1,3})</f>
        <v>q2_avg_order_city</v>
      </c>
      <c r="B934">
        <v>2</v>
      </c>
      <c r="C934" s="13">
        <v>1</v>
      </c>
      <c r="D934" s="13">
        <v>0</v>
      </c>
      <c r="E934" s="13">
        <v>133376</v>
      </c>
      <c r="F934" s="13">
        <v>356812</v>
      </c>
      <c r="G934" s="13">
        <v>1340</v>
      </c>
      <c r="H934" s="13">
        <v>2061748</v>
      </c>
      <c r="I934" s="13">
        <v>0</v>
      </c>
      <c r="J934" s="13">
        <v>0</v>
      </c>
      <c r="K934" s="13">
        <v>1597</v>
      </c>
      <c r="L934" s="13">
        <v>10</v>
      </c>
      <c r="M934" s="13">
        <v>762</v>
      </c>
      <c r="N934" s="13">
        <v>257</v>
      </c>
      <c r="O934" s="13">
        <v>33</v>
      </c>
      <c r="P934" s="13">
        <v>1</v>
      </c>
      <c r="Q934" s="13">
        <v>65</v>
      </c>
      <c r="R934" s="13">
        <v>1</v>
      </c>
      <c r="S934" s="13">
        <v>0</v>
      </c>
      <c r="T934" s="23">
        <v>46247.592187499999</v>
      </c>
      <c r="U934" s="55">
        <f t="shared" si="42"/>
        <v>1</v>
      </c>
      <c r="V934" s="55">
        <f t="shared" si="43"/>
        <v>0</v>
      </c>
      <c r="W934" s="56">
        <f t="shared" si="44"/>
        <v>1083.5</v>
      </c>
    </row>
    <row r="935" spans="1:23" x14ac:dyDescent="0.3">
      <c r="A935" s="13" t="str" cm="1">
        <f t="array" ref="A935:B935">INDEX(BenchmarkResults!$B$1:$D$35,SUMPRODUCT((T935&gt;=BenchmarkResults!$F$3:$F$35)*(mongodb_hardware_log!T935&lt;BenchmarkResults!$G$3:$G$35)*ROW(BenchmarkResults!$F$3:$F$35)),{1,3})</f>
        <v>q2_avg_order_city</v>
      </c>
      <c r="B935">
        <v>2</v>
      </c>
      <c r="C935" s="13">
        <v>1</v>
      </c>
      <c r="D935" s="13">
        <v>0</v>
      </c>
      <c r="E935" s="13">
        <v>133376</v>
      </c>
      <c r="F935" s="13">
        <v>348244</v>
      </c>
      <c r="G935" s="13">
        <v>1348</v>
      </c>
      <c r="H935" s="13">
        <v>2073720</v>
      </c>
      <c r="I935" s="13">
        <v>0</v>
      </c>
      <c r="J935" s="13">
        <v>0</v>
      </c>
      <c r="K935" s="13">
        <v>1195</v>
      </c>
      <c r="L935" s="13">
        <v>11</v>
      </c>
      <c r="M935" s="13">
        <v>750</v>
      </c>
      <c r="N935" s="13">
        <v>248</v>
      </c>
      <c r="O935" s="13">
        <v>33</v>
      </c>
      <c r="P935" s="13">
        <v>1</v>
      </c>
      <c r="Q935" s="13">
        <v>65</v>
      </c>
      <c r="R935" s="13">
        <v>0</v>
      </c>
      <c r="S935" s="13">
        <v>0</v>
      </c>
      <c r="T935" s="23">
        <v>46247.592303240737</v>
      </c>
      <c r="U935" s="55">
        <f t="shared" si="42"/>
        <v>1</v>
      </c>
      <c r="V935" s="55">
        <f t="shared" si="43"/>
        <v>0</v>
      </c>
      <c r="W935" s="56">
        <f t="shared" si="44"/>
        <v>1103</v>
      </c>
    </row>
    <row r="936" spans="1:23" x14ac:dyDescent="0.3">
      <c r="A936" s="13" t="str" cm="1">
        <f t="array" ref="A936:B936">INDEX(BenchmarkResults!$B$1:$D$35,SUMPRODUCT((T936&gt;=BenchmarkResults!$F$3:$F$35)*(mongodb_hardware_log!T936&lt;BenchmarkResults!$G$3:$G$35)*ROW(BenchmarkResults!$F$3:$F$35)),{1,3})</f>
        <v>q2_avg_order_city</v>
      </c>
      <c r="B936">
        <v>2</v>
      </c>
      <c r="C936" s="13">
        <v>1</v>
      </c>
      <c r="D936" s="13">
        <v>0</v>
      </c>
      <c r="E936" s="13">
        <v>133376</v>
      </c>
      <c r="F936" s="13">
        <v>334064</v>
      </c>
      <c r="G936" s="13">
        <v>1356</v>
      </c>
      <c r="H936" s="13">
        <v>2085184</v>
      </c>
      <c r="I936" s="13">
        <v>0</v>
      </c>
      <c r="J936" s="13">
        <v>0</v>
      </c>
      <c r="K936" s="13">
        <v>1146</v>
      </c>
      <c r="L936" s="13">
        <v>10</v>
      </c>
      <c r="M936" s="13">
        <v>731</v>
      </c>
      <c r="N936" s="13">
        <v>218</v>
      </c>
      <c r="O936" s="13">
        <v>34</v>
      </c>
      <c r="P936" s="13">
        <v>1</v>
      </c>
      <c r="Q936" s="13">
        <v>64</v>
      </c>
      <c r="R936" s="13">
        <v>0</v>
      </c>
      <c r="S936" s="13">
        <v>0</v>
      </c>
      <c r="T936" s="23">
        <v>46247.592418981483</v>
      </c>
      <c r="U936" s="55">
        <f t="shared" si="42"/>
        <v>1</v>
      </c>
      <c r="V936" s="55">
        <f t="shared" si="43"/>
        <v>0</v>
      </c>
      <c r="W936" s="56">
        <f t="shared" si="44"/>
        <v>1129.5</v>
      </c>
    </row>
    <row r="937" spans="1:23" x14ac:dyDescent="0.3">
      <c r="A937" s="13" t="str" cm="1">
        <f t="array" ref="A937:B937">INDEX(BenchmarkResults!$B$1:$D$35,SUMPRODUCT((T937&gt;=BenchmarkResults!$F$3:$F$35)*(mongodb_hardware_log!T937&lt;BenchmarkResults!$G$3:$G$35)*ROW(BenchmarkResults!$F$3:$F$35)),{1,3})</f>
        <v>q2_avg_order_city</v>
      </c>
      <c r="B937">
        <v>2</v>
      </c>
      <c r="C937" s="13">
        <v>1</v>
      </c>
      <c r="D937" s="13">
        <v>0</v>
      </c>
      <c r="E937" s="13">
        <v>133376</v>
      </c>
      <c r="F937" s="13">
        <v>317936</v>
      </c>
      <c r="G937" s="13">
        <v>1380</v>
      </c>
      <c r="H937" s="13">
        <v>2096960</v>
      </c>
      <c r="I937" s="13">
        <v>0</v>
      </c>
      <c r="J937" s="13">
        <v>0</v>
      </c>
      <c r="K937" s="13">
        <v>1177</v>
      </c>
      <c r="L937" s="13">
        <v>29</v>
      </c>
      <c r="M937" s="13">
        <v>711</v>
      </c>
      <c r="N937" s="13">
        <v>215</v>
      </c>
      <c r="O937" s="13">
        <v>33</v>
      </c>
      <c r="P937" s="13">
        <v>1</v>
      </c>
      <c r="Q937" s="13">
        <v>65</v>
      </c>
      <c r="R937" s="13">
        <v>0</v>
      </c>
      <c r="S937" s="13">
        <v>0</v>
      </c>
      <c r="T937" s="23">
        <v>46247.592534722222</v>
      </c>
      <c r="U937" s="55">
        <f t="shared" si="42"/>
        <v>1</v>
      </c>
      <c r="V937" s="55">
        <f t="shared" si="43"/>
        <v>0</v>
      </c>
      <c r="W937" s="56">
        <f t="shared" si="44"/>
        <v>1212.1666666666667</v>
      </c>
    </row>
    <row r="938" spans="1:23" x14ac:dyDescent="0.3">
      <c r="A938" s="13" t="str" cm="1">
        <f t="array" ref="A938:B938">INDEX(BenchmarkResults!$B$1:$D$35,SUMPRODUCT((T938&gt;=BenchmarkResults!$F$3:$F$35)*(mongodb_hardware_log!T938&lt;BenchmarkResults!$G$3:$G$35)*ROW(BenchmarkResults!$F$3:$F$35)),{1,3})</f>
        <v>q2_avg_order_city</v>
      </c>
      <c r="B938">
        <v>2</v>
      </c>
      <c r="C938" s="13">
        <v>1</v>
      </c>
      <c r="D938" s="13">
        <v>0</v>
      </c>
      <c r="E938" s="13">
        <v>133376</v>
      </c>
      <c r="F938" s="13">
        <v>309620</v>
      </c>
      <c r="G938" s="13">
        <v>1388</v>
      </c>
      <c r="H938" s="13">
        <v>2108324</v>
      </c>
      <c r="I938" s="13">
        <v>0</v>
      </c>
      <c r="J938" s="13">
        <v>0</v>
      </c>
      <c r="K938" s="13">
        <v>1136</v>
      </c>
      <c r="L938" s="13">
        <v>11</v>
      </c>
      <c r="M938" s="13">
        <v>720</v>
      </c>
      <c r="N938" s="13">
        <v>216</v>
      </c>
      <c r="O938" s="13">
        <v>33</v>
      </c>
      <c r="P938" s="13">
        <v>1</v>
      </c>
      <c r="Q938" s="13">
        <v>65</v>
      </c>
      <c r="R938" s="13">
        <v>0</v>
      </c>
      <c r="S938" s="13">
        <v>1</v>
      </c>
      <c r="T938" s="23">
        <v>46247.592650462961</v>
      </c>
      <c r="U938" s="55">
        <f t="shared" si="42"/>
        <v>1</v>
      </c>
      <c r="V938" s="55">
        <f t="shared" si="43"/>
        <v>0</v>
      </c>
      <c r="W938" s="56">
        <f t="shared" si="44"/>
        <v>1226.3333333333333</v>
      </c>
    </row>
    <row r="939" spans="1:23" x14ac:dyDescent="0.3">
      <c r="A939" s="13" t="str" cm="1">
        <f t="array" ref="A939:B939">INDEX(BenchmarkResults!$B$1:$D$35,SUMPRODUCT((T939&gt;=BenchmarkResults!$F$3:$F$35)*(mongodb_hardware_log!T939&lt;BenchmarkResults!$G$3:$G$35)*ROW(BenchmarkResults!$F$3:$F$35)),{1,3})</f>
        <v>q2_avg_order_city</v>
      </c>
      <c r="B939">
        <v>2</v>
      </c>
      <c r="C939" s="13">
        <v>1</v>
      </c>
      <c r="D939" s="13">
        <v>0</v>
      </c>
      <c r="E939" s="13">
        <v>133376</v>
      </c>
      <c r="F939" s="13">
        <v>300044</v>
      </c>
      <c r="G939" s="13">
        <v>1396</v>
      </c>
      <c r="H939" s="13">
        <v>2120956</v>
      </c>
      <c r="I939" s="13">
        <v>0</v>
      </c>
      <c r="J939" s="13">
        <v>0</v>
      </c>
      <c r="K939" s="13">
        <v>1250</v>
      </c>
      <c r="L939" s="13">
        <v>31</v>
      </c>
      <c r="M939" s="13">
        <v>723</v>
      </c>
      <c r="N939" s="13">
        <v>220</v>
      </c>
      <c r="O939" s="13">
        <v>33</v>
      </c>
      <c r="P939" s="13">
        <v>1</v>
      </c>
      <c r="Q939" s="13">
        <v>65</v>
      </c>
      <c r="R939" s="13">
        <v>0</v>
      </c>
      <c r="S939" s="13">
        <v>0</v>
      </c>
      <c r="T939" s="23">
        <v>46247.592766203707</v>
      </c>
      <c r="U939" s="55">
        <f t="shared" si="42"/>
        <v>1</v>
      </c>
      <c r="V939" s="55">
        <f t="shared" si="43"/>
        <v>0</v>
      </c>
      <c r="W939" s="56">
        <f t="shared" si="44"/>
        <v>1250.1666666666667</v>
      </c>
    </row>
    <row r="940" spans="1:23" x14ac:dyDescent="0.3">
      <c r="A940" s="13" t="str" cm="1">
        <f t="array" ref="A940:B940">INDEX(BenchmarkResults!$B$1:$D$35,SUMPRODUCT((T940&gt;=BenchmarkResults!$F$3:$F$35)*(mongodb_hardware_log!T940&lt;BenchmarkResults!$G$3:$G$35)*ROW(BenchmarkResults!$F$3:$F$35)),{1,3})</f>
        <v>q2_avg_order_city</v>
      </c>
      <c r="B940">
        <v>2</v>
      </c>
      <c r="C940" s="13">
        <v>1</v>
      </c>
      <c r="D940" s="13">
        <v>0</v>
      </c>
      <c r="E940" s="13">
        <v>133376</v>
      </c>
      <c r="F940" s="13">
        <v>285932</v>
      </c>
      <c r="G940" s="13">
        <v>1404</v>
      </c>
      <c r="H940" s="13">
        <v>2131276</v>
      </c>
      <c r="I940" s="13">
        <v>0</v>
      </c>
      <c r="J940" s="13">
        <v>0</v>
      </c>
      <c r="K940" s="13">
        <v>1034</v>
      </c>
      <c r="L940" s="13">
        <v>12</v>
      </c>
      <c r="M940" s="13">
        <v>712</v>
      </c>
      <c r="N940" s="13">
        <v>208</v>
      </c>
      <c r="O940" s="13">
        <v>33</v>
      </c>
      <c r="P940" s="13">
        <v>1</v>
      </c>
      <c r="Q940" s="13">
        <v>65</v>
      </c>
      <c r="R940" s="13">
        <v>0</v>
      </c>
      <c r="S940" s="13">
        <v>0</v>
      </c>
      <c r="T940" s="23">
        <v>46247.592881944445</v>
      </c>
      <c r="U940" s="55">
        <f t="shared" si="42"/>
        <v>1</v>
      </c>
      <c r="V940" s="55">
        <f t="shared" si="43"/>
        <v>0</v>
      </c>
      <c r="W940" s="56">
        <f t="shared" si="44"/>
        <v>1156.3333333333333</v>
      </c>
    </row>
    <row r="941" spans="1:23" x14ac:dyDescent="0.3">
      <c r="A941" s="13" t="str" cm="1">
        <f t="array" ref="A941:B941">INDEX(BenchmarkResults!$B$1:$D$35,SUMPRODUCT((T941&gt;=BenchmarkResults!$F$3:$F$35)*(mongodb_hardware_log!T941&lt;BenchmarkResults!$G$3:$G$35)*ROW(BenchmarkResults!$F$3:$F$35)),{1,3})</f>
        <v>q2_avg_order_city</v>
      </c>
      <c r="B941">
        <v>2</v>
      </c>
      <c r="C941" s="13">
        <v>1</v>
      </c>
      <c r="D941" s="13">
        <v>0</v>
      </c>
      <c r="E941" s="13">
        <v>133376</v>
      </c>
      <c r="F941" s="13">
        <v>277364</v>
      </c>
      <c r="G941" s="13">
        <v>1412</v>
      </c>
      <c r="H941" s="13">
        <v>2142988</v>
      </c>
      <c r="I941" s="13">
        <v>0</v>
      </c>
      <c r="J941" s="13">
        <v>0</v>
      </c>
      <c r="K941" s="13">
        <v>1169</v>
      </c>
      <c r="L941" s="13">
        <v>11</v>
      </c>
      <c r="M941" s="13">
        <v>725</v>
      </c>
      <c r="N941" s="13">
        <v>221</v>
      </c>
      <c r="O941" s="13">
        <v>33</v>
      </c>
      <c r="P941" s="13">
        <v>1</v>
      </c>
      <c r="Q941" s="13">
        <v>64</v>
      </c>
      <c r="R941" s="13">
        <v>1</v>
      </c>
      <c r="S941" s="13">
        <v>1</v>
      </c>
      <c r="T941" s="23">
        <v>46247.592997685184</v>
      </c>
      <c r="U941" s="55">
        <f t="shared" si="42"/>
        <v>1</v>
      </c>
      <c r="V941" s="55">
        <f t="shared" si="43"/>
        <v>0</v>
      </c>
      <c r="W941" s="56">
        <f t="shared" si="44"/>
        <v>1152</v>
      </c>
    </row>
    <row r="942" spans="1:23" x14ac:dyDescent="0.3">
      <c r="A942" s="13" t="str" cm="1">
        <f t="array" ref="A942:B942">INDEX(BenchmarkResults!$B$1:$D$35,SUMPRODUCT((T942&gt;=BenchmarkResults!$F$3:$F$35)*(mongodb_hardware_log!T942&lt;BenchmarkResults!$G$3:$G$35)*ROW(BenchmarkResults!$F$3:$F$35)),{1,3})</f>
        <v>q2_avg_order_city</v>
      </c>
      <c r="B942">
        <v>2</v>
      </c>
      <c r="C942" s="13">
        <v>2</v>
      </c>
      <c r="D942" s="13">
        <v>0</v>
      </c>
      <c r="E942" s="13">
        <v>133376</v>
      </c>
      <c r="F942" s="13">
        <v>263328</v>
      </c>
      <c r="G942" s="13">
        <v>1420</v>
      </c>
      <c r="H942" s="13">
        <v>2153860</v>
      </c>
      <c r="I942" s="13">
        <v>0</v>
      </c>
      <c r="J942" s="13">
        <v>0</v>
      </c>
      <c r="K942" s="13">
        <v>1087</v>
      </c>
      <c r="L942" s="13">
        <v>6</v>
      </c>
      <c r="M942" s="13">
        <v>724</v>
      </c>
      <c r="N942" s="13">
        <v>216</v>
      </c>
      <c r="O942" s="13">
        <v>33</v>
      </c>
      <c r="P942" s="13">
        <v>1</v>
      </c>
      <c r="Q942" s="13">
        <v>65</v>
      </c>
      <c r="R942" s="13">
        <v>0</v>
      </c>
      <c r="S942" s="13">
        <v>1</v>
      </c>
      <c r="T942" s="23">
        <v>46247.593113425923</v>
      </c>
      <c r="U942" s="55">
        <f t="shared" si="42"/>
        <v>1.1666666666666667</v>
      </c>
      <c r="V942" s="55">
        <f t="shared" si="43"/>
        <v>0</v>
      </c>
      <c r="W942" s="56">
        <f t="shared" si="44"/>
        <v>1142.1666666666667</v>
      </c>
    </row>
    <row r="943" spans="1:23" x14ac:dyDescent="0.3">
      <c r="A943" s="13" t="str" cm="1">
        <f t="array" ref="A943:B943">INDEX(BenchmarkResults!$B$1:$D$35,SUMPRODUCT((T943&gt;=BenchmarkResults!$F$3:$F$35)*(mongodb_hardware_log!T943&lt;BenchmarkResults!$G$3:$G$35)*ROW(BenchmarkResults!$F$3:$F$35)),{1,3})</f>
        <v>q2_avg_order_city</v>
      </c>
      <c r="B943">
        <v>2</v>
      </c>
      <c r="C943" s="13">
        <v>3</v>
      </c>
      <c r="D943" s="13">
        <v>0</v>
      </c>
      <c r="E943" s="13">
        <v>133376</v>
      </c>
      <c r="F943" s="13">
        <v>136184</v>
      </c>
      <c r="G943" s="13">
        <v>1460</v>
      </c>
      <c r="H943" s="13">
        <v>1673896</v>
      </c>
      <c r="I943" s="13">
        <v>0</v>
      </c>
      <c r="J943" s="13">
        <v>0</v>
      </c>
      <c r="K943" s="13">
        <v>738</v>
      </c>
      <c r="L943" s="13">
        <v>38</v>
      </c>
      <c r="M943" s="13">
        <v>961</v>
      </c>
      <c r="N943" s="13">
        <v>361</v>
      </c>
      <c r="O943" s="13">
        <v>37</v>
      </c>
      <c r="P943" s="13">
        <v>9</v>
      </c>
      <c r="Q943" s="13">
        <v>53</v>
      </c>
      <c r="R943" s="13">
        <v>0</v>
      </c>
      <c r="S943" s="13">
        <v>1</v>
      </c>
      <c r="T943" s="23">
        <v>46247.593229166669</v>
      </c>
      <c r="U943" s="55">
        <f t="shared" si="42"/>
        <v>1.5</v>
      </c>
      <c r="V943" s="55">
        <f t="shared" si="43"/>
        <v>0</v>
      </c>
      <c r="W943" s="56">
        <f t="shared" si="44"/>
        <v>1069</v>
      </c>
    </row>
    <row r="944" spans="1:23" x14ac:dyDescent="0.3">
      <c r="A944" s="13" t="str" cm="1">
        <f t="array" ref="A944:B944">INDEX(BenchmarkResults!$B$1:$D$35,SUMPRODUCT((T944&gt;=BenchmarkResults!$F$3:$F$35)*(mongodb_hardware_log!T944&lt;BenchmarkResults!$G$3:$G$35)*ROW(BenchmarkResults!$F$3:$F$35)),{1,3})</f>
        <v>q2_avg_order_city</v>
      </c>
      <c r="B944">
        <v>2</v>
      </c>
      <c r="C944" s="13">
        <v>1</v>
      </c>
      <c r="D944" s="13">
        <v>0</v>
      </c>
      <c r="E944" s="13">
        <v>133376</v>
      </c>
      <c r="F944" s="13">
        <v>848220</v>
      </c>
      <c r="G944" s="13">
        <v>1468</v>
      </c>
      <c r="H944" s="13">
        <v>1543304</v>
      </c>
      <c r="I944" s="13">
        <v>0</v>
      </c>
      <c r="J944" s="13">
        <v>0</v>
      </c>
      <c r="K944" s="13">
        <v>951</v>
      </c>
      <c r="L944" s="13">
        <v>6</v>
      </c>
      <c r="M944" s="13">
        <v>872</v>
      </c>
      <c r="N944" s="13">
        <v>392</v>
      </c>
      <c r="O944" s="13">
        <v>35</v>
      </c>
      <c r="P944" s="13">
        <v>4</v>
      </c>
      <c r="Q944" s="13">
        <v>60</v>
      </c>
      <c r="R944" s="13">
        <v>0</v>
      </c>
      <c r="S944" s="13">
        <v>1</v>
      </c>
      <c r="T944" s="23">
        <v>46247.593344907407</v>
      </c>
      <c r="U944" s="55">
        <f t="shared" si="42"/>
        <v>1.5</v>
      </c>
      <c r="V944" s="55">
        <f t="shared" si="43"/>
        <v>0</v>
      </c>
      <c r="W944" s="56">
        <f t="shared" si="44"/>
        <v>1038.1666666666667</v>
      </c>
    </row>
    <row r="945" spans="1:23" x14ac:dyDescent="0.3">
      <c r="A945" s="13" t="str" cm="1">
        <f t="array" ref="A945:B945">INDEX(BenchmarkResults!$B$1:$D$35,SUMPRODUCT((T945&gt;=BenchmarkResults!$F$3:$F$35)*(mongodb_hardware_log!T945&lt;BenchmarkResults!$G$3:$G$35)*ROW(BenchmarkResults!$F$3:$F$35)),{1,3})</f>
        <v>q2_avg_order_city</v>
      </c>
      <c r="B945">
        <v>2</v>
      </c>
      <c r="C945" s="13">
        <v>1</v>
      </c>
      <c r="D945" s="13">
        <v>0</v>
      </c>
      <c r="E945" s="13">
        <v>133376</v>
      </c>
      <c r="F945" s="13">
        <v>840156</v>
      </c>
      <c r="G945" s="13">
        <v>1476</v>
      </c>
      <c r="H945" s="13">
        <v>1555840</v>
      </c>
      <c r="I945" s="13">
        <v>0</v>
      </c>
      <c r="J945" s="13">
        <v>0</v>
      </c>
      <c r="K945" s="13">
        <v>1253</v>
      </c>
      <c r="L945" s="13">
        <v>28</v>
      </c>
      <c r="M945" s="13">
        <v>719</v>
      </c>
      <c r="N945" s="13">
        <v>220</v>
      </c>
      <c r="O945" s="13">
        <v>33</v>
      </c>
      <c r="P945" s="13">
        <v>1</v>
      </c>
      <c r="Q945" s="13">
        <v>65</v>
      </c>
      <c r="R945" s="13">
        <v>1</v>
      </c>
      <c r="S945" s="13">
        <v>0</v>
      </c>
      <c r="T945" s="23">
        <v>46247.593460648146</v>
      </c>
      <c r="U945" s="55">
        <f t="shared" si="42"/>
        <v>1.5</v>
      </c>
      <c r="V945" s="55">
        <f t="shared" si="43"/>
        <v>0</v>
      </c>
      <c r="W945" s="56">
        <f t="shared" si="44"/>
        <v>1038.6666666666667</v>
      </c>
    </row>
    <row r="946" spans="1:23" x14ac:dyDescent="0.3">
      <c r="A946" s="13" t="str" cm="1">
        <f t="array" ref="A946:B946">INDEX(BenchmarkResults!$B$1:$D$35,SUMPRODUCT((T946&gt;=BenchmarkResults!$F$3:$F$35)*(mongodb_hardware_log!T946&lt;BenchmarkResults!$G$3:$G$35)*ROW(BenchmarkResults!$F$3:$F$35)),{1,3})</f>
        <v>q2_avg_order_city</v>
      </c>
      <c r="B946">
        <v>2</v>
      </c>
      <c r="C946" s="13">
        <v>1</v>
      </c>
      <c r="D946" s="13">
        <v>0</v>
      </c>
      <c r="E946" s="13">
        <v>133376</v>
      </c>
      <c r="F946" s="13">
        <v>826696</v>
      </c>
      <c r="G946" s="13">
        <v>1484</v>
      </c>
      <c r="H946" s="13">
        <v>1567088</v>
      </c>
      <c r="I946" s="13">
        <v>0</v>
      </c>
      <c r="J946" s="13">
        <v>0</v>
      </c>
      <c r="K946" s="13">
        <v>1125</v>
      </c>
      <c r="L946" s="13">
        <v>12</v>
      </c>
      <c r="M946" s="13">
        <v>725</v>
      </c>
      <c r="N946" s="13">
        <v>221</v>
      </c>
      <c r="O946" s="13">
        <v>33</v>
      </c>
      <c r="P946" s="13">
        <v>1</v>
      </c>
      <c r="Q946" s="13">
        <v>65</v>
      </c>
      <c r="R946" s="13">
        <v>0</v>
      </c>
      <c r="S946" s="13">
        <v>0</v>
      </c>
      <c r="T946" s="23">
        <v>46247.593576388892</v>
      </c>
      <c r="U946" s="55">
        <f t="shared" si="42"/>
        <v>1.5</v>
      </c>
      <c r="V946" s="55">
        <f t="shared" si="43"/>
        <v>0</v>
      </c>
      <c r="W946" s="56">
        <f t="shared" si="44"/>
        <v>1053.8333333333333</v>
      </c>
    </row>
    <row r="947" spans="1:23" x14ac:dyDescent="0.3">
      <c r="A947" s="13" t="str" cm="1">
        <f t="array" ref="A947:B947">INDEX(BenchmarkResults!$B$1:$D$35,SUMPRODUCT((T947&gt;=BenchmarkResults!$F$3:$F$35)*(mongodb_hardware_log!T947&lt;BenchmarkResults!$G$3:$G$35)*ROW(BenchmarkResults!$F$3:$F$35)),{1,3})</f>
        <v>q2_avg_order_city</v>
      </c>
      <c r="B947">
        <v>2</v>
      </c>
      <c r="C947" s="13">
        <v>1</v>
      </c>
      <c r="D947" s="13">
        <v>0</v>
      </c>
      <c r="E947" s="13">
        <v>133376</v>
      </c>
      <c r="F947" s="13">
        <v>819876</v>
      </c>
      <c r="G947" s="13">
        <v>1492</v>
      </c>
      <c r="H947" s="13">
        <v>1578264</v>
      </c>
      <c r="I947" s="13">
        <v>0</v>
      </c>
      <c r="J947" s="13">
        <v>0</v>
      </c>
      <c r="K947" s="13">
        <v>1120</v>
      </c>
      <c r="L947" s="13">
        <v>10</v>
      </c>
      <c r="M947" s="13">
        <v>724</v>
      </c>
      <c r="N947" s="13">
        <v>214</v>
      </c>
      <c r="O947" s="13">
        <v>33</v>
      </c>
      <c r="P947" s="13">
        <v>1</v>
      </c>
      <c r="Q947" s="13">
        <v>65</v>
      </c>
      <c r="R947" s="13">
        <v>0</v>
      </c>
      <c r="S947" s="13">
        <v>1</v>
      </c>
      <c r="T947" s="23">
        <v>46247.593692129631</v>
      </c>
      <c r="U947" s="55">
        <f t="shared" si="42"/>
        <v>1.5</v>
      </c>
      <c r="V947" s="55">
        <f t="shared" si="43"/>
        <v>0</v>
      </c>
      <c r="W947" s="56">
        <f t="shared" si="44"/>
        <v>1045.6666666666667</v>
      </c>
    </row>
    <row r="948" spans="1:23" x14ac:dyDescent="0.3">
      <c r="A948" s="13" t="str" cm="1">
        <f t="array" ref="A948:B948">INDEX(BenchmarkResults!$B$1:$D$35,SUMPRODUCT((T948&gt;=BenchmarkResults!$F$3:$F$35)*(mongodb_hardware_log!T948&lt;BenchmarkResults!$G$3:$G$35)*ROW(BenchmarkResults!$F$3:$F$35)),{1,3})</f>
        <v>q2_avg_order_city</v>
      </c>
      <c r="B948">
        <v>2</v>
      </c>
      <c r="C948" s="13">
        <v>1</v>
      </c>
      <c r="D948" s="13">
        <v>0</v>
      </c>
      <c r="E948" s="13">
        <v>133376</v>
      </c>
      <c r="F948" s="13">
        <v>807024</v>
      </c>
      <c r="G948" s="13">
        <v>1500</v>
      </c>
      <c r="H948" s="13">
        <v>1589624</v>
      </c>
      <c r="I948" s="13">
        <v>0</v>
      </c>
      <c r="J948" s="13">
        <v>0</v>
      </c>
      <c r="K948" s="13">
        <v>1136</v>
      </c>
      <c r="L948" s="13">
        <v>8</v>
      </c>
      <c r="M948" s="13">
        <v>777</v>
      </c>
      <c r="N948" s="13">
        <v>268</v>
      </c>
      <c r="O948" s="13">
        <v>33</v>
      </c>
      <c r="P948" s="13">
        <v>1</v>
      </c>
      <c r="Q948" s="13">
        <v>64</v>
      </c>
      <c r="R948" s="13">
        <v>0</v>
      </c>
      <c r="S948" s="13">
        <v>1</v>
      </c>
      <c r="T948" s="23">
        <v>46247.593807870369</v>
      </c>
      <c r="U948" s="55">
        <f t="shared" si="42"/>
        <v>1.3333333333333333</v>
      </c>
      <c r="V948" s="55">
        <f t="shared" si="43"/>
        <v>0</v>
      </c>
      <c r="W948" s="56">
        <f t="shared" si="44"/>
        <v>1053.8333333333333</v>
      </c>
    </row>
    <row r="949" spans="1:23" x14ac:dyDescent="0.3">
      <c r="A949" s="13" t="str" cm="1">
        <f t="array" ref="A949:B949">INDEX(BenchmarkResults!$B$1:$D$35,SUMPRODUCT((T949&gt;=BenchmarkResults!$F$3:$F$35)*(mongodb_hardware_log!T949&lt;BenchmarkResults!$G$3:$G$35)*ROW(BenchmarkResults!$F$3:$F$35)),{1,3})</f>
        <v>q2_avg_order_city</v>
      </c>
      <c r="B949">
        <v>2</v>
      </c>
      <c r="C949" s="13">
        <v>1</v>
      </c>
      <c r="D949" s="13">
        <v>0</v>
      </c>
      <c r="E949" s="13">
        <v>133376</v>
      </c>
      <c r="F949" s="13">
        <v>790392</v>
      </c>
      <c r="G949" s="13">
        <v>1532</v>
      </c>
      <c r="H949" s="13">
        <v>1600868</v>
      </c>
      <c r="I949" s="13">
        <v>0</v>
      </c>
      <c r="J949" s="13">
        <v>0</v>
      </c>
      <c r="K949" s="13">
        <v>1120</v>
      </c>
      <c r="L949" s="13">
        <v>25</v>
      </c>
      <c r="M949" s="13">
        <v>779</v>
      </c>
      <c r="N949" s="13">
        <v>274</v>
      </c>
      <c r="O949" s="13">
        <v>33</v>
      </c>
      <c r="P949" s="13">
        <v>1</v>
      </c>
      <c r="Q949" s="13">
        <v>64</v>
      </c>
      <c r="R949" s="13">
        <v>0</v>
      </c>
      <c r="S949" s="13">
        <v>1</v>
      </c>
      <c r="T949" s="23">
        <v>46247.593923611108</v>
      </c>
      <c r="U949" s="55">
        <f t="shared" si="42"/>
        <v>1</v>
      </c>
      <c r="V949" s="55">
        <f t="shared" si="43"/>
        <v>0</v>
      </c>
      <c r="W949" s="56">
        <f t="shared" si="44"/>
        <v>1117.5</v>
      </c>
    </row>
    <row r="950" spans="1:23" x14ac:dyDescent="0.3">
      <c r="A950" s="13" t="str" cm="1">
        <f t="array" ref="A950:B950">INDEX(BenchmarkResults!$B$1:$D$35,SUMPRODUCT((T950&gt;=BenchmarkResults!$F$3:$F$35)*(mongodb_hardware_log!T950&lt;BenchmarkResults!$G$3:$G$35)*ROW(BenchmarkResults!$F$3:$F$35)),{1,3})</f>
        <v>q2_avg_order_city</v>
      </c>
      <c r="B950">
        <v>2</v>
      </c>
      <c r="C950" s="13">
        <v>1</v>
      </c>
      <c r="D950" s="13">
        <v>0</v>
      </c>
      <c r="E950" s="13">
        <v>133376</v>
      </c>
      <c r="F950" s="13">
        <v>783336</v>
      </c>
      <c r="G950" s="13">
        <v>1540</v>
      </c>
      <c r="H950" s="13">
        <v>1612216</v>
      </c>
      <c r="I950" s="13">
        <v>0</v>
      </c>
      <c r="J950" s="13">
        <v>0</v>
      </c>
      <c r="K950" s="13">
        <v>1135</v>
      </c>
      <c r="L950" s="13">
        <v>31</v>
      </c>
      <c r="M950" s="13">
        <v>707</v>
      </c>
      <c r="N950" s="13">
        <v>203</v>
      </c>
      <c r="O950" s="13">
        <v>33</v>
      </c>
      <c r="P950" s="13">
        <v>1</v>
      </c>
      <c r="Q950" s="13">
        <v>65</v>
      </c>
      <c r="R950" s="13">
        <v>0</v>
      </c>
      <c r="S950" s="13">
        <v>1</v>
      </c>
      <c r="T950" s="23">
        <v>46247.594039351854</v>
      </c>
      <c r="U950" s="55">
        <f t="shared" si="42"/>
        <v>1</v>
      </c>
      <c r="V950" s="55">
        <f t="shared" si="43"/>
        <v>0</v>
      </c>
      <c r="W950" s="56">
        <f t="shared" si="44"/>
        <v>1148.1666666666667</v>
      </c>
    </row>
    <row r="951" spans="1:23" x14ac:dyDescent="0.3">
      <c r="A951" s="13" t="str" cm="1">
        <f t="array" ref="A951:B951">INDEX(BenchmarkResults!$B$1:$D$35,SUMPRODUCT((T951&gt;=BenchmarkResults!$F$3:$F$35)*(mongodb_hardware_log!T951&lt;BenchmarkResults!$G$3:$G$35)*ROW(BenchmarkResults!$F$3:$F$35)),{1,3})</f>
        <v>q2_avg_order_city</v>
      </c>
      <c r="B951">
        <v>2</v>
      </c>
      <c r="C951" s="13">
        <v>1</v>
      </c>
      <c r="D951" s="13">
        <v>0</v>
      </c>
      <c r="E951" s="13">
        <v>133376</v>
      </c>
      <c r="F951" s="13">
        <v>767460</v>
      </c>
      <c r="G951" s="13">
        <v>1548</v>
      </c>
      <c r="H951" s="13">
        <v>1624472</v>
      </c>
      <c r="I951" s="13">
        <v>0</v>
      </c>
      <c r="J951" s="13">
        <v>0</v>
      </c>
      <c r="K951" s="13">
        <v>1225</v>
      </c>
      <c r="L951" s="13">
        <v>9</v>
      </c>
      <c r="M951" s="13">
        <v>719</v>
      </c>
      <c r="N951" s="13">
        <v>213</v>
      </c>
      <c r="O951" s="13">
        <v>33</v>
      </c>
      <c r="P951" s="13">
        <v>1</v>
      </c>
      <c r="Q951" s="13">
        <v>65</v>
      </c>
      <c r="R951" s="13">
        <v>1</v>
      </c>
      <c r="S951" s="13">
        <v>1</v>
      </c>
      <c r="T951" s="23">
        <v>46247.594155092593</v>
      </c>
      <c r="U951" s="55">
        <f t="shared" si="42"/>
        <v>1</v>
      </c>
      <c r="V951" s="55">
        <f t="shared" si="43"/>
        <v>0</v>
      </c>
      <c r="W951" s="56">
        <f t="shared" si="44"/>
        <v>1143.5</v>
      </c>
    </row>
    <row r="952" spans="1:23" x14ac:dyDescent="0.3">
      <c r="A952" s="13" t="str" cm="1">
        <f t="array" ref="A952:B952">INDEX(BenchmarkResults!$B$1:$D$35,SUMPRODUCT((T952&gt;=BenchmarkResults!$F$3:$F$35)*(mongodb_hardware_log!T952&lt;BenchmarkResults!$G$3:$G$35)*ROW(BenchmarkResults!$F$3:$F$35)),{1,3})</f>
        <v>q2_avg_order_city</v>
      </c>
      <c r="B952">
        <v>2</v>
      </c>
      <c r="C952" s="13">
        <v>1</v>
      </c>
      <c r="D952" s="13">
        <v>0</v>
      </c>
      <c r="E952" s="13">
        <v>133376</v>
      </c>
      <c r="F952" s="13">
        <v>760404</v>
      </c>
      <c r="G952" s="13">
        <v>1556</v>
      </c>
      <c r="H952" s="13">
        <v>1635004</v>
      </c>
      <c r="I952" s="13">
        <v>0</v>
      </c>
      <c r="J952" s="13">
        <v>0</v>
      </c>
      <c r="K952" s="13">
        <v>1056</v>
      </c>
      <c r="L952" s="13">
        <v>9</v>
      </c>
      <c r="M952" s="13">
        <v>735</v>
      </c>
      <c r="N952" s="13">
        <v>220</v>
      </c>
      <c r="O952" s="13">
        <v>33</v>
      </c>
      <c r="P952" s="13">
        <v>1</v>
      </c>
      <c r="Q952" s="13">
        <v>64</v>
      </c>
      <c r="R952" s="13">
        <v>1</v>
      </c>
      <c r="S952" s="13">
        <v>1</v>
      </c>
      <c r="T952" s="23">
        <v>46247.594270833331</v>
      </c>
      <c r="U952" s="55">
        <f t="shared" si="42"/>
        <v>1</v>
      </c>
      <c r="V952" s="55">
        <f t="shared" si="43"/>
        <v>0</v>
      </c>
      <c r="W952" s="56">
        <f t="shared" si="44"/>
        <v>1132</v>
      </c>
    </row>
    <row r="953" spans="1:23" x14ac:dyDescent="0.3">
      <c r="A953" s="13" t="str" cm="1">
        <f t="array" ref="A953:B953">INDEX(BenchmarkResults!$B$1:$D$35,SUMPRODUCT((T953&gt;=BenchmarkResults!$F$3:$F$35)*(mongodb_hardware_log!T953&lt;BenchmarkResults!$G$3:$G$35)*ROW(BenchmarkResults!$F$3:$F$35)),{1,3})</f>
        <v>q2_avg_order_city</v>
      </c>
      <c r="B953">
        <v>2</v>
      </c>
      <c r="C953" s="13">
        <v>1</v>
      </c>
      <c r="D953" s="13">
        <v>0</v>
      </c>
      <c r="E953" s="13">
        <v>133376</v>
      </c>
      <c r="F953" s="13">
        <v>752340</v>
      </c>
      <c r="G953" s="13">
        <v>1564</v>
      </c>
      <c r="H953" s="13">
        <v>1640612</v>
      </c>
      <c r="I953" s="13">
        <v>0</v>
      </c>
      <c r="J953" s="13">
        <v>0</v>
      </c>
      <c r="K953" s="13">
        <v>558</v>
      </c>
      <c r="L953" s="13">
        <v>10</v>
      </c>
      <c r="M953" s="13">
        <v>708</v>
      </c>
      <c r="N953" s="13">
        <v>200</v>
      </c>
      <c r="O953" s="13">
        <v>33</v>
      </c>
      <c r="P953" s="13">
        <v>1</v>
      </c>
      <c r="Q953" s="13">
        <v>65</v>
      </c>
      <c r="R953" s="13">
        <v>0</v>
      </c>
      <c r="S953" s="13">
        <v>1</v>
      </c>
      <c r="T953" s="23">
        <v>46247.594386574077</v>
      </c>
      <c r="U953" s="55">
        <f t="shared" si="42"/>
        <v>1</v>
      </c>
      <c r="V953" s="55">
        <f t="shared" si="43"/>
        <v>0</v>
      </c>
      <c r="W953" s="56">
        <f t="shared" si="44"/>
        <v>1038.3333333333333</v>
      </c>
    </row>
    <row r="954" spans="1:23" x14ac:dyDescent="0.3">
      <c r="A954" s="13" t="str" cm="1">
        <f t="array" ref="A954:B954">INDEX(BenchmarkResults!$B$1:$D$35,SUMPRODUCT((T954&gt;=BenchmarkResults!$F$3:$F$35)*(mongodb_hardware_log!T954&lt;BenchmarkResults!$G$3:$G$35)*ROW(BenchmarkResults!$F$3:$F$35)),{1,3})</f>
        <v>q2_avg_order_city</v>
      </c>
      <c r="B954">
        <v>2</v>
      </c>
      <c r="C954" s="13">
        <v>1</v>
      </c>
      <c r="D954" s="13">
        <v>0</v>
      </c>
      <c r="E954" s="13">
        <v>133376</v>
      </c>
      <c r="F954" s="13">
        <v>737220</v>
      </c>
      <c r="G954" s="13">
        <v>1572</v>
      </c>
      <c r="H954" s="13">
        <v>1651212</v>
      </c>
      <c r="I954" s="13">
        <v>0</v>
      </c>
      <c r="J954" s="13">
        <v>0</v>
      </c>
      <c r="K954" s="13">
        <v>1060</v>
      </c>
      <c r="L954" s="13">
        <v>14</v>
      </c>
      <c r="M954" s="13">
        <v>733</v>
      </c>
      <c r="N954" s="13">
        <v>211</v>
      </c>
      <c r="O954" s="13">
        <v>33</v>
      </c>
      <c r="P954" s="13">
        <v>1</v>
      </c>
      <c r="Q954" s="13">
        <v>65</v>
      </c>
      <c r="R954" s="13">
        <v>0</v>
      </c>
      <c r="S954" s="13">
        <v>1</v>
      </c>
      <c r="T954" s="23">
        <v>46247.594502314816</v>
      </c>
      <c r="U954" s="55">
        <f t="shared" si="42"/>
        <v>1</v>
      </c>
      <c r="V954" s="55">
        <f t="shared" si="43"/>
        <v>0</v>
      </c>
      <c r="W954" s="56">
        <f t="shared" si="44"/>
        <v>1025.6666666666667</v>
      </c>
    </row>
    <row r="955" spans="1:23" x14ac:dyDescent="0.3">
      <c r="A955" s="13" t="str" cm="1">
        <f t="array" ref="A955:B955">INDEX(BenchmarkResults!$B$1:$D$35,SUMPRODUCT((T955&gt;=BenchmarkResults!$F$3:$F$35)*(mongodb_hardware_log!T955&lt;BenchmarkResults!$G$3:$G$35)*ROW(BenchmarkResults!$F$3:$F$35)),{1,3})</f>
        <v>q2_avg_order_city</v>
      </c>
      <c r="B955">
        <v>2</v>
      </c>
      <c r="C955" s="13">
        <v>1</v>
      </c>
      <c r="D955" s="13">
        <v>0</v>
      </c>
      <c r="E955" s="13">
        <v>133376</v>
      </c>
      <c r="F955" s="13">
        <v>730164</v>
      </c>
      <c r="G955" s="13">
        <v>1596</v>
      </c>
      <c r="H955" s="13">
        <v>1662784</v>
      </c>
      <c r="I955" s="13">
        <v>0</v>
      </c>
      <c r="J955" s="13">
        <v>0</v>
      </c>
      <c r="K955" s="13">
        <v>1157</v>
      </c>
      <c r="L955" s="13">
        <v>22</v>
      </c>
      <c r="M955" s="13">
        <v>720</v>
      </c>
      <c r="N955" s="13">
        <v>218</v>
      </c>
      <c r="O955" s="13">
        <v>33</v>
      </c>
      <c r="P955" s="13">
        <v>1</v>
      </c>
      <c r="Q955" s="13">
        <v>65</v>
      </c>
      <c r="R955" s="13">
        <v>1</v>
      </c>
      <c r="S955" s="13">
        <v>0</v>
      </c>
      <c r="T955" s="23">
        <v>46247.594618055555</v>
      </c>
      <c r="U955" s="55">
        <f t="shared" si="42"/>
        <v>1</v>
      </c>
      <c r="V955" s="55">
        <f t="shared" si="43"/>
        <v>0</v>
      </c>
      <c r="W955" s="56">
        <f t="shared" si="44"/>
        <v>1031.8333333333333</v>
      </c>
    </row>
    <row r="956" spans="1:23" x14ac:dyDescent="0.3">
      <c r="A956" s="13" t="str" cm="1">
        <f t="array" ref="A956:B956">INDEX(BenchmarkResults!$B$1:$D$35,SUMPRODUCT((T956&gt;=BenchmarkResults!$F$3:$F$35)*(mongodb_hardware_log!T956&lt;BenchmarkResults!$G$3:$G$35)*ROW(BenchmarkResults!$F$3:$F$35)),{1,3})</f>
        <v>q2_avg_order_city</v>
      </c>
      <c r="B956">
        <v>2</v>
      </c>
      <c r="C956" s="13">
        <v>2</v>
      </c>
      <c r="D956" s="13">
        <v>0</v>
      </c>
      <c r="E956" s="13">
        <v>133376</v>
      </c>
      <c r="F956" s="13">
        <v>721876</v>
      </c>
      <c r="G956" s="13">
        <v>1612</v>
      </c>
      <c r="H956" s="13">
        <v>1674920</v>
      </c>
      <c r="I956" s="13">
        <v>0</v>
      </c>
      <c r="J956" s="13">
        <v>0</v>
      </c>
      <c r="K956" s="13">
        <v>1221</v>
      </c>
      <c r="L956" s="13">
        <v>10</v>
      </c>
      <c r="M956" s="13">
        <v>702</v>
      </c>
      <c r="N956" s="13">
        <v>205</v>
      </c>
      <c r="O956" s="13">
        <v>33</v>
      </c>
      <c r="P956" s="13">
        <v>1</v>
      </c>
      <c r="Q956" s="13">
        <v>65</v>
      </c>
      <c r="R956" s="13">
        <v>0</v>
      </c>
      <c r="S956" s="13">
        <v>0</v>
      </c>
      <c r="T956" s="23">
        <v>46247.594733796293</v>
      </c>
      <c r="U956" s="55">
        <f t="shared" si="42"/>
        <v>1.1666666666666667</v>
      </c>
      <c r="V956" s="55">
        <f t="shared" si="43"/>
        <v>0</v>
      </c>
      <c r="W956" s="56">
        <f t="shared" si="44"/>
        <v>1046.1666666666667</v>
      </c>
    </row>
    <row r="957" spans="1:23" x14ac:dyDescent="0.3">
      <c r="A957" s="13" t="str" cm="1">
        <f t="array" ref="A957:B957">INDEX(BenchmarkResults!$B$1:$D$35,SUMPRODUCT((T957&gt;=BenchmarkResults!$F$3:$F$35)*(mongodb_hardware_log!T957&lt;BenchmarkResults!$G$3:$G$35)*ROW(BenchmarkResults!$F$3:$F$35)),{1,3})</f>
        <v>q2_avg_order_city</v>
      </c>
      <c r="B957">
        <v>2</v>
      </c>
      <c r="C957" s="13">
        <v>1</v>
      </c>
      <c r="D957" s="13">
        <v>0</v>
      </c>
      <c r="E957" s="13">
        <v>133376</v>
      </c>
      <c r="F957" s="13">
        <v>707520</v>
      </c>
      <c r="G957" s="13">
        <v>1636</v>
      </c>
      <c r="H957" s="13">
        <v>1689372</v>
      </c>
      <c r="I957" s="13">
        <v>0</v>
      </c>
      <c r="J957" s="13">
        <v>0</v>
      </c>
      <c r="K957" s="13">
        <v>1437</v>
      </c>
      <c r="L957" s="13">
        <v>20</v>
      </c>
      <c r="M957" s="13">
        <v>740</v>
      </c>
      <c r="N957" s="13">
        <v>244</v>
      </c>
      <c r="O957" s="13">
        <v>34</v>
      </c>
      <c r="P957" s="13">
        <v>1</v>
      </c>
      <c r="Q957" s="13">
        <v>64</v>
      </c>
      <c r="R957" s="13">
        <v>0</v>
      </c>
      <c r="S957" s="13">
        <v>0</v>
      </c>
      <c r="T957" s="23">
        <v>46247.594849537039</v>
      </c>
      <c r="U957" s="55">
        <f t="shared" si="42"/>
        <v>1.1666666666666667</v>
      </c>
      <c r="V957" s="55">
        <f t="shared" si="43"/>
        <v>0</v>
      </c>
      <c r="W957" s="56">
        <f t="shared" si="44"/>
        <v>1081.5</v>
      </c>
    </row>
    <row r="958" spans="1:23" x14ac:dyDescent="0.3">
      <c r="A958" s="13" t="str" cm="1">
        <f t="array" ref="A958:B958">INDEX(BenchmarkResults!$B$1:$D$35,SUMPRODUCT((T958&gt;=BenchmarkResults!$F$3:$F$35)*(mongodb_hardware_log!T958&lt;BenchmarkResults!$G$3:$G$35)*ROW(BenchmarkResults!$F$3:$F$35)),{1,3})</f>
        <v>q2_avg_order_city</v>
      </c>
      <c r="B958">
        <v>2</v>
      </c>
      <c r="C958" s="13">
        <v>1</v>
      </c>
      <c r="D958" s="13">
        <v>0</v>
      </c>
      <c r="E958" s="13">
        <v>133376</v>
      </c>
      <c r="F958" s="13">
        <v>690384</v>
      </c>
      <c r="G958" s="13">
        <v>1644</v>
      </c>
      <c r="H958" s="13">
        <v>1700724</v>
      </c>
      <c r="I958" s="13">
        <v>0</v>
      </c>
      <c r="J958" s="13">
        <v>0</v>
      </c>
      <c r="K958" s="13">
        <v>1135</v>
      </c>
      <c r="L958" s="13">
        <v>13</v>
      </c>
      <c r="M958" s="13">
        <v>720</v>
      </c>
      <c r="N958" s="13">
        <v>221</v>
      </c>
      <c r="O958" s="13">
        <v>34</v>
      </c>
      <c r="P958" s="13">
        <v>1</v>
      </c>
      <c r="Q958" s="13">
        <v>65</v>
      </c>
      <c r="R958" s="13">
        <v>0</v>
      </c>
      <c r="S958" s="13">
        <v>0</v>
      </c>
      <c r="T958" s="23">
        <v>46247.594965277778</v>
      </c>
      <c r="U958" s="55">
        <f t="shared" si="42"/>
        <v>1.1666666666666667</v>
      </c>
      <c r="V958" s="55">
        <f t="shared" si="43"/>
        <v>0</v>
      </c>
      <c r="W958" s="56">
        <f t="shared" si="44"/>
        <v>1094.6666666666667</v>
      </c>
    </row>
    <row r="959" spans="1:23" x14ac:dyDescent="0.3">
      <c r="A959" s="13" t="str" cm="1">
        <f t="array" ref="A959:B959">INDEX(BenchmarkResults!$B$1:$D$35,SUMPRODUCT((T959&gt;=BenchmarkResults!$F$3:$F$35)*(mongodb_hardware_log!T959&lt;BenchmarkResults!$G$3:$G$35)*ROW(BenchmarkResults!$F$3:$F$35)),{1,3})</f>
        <v>q2_avg_order_city</v>
      </c>
      <c r="B959">
        <v>2</v>
      </c>
      <c r="C959" s="13">
        <v>1</v>
      </c>
      <c r="D959" s="13">
        <v>0</v>
      </c>
      <c r="E959" s="13">
        <v>133376</v>
      </c>
      <c r="F959" s="13">
        <v>679296</v>
      </c>
      <c r="G959" s="13">
        <v>1660</v>
      </c>
      <c r="H959" s="13">
        <v>1712004</v>
      </c>
      <c r="I959" s="13">
        <v>0</v>
      </c>
      <c r="J959" s="13">
        <v>0</v>
      </c>
      <c r="K959" s="13">
        <v>1128</v>
      </c>
      <c r="L959" s="13">
        <v>35</v>
      </c>
      <c r="M959" s="13">
        <v>705</v>
      </c>
      <c r="N959" s="13">
        <v>211</v>
      </c>
      <c r="O959" s="13">
        <v>33</v>
      </c>
      <c r="P959" s="13">
        <v>1</v>
      </c>
      <c r="Q959" s="13">
        <v>65</v>
      </c>
      <c r="R959" s="13">
        <v>0</v>
      </c>
      <c r="S959" s="13">
        <v>0</v>
      </c>
      <c r="T959" s="23">
        <v>46247.595081018517</v>
      </c>
      <c r="U959" s="55">
        <f t="shared" si="42"/>
        <v>1.1666666666666667</v>
      </c>
      <c r="V959" s="55">
        <f t="shared" si="43"/>
        <v>0</v>
      </c>
      <c r="W959" s="56">
        <f t="shared" si="44"/>
        <v>1189.6666666666667</v>
      </c>
    </row>
    <row r="960" spans="1:23" x14ac:dyDescent="0.3">
      <c r="A960" s="13" t="str" cm="1">
        <f t="array" ref="A960:B960">INDEX(BenchmarkResults!$B$1:$D$35,SUMPRODUCT((T960&gt;=BenchmarkResults!$F$3:$F$35)*(mongodb_hardware_log!T960&lt;BenchmarkResults!$G$3:$G$35)*ROW(BenchmarkResults!$F$3:$F$35)),{1,3})</f>
        <v>q2_avg_order_city</v>
      </c>
      <c r="B960">
        <v>2</v>
      </c>
      <c r="C960" s="13">
        <v>1</v>
      </c>
      <c r="D960" s="13">
        <v>0</v>
      </c>
      <c r="E960" s="13">
        <v>133376</v>
      </c>
      <c r="F960" s="13">
        <v>673272</v>
      </c>
      <c r="G960" s="13">
        <v>1668</v>
      </c>
      <c r="H960" s="13">
        <v>1723296</v>
      </c>
      <c r="I960" s="13">
        <v>0</v>
      </c>
      <c r="J960" s="13">
        <v>0</v>
      </c>
      <c r="K960" s="13">
        <v>1129</v>
      </c>
      <c r="L960" s="13">
        <v>11</v>
      </c>
      <c r="M960" s="13">
        <v>721</v>
      </c>
      <c r="N960" s="13">
        <v>210</v>
      </c>
      <c r="O960" s="13">
        <v>34</v>
      </c>
      <c r="P960" s="13">
        <v>1</v>
      </c>
      <c r="Q960" s="13">
        <v>65</v>
      </c>
      <c r="R960" s="13">
        <v>0</v>
      </c>
      <c r="S960" s="13">
        <v>0</v>
      </c>
      <c r="T960" s="23">
        <v>46247.595196759263</v>
      </c>
      <c r="U960" s="55">
        <f t="shared" si="42"/>
        <v>1.1666666666666667</v>
      </c>
      <c r="V960" s="55">
        <f t="shared" si="43"/>
        <v>0</v>
      </c>
      <c r="W960" s="56">
        <f t="shared" si="44"/>
        <v>1201.1666666666667</v>
      </c>
    </row>
    <row r="961" spans="1:23" x14ac:dyDescent="0.3">
      <c r="A961" s="13" t="str" cm="1">
        <f t="array" ref="A961:B961">INDEX(BenchmarkResults!$B$1:$D$35,SUMPRODUCT((T961&gt;=BenchmarkResults!$F$3:$F$35)*(mongodb_hardware_log!T961&lt;BenchmarkResults!$G$3:$G$35)*ROW(BenchmarkResults!$F$3:$F$35)),{1,3})</f>
        <v>q2_avg_order_city</v>
      </c>
      <c r="B961">
        <v>2</v>
      </c>
      <c r="C961" s="13">
        <v>1</v>
      </c>
      <c r="D961" s="13">
        <v>0</v>
      </c>
      <c r="E961" s="13">
        <v>133376</v>
      </c>
      <c r="F961" s="13">
        <v>657648</v>
      </c>
      <c r="G961" s="13">
        <v>1700</v>
      </c>
      <c r="H961" s="13">
        <v>1736860</v>
      </c>
      <c r="I961" s="13">
        <v>0</v>
      </c>
      <c r="J961" s="13">
        <v>0</v>
      </c>
      <c r="K961" s="13">
        <v>1356</v>
      </c>
      <c r="L961" s="13">
        <v>34</v>
      </c>
      <c r="M961" s="13">
        <v>730</v>
      </c>
      <c r="N961" s="13">
        <v>227</v>
      </c>
      <c r="O961" s="13">
        <v>33</v>
      </c>
      <c r="P961" s="13">
        <v>1</v>
      </c>
      <c r="Q961" s="13">
        <v>65</v>
      </c>
      <c r="R961" s="13">
        <v>1</v>
      </c>
      <c r="S961" s="13">
        <v>1</v>
      </c>
      <c r="T961" s="23">
        <v>46247.595312500001</v>
      </c>
      <c r="U961" s="55">
        <f t="shared" si="42"/>
        <v>1.1666666666666667</v>
      </c>
      <c r="V961" s="55">
        <f t="shared" si="43"/>
        <v>0</v>
      </c>
      <c r="W961" s="56">
        <f t="shared" si="44"/>
        <v>1234.3333333333333</v>
      </c>
    </row>
    <row r="962" spans="1:23" x14ac:dyDescent="0.3">
      <c r="A962" s="13" t="str" cm="1">
        <f t="array" ref="A962:B962">INDEX(BenchmarkResults!$B$1:$D$35,SUMPRODUCT((T962&gt;=BenchmarkResults!$F$3:$F$35)*(mongodb_hardware_log!T962&lt;BenchmarkResults!$G$3:$G$35)*ROW(BenchmarkResults!$F$3:$F$35)),{1,3})</f>
        <v>q2_avg_order_city</v>
      </c>
      <c r="B962">
        <v>2</v>
      </c>
      <c r="C962" s="13">
        <v>1</v>
      </c>
      <c r="D962" s="13">
        <v>0</v>
      </c>
      <c r="E962" s="13">
        <v>133376</v>
      </c>
      <c r="F962" s="13">
        <v>646560</v>
      </c>
      <c r="G962" s="13">
        <v>1708</v>
      </c>
      <c r="H962" s="13">
        <v>1748612</v>
      </c>
      <c r="I962" s="13">
        <v>0</v>
      </c>
      <c r="J962" s="13">
        <v>0</v>
      </c>
      <c r="K962" s="13">
        <v>1175</v>
      </c>
      <c r="L962" s="13">
        <v>11</v>
      </c>
      <c r="M962" s="13">
        <v>719</v>
      </c>
      <c r="N962" s="13">
        <v>215</v>
      </c>
      <c r="O962" s="13">
        <v>33</v>
      </c>
      <c r="P962" s="13">
        <v>1</v>
      </c>
      <c r="Q962" s="13">
        <v>65</v>
      </c>
      <c r="R962" s="13">
        <v>1</v>
      </c>
      <c r="S962" s="13">
        <v>0</v>
      </c>
      <c r="T962" s="23">
        <v>46247.59542824074</v>
      </c>
      <c r="U962" s="55">
        <f t="shared" si="42"/>
        <v>1</v>
      </c>
      <c r="V962" s="55">
        <f t="shared" si="43"/>
        <v>0</v>
      </c>
      <c r="W962" s="56">
        <f t="shared" si="44"/>
        <v>1226.6666666666667</v>
      </c>
    </row>
    <row r="963" spans="1:23" x14ac:dyDescent="0.3">
      <c r="A963" s="13" t="str" cm="1">
        <f t="array" ref="A963:B963">INDEX(BenchmarkResults!$B$1:$D$35,SUMPRODUCT((T963&gt;=BenchmarkResults!$F$3:$F$35)*(mongodb_hardware_log!T963&lt;BenchmarkResults!$G$3:$G$35)*ROW(BenchmarkResults!$F$3:$F$35)),{1,3})</f>
        <v>q2_avg_order_city</v>
      </c>
      <c r="B963">
        <v>2</v>
      </c>
      <c r="C963" s="13">
        <v>1</v>
      </c>
      <c r="D963" s="13">
        <v>0</v>
      </c>
      <c r="E963" s="13">
        <v>133376</v>
      </c>
      <c r="F963" s="13">
        <v>636480</v>
      </c>
      <c r="G963" s="13">
        <v>1716</v>
      </c>
      <c r="H963" s="13">
        <v>1758256</v>
      </c>
      <c r="I963" s="13">
        <v>0</v>
      </c>
      <c r="J963" s="13">
        <v>0</v>
      </c>
      <c r="K963" s="13">
        <v>964</v>
      </c>
      <c r="L963" s="13">
        <v>23</v>
      </c>
      <c r="M963" s="13">
        <v>699</v>
      </c>
      <c r="N963" s="13">
        <v>200</v>
      </c>
      <c r="O963" s="13">
        <v>34</v>
      </c>
      <c r="P963" s="13">
        <v>1</v>
      </c>
      <c r="Q963" s="13">
        <v>65</v>
      </c>
      <c r="R963" s="13">
        <v>0</v>
      </c>
      <c r="S963" s="13">
        <v>0</v>
      </c>
      <c r="T963" s="23">
        <v>46247.595543981479</v>
      </c>
      <c r="U963" s="55">
        <f t="shared" si="42"/>
        <v>1</v>
      </c>
      <c r="V963" s="55">
        <f t="shared" si="43"/>
        <v>0</v>
      </c>
      <c r="W963" s="56">
        <f t="shared" si="44"/>
        <v>1147.8333333333333</v>
      </c>
    </row>
    <row r="964" spans="1:23" x14ac:dyDescent="0.3">
      <c r="A964" s="13" t="str" cm="1">
        <f t="array" ref="A964:B964">INDEX(BenchmarkResults!$B$1:$D$35,SUMPRODUCT((T964&gt;=BenchmarkResults!$F$3:$F$35)*(mongodb_hardware_log!T964&lt;BenchmarkResults!$G$3:$G$35)*ROW(BenchmarkResults!$F$3:$F$35)),{1,3})</f>
        <v>q2_avg_order_city</v>
      </c>
      <c r="B964">
        <v>2</v>
      </c>
      <c r="C964" s="13">
        <v>1</v>
      </c>
      <c r="D964" s="13">
        <v>0</v>
      </c>
      <c r="E964" s="13">
        <v>133376</v>
      </c>
      <c r="F964" s="13">
        <v>625392</v>
      </c>
      <c r="G964" s="13">
        <v>1724</v>
      </c>
      <c r="H964" s="13">
        <v>1771148</v>
      </c>
      <c r="I964" s="13">
        <v>0</v>
      </c>
      <c r="J964" s="13">
        <v>0</v>
      </c>
      <c r="K964" s="13">
        <v>1289</v>
      </c>
      <c r="L964" s="13">
        <v>12</v>
      </c>
      <c r="M964" s="13">
        <v>702</v>
      </c>
      <c r="N964" s="13">
        <v>207</v>
      </c>
      <c r="O964" s="13">
        <v>33</v>
      </c>
      <c r="P964" s="13">
        <v>1</v>
      </c>
      <c r="Q964" s="13">
        <v>65</v>
      </c>
      <c r="R964" s="13">
        <v>0</v>
      </c>
      <c r="S964" s="13">
        <v>0</v>
      </c>
      <c r="T964" s="23">
        <v>46247.595659722225</v>
      </c>
      <c r="U964" s="55">
        <f t="shared" si="42"/>
        <v>1</v>
      </c>
      <c r="V964" s="55">
        <f t="shared" si="43"/>
        <v>0</v>
      </c>
      <c r="W964" s="56">
        <f t="shared" si="44"/>
        <v>1173.5</v>
      </c>
    </row>
    <row r="965" spans="1:23" x14ac:dyDescent="0.3">
      <c r="A965" s="13" t="str" cm="1">
        <f t="array" ref="A965:B965">INDEX(BenchmarkResults!$B$1:$D$35,SUMPRODUCT((T965&gt;=BenchmarkResults!$F$3:$F$35)*(mongodb_hardware_log!T965&lt;BenchmarkResults!$G$3:$G$35)*ROW(BenchmarkResults!$F$3:$F$35)),{1,3})</f>
        <v>q2_avg_order_city</v>
      </c>
      <c r="B965">
        <v>2</v>
      </c>
      <c r="C965" s="13">
        <v>1</v>
      </c>
      <c r="D965" s="13">
        <v>0</v>
      </c>
      <c r="E965" s="13">
        <v>133376</v>
      </c>
      <c r="F965" s="13">
        <v>605736</v>
      </c>
      <c r="G965" s="13">
        <v>1732</v>
      </c>
      <c r="H965" s="13">
        <v>1785644</v>
      </c>
      <c r="I965" s="13">
        <v>0</v>
      </c>
      <c r="J965" s="13">
        <v>0</v>
      </c>
      <c r="K965" s="13">
        <v>1450</v>
      </c>
      <c r="L965" s="13">
        <v>10</v>
      </c>
      <c r="M965" s="13">
        <v>710</v>
      </c>
      <c r="N965" s="13">
        <v>210</v>
      </c>
      <c r="O965" s="13">
        <v>33</v>
      </c>
      <c r="P965" s="13">
        <v>1</v>
      </c>
      <c r="Q965" s="13">
        <v>65</v>
      </c>
      <c r="R965" s="13">
        <v>0</v>
      </c>
      <c r="S965" s="13">
        <v>0</v>
      </c>
      <c r="T965" s="23">
        <v>46247.595775462964</v>
      </c>
      <c r="U965" s="55">
        <f t="shared" si="42"/>
        <v>1</v>
      </c>
      <c r="V965" s="55">
        <f t="shared" si="43"/>
        <v>0</v>
      </c>
      <c r="W965" s="56">
        <f t="shared" si="44"/>
        <v>1227.1666666666667</v>
      </c>
    </row>
    <row r="966" spans="1:23" x14ac:dyDescent="0.3">
      <c r="A966" s="13" t="str" cm="1">
        <f t="array" ref="A966:B966">INDEX(BenchmarkResults!$B$1:$D$35,SUMPRODUCT((T966&gt;=BenchmarkResults!$F$3:$F$35)*(mongodb_hardware_log!T966&lt;BenchmarkResults!$G$3:$G$35)*ROW(BenchmarkResults!$F$3:$F$35)),{1,3})</f>
        <v>q2_avg_order_city</v>
      </c>
      <c r="B966">
        <v>2</v>
      </c>
      <c r="C966" s="13">
        <v>1</v>
      </c>
      <c r="D966" s="13">
        <v>0</v>
      </c>
      <c r="E966" s="13">
        <v>133376</v>
      </c>
      <c r="F966" s="13">
        <v>601460</v>
      </c>
      <c r="G966" s="13">
        <v>1748</v>
      </c>
      <c r="H966" s="13">
        <v>1797860</v>
      </c>
      <c r="I966" s="13">
        <v>0</v>
      </c>
      <c r="J966" s="13">
        <v>0</v>
      </c>
      <c r="K966" s="13">
        <v>1221</v>
      </c>
      <c r="L966" s="13">
        <v>18</v>
      </c>
      <c r="M966" s="13">
        <v>752</v>
      </c>
      <c r="N966" s="13">
        <v>260</v>
      </c>
      <c r="O966" s="13">
        <v>34</v>
      </c>
      <c r="P966" s="13">
        <v>1</v>
      </c>
      <c r="Q966" s="13">
        <v>64</v>
      </c>
      <c r="R966" s="13">
        <v>1</v>
      </c>
      <c r="S966" s="13">
        <v>0</v>
      </c>
      <c r="T966" s="23">
        <v>46247.595891203702</v>
      </c>
      <c r="U966" s="55">
        <f t="shared" si="42"/>
        <v>1</v>
      </c>
      <c r="V966" s="55">
        <f t="shared" si="43"/>
        <v>0</v>
      </c>
      <c r="W966" s="56">
        <f t="shared" si="44"/>
        <v>1242.5</v>
      </c>
    </row>
    <row r="967" spans="1:23" x14ac:dyDescent="0.3">
      <c r="A967" s="13" t="str" cm="1">
        <f t="array" ref="A967:B967">INDEX(BenchmarkResults!$B$1:$D$35,SUMPRODUCT((T967&gt;=BenchmarkResults!$F$3:$F$35)*(mongodb_hardware_log!T967&lt;BenchmarkResults!$G$3:$G$35)*ROW(BenchmarkResults!$F$3:$F$35)),{1,3})</f>
        <v>q2_avg_order_city</v>
      </c>
      <c r="B967">
        <v>2</v>
      </c>
      <c r="C967" s="13">
        <v>1</v>
      </c>
      <c r="D967" s="13">
        <v>0</v>
      </c>
      <c r="E967" s="13">
        <v>133376</v>
      </c>
      <c r="F967" s="13">
        <v>597744</v>
      </c>
      <c r="G967" s="13">
        <v>1772</v>
      </c>
      <c r="H967" s="13">
        <v>1808684</v>
      </c>
      <c r="I967" s="13">
        <v>0</v>
      </c>
      <c r="J967" s="13">
        <v>0</v>
      </c>
      <c r="K967" s="13">
        <v>1082</v>
      </c>
      <c r="L967" s="13">
        <v>32</v>
      </c>
      <c r="M967" s="13">
        <v>721</v>
      </c>
      <c r="N967" s="13">
        <v>224</v>
      </c>
      <c r="O967" s="13">
        <v>33</v>
      </c>
      <c r="P967" s="13">
        <v>1</v>
      </c>
      <c r="Q967" s="13">
        <v>65</v>
      </c>
      <c r="R967" s="13">
        <v>0</v>
      </c>
      <c r="S967" s="13">
        <v>0</v>
      </c>
      <c r="T967" s="23">
        <v>46247.596006944441</v>
      </c>
      <c r="U967" s="55">
        <f t="shared" si="42"/>
        <v>1</v>
      </c>
      <c r="V967" s="55">
        <f t="shared" si="43"/>
        <v>0</v>
      </c>
      <c r="W967" s="56">
        <f t="shared" si="44"/>
        <v>1196.8333333333333</v>
      </c>
    </row>
    <row r="968" spans="1:23" x14ac:dyDescent="0.3">
      <c r="A968" s="13" t="str" cm="1">
        <f t="array" ref="A968:B968">INDEX(BenchmarkResults!$B$1:$D$35,SUMPRODUCT((T968&gt;=BenchmarkResults!$F$3:$F$35)*(mongodb_hardware_log!T968&lt;BenchmarkResults!$G$3:$G$35)*ROW(BenchmarkResults!$F$3:$F$35)),{1,3})</f>
        <v>q2_avg_order_city</v>
      </c>
      <c r="B968">
        <v>2</v>
      </c>
      <c r="C968" s="13">
        <v>1</v>
      </c>
      <c r="D968" s="13">
        <v>0</v>
      </c>
      <c r="E968" s="13">
        <v>133376</v>
      </c>
      <c r="F968" s="13">
        <v>582624</v>
      </c>
      <c r="G968" s="13">
        <v>1780</v>
      </c>
      <c r="H968" s="13">
        <v>1820724</v>
      </c>
      <c r="I968" s="13">
        <v>0</v>
      </c>
      <c r="J968" s="13">
        <v>0</v>
      </c>
      <c r="K968" s="13">
        <v>1205</v>
      </c>
      <c r="L968" s="13">
        <v>10</v>
      </c>
      <c r="M968" s="13">
        <v>717</v>
      </c>
      <c r="N968" s="13">
        <v>216</v>
      </c>
      <c r="O968" s="13">
        <v>33</v>
      </c>
      <c r="P968" s="13">
        <v>1</v>
      </c>
      <c r="Q968" s="13">
        <v>65</v>
      </c>
      <c r="R968" s="13">
        <v>1</v>
      </c>
      <c r="S968" s="13">
        <v>0</v>
      </c>
      <c r="T968" s="23">
        <v>46247.596122685187</v>
      </c>
      <c r="U968" s="55">
        <f t="shared" si="42"/>
        <v>1</v>
      </c>
      <c r="V968" s="55">
        <f t="shared" si="43"/>
        <v>0</v>
      </c>
      <c r="W968" s="56">
        <f t="shared" si="44"/>
        <v>1201.8333333333333</v>
      </c>
    </row>
    <row r="969" spans="1:23" x14ac:dyDescent="0.3">
      <c r="A969" s="13" t="str" cm="1">
        <f t="array" ref="A969:B969">INDEX(BenchmarkResults!$B$1:$D$35,SUMPRODUCT((T969&gt;=BenchmarkResults!$F$3:$F$35)*(mongodb_hardware_log!T969&lt;BenchmarkResults!$G$3:$G$35)*ROW(BenchmarkResults!$F$3:$F$35)),{1,3})</f>
        <v>q2_avg_order_city</v>
      </c>
      <c r="B969">
        <v>2</v>
      </c>
      <c r="C969" s="13">
        <v>1</v>
      </c>
      <c r="D969" s="13">
        <v>0</v>
      </c>
      <c r="E969" s="13">
        <v>133376</v>
      </c>
      <c r="F969" s="13">
        <v>580860</v>
      </c>
      <c r="G969" s="13">
        <v>1788</v>
      </c>
      <c r="H969" s="13">
        <v>1830536</v>
      </c>
      <c r="I969" s="13">
        <v>0</v>
      </c>
      <c r="J969" s="13">
        <v>0</v>
      </c>
      <c r="K969" s="13">
        <v>980</v>
      </c>
      <c r="L969" s="13">
        <v>43</v>
      </c>
      <c r="M969" s="13">
        <v>705</v>
      </c>
      <c r="N969" s="13">
        <v>204</v>
      </c>
      <c r="O969" s="13">
        <v>33</v>
      </c>
      <c r="P969" s="13">
        <v>1</v>
      </c>
      <c r="Q969" s="13">
        <v>65</v>
      </c>
      <c r="R969" s="13">
        <v>0</v>
      </c>
      <c r="S969" s="13">
        <v>0</v>
      </c>
      <c r="T969" s="23">
        <v>46247.596238425926</v>
      </c>
      <c r="U969" s="55">
        <f t="shared" ref="U969:U1032" si="45">AVERAGE(C964:C969)</f>
        <v>1</v>
      </c>
      <c r="V969" s="55">
        <f t="shared" ref="V969:V1032" si="46">AVERAGE(D964:D969)</f>
        <v>0</v>
      </c>
      <c r="W969" s="56">
        <f t="shared" ref="W969:W1032" si="47">AVERAGE(K964:K969)</f>
        <v>1204.5</v>
      </c>
    </row>
    <row r="970" spans="1:23" x14ac:dyDescent="0.3">
      <c r="A970" s="13" t="str" cm="1">
        <f t="array" ref="A970:B970">INDEX(BenchmarkResults!$B$1:$D$35,SUMPRODUCT((T970&gt;=BenchmarkResults!$F$3:$F$35)*(mongodb_hardware_log!T970&lt;BenchmarkResults!$G$3:$G$35)*ROW(BenchmarkResults!$F$3:$F$35)),{1,3})</f>
        <v>q2_avg_order_city</v>
      </c>
      <c r="B970">
        <v>2</v>
      </c>
      <c r="C970" s="13">
        <v>1</v>
      </c>
      <c r="D970" s="13">
        <v>0</v>
      </c>
      <c r="E970" s="13">
        <v>133376</v>
      </c>
      <c r="F970" s="13">
        <v>567000</v>
      </c>
      <c r="G970" s="13">
        <v>1804</v>
      </c>
      <c r="H970" s="13">
        <v>1842036</v>
      </c>
      <c r="I970" s="13">
        <v>0</v>
      </c>
      <c r="J970" s="13">
        <v>0</v>
      </c>
      <c r="K970" s="13">
        <v>1150</v>
      </c>
      <c r="L970" s="13">
        <v>19</v>
      </c>
      <c r="M970" s="13">
        <v>717</v>
      </c>
      <c r="N970" s="13">
        <v>213</v>
      </c>
      <c r="O970" s="13">
        <v>33</v>
      </c>
      <c r="P970" s="13">
        <v>1</v>
      </c>
      <c r="Q970" s="13">
        <v>65</v>
      </c>
      <c r="R970" s="13">
        <v>0</v>
      </c>
      <c r="S970" s="13">
        <v>0</v>
      </c>
      <c r="T970" s="23">
        <v>46247.596354166664</v>
      </c>
      <c r="U970" s="55">
        <f t="shared" si="45"/>
        <v>1</v>
      </c>
      <c r="V970" s="55">
        <f t="shared" si="46"/>
        <v>0</v>
      </c>
      <c r="W970" s="56">
        <f t="shared" si="47"/>
        <v>1181.3333333333333</v>
      </c>
    </row>
    <row r="971" spans="1:23" x14ac:dyDescent="0.3">
      <c r="A971" s="13" t="str" cm="1">
        <f t="array" ref="A971:B971">INDEX(BenchmarkResults!$B$1:$D$35,SUMPRODUCT((T971&gt;=BenchmarkResults!$F$3:$F$35)*(mongodb_hardware_log!T971&lt;BenchmarkResults!$G$3:$G$35)*ROW(BenchmarkResults!$F$3:$F$35)),{1,3})</f>
        <v>q2_avg_order_city</v>
      </c>
      <c r="B971">
        <v>2</v>
      </c>
      <c r="C971" s="13">
        <v>1</v>
      </c>
      <c r="D971" s="13">
        <v>0</v>
      </c>
      <c r="E971" s="13">
        <v>133376</v>
      </c>
      <c r="F971" s="13">
        <v>559944</v>
      </c>
      <c r="G971" s="13">
        <v>1812</v>
      </c>
      <c r="H971" s="13">
        <v>1851692</v>
      </c>
      <c r="I971" s="13">
        <v>0</v>
      </c>
      <c r="J971" s="13">
        <v>0</v>
      </c>
      <c r="K971" s="13">
        <v>966</v>
      </c>
      <c r="L971" s="13">
        <v>12</v>
      </c>
      <c r="M971" s="13">
        <v>701</v>
      </c>
      <c r="N971" s="13">
        <v>201</v>
      </c>
      <c r="O971" s="13">
        <v>33</v>
      </c>
      <c r="P971" s="13">
        <v>1</v>
      </c>
      <c r="Q971" s="13">
        <v>65</v>
      </c>
      <c r="R971" s="13">
        <v>0</v>
      </c>
      <c r="S971" s="13">
        <v>0</v>
      </c>
      <c r="T971" s="23">
        <v>46247.59646990741</v>
      </c>
      <c r="U971" s="55">
        <f t="shared" si="45"/>
        <v>1</v>
      </c>
      <c r="V971" s="55">
        <f t="shared" si="46"/>
        <v>0</v>
      </c>
      <c r="W971" s="56">
        <f t="shared" si="47"/>
        <v>1100.6666666666667</v>
      </c>
    </row>
    <row r="972" spans="1:23" x14ac:dyDescent="0.3">
      <c r="A972" s="13" t="str" cm="1">
        <f t="array" ref="A972:B972">INDEX(BenchmarkResults!$B$1:$D$35,SUMPRODUCT((T972&gt;=BenchmarkResults!$F$3:$F$35)*(mongodb_hardware_log!T972&lt;BenchmarkResults!$G$3:$G$35)*ROW(BenchmarkResults!$F$3:$F$35)),{1,3})</f>
        <v>q2_avg_order_city</v>
      </c>
      <c r="B972">
        <v>2</v>
      </c>
      <c r="C972" s="13">
        <v>1</v>
      </c>
      <c r="D972" s="13">
        <v>0</v>
      </c>
      <c r="E972" s="13">
        <v>133376</v>
      </c>
      <c r="F972" s="13">
        <v>544320</v>
      </c>
      <c r="G972" s="13">
        <v>1820</v>
      </c>
      <c r="H972" s="13">
        <v>1866804</v>
      </c>
      <c r="I972" s="13">
        <v>0</v>
      </c>
      <c r="J972" s="13">
        <v>0</v>
      </c>
      <c r="K972" s="13">
        <v>1511</v>
      </c>
      <c r="L972" s="13">
        <v>5</v>
      </c>
      <c r="M972" s="13">
        <v>723</v>
      </c>
      <c r="N972" s="13">
        <v>213</v>
      </c>
      <c r="O972" s="13">
        <v>33</v>
      </c>
      <c r="P972" s="13">
        <v>1</v>
      </c>
      <c r="Q972" s="13">
        <v>65</v>
      </c>
      <c r="R972" s="13">
        <v>1</v>
      </c>
      <c r="S972" s="13">
        <v>0</v>
      </c>
      <c r="T972" s="23">
        <v>46247.596585648149</v>
      </c>
      <c r="U972" s="55">
        <f t="shared" si="45"/>
        <v>1</v>
      </c>
      <c r="V972" s="55">
        <f t="shared" si="46"/>
        <v>0</v>
      </c>
      <c r="W972" s="56">
        <f t="shared" si="47"/>
        <v>1149</v>
      </c>
    </row>
    <row r="973" spans="1:23" x14ac:dyDescent="0.3">
      <c r="A973" s="13" t="str" cm="1">
        <f t="array" ref="A973:B973">INDEX(BenchmarkResults!$B$1:$D$35,SUMPRODUCT((T973&gt;=BenchmarkResults!$F$3:$F$35)*(mongodb_hardware_log!T973&lt;BenchmarkResults!$G$3:$G$35)*ROW(BenchmarkResults!$F$3:$F$35)),{1,3})</f>
        <v>q2_avg_order_city</v>
      </c>
      <c r="B973">
        <v>2</v>
      </c>
      <c r="C973" s="13">
        <v>1</v>
      </c>
      <c r="D973" s="13">
        <v>0</v>
      </c>
      <c r="E973" s="13">
        <v>133376</v>
      </c>
      <c r="F973" s="13">
        <v>528192</v>
      </c>
      <c r="G973" s="13">
        <v>1876</v>
      </c>
      <c r="H973" s="13">
        <v>1878728</v>
      </c>
      <c r="I973" s="13">
        <v>0</v>
      </c>
      <c r="J973" s="13">
        <v>0</v>
      </c>
      <c r="K973" s="13">
        <v>1186</v>
      </c>
      <c r="L973" s="13">
        <v>48</v>
      </c>
      <c r="M973" s="13">
        <v>747</v>
      </c>
      <c r="N973" s="13">
        <v>255</v>
      </c>
      <c r="O973" s="13">
        <v>33</v>
      </c>
      <c r="P973" s="13">
        <v>1</v>
      </c>
      <c r="Q973" s="13">
        <v>65</v>
      </c>
      <c r="R973" s="13">
        <v>1</v>
      </c>
      <c r="S973" s="13">
        <v>0</v>
      </c>
      <c r="T973" s="23">
        <v>46247.596701388888</v>
      </c>
      <c r="U973" s="55">
        <f t="shared" si="45"/>
        <v>1</v>
      </c>
      <c r="V973" s="55">
        <f t="shared" si="46"/>
        <v>0</v>
      </c>
      <c r="W973" s="56">
        <f t="shared" si="47"/>
        <v>1166.3333333333333</v>
      </c>
    </row>
    <row r="974" spans="1:23" x14ac:dyDescent="0.3">
      <c r="A974" s="13" t="str" cm="1">
        <f t="array" ref="A974:B974">INDEX(BenchmarkResults!$B$1:$D$35,SUMPRODUCT((T974&gt;=BenchmarkResults!$F$3:$F$35)*(mongodb_hardware_log!T974&lt;BenchmarkResults!$G$3:$G$35)*ROW(BenchmarkResults!$F$3:$F$35)),{1,3})</f>
        <v>q2_avg_order_city</v>
      </c>
      <c r="B974">
        <v>2</v>
      </c>
      <c r="C974" s="13">
        <v>1</v>
      </c>
      <c r="D974" s="13">
        <v>0</v>
      </c>
      <c r="E974" s="13">
        <v>133376</v>
      </c>
      <c r="F974" s="13">
        <v>526320</v>
      </c>
      <c r="G974" s="13">
        <v>1884</v>
      </c>
      <c r="H974" s="13">
        <v>1891412</v>
      </c>
      <c r="I974" s="13">
        <v>0</v>
      </c>
      <c r="J974" s="13">
        <v>0</v>
      </c>
      <c r="K974" s="13">
        <v>1271</v>
      </c>
      <c r="L974" s="13">
        <v>10</v>
      </c>
      <c r="M974" s="13">
        <v>727</v>
      </c>
      <c r="N974" s="13">
        <v>225</v>
      </c>
      <c r="O974" s="13">
        <v>33</v>
      </c>
      <c r="P974" s="13">
        <v>1</v>
      </c>
      <c r="Q974" s="13">
        <v>65</v>
      </c>
      <c r="R974" s="13">
        <v>0</v>
      </c>
      <c r="S974" s="13">
        <v>0</v>
      </c>
      <c r="T974" s="23">
        <v>46247.596817129626</v>
      </c>
      <c r="U974" s="55">
        <f t="shared" si="45"/>
        <v>1</v>
      </c>
      <c r="V974" s="55">
        <f t="shared" si="46"/>
        <v>0</v>
      </c>
      <c r="W974" s="56">
        <f t="shared" si="47"/>
        <v>1177.3333333333333</v>
      </c>
    </row>
    <row r="975" spans="1:23" x14ac:dyDescent="0.3">
      <c r="A975" s="13" t="str" cm="1">
        <f t="array" ref="A975:B975">INDEX(BenchmarkResults!$B$1:$D$35,SUMPRODUCT((T975&gt;=BenchmarkResults!$F$3:$F$35)*(mongodb_hardware_log!T975&lt;BenchmarkResults!$G$3:$G$35)*ROW(BenchmarkResults!$F$3:$F$35)),{1,3})</f>
        <v>q2_avg_order_city</v>
      </c>
      <c r="B975">
        <v>2</v>
      </c>
      <c r="C975" s="13">
        <v>1</v>
      </c>
      <c r="D975" s="13">
        <v>0</v>
      </c>
      <c r="E975" s="13">
        <v>133376</v>
      </c>
      <c r="F975" s="13">
        <v>510192</v>
      </c>
      <c r="G975" s="13">
        <v>1892</v>
      </c>
      <c r="H975" s="13">
        <v>1902912</v>
      </c>
      <c r="I975" s="13">
        <v>0</v>
      </c>
      <c r="J975" s="13">
        <v>0</v>
      </c>
      <c r="K975" s="13">
        <v>1147</v>
      </c>
      <c r="L975" s="13">
        <v>12</v>
      </c>
      <c r="M975" s="13">
        <v>713</v>
      </c>
      <c r="N975" s="13">
        <v>221</v>
      </c>
      <c r="O975" s="13">
        <v>34</v>
      </c>
      <c r="P975" s="13">
        <v>1</v>
      </c>
      <c r="Q975" s="13">
        <v>65</v>
      </c>
      <c r="R975" s="13">
        <v>0</v>
      </c>
      <c r="S975" s="13">
        <v>0</v>
      </c>
      <c r="T975" s="23">
        <v>46247.596932870372</v>
      </c>
      <c r="U975" s="55">
        <f t="shared" si="45"/>
        <v>1</v>
      </c>
      <c r="V975" s="55">
        <f t="shared" si="46"/>
        <v>0</v>
      </c>
      <c r="W975" s="56">
        <f t="shared" si="47"/>
        <v>1205.1666666666667</v>
      </c>
    </row>
    <row r="976" spans="1:23" x14ac:dyDescent="0.3">
      <c r="A976" s="13" t="str" cm="1">
        <f t="array" ref="A976:B976">INDEX(BenchmarkResults!$B$1:$D$35,SUMPRODUCT((T976&gt;=BenchmarkResults!$F$3:$F$35)*(mongodb_hardware_log!T976&lt;BenchmarkResults!$G$3:$G$35)*ROW(BenchmarkResults!$F$3:$F$35)),{1,3})</f>
        <v>q2_avg_order_city</v>
      </c>
      <c r="B976">
        <v>2</v>
      </c>
      <c r="C976" s="13">
        <v>1</v>
      </c>
      <c r="D976" s="13">
        <v>0</v>
      </c>
      <c r="E976" s="13">
        <v>133376</v>
      </c>
      <c r="F976" s="13">
        <v>502380</v>
      </c>
      <c r="G976" s="13">
        <v>1900</v>
      </c>
      <c r="H976" s="13">
        <v>1912248</v>
      </c>
      <c r="I976" s="13">
        <v>0</v>
      </c>
      <c r="J976" s="13">
        <v>0</v>
      </c>
      <c r="K976" s="13">
        <v>934</v>
      </c>
      <c r="L976" s="13">
        <v>9</v>
      </c>
      <c r="M976" s="13">
        <v>699</v>
      </c>
      <c r="N976" s="13">
        <v>203</v>
      </c>
      <c r="O976" s="13">
        <v>33</v>
      </c>
      <c r="P976" s="13">
        <v>1</v>
      </c>
      <c r="Q976" s="13">
        <v>65</v>
      </c>
      <c r="R976" s="13">
        <v>0</v>
      </c>
      <c r="S976" s="13">
        <v>0</v>
      </c>
      <c r="T976" s="23">
        <v>46247.597048611111</v>
      </c>
      <c r="U976" s="55">
        <f t="shared" si="45"/>
        <v>1</v>
      </c>
      <c r="V976" s="55">
        <f t="shared" si="46"/>
        <v>0</v>
      </c>
      <c r="W976" s="56">
        <f t="shared" si="47"/>
        <v>1169.1666666666667</v>
      </c>
    </row>
    <row r="977" spans="1:23" x14ac:dyDescent="0.3">
      <c r="A977" s="13" t="str" cm="1">
        <f t="array" ref="A977:B977">INDEX(BenchmarkResults!$B$1:$D$35,SUMPRODUCT((T977&gt;=BenchmarkResults!$F$3:$F$35)*(mongodb_hardware_log!T977&lt;BenchmarkResults!$G$3:$G$35)*ROW(BenchmarkResults!$F$3:$F$35)),{1,3})</f>
        <v>q2_avg_order_city</v>
      </c>
      <c r="B977">
        <v>2</v>
      </c>
      <c r="C977" s="13">
        <v>1</v>
      </c>
      <c r="D977" s="13">
        <v>0</v>
      </c>
      <c r="E977" s="13">
        <v>133376</v>
      </c>
      <c r="F977" s="13">
        <v>492664</v>
      </c>
      <c r="G977" s="13">
        <v>1908</v>
      </c>
      <c r="H977" s="13">
        <v>1923460</v>
      </c>
      <c r="I977" s="13">
        <v>0</v>
      </c>
      <c r="J977" s="13">
        <v>0</v>
      </c>
      <c r="K977" s="13">
        <v>1121</v>
      </c>
      <c r="L977" s="13">
        <v>23</v>
      </c>
      <c r="M977" s="13">
        <v>776</v>
      </c>
      <c r="N977" s="13">
        <v>291</v>
      </c>
      <c r="O977" s="13">
        <v>33</v>
      </c>
      <c r="P977" s="13">
        <v>1</v>
      </c>
      <c r="Q977" s="13">
        <v>65</v>
      </c>
      <c r="R977" s="13">
        <v>0</v>
      </c>
      <c r="S977" s="13">
        <v>0</v>
      </c>
      <c r="T977" s="23">
        <v>46247.59716435185</v>
      </c>
      <c r="U977" s="55">
        <f t="shared" si="45"/>
        <v>1</v>
      </c>
      <c r="V977" s="55">
        <f t="shared" si="46"/>
        <v>0</v>
      </c>
      <c r="W977" s="56">
        <f t="shared" si="47"/>
        <v>1195</v>
      </c>
    </row>
    <row r="978" spans="1:23" x14ac:dyDescent="0.3">
      <c r="A978" s="13" t="str" cm="1">
        <f t="array" ref="A978:B978">INDEX(BenchmarkResults!$B$1:$D$35,SUMPRODUCT((T978&gt;=BenchmarkResults!$F$3:$F$35)*(mongodb_hardware_log!T978&lt;BenchmarkResults!$G$3:$G$35)*ROW(BenchmarkResults!$F$3:$F$35)),{1,3})</f>
        <v>q2_avg_order_city</v>
      </c>
      <c r="B978">
        <v>2</v>
      </c>
      <c r="C978" s="13">
        <v>1</v>
      </c>
      <c r="D978" s="13">
        <v>0</v>
      </c>
      <c r="E978" s="13">
        <v>133376</v>
      </c>
      <c r="F978" s="13">
        <v>476788</v>
      </c>
      <c r="G978" s="13">
        <v>1924</v>
      </c>
      <c r="H978" s="13">
        <v>1934852</v>
      </c>
      <c r="I978" s="13">
        <v>0</v>
      </c>
      <c r="J978" s="13">
        <v>0</v>
      </c>
      <c r="K978" s="13">
        <v>1139</v>
      </c>
      <c r="L978" s="13">
        <v>27</v>
      </c>
      <c r="M978" s="13">
        <v>724</v>
      </c>
      <c r="N978" s="13">
        <v>214</v>
      </c>
      <c r="O978" s="13">
        <v>33</v>
      </c>
      <c r="P978" s="13">
        <v>1</v>
      </c>
      <c r="Q978" s="13">
        <v>64</v>
      </c>
      <c r="R978" s="13">
        <v>0</v>
      </c>
      <c r="S978" s="13">
        <v>1</v>
      </c>
      <c r="T978" s="23">
        <v>46247.597280092596</v>
      </c>
      <c r="U978" s="55">
        <f t="shared" si="45"/>
        <v>1</v>
      </c>
      <c r="V978" s="55">
        <f t="shared" si="46"/>
        <v>0</v>
      </c>
      <c r="W978" s="56">
        <f t="shared" si="47"/>
        <v>1133</v>
      </c>
    </row>
    <row r="979" spans="1:23" x14ac:dyDescent="0.3">
      <c r="A979" s="13" t="str" cm="1">
        <f t="array" ref="A979:B979">INDEX(BenchmarkResults!$B$1:$D$35,SUMPRODUCT((T979&gt;=BenchmarkResults!$F$3:$F$35)*(mongodb_hardware_log!T979&lt;BenchmarkResults!$G$3:$G$35)*ROW(BenchmarkResults!$F$3:$F$35)),{1,3})</f>
        <v>q2_avg_order_city</v>
      </c>
      <c r="B979">
        <v>2</v>
      </c>
      <c r="C979" s="13">
        <v>1</v>
      </c>
      <c r="D979" s="13">
        <v>0</v>
      </c>
      <c r="E979" s="13">
        <v>133376</v>
      </c>
      <c r="F979" s="13">
        <v>473008</v>
      </c>
      <c r="G979" s="13">
        <v>1948</v>
      </c>
      <c r="H979" s="13">
        <v>1945536</v>
      </c>
      <c r="I979" s="13">
        <v>0</v>
      </c>
      <c r="J979" s="13">
        <v>0</v>
      </c>
      <c r="K979" s="13">
        <v>1068</v>
      </c>
      <c r="L979" s="13">
        <v>22</v>
      </c>
      <c r="M979" s="13">
        <v>718</v>
      </c>
      <c r="N979" s="13">
        <v>218</v>
      </c>
      <c r="O979" s="13">
        <v>33</v>
      </c>
      <c r="P979" s="13">
        <v>1</v>
      </c>
      <c r="Q979" s="13">
        <v>64</v>
      </c>
      <c r="R979" s="13">
        <v>1</v>
      </c>
      <c r="S979" s="13">
        <v>1</v>
      </c>
      <c r="T979" s="23">
        <v>46247.597395833334</v>
      </c>
      <c r="U979" s="55">
        <f t="shared" si="45"/>
        <v>1</v>
      </c>
      <c r="V979" s="55">
        <f t="shared" si="46"/>
        <v>0</v>
      </c>
      <c r="W979" s="56">
        <f t="shared" si="47"/>
        <v>1113.3333333333333</v>
      </c>
    </row>
    <row r="980" spans="1:23" x14ac:dyDescent="0.3">
      <c r="A980" s="13" t="str" cm="1">
        <f t="array" ref="A980:B980">INDEX(BenchmarkResults!$B$1:$D$35,SUMPRODUCT((T980&gt;=BenchmarkResults!$F$3:$F$35)*(mongodb_hardware_log!T980&lt;BenchmarkResults!$G$3:$G$35)*ROW(BenchmarkResults!$F$3:$F$35)),{1,3})</f>
        <v>q2_avg_order_city</v>
      </c>
      <c r="B980">
        <v>2</v>
      </c>
      <c r="C980" s="13">
        <v>1</v>
      </c>
      <c r="D980" s="13">
        <v>0</v>
      </c>
      <c r="E980" s="13">
        <v>133376</v>
      </c>
      <c r="F980" s="13">
        <v>462424</v>
      </c>
      <c r="G980" s="13">
        <v>1956</v>
      </c>
      <c r="H980" s="13">
        <v>1957792</v>
      </c>
      <c r="I980" s="13">
        <v>0</v>
      </c>
      <c r="J980" s="13">
        <v>0</v>
      </c>
      <c r="K980" s="13">
        <v>1226</v>
      </c>
      <c r="L980" s="13">
        <v>8</v>
      </c>
      <c r="M980" s="13">
        <v>718</v>
      </c>
      <c r="N980" s="13">
        <v>209</v>
      </c>
      <c r="O980" s="13">
        <v>33</v>
      </c>
      <c r="P980" s="13">
        <v>1</v>
      </c>
      <c r="Q980" s="13">
        <v>65</v>
      </c>
      <c r="R980" s="13">
        <v>1</v>
      </c>
      <c r="S980" s="13">
        <v>0</v>
      </c>
      <c r="T980" s="23">
        <v>46247.597511574073</v>
      </c>
      <c r="U980" s="55">
        <f t="shared" si="45"/>
        <v>1</v>
      </c>
      <c r="V980" s="55">
        <f t="shared" si="46"/>
        <v>0</v>
      </c>
      <c r="W980" s="56">
        <f t="shared" si="47"/>
        <v>1105.8333333333333</v>
      </c>
    </row>
    <row r="981" spans="1:23" x14ac:dyDescent="0.3">
      <c r="A981" s="13" t="str" cm="1">
        <f t="array" ref="A981:B981">INDEX(BenchmarkResults!$B$1:$D$35,SUMPRODUCT((T981&gt;=BenchmarkResults!$F$3:$F$35)*(mongodb_hardware_log!T981&lt;BenchmarkResults!$G$3:$G$35)*ROW(BenchmarkResults!$F$3:$F$35)),{1,3})</f>
        <v>q2_avg_order_city</v>
      </c>
      <c r="B981">
        <v>2</v>
      </c>
      <c r="C981" s="13">
        <v>1</v>
      </c>
      <c r="D981" s="13">
        <v>0</v>
      </c>
      <c r="E981" s="13">
        <v>133376</v>
      </c>
      <c r="F981" s="13">
        <v>448312</v>
      </c>
      <c r="G981" s="13">
        <v>1964</v>
      </c>
      <c r="H981" s="13">
        <v>1969184</v>
      </c>
      <c r="I981" s="13">
        <v>0</v>
      </c>
      <c r="J981" s="13">
        <v>0</v>
      </c>
      <c r="K981" s="13">
        <v>1139</v>
      </c>
      <c r="L981" s="13">
        <v>13</v>
      </c>
      <c r="M981" s="13">
        <v>693</v>
      </c>
      <c r="N981" s="13">
        <v>195</v>
      </c>
      <c r="O981" s="13">
        <v>33</v>
      </c>
      <c r="P981" s="13">
        <v>1</v>
      </c>
      <c r="Q981" s="13">
        <v>65</v>
      </c>
      <c r="R981" s="13">
        <v>0</v>
      </c>
      <c r="S981" s="13">
        <v>0</v>
      </c>
      <c r="T981" s="23">
        <v>46247.597627314812</v>
      </c>
      <c r="U981" s="55">
        <f t="shared" si="45"/>
        <v>1</v>
      </c>
      <c r="V981" s="55">
        <f t="shared" si="46"/>
        <v>0</v>
      </c>
      <c r="W981" s="56">
        <f t="shared" si="47"/>
        <v>1104.5</v>
      </c>
    </row>
    <row r="982" spans="1:23" x14ac:dyDescent="0.3">
      <c r="A982" s="13" t="str" cm="1">
        <f t="array" ref="A982:B982">INDEX(BenchmarkResults!$B$1:$D$35,SUMPRODUCT((T982&gt;=BenchmarkResults!$F$3:$F$35)*(mongodb_hardware_log!T982&lt;BenchmarkResults!$G$3:$G$35)*ROW(BenchmarkResults!$F$3:$F$35)),{1,3})</f>
        <v>q2_avg_order_city</v>
      </c>
      <c r="B982">
        <v>2</v>
      </c>
      <c r="C982" s="13">
        <v>1</v>
      </c>
      <c r="D982" s="13">
        <v>0</v>
      </c>
      <c r="E982" s="13">
        <v>133376</v>
      </c>
      <c r="F982" s="13">
        <v>437476</v>
      </c>
      <c r="G982" s="13">
        <v>1972</v>
      </c>
      <c r="H982" s="13">
        <v>1980268</v>
      </c>
      <c r="I982" s="13">
        <v>0</v>
      </c>
      <c r="J982" s="13">
        <v>0</v>
      </c>
      <c r="K982" s="13">
        <v>1111</v>
      </c>
      <c r="L982" s="13">
        <v>9</v>
      </c>
      <c r="M982" s="13">
        <v>700</v>
      </c>
      <c r="N982" s="13">
        <v>200</v>
      </c>
      <c r="O982" s="13">
        <v>33</v>
      </c>
      <c r="P982" s="13">
        <v>1</v>
      </c>
      <c r="Q982" s="13">
        <v>65</v>
      </c>
      <c r="R982" s="13">
        <v>0</v>
      </c>
      <c r="S982" s="13">
        <v>0</v>
      </c>
      <c r="T982" s="23">
        <v>46247.597743055558</v>
      </c>
      <c r="U982" s="55">
        <f t="shared" si="45"/>
        <v>1</v>
      </c>
      <c r="V982" s="55">
        <f t="shared" si="46"/>
        <v>0</v>
      </c>
      <c r="W982" s="56">
        <f t="shared" si="47"/>
        <v>1134</v>
      </c>
    </row>
    <row r="983" spans="1:23" x14ac:dyDescent="0.3">
      <c r="A983" s="13" t="str" cm="1">
        <f t="array" ref="A983:B983">INDEX(BenchmarkResults!$B$1:$D$35,SUMPRODUCT((T983&gt;=BenchmarkResults!$F$3:$F$35)*(mongodb_hardware_log!T983&lt;BenchmarkResults!$G$3:$G$35)*ROW(BenchmarkResults!$F$3:$F$35)),{1,3})</f>
        <v>q2_avg_order_city</v>
      </c>
      <c r="B983">
        <v>2</v>
      </c>
      <c r="C983" s="13">
        <v>1</v>
      </c>
      <c r="D983" s="13">
        <v>0</v>
      </c>
      <c r="E983" s="13">
        <v>133376</v>
      </c>
      <c r="F983" s="13">
        <v>422860</v>
      </c>
      <c r="G983" s="13">
        <v>1980</v>
      </c>
      <c r="H983" s="13">
        <v>1991912</v>
      </c>
      <c r="I983" s="13">
        <v>0</v>
      </c>
      <c r="J983" s="13">
        <v>0</v>
      </c>
      <c r="K983" s="13">
        <v>1162</v>
      </c>
      <c r="L983" s="13">
        <v>9</v>
      </c>
      <c r="M983" s="13">
        <v>696</v>
      </c>
      <c r="N983" s="13">
        <v>203</v>
      </c>
      <c r="O983" s="13">
        <v>33</v>
      </c>
      <c r="P983" s="13">
        <v>1</v>
      </c>
      <c r="Q983" s="13">
        <v>65</v>
      </c>
      <c r="R983" s="13">
        <v>0</v>
      </c>
      <c r="S983" s="13">
        <v>0</v>
      </c>
      <c r="T983" s="23">
        <v>46247.597858796296</v>
      </c>
      <c r="U983" s="55">
        <f t="shared" si="45"/>
        <v>1</v>
      </c>
      <c r="V983" s="55">
        <f t="shared" si="46"/>
        <v>0</v>
      </c>
      <c r="W983" s="56">
        <f t="shared" si="47"/>
        <v>1140.8333333333333</v>
      </c>
    </row>
    <row r="984" spans="1:23" x14ac:dyDescent="0.3">
      <c r="A984" s="13" t="str" cm="1">
        <f t="array" ref="A984:B984">INDEX(BenchmarkResults!$B$1:$D$35,SUMPRODUCT((T984&gt;=BenchmarkResults!$F$3:$F$35)*(mongodb_hardware_log!T984&lt;BenchmarkResults!$G$3:$G$35)*ROW(BenchmarkResults!$F$3:$F$35)),{1,3})</f>
        <v>q2_avg_order_city</v>
      </c>
      <c r="B984">
        <v>2</v>
      </c>
      <c r="C984" s="13">
        <v>1</v>
      </c>
      <c r="D984" s="13">
        <v>0</v>
      </c>
      <c r="E984" s="13">
        <v>133376</v>
      </c>
      <c r="F984" s="13">
        <v>414796</v>
      </c>
      <c r="G984" s="13">
        <v>1988</v>
      </c>
      <c r="H984" s="13">
        <v>2003232</v>
      </c>
      <c r="I984" s="13">
        <v>0</v>
      </c>
      <c r="J984" s="13">
        <v>0</v>
      </c>
      <c r="K984" s="13">
        <v>1132</v>
      </c>
      <c r="L984" s="13">
        <v>13</v>
      </c>
      <c r="M984" s="13">
        <v>705</v>
      </c>
      <c r="N984" s="13">
        <v>200</v>
      </c>
      <c r="O984" s="13">
        <v>33</v>
      </c>
      <c r="P984" s="13">
        <v>1</v>
      </c>
      <c r="Q984" s="13">
        <v>65</v>
      </c>
      <c r="R984" s="13">
        <v>0</v>
      </c>
      <c r="S984" s="13">
        <v>0</v>
      </c>
      <c r="T984" s="23">
        <v>46247.597974537035</v>
      </c>
      <c r="U984" s="55">
        <f t="shared" si="45"/>
        <v>1</v>
      </c>
      <c r="V984" s="55">
        <f t="shared" si="46"/>
        <v>0</v>
      </c>
      <c r="W984" s="56">
        <f t="shared" si="47"/>
        <v>1139.6666666666667</v>
      </c>
    </row>
    <row r="985" spans="1:23" x14ac:dyDescent="0.3">
      <c r="A985" s="13" t="str" cm="1">
        <f t="array" ref="A985:B985">INDEX(BenchmarkResults!$B$1:$D$35,SUMPRODUCT((T985&gt;=BenchmarkResults!$F$3:$F$35)*(mongodb_hardware_log!T985&lt;BenchmarkResults!$G$3:$G$35)*ROW(BenchmarkResults!$F$3:$F$35)),{1,3})</f>
        <v>q2_avg_order_city</v>
      </c>
      <c r="B985">
        <v>2</v>
      </c>
      <c r="C985" s="13">
        <v>1</v>
      </c>
      <c r="D985" s="13">
        <v>0</v>
      </c>
      <c r="E985" s="13">
        <v>133376</v>
      </c>
      <c r="F985" s="13">
        <v>398920</v>
      </c>
      <c r="G985" s="13">
        <v>2020</v>
      </c>
      <c r="H985" s="13">
        <v>2015840</v>
      </c>
      <c r="I985" s="13">
        <v>0</v>
      </c>
      <c r="J985" s="13">
        <v>0</v>
      </c>
      <c r="K985" s="13">
        <v>1262</v>
      </c>
      <c r="L985" s="13">
        <v>26</v>
      </c>
      <c r="M985" s="13">
        <v>717</v>
      </c>
      <c r="N985" s="13">
        <v>229</v>
      </c>
      <c r="O985" s="13">
        <v>33</v>
      </c>
      <c r="P985" s="13">
        <v>1</v>
      </c>
      <c r="Q985" s="13">
        <v>65</v>
      </c>
      <c r="R985" s="13">
        <v>0</v>
      </c>
      <c r="S985" s="13">
        <v>0</v>
      </c>
      <c r="T985" s="23">
        <v>46247.598090277781</v>
      </c>
      <c r="U985" s="55">
        <f t="shared" si="45"/>
        <v>1</v>
      </c>
      <c r="V985" s="55">
        <f t="shared" si="46"/>
        <v>0</v>
      </c>
      <c r="W985" s="56">
        <f t="shared" si="47"/>
        <v>1172</v>
      </c>
    </row>
    <row r="986" spans="1:23" x14ac:dyDescent="0.3">
      <c r="A986" s="13" t="str" cm="1">
        <f t="array" ref="A986:B986">INDEX(BenchmarkResults!$B$1:$D$35,SUMPRODUCT((T986&gt;=BenchmarkResults!$F$3:$F$35)*(mongodb_hardware_log!T986&lt;BenchmarkResults!$G$3:$G$35)*ROW(BenchmarkResults!$F$3:$F$35)),{1,3})</f>
        <v>q2_avg_order_city</v>
      </c>
      <c r="B986">
        <v>2</v>
      </c>
      <c r="C986" s="13">
        <v>1</v>
      </c>
      <c r="D986" s="13">
        <v>0</v>
      </c>
      <c r="E986" s="13">
        <v>133376</v>
      </c>
      <c r="F986" s="13">
        <v>391108</v>
      </c>
      <c r="G986" s="13">
        <v>2028</v>
      </c>
      <c r="H986" s="13">
        <v>2026552</v>
      </c>
      <c r="I986" s="13">
        <v>0</v>
      </c>
      <c r="J986" s="13">
        <v>0</v>
      </c>
      <c r="K986" s="13">
        <v>1071</v>
      </c>
      <c r="L986" s="13">
        <v>10</v>
      </c>
      <c r="M986" s="13">
        <v>704</v>
      </c>
      <c r="N986" s="13">
        <v>208</v>
      </c>
      <c r="O986" s="13">
        <v>33</v>
      </c>
      <c r="P986" s="13">
        <v>1</v>
      </c>
      <c r="Q986" s="13">
        <v>65</v>
      </c>
      <c r="R986" s="13">
        <v>0</v>
      </c>
      <c r="S986" s="13">
        <v>1</v>
      </c>
      <c r="T986" s="23">
        <v>46247.59820601852</v>
      </c>
      <c r="U986" s="55">
        <f t="shared" si="45"/>
        <v>1</v>
      </c>
      <c r="V986" s="55">
        <f t="shared" si="46"/>
        <v>0</v>
      </c>
      <c r="W986" s="56">
        <f t="shared" si="47"/>
        <v>1146.1666666666667</v>
      </c>
    </row>
    <row r="987" spans="1:23" x14ac:dyDescent="0.3">
      <c r="A987" s="13" t="str" cm="1">
        <f t="array" ref="A987:B987">INDEX(BenchmarkResults!$B$1:$D$35,SUMPRODUCT((T987&gt;=BenchmarkResults!$F$3:$F$35)*(mongodb_hardware_log!T987&lt;BenchmarkResults!$G$3:$G$35)*ROW(BenchmarkResults!$F$3:$F$35)),{1,3})</f>
        <v>q2_avg_order_city</v>
      </c>
      <c r="B987">
        <v>2</v>
      </c>
      <c r="C987" s="13">
        <v>0</v>
      </c>
      <c r="D987" s="13">
        <v>1</v>
      </c>
      <c r="E987" s="13">
        <v>133376</v>
      </c>
      <c r="F987" s="13">
        <v>380020</v>
      </c>
      <c r="G987" s="13">
        <v>2044</v>
      </c>
      <c r="H987" s="13">
        <v>2040384</v>
      </c>
      <c r="I987" s="13">
        <v>0</v>
      </c>
      <c r="J987" s="13">
        <v>0</v>
      </c>
      <c r="K987" s="13">
        <v>1387</v>
      </c>
      <c r="L987" s="13">
        <v>11</v>
      </c>
      <c r="M987" s="13">
        <v>709</v>
      </c>
      <c r="N987" s="13">
        <v>210</v>
      </c>
      <c r="O987" s="13">
        <v>34</v>
      </c>
      <c r="P987" s="13">
        <v>1</v>
      </c>
      <c r="Q987" s="13">
        <v>65</v>
      </c>
      <c r="R987" s="13">
        <v>0</v>
      </c>
      <c r="S987" s="13">
        <v>0</v>
      </c>
      <c r="T987" s="23">
        <v>46247.598321759258</v>
      </c>
      <c r="U987" s="55">
        <f t="shared" si="45"/>
        <v>0.83333333333333337</v>
      </c>
      <c r="V987" s="55">
        <f t="shared" si="46"/>
        <v>0.16666666666666666</v>
      </c>
      <c r="W987" s="56">
        <f t="shared" si="47"/>
        <v>1187.5</v>
      </c>
    </row>
    <row r="988" spans="1:23" x14ac:dyDescent="0.3">
      <c r="A988" s="13" t="str" cm="1">
        <f t="array" ref="A988:B988">INDEX(BenchmarkResults!$B$1:$D$35,SUMPRODUCT((T988&gt;=BenchmarkResults!$F$3:$F$35)*(mongodb_hardware_log!T988&lt;BenchmarkResults!$G$3:$G$35)*ROW(BenchmarkResults!$F$3:$F$35)),{1,3})</f>
        <v>q2_avg_order_city</v>
      </c>
      <c r="B988">
        <v>2</v>
      </c>
      <c r="C988" s="13">
        <v>1</v>
      </c>
      <c r="D988" s="13">
        <v>0</v>
      </c>
      <c r="E988" s="13">
        <v>133376</v>
      </c>
      <c r="F988" s="13">
        <v>367924</v>
      </c>
      <c r="G988" s="13">
        <v>2052</v>
      </c>
      <c r="H988" s="13">
        <v>2052360</v>
      </c>
      <c r="I988" s="13">
        <v>0</v>
      </c>
      <c r="J988" s="13">
        <v>0</v>
      </c>
      <c r="K988" s="13">
        <v>1192</v>
      </c>
      <c r="L988" s="13">
        <v>13</v>
      </c>
      <c r="M988" s="13">
        <v>714</v>
      </c>
      <c r="N988" s="13">
        <v>210</v>
      </c>
      <c r="O988" s="13">
        <v>33</v>
      </c>
      <c r="P988" s="13">
        <v>1</v>
      </c>
      <c r="Q988" s="13">
        <v>65</v>
      </c>
      <c r="R988" s="13">
        <v>0</v>
      </c>
      <c r="S988" s="13">
        <v>0</v>
      </c>
      <c r="T988" s="23">
        <v>46247.598437499997</v>
      </c>
      <c r="U988" s="55">
        <f t="shared" si="45"/>
        <v>0.83333333333333337</v>
      </c>
      <c r="V988" s="55">
        <f t="shared" si="46"/>
        <v>0.16666666666666666</v>
      </c>
      <c r="W988" s="56">
        <f t="shared" si="47"/>
        <v>1201</v>
      </c>
    </row>
    <row r="989" spans="1:23" x14ac:dyDescent="0.3">
      <c r="A989" s="13" t="str" cm="1">
        <f t="array" ref="A989:B989">INDEX(BenchmarkResults!$B$1:$D$35,SUMPRODUCT((T989&gt;=BenchmarkResults!$F$3:$F$35)*(mongodb_hardware_log!T989&lt;BenchmarkResults!$G$3:$G$35)*ROW(BenchmarkResults!$F$3:$F$35)),{1,3})</f>
        <v>q2_avg_order_city</v>
      </c>
      <c r="B989">
        <v>2</v>
      </c>
      <c r="C989" s="13">
        <v>1</v>
      </c>
      <c r="D989" s="13">
        <v>0</v>
      </c>
      <c r="E989" s="13">
        <v>133376</v>
      </c>
      <c r="F989" s="13">
        <v>361856</v>
      </c>
      <c r="G989" s="13">
        <v>2068</v>
      </c>
      <c r="H989" s="13">
        <v>2060488</v>
      </c>
      <c r="I989" s="13">
        <v>1</v>
      </c>
      <c r="J989" s="13">
        <v>0</v>
      </c>
      <c r="K989" s="13">
        <v>815</v>
      </c>
      <c r="L989" s="13">
        <v>30</v>
      </c>
      <c r="M989" s="13">
        <v>725</v>
      </c>
      <c r="N989" s="13">
        <v>226</v>
      </c>
      <c r="O989" s="13">
        <v>34</v>
      </c>
      <c r="P989" s="13">
        <v>1</v>
      </c>
      <c r="Q989" s="13">
        <v>64</v>
      </c>
      <c r="R989" s="13">
        <v>0</v>
      </c>
      <c r="S989" s="13">
        <v>1</v>
      </c>
      <c r="T989" s="23">
        <v>46247.598553240743</v>
      </c>
      <c r="U989" s="55">
        <f t="shared" si="45"/>
        <v>0.83333333333333337</v>
      </c>
      <c r="V989" s="55">
        <f t="shared" si="46"/>
        <v>0.16666666666666666</v>
      </c>
      <c r="W989" s="56">
        <f t="shared" si="47"/>
        <v>1143.1666666666667</v>
      </c>
    </row>
    <row r="990" spans="1:23" x14ac:dyDescent="0.3">
      <c r="A990" s="13" t="str" cm="1">
        <f t="array" ref="A990:B990">INDEX(BenchmarkResults!$B$1:$D$35,SUMPRODUCT((T990&gt;=BenchmarkResults!$F$3:$F$35)*(mongodb_hardware_log!T990&lt;BenchmarkResults!$G$3:$G$35)*ROW(BenchmarkResults!$F$3:$F$35)),{1,3})</f>
        <v>q2_avg_order_city</v>
      </c>
      <c r="B990">
        <v>2</v>
      </c>
      <c r="C990" s="13">
        <v>1</v>
      </c>
      <c r="D990" s="13">
        <v>0</v>
      </c>
      <c r="E990" s="13">
        <v>133376</v>
      </c>
      <c r="F990" s="13">
        <v>345728</v>
      </c>
      <c r="G990" s="13">
        <v>2076</v>
      </c>
      <c r="H990" s="13">
        <v>2072880</v>
      </c>
      <c r="I990" s="13">
        <v>0</v>
      </c>
      <c r="J990" s="13">
        <v>0</v>
      </c>
      <c r="K990" s="13">
        <v>1239</v>
      </c>
      <c r="L990" s="13">
        <v>10</v>
      </c>
      <c r="M990" s="13">
        <v>734</v>
      </c>
      <c r="N990" s="13">
        <v>218</v>
      </c>
      <c r="O990" s="13">
        <v>33</v>
      </c>
      <c r="P990" s="13">
        <v>1</v>
      </c>
      <c r="Q990" s="13">
        <v>64</v>
      </c>
      <c r="R990" s="13">
        <v>1</v>
      </c>
      <c r="S990" s="13">
        <v>1</v>
      </c>
      <c r="T990" s="23">
        <v>46247.598668981482</v>
      </c>
      <c r="U990" s="55">
        <f t="shared" si="45"/>
        <v>0.83333333333333337</v>
      </c>
      <c r="V990" s="55">
        <f t="shared" si="46"/>
        <v>0.16666666666666666</v>
      </c>
      <c r="W990" s="56">
        <f t="shared" si="47"/>
        <v>1161</v>
      </c>
    </row>
    <row r="991" spans="1:23" x14ac:dyDescent="0.3">
      <c r="A991" s="13" t="str" cm="1">
        <f t="array" ref="A991:B991">INDEX(BenchmarkResults!$B$1:$D$35,SUMPRODUCT((T991&gt;=BenchmarkResults!$F$3:$F$35)*(mongodb_hardware_log!T991&lt;BenchmarkResults!$G$3:$G$35)*ROW(BenchmarkResults!$F$3:$F$35)),{1,3})</f>
        <v>q2_avg_order_city</v>
      </c>
      <c r="B991">
        <v>2</v>
      </c>
      <c r="C991" s="13">
        <v>1</v>
      </c>
      <c r="D991" s="13">
        <v>0</v>
      </c>
      <c r="E991" s="13">
        <v>133376</v>
      </c>
      <c r="F991" s="13">
        <v>338672</v>
      </c>
      <c r="G991" s="13">
        <v>2100</v>
      </c>
      <c r="H991" s="13">
        <v>2081708</v>
      </c>
      <c r="I991" s="13">
        <v>0</v>
      </c>
      <c r="J991" s="13">
        <v>0</v>
      </c>
      <c r="K991" s="13">
        <v>886</v>
      </c>
      <c r="L991" s="13">
        <v>30</v>
      </c>
      <c r="M991" s="13">
        <v>710</v>
      </c>
      <c r="N991" s="13">
        <v>214</v>
      </c>
      <c r="O991" s="13">
        <v>33</v>
      </c>
      <c r="P991" s="13">
        <v>1</v>
      </c>
      <c r="Q991" s="13">
        <v>65</v>
      </c>
      <c r="R991" s="13">
        <v>0</v>
      </c>
      <c r="S991" s="13">
        <v>1</v>
      </c>
      <c r="T991" s="23">
        <v>46247.59878472222</v>
      </c>
      <c r="U991" s="55">
        <f t="shared" si="45"/>
        <v>0.83333333333333337</v>
      </c>
      <c r="V991" s="55">
        <f t="shared" si="46"/>
        <v>0.16666666666666666</v>
      </c>
      <c r="W991" s="56">
        <f t="shared" si="47"/>
        <v>1098.3333333333333</v>
      </c>
    </row>
    <row r="992" spans="1:23" x14ac:dyDescent="0.3">
      <c r="A992" s="13" t="str" cm="1">
        <f t="array" ref="A992:B992">INDEX(BenchmarkResults!$B$1:$D$35,SUMPRODUCT((T992&gt;=BenchmarkResults!$F$3:$F$35)*(mongodb_hardware_log!T992&lt;BenchmarkResults!$G$3:$G$35)*ROW(BenchmarkResults!$F$3:$F$35)),{1,3})</f>
        <v>q2_avg_order_city</v>
      </c>
      <c r="B992">
        <v>2</v>
      </c>
      <c r="C992" s="13">
        <v>1</v>
      </c>
      <c r="D992" s="13">
        <v>0</v>
      </c>
      <c r="E992" s="13">
        <v>133376</v>
      </c>
      <c r="F992" s="13">
        <v>322544</v>
      </c>
      <c r="G992" s="13">
        <v>2108</v>
      </c>
      <c r="H992" s="13">
        <v>2093412</v>
      </c>
      <c r="I992" s="13">
        <v>0</v>
      </c>
      <c r="J992" s="13">
        <v>0</v>
      </c>
      <c r="K992" s="13">
        <v>1172</v>
      </c>
      <c r="L992" s="13">
        <v>10</v>
      </c>
      <c r="M992" s="13">
        <v>724</v>
      </c>
      <c r="N992" s="13">
        <v>211</v>
      </c>
      <c r="O992" s="13">
        <v>33</v>
      </c>
      <c r="P992" s="13">
        <v>1</v>
      </c>
      <c r="Q992" s="13">
        <v>65</v>
      </c>
      <c r="R992" s="13">
        <v>1</v>
      </c>
      <c r="S992" s="13">
        <v>0</v>
      </c>
      <c r="T992" s="23">
        <v>46247.598900462966</v>
      </c>
      <c r="U992" s="55">
        <f t="shared" si="45"/>
        <v>0.83333333333333337</v>
      </c>
      <c r="V992" s="55">
        <f t="shared" si="46"/>
        <v>0.16666666666666666</v>
      </c>
      <c r="W992" s="56">
        <f t="shared" si="47"/>
        <v>1115.1666666666667</v>
      </c>
    </row>
    <row r="993" spans="1:23" x14ac:dyDescent="0.3">
      <c r="A993" s="13" t="str" cm="1">
        <f t="array" ref="A993:B993">INDEX(BenchmarkResults!$B$1:$D$35,SUMPRODUCT((T993&gt;=BenchmarkResults!$F$3:$F$35)*(mongodb_hardware_log!T993&lt;BenchmarkResults!$G$3:$G$35)*ROW(BenchmarkResults!$F$3:$F$35)),{1,3})</f>
        <v>q2_avg_order_city</v>
      </c>
      <c r="B993">
        <v>2</v>
      </c>
      <c r="C993" s="13">
        <v>1</v>
      </c>
      <c r="D993" s="13">
        <v>0</v>
      </c>
      <c r="E993" s="13">
        <v>133376</v>
      </c>
      <c r="F993" s="13">
        <v>315488</v>
      </c>
      <c r="G993" s="13">
        <v>2116</v>
      </c>
      <c r="H993" s="13">
        <v>2103448</v>
      </c>
      <c r="I993" s="13">
        <v>0</v>
      </c>
      <c r="J993" s="13">
        <v>0</v>
      </c>
      <c r="K993" s="13">
        <v>999</v>
      </c>
      <c r="L993" s="13">
        <v>10</v>
      </c>
      <c r="M993" s="13">
        <v>697</v>
      </c>
      <c r="N993" s="13">
        <v>201</v>
      </c>
      <c r="O993" s="13">
        <v>34</v>
      </c>
      <c r="P993" s="13">
        <v>1</v>
      </c>
      <c r="Q993" s="13">
        <v>65</v>
      </c>
      <c r="R993" s="13">
        <v>0</v>
      </c>
      <c r="S993" s="13">
        <v>0</v>
      </c>
      <c r="T993" s="23">
        <v>46247.599016203705</v>
      </c>
      <c r="U993" s="55">
        <f t="shared" si="45"/>
        <v>1</v>
      </c>
      <c r="V993" s="55">
        <f t="shared" si="46"/>
        <v>0</v>
      </c>
      <c r="W993" s="56">
        <f t="shared" si="47"/>
        <v>1050.5</v>
      </c>
    </row>
    <row r="994" spans="1:23" x14ac:dyDescent="0.3">
      <c r="A994" s="13" t="str" cm="1">
        <f t="array" ref="A994:B994">INDEX(BenchmarkResults!$B$1:$D$35,SUMPRODUCT((T994&gt;=BenchmarkResults!$F$3:$F$35)*(mongodb_hardware_log!T994&lt;BenchmarkResults!$G$3:$G$35)*ROW(BenchmarkResults!$F$3:$F$35)),{1,3})</f>
        <v>q2_avg_order_city</v>
      </c>
      <c r="B994">
        <v>2</v>
      </c>
      <c r="C994" s="13">
        <v>1</v>
      </c>
      <c r="D994" s="13">
        <v>0</v>
      </c>
      <c r="E994" s="13">
        <v>133376</v>
      </c>
      <c r="F994" s="13">
        <v>307424</v>
      </c>
      <c r="G994" s="13">
        <v>2124</v>
      </c>
      <c r="H994" s="13">
        <v>2115116</v>
      </c>
      <c r="I994" s="13">
        <v>0</v>
      </c>
      <c r="J994" s="13">
        <v>0</v>
      </c>
      <c r="K994" s="13">
        <v>1170</v>
      </c>
      <c r="L994" s="13">
        <v>10</v>
      </c>
      <c r="M994" s="13">
        <v>691</v>
      </c>
      <c r="N994" s="13">
        <v>195</v>
      </c>
      <c r="O994" s="13">
        <v>33</v>
      </c>
      <c r="P994" s="13">
        <v>1</v>
      </c>
      <c r="Q994" s="13">
        <v>66</v>
      </c>
      <c r="R994" s="13">
        <v>0</v>
      </c>
      <c r="S994" s="13">
        <v>0</v>
      </c>
      <c r="T994" s="23">
        <v>46247.599131944444</v>
      </c>
      <c r="U994" s="55">
        <f t="shared" si="45"/>
        <v>1</v>
      </c>
      <c r="V994" s="55">
        <f t="shared" si="46"/>
        <v>0</v>
      </c>
      <c r="W994" s="56">
        <f t="shared" si="47"/>
        <v>1046.8333333333333</v>
      </c>
    </row>
    <row r="995" spans="1:23" x14ac:dyDescent="0.3">
      <c r="A995" s="13" t="str" cm="1">
        <f t="array" ref="A995:B995">INDEX(BenchmarkResults!$B$1:$D$35,SUMPRODUCT((T995&gt;=BenchmarkResults!$F$3:$F$35)*(mongodb_hardware_log!T995&lt;BenchmarkResults!$G$3:$G$35)*ROW(BenchmarkResults!$F$3:$F$35)),{1,3})</f>
        <v>q2_avg_order_city</v>
      </c>
      <c r="B995">
        <v>2</v>
      </c>
      <c r="C995" s="13">
        <v>1</v>
      </c>
      <c r="D995" s="13">
        <v>0</v>
      </c>
      <c r="E995" s="13">
        <v>133376</v>
      </c>
      <c r="F995" s="13">
        <v>290036</v>
      </c>
      <c r="G995" s="13">
        <v>2132</v>
      </c>
      <c r="H995" s="13">
        <v>2130032</v>
      </c>
      <c r="I995" s="13">
        <v>0</v>
      </c>
      <c r="J995" s="13">
        <v>0</v>
      </c>
      <c r="K995" s="13">
        <v>1489</v>
      </c>
      <c r="L995" s="13">
        <v>10</v>
      </c>
      <c r="M995" s="13">
        <v>704</v>
      </c>
      <c r="N995" s="13">
        <v>204</v>
      </c>
      <c r="O995" s="13">
        <v>33</v>
      </c>
      <c r="P995" s="13">
        <v>1</v>
      </c>
      <c r="Q995" s="13">
        <v>65</v>
      </c>
      <c r="R995" s="13">
        <v>0</v>
      </c>
      <c r="S995" s="13">
        <v>0</v>
      </c>
      <c r="T995" s="23">
        <v>46247.599247685182</v>
      </c>
      <c r="U995" s="55">
        <f t="shared" si="45"/>
        <v>1</v>
      </c>
      <c r="V995" s="55">
        <f t="shared" si="46"/>
        <v>0</v>
      </c>
      <c r="W995" s="56">
        <f t="shared" si="47"/>
        <v>1159.1666666666667</v>
      </c>
    </row>
    <row r="996" spans="1:23" x14ac:dyDescent="0.3">
      <c r="A996" s="13" t="str" cm="1">
        <f t="array" ref="A996:B996">INDEX(BenchmarkResults!$B$1:$D$35,SUMPRODUCT((T996&gt;=BenchmarkResults!$F$3:$F$35)*(mongodb_hardware_log!T996&lt;BenchmarkResults!$G$3:$G$35)*ROW(BenchmarkResults!$F$3:$F$35)),{1,3})</f>
        <v>q2_avg_order_city</v>
      </c>
      <c r="B996">
        <v>2</v>
      </c>
      <c r="C996" s="13">
        <v>1</v>
      </c>
      <c r="D996" s="13">
        <v>0</v>
      </c>
      <c r="E996" s="13">
        <v>133376</v>
      </c>
      <c r="F996" s="13">
        <v>281720</v>
      </c>
      <c r="G996" s="13">
        <v>2140</v>
      </c>
      <c r="H996" s="13">
        <v>2140772</v>
      </c>
      <c r="I996" s="13">
        <v>0</v>
      </c>
      <c r="J996" s="13">
        <v>0</v>
      </c>
      <c r="K996" s="13">
        <v>1074</v>
      </c>
      <c r="L996" s="13">
        <v>11</v>
      </c>
      <c r="M996" s="13">
        <v>713</v>
      </c>
      <c r="N996" s="13">
        <v>207</v>
      </c>
      <c r="O996" s="13">
        <v>33</v>
      </c>
      <c r="P996" s="13">
        <v>1</v>
      </c>
      <c r="Q996" s="13">
        <v>65</v>
      </c>
      <c r="R996" s="13">
        <v>0</v>
      </c>
      <c r="S996" s="13">
        <v>0</v>
      </c>
      <c r="T996" s="23">
        <v>46247.599363425928</v>
      </c>
      <c r="U996" s="55">
        <f t="shared" si="45"/>
        <v>1</v>
      </c>
      <c r="V996" s="55">
        <f t="shared" si="46"/>
        <v>0</v>
      </c>
      <c r="W996" s="56">
        <f t="shared" si="47"/>
        <v>1131.6666666666667</v>
      </c>
    </row>
    <row r="997" spans="1:23" x14ac:dyDescent="0.3">
      <c r="A997" s="13" t="str" cm="1">
        <f t="array" ref="A997:B997">INDEX(BenchmarkResults!$B$1:$D$35,SUMPRODUCT((T997&gt;=BenchmarkResults!$F$3:$F$35)*(mongodb_hardware_log!T997&lt;BenchmarkResults!$G$3:$G$35)*ROW(BenchmarkResults!$F$3:$F$35)),{1,3})</f>
        <v>q2_avg_order_city</v>
      </c>
      <c r="B997">
        <v>2</v>
      </c>
      <c r="C997" s="13">
        <v>2</v>
      </c>
      <c r="D997" s="13">
        <v>0</v>
      </c>
      <c r="E997" s="13">
        <v>133376</v>
      </c>
      <c r="F997" s="13">
        <v>265340</v>
      </c>
      <c r="G997" s="13">
        <v>2172</v>
      </c>
      <c r="H997" s="13">
        <v>2154184</v>
      </c>
      <c r="I997" s="13">
        <v>0</v>
      </c>
      <c r="J997" s="13">
        <v>0</v>
      </c>
      <c r="K997" s="13">
        <v>1341</v>
      </c>
      <c r="L997" s="13">
        <v>26</v>
      </c>
      <c r="M997" s="13">
        <v>721</v>
      </c>
      <c r="N997" s="13">
        <v>220</v>
      </c>
      <c r="O997" s="13">
        <v>33</v>
      </c>
      <c r="P997" s="13">
        <v>1</v>
      </c>
      <c r="Q997" s="13">
        <v>64</v>
      </c>
      <c r="R997" s="13">
        <v>1</v>
      </c>
      <c r="S997" s="13">
        <v>0</v>
      </c>
      <c r="T997" s="23">
        <v>46247.599479166667</v>
      </c>
      <c r="U997" s="55">
        <f t="shared" si="45"/>
        <v>1.1666666666666667</v>
      </c>
      <c r="V997" s="55">
        <f t="shared" si="46"/>
        <v>0</v>
      </c>
      <c r="W997" s="56">
        <f t="shared" si="47"/>
        <v>1207.5</v>
      </c>
    </row>
    <row r="998" spans="1:23" x14ac:dyDescent="0.3">
      <c r="A998" s="13" t="str" cm="1">
        <f t="array" ref="A998:B998">INDEX(BenchmarkResults!$B$1:$D$35,SUMPRODUCT((T998&gt;=BenchmarkResults!$F$3:$F$35)*(mongodb_hardware_log!T998&lt;BenchmarkResults!$G$3:$G$35)*ROW(BenchmarkResults!$F$3:$F$35)),{1,3})</f>
        <v>q2_avg_order_city</v>
      </c>
      <c r="B998">
        <v>2</v>
      </c>
      <c r="C998" s="13">
        <v>1</v>
      </c>
      <c r="D998" s="13">
        <v>0</v>
      </c>
      <c r="E998" s="13">
        <v>133376</v>
      </c>
      <c r="F998" s="13">
        <v>249212</v>
      </c>
      <c r="G998" s="13">
        <v>2180</v>
      </c>
      <c r="H998" s="13">
        <v>2163204</v>
      </c>
      <c r="I998" s="13">
        <v>0</v>
      </c>
      <c r="J998" s="13">
        <v>0</v>
      </c>
      <c r="K998" s="13">
        <v>902</v>
      </c>
      <c r="L998" s="13">
        <v>16</v>
      </c>
      <c r="M998" s="13">
        <v>707</v>
      </c>
      <c r="N998" s="13">
        <v>200</v>
      </c>
      <c r="O998" s="13">
        <v>33</v>
      </c>
      <c r="P998" s="13">
        <v>1</v>
      </c>
      <c r="Q998" s="13">
        <v>65</v>
      </c>
      <c r="R998" s="13">
        <v>0</v>
      </c>
      <c r="S998" s="13">
        <v>1</v>
      </c>
      <c r="T998" s="23">
        <v>46247.599594907406</v>
      </c>
      <c r="U998" s="55">
        <f t="shared" si="45"/>
        <v>1.1666666666666667</v>
      </c>
      <c r="V998" s="55">
        <f t="shared" si="46"/>
        <v>0</v>
      </c>
      <c r="W998" s="56">
        <f t="shared" si="47"/>
        <v>1162.5</v>
      </c>
    </row>
    <row r="999" spans="1:23" x14ac:dyDescent="0.3">
      <c r="A999" s="13" t="str" cm="1">
        <f t="array" ref="A999:B999">INDEX(BenchmarkResults!$B$1:$D$35,SUMPRODUCT((T999&gt;=BenchmarkResults!$F$3:$F$35)*(mongodb_hardware_log!T999&lt;BenchmarkResults!$G$3:$G$35)*ROW(BenchmarkResults!$F$3:$F$35)),{1,3})</f>
        <v>q2_avg_order_city</v>
      </c>
      <c r="B999">
        <v>2</v>
      </c>
      <c r="C999" s="13">
        <v>1</v>
      </c>
      <c r="D999" s="13">
        <v>0</v>
      </c>
      <c r="E999" s="13">
        <v>133376</v>
      </c>
      <c r="F999" s="13">
        <v>241652</v>
      </c>
      <c r="G999" s="13">
        <v>2188</v>
      </c>
      <c r="H999" s="13">
        <v>2175576</v>
      </c>
      <c r="I999" s="13">
        <v>0</v>
      </c>
      <c r="J999" s="13">
        <v>0</v>
      </c>
      <c r="K999" s="13">
        <v>1237</v>
      </c>
      <c r="L999" s="13">
        <v>12</v>
      </c>
      <c r="M999" s="13">
        <v>715</v>
      </c>
      <c r="N999" s="13">
        <v>215</v>
      </c>
      <c r="O999" s="13">
        <v>33</v>
      </c>
      <c r="P999" s="13">
        <v>1</v>
      </c>
      <c r="Q999" s="13">
        <v>65</v>
      </c>
      <c r="R999" s="13">
        <v>1</v>
      </c>
      <c r="S999" s="13">
        <v>0</v>
      </c>
      <c r="T999" s="23">
        <v>46247.599710648145</v>
      </c>
      <c r="U999" s="55">
        <f t="shared" si="45"/>
        <v>1.1666666666666667</v>
      </c>
      <c r="V999" s="55">
        <f t="shared" si="46"/>
        <v>0</v>
      </c>
      <c r="W999" s="56">
        <f t="shared" si="47"/>
        <v>1202.1666666666667</v>
      </c>
    </row>
    <row r="1000" spans="1:23" x14ac:dyDescent="0.3">
      <c r="A1000" s="13" t="str" cm="1">
        <f t="array" ref="A1000:B1000">INDEX(BenchmarkResults!$B$1:$D$35,SUMPRODUCT((T1000&gt;=BenchmarkResults!$F$3:$F$35)*(mongodb_hardware_log!T1000&lt;BenchmarkResults!$G$3:$G$35)*ROW(BenchmarkResults!$F$3:$F$35)),{1,3})</f>
        <v>q2_avg_order_city</v>
      </c>
      <c r="B1000">
        <v>2</v>
      </c>
      <c r="C1000" s="13">
        <v>1</v>
      </c>
      <c r="D1000" s="13">
        <v>0</v>
      </c>
      <c r="E1000" s="13">
        <v>133376</v>
      </c>
      <c r="F1000" s="13">
        <v>235420</v>
      </c>
      <c r="G1000" s="13">
        <v>2196</v>
      </c>
      <c r="H1000" s="13">
        <v>2187164</v>
      </c>
      <c r="I1000" s="13">
        <v>0</v>
      </c>
      <c r="J1000" s="13">
        <v>0</v>
      </c>
      <c r="K1000" s="13">
        <v>1161</v>
      </c>
      <c r="L1000" s="13">
        <v>13</v>
      </c>
      <c r="M1000" s="13">
        <v>714</v>
      </c>
      <c r="N1000" s="13">
        <v>219</v>
      </c>
      <c r="O1000" s="13">
        <v>34</v>
      </c>
      <c r="P1000" s="13">
        <v>1</v>
      </c>
      <c r="Q1000" s="13">
        <v>65</v>
      </c>
      <c r="R1000" s="13">
        <v>0</v>
      </c>
      <c r="S1000" s="13">
        <v>0</v>
      </c>
      <c r="T1000" s="23">
        <v>46247.599826388891</v>
      </c>
      <c r="U1000" s="55">
        <f t="shared" si="45"/>
        <v>1.1666666666666667</v>
      </c>
      <c r="V1000" s="55">
        <f t="shared" si="46"/>
        <v>0</v>
      </c>
      <c r="W1000" s="56">
        <f t="shared" si="47"/>
        <v>1200.6666666666667</v>
      </c>
    </row>
    <row r="1001" spans="1:23" x14ac:dyDescent="0.3">
      <c r="A1001" s="13" t="str" cm="1">
        <f t="array" ref="A1001:B1001">INDEX(BenchmarkResults!$B$1:$D$35,SUMPRODUCT((T1001&gt;=BenchmarkResults!$F$3:$F$35)*(mongodb_hardware_log!T1001&lt;BenchmarkResults!$G$3:$G$35)*ROW(BenchmarkResults!$F$3:$F$35)),{1,3})</f>
        <v>q2_avg_order_city</v>
      </c>
      <c r="B1001">
        <v>2</v>
      </c>
      <c r="C1001" s="13">
        <v>1</v>
      </c>
      <c r="D1001" s="13">
        <v>0</v>
      </c>
      <c r="E1001" s="13">
        <v>133376</v>
      </c>
      <c r="F1001" s="13">
        <v>223072</v>
      </c>
      <c r="G1001" s="13">
        <v>2212</v>
      </c>
      <c r="H1001" s="13">
        <v>2198464</v>
      </c>
      <c r="I1001" s="13">
        <v>0</v>
      </c>
      <c r="J1001" s="13">
        <v>0</v>
      </c>
      <c r="K1001" s="13">
        <v>1130</v>
      </c>
      <c r="L1001" s="13">
        <v>27</v>
      </c>
      <c r="M1001" s="13">
        <v>703</v>
      </c>
      <c r="N1001" s="13">
        <v>208</v>
      </c>
      <c r="O1001" s="13">
        <v>34</v>
      </c>
      <c r="P1001" s="13">
        <v>1</v>
      </c>
      <c r="Q1001" s="13">
        <v>65</v>
      </c>
      <c r="R1001" s="13">
        <v>0</v>
      </c>
      <c r="S1001" s="13">
        <v>0</v>
      </c>
      <c r="T1001" s="23">
        <v>46247.599942129629</v>
      </c>
      <c r="U1001" s="55">
        <f t="shared" si="45"/>
        <v>1.1666666666666667</v>
      </c>
      <c r="V1001" s="55">
        <f t="shared" si="46"/>
        <v>0</v>
      </c>
      <c r="W1001" s="56">
        <f t="shared" si="47"/>
        <v>1140.8333333333333</v>
      </c>
    </row>
    <row r="1002" spans="1:23" x14ac:dyDescent="0.3">
      <c r="A1002" s="13" t="str" cm="1">
        <f t="array" ref="A1002:B1002">INDEX(BenchmarkResults!$B$1:$D$35,SUMPRODUCT((T1002&gt;=BenchmarkResults!$F$3:$F$35)*(mongodb_hardware_log!T1002&lt;BenchmarkResults!$G$3:$G$35)*ROW(BenchmarkResults!$F$3:$F$35)),{1,3})</f>
        <v>q2_avg_order_city</v>
      </c>
      <c r="B1002">
        <v>2</v>
      </c>
      <c r="C1002" s="13">
        <v>1</v>
      </c>
      <c r="D1002" s="13">
        <v>0</v>
      </c>
      <c r="E1002" s="13">
        <v>133376</v>
      </c>
      <c r="F1002" s="13">
        <v>207196</v>
      </c>
      <c r="G1002" s="13">
        <v>2220</v>
      </c>
      <c r="H1002" s="13">
        <v>2210172</v>
      </c>
      <c r="I1002" s="13">
        <v>0</v>
      </c>
      <c r="J1002" s="13">
        <v>0</v>
      </c>
      <c r="K1002" s="13">
        <v>1168</v>
      </c>
      <c r="L1002" s="13">
        <v>13</v>
      </c>
      <c r="M1002" s="13">
        <v>719</v>
      </c>
      <c r="N1002" s="13">
        <v>214</v>
      </c>
      <c r="O1002" s="13">
        <v>33</v>
      </c>
      <c r="P1002" s="13">
        <v>1</v>
      </c>
      <c r="Q1002" s="13">
        <v>65</v>
      </c>
      <c r="R1002" s="13">
        <v>1</v>
      </c>
      <c r="S1002" s="13">
        <v>0</v>
      </c>
      <c r="T1002" s="23">
        <v>46247.600057870368</v>
      </c>
      <c r="U1002" s="55">
        <f t="shared" si="45"/>
        <v>1.1666666666666667</v>
      </c>
      <c r="V1002" s="55">
        <f t="shared" si="46"/>
        <v>0</v>
      </c>
      <c r="W1002" s="56">
        <f t="shared" si="47"/>
        <v>1156.5</v>
      </c>
    </row>
    <row r="1003" spans="1:23" x14ac:dyDescent="0.3">
      <c r="A1003" s="13" t="str" cm="1">
        <f t="array" ref="A1003:B1003">INDEX(BenchmarkResults!$B$1:$D$35,SUMPRODUCT((T1003&gt;=BenchmarkResults!$F$3:$F$35)*(mongodb_hardware_log!T1003&lt;BenchmarkResults!$G$3:$G$35)*ROW(BenchmarkResults!$F$3:$F$35)),{1,3})</f>
        <v>q2_avg_order_city</v>
      </c>
      <c r="B1003">
        <v>2</v>
      </c>
      <c r="C1003" s="13">
        <v>1</v>
      </c>
      <c r="D1003" s="13">
        <v>0</v>
      </c>
      <c r="E1003" s="13">
        <v>133376</v>
      </c>
      <c r="F1003" s="13">
        <v>200560</v>
      </c>
      <c r="G1003" s="13">
        <v>2244</v>
      </c>
      <c r="H1003" s="13">
        <v>2222732</v>
      </c>
      <c r="I1003" s="13">
        <v>0</v>
      </c>
      <c r="J1003" s="13">
        <v>0</v>
      </c>
      <c r="K1003" s="13">
        <v>1254</v>
      </c>
      <c r="L1003" s="13">
        <v>23</v>
      </c>
      <c r="M1003" s="13">
        <v>777</v>
      </c>
      <c r="N1003" s="13">
        <v>285</v>
      </c>
      <c r="O1003" s="13">
        <v>34</v>
      </c>
      <c r="P1003" s="13">
        <v>1</v>
      </c>
      <c r="Q1003" s="13">
        <v>65</v>
      </c>
      <c r="R1003" s="13">
        <v>0</v>
      </c>
      <c r="S1003" s="13">
        <v>0</v>
      </c>
      <c r="T1003" s="23">
        <v>46247.600173611114</v>
      </c>
      <c r="U1003" s="55">
        <f t="shared" si="45"/>
        <v>1</v>
      </c>
      <c r="V1003" s="55">
        <f t="shared" si="46"/>
        <v>0</v>
      </c>
      <c r="W1003" s="56">
        <f t="shared" si="47"/>
        <v>1142</v>
      </c>
    </row>
    <row r="1004" spans="1:23" x14ac:dyDescent="0.3">
      <c r="A1004" s="13" t="str" cm="1">
        <f t="array" ref="A1004:B1004">INDEX(BenchmarkResults!$B$1:$D$35,SUMPRODUCT((T1004&gt;=BenchmarkResults!$F$3:$F$35)*(mongodb_hardware_log!T1004&lt;BenchmarkResults!$G$3:$G$35)*ROW(BenchmarkResults!$F$3:$F$35)),{1,3})</f>
        <v>q2_avg_order_city</v>
      </c>
      <c r="B1004">
        <v>2</v>
      </c>
      <c r="C1004" s="13">
        <v>1</v>
      </c>
      <c r="D1004" s="13">
        <v>1</v>
      </c>
      <c r="E1004" s="13">
        <v>133376</v>
      </c>
      <c r="F1004" s="13">
        <v>783324</v>
      </c>
      <c r="G1004" s="13">
        <v>2256</v>
      </c>
      <c r="H1004" s="13">
        <v>1597712</v>
      </c>
      <c r="I1004" s="13">
        <v>0</v>
      </c>
      <c r="J1004" s="13">
        <v>0</v>
      </c>
      <c r="K1004" s="13">
        <v>810</v>
      </c>
      <c r="L1004" s="13">
        <v>25</v>
      </c>
      <c r="M1004" s="13">
        <v>1013</v>
      </c>
      <c r="N1004" s="13">
        <v>477</v>
      </c>
      <c r="O1004" s="13">
        <v>39</v>
      </c>
      <c r="P1004" s="13">
        <v>9</v>
      </c>
      <c r="Q1004" s="13">
        <v>52</v>
      </c>
      <c r="R1004" s="13">
        <v>0</v>
      </c>
      <c r="S1004" s="13">
        <v>0</v>
      </c>
      <c r="T1004" s="23">
        <v>46247.600289351853</v>
      </c>
      <c r="U1004" s="55">
        <f t="shared" si="45"/>
        <v>1</v>
      </c>
      <c r="V1004" s="55">
        <f t="shared" si="46"/>
        <v>0.16666666666666666</v>
      </c>
      <c r="W1004" s="56">
        <f t="shared" si="47"/>
        <v>1126.6666666666667</v>
      </c>
    </row>
    <row r="1005" spans="1:23" x14ac:dyDescent="0.3">
      <c r="A1005" s="13" t="str" cm="1">
        <f t="array" ref="A1005:B1005">INDEX(BenchmarkResults!$B$1:$D$35,SUMPRODUCT((T1005&gt;=BenchmarkResults!$F$3:$F$35)*(mongodb_hardware_log!T1005&lt;BenchmarkResults!$G$3:$G$35)*ROW(BenchmarkResults!$F$3:$F$35)),{1,3})</f>
        <v>q2_avg_order_city</v>
      </c>
      <c r="B1005">
        <v>2</v>
      </c>
      <c r="C1005" s="13">
        <v>1</v>
      </c>
      <c r="D1005" s="13">
        <v>0</v>
      </c>
      <c r="E1005" s="13">
        <v>133376</v>
      </c>
      <c r="F1005" s="13">
        <v>791652</v>
      </c>
      <c r="G1005" s="13">
        <v>2268</v>
      </c>
      <c r="H1005" s="13">
        <v>1611236</v>
      </c>
      <c r="I1005" s="13">
        <v>0</v>
      </c>
      <c r="J1005" s="13">
        <v>0</v>
      </c>
      <c r="K1005" s="13">
        <v>1354</v>
      </c>
      <c r="L1005" s="13">
        <v>11</v>
      </c>
      <c r="M1005" s="13">
        <v>721</v>
      </c>
      <c r="N1005" s="13">
        <v>221</v>
      </c>
      <c r="O1005" s="13">
        <v>33</v>
      </c>
      <c r="P1005" s="13">
        <v>1</v>
      </c>
      <c r="Q1005" s="13">
        <v>65</v>
      </c>
      <c r="R1005" s="13">
        <v>1</v>
      </c>
      <c r="S1005" s="13">
        <v>0</v>
      </c>
      <c r="T1005" s="23">
        <v>46247.600405092591</v>
      </c>
      <c r="U1005" s="55">
        <f t="shared" si="45"/>
        <v>1</v>
      </c>
      <c r="V1005" s="55">
        <f t="shared" si="46"/>
        <v>0.16666666666666666</v>
      </c>
      <c r="W1005" s="56">
        <f t="shared" si="47"/>
        <v>1146.1666666666667</v>
      </c>
    </row>
    <row r="1006" spans="1:23" x14ac:dyDescent="0.3">
      <c r="A1006" s="13" t="str" cm="1">
        <f t="array" ref="A1006:B1006">INDEX(BenchmarkResults!$B$1:$D$35,SUMPRODUCT((T1006&gt;=BenchmarkResults!$F$3:$F$35)*(mongodb_hardware_log!T1006&lt;BenchmarkResults!$G$3:$G$35)*ROW(BenchmarkResults!$F$3:$F$35)),{1,3})</f>
        <v>q2_avg_order_city</v>
      </c>
      <c r="B1006">
        <v>2</v>
      </c>
      <c r="C1006" s="13">
        <v>1</v>
      </c>
      <c r="D1006" s="13">
        <v>0</v>
      </c>
      <c r="E1006" s="13">
        <v>133376</v>
      </c>
      <c r="F1006" s="13">
        <v>781824</v>
      </c>
      <c r="G1006" s="13">
        <v>2276</v>
      </c>
      <c r="H1006" s="13">
        <v>1621880</v>
      </c>
      <c r="I1006" s="13">
        <v>0</v>
      </c>
      <c r="J1006" s="13">
        <v>0</v>
      </c>
      <c r="K1006" s="13">
        <v>1064</v>
      </c>
      <c r="L1006" s="13">
        <v>18</v>
      </c>
      <c r="M1006" s="13">
        <v>706</v>
      </c>
      <c r="N1006" s="13">
        <v>207</v>
      </c>
      <c r="O1006" s="13">
        <v>34</v>
      </c>
      <c r="P1006" s="13">
        <v>1</v>
      </c>
      <c r="Q1006" s="13">
        <v>65</v>
      </c>
      <c r="R1006" s="13">
        <v>0</v>
      </c>
      <c r="S1006" s="13">
        <v>0</v>
      </c>
      <c r="T1006" s="23">
        <v>46247.60052083333</v>
      </c>
      <c r="U1006" s="55">
        <f t="shared" si="45"/>
        <v>1</v>
      </c>
      <c r="V1006" s="55">
        <f t="shared" si="46"/>
        <v>0.16666666666666666</v>
      </c>
      <c r="W1006" s="56">
        <f t="shared" si="47"/>
        <v>1130</v>
      </c>
    </row>
    <row r="1007" spans="1:23" x14ac:dyDescent="0.3">
      <c r="A1007" s="13" t="str" cm="1">
        <f t="array" ref="A1007:B1007">INDEX(BenchmarkResults!$B$1:$D$35,SUMPRODUCT((T1007&gt;=BenchmarkResults!$F$3:$F$35)*(mongodb_hardware_log!T1007&lt;BenchmarkResults!$G$3:$G$35)*ROW(BenchmarkResults!$F$3:$F$35)),{1,3})</f>
        <v>q2_avg_order_city</v>
      </c>
      <c r="B1007">
        <v>2</v>
      </c>
      <c r="C1007" s="13">
        <v>1</v>
      </c>
      <c r="D1007" s="13">
        <v>0</v>
      </c>
      <c r="E1007" s="13">
        <v>133376</v>
      </c>
      <c r="F1007" s="13">
        <v>770736</v>
      </c>
      <c r="G1007" s="13">
        <v>2284</v>
      </c>
      <c r="H1007" s="13">
        <v>1633696</v>
      </c>
      <c r="I1007" s="13">
        <v>0</v>
      </c>
      <c r="J1007" s="13">
        <v>0</v>
      </c>
      <c r="K1007" s="13">
        <v>1179</v>
      </c>
      <c r="L1007" s="13">
        <v>9</v>
      </c>
      <c r="M1007" s="13">
        <v>709</v>
      </c>
      <c r="N1007" s="13">
        <v>204</v>
      </c>
      <c r="O1007" s="13">
        <v>33</v>
      </c>
      <c r="P1007" s="13">
        <v>1</v>
      </c>
      <c r="Q1007" s="13">
        <v>65</v>
      </c>
      <c r="R1007" s="13">
        <v>0</v>
      </c>
      <c r="S1007" s="13">
        <v>0</v>
      </c>
      <c r="T1007" s="23">
        <v>46247.600636574076</v>
      </c>
      <c r="U1007" s="55">
        <f t="shared" si="45"/>
        <v>1</v>
      </c>
      <c r="V1007" s="55">
        <f t="shared" si="46"/>
        <v>0.16666666666666666</v>
      </c>
      <c r="W1007" s="56">
        <f t="shared" si="47"/>
        <v>1138.1666666666667</v>
      </c>
    </row>
    <row r="1008" spans="1:23" x14ac:dyDescent="0.3">
      <c r="A1008" s="13" t="str" cm="1">
        <f t="array" ref="A1008:B1008">INDEX(BenchmarkResults!$B$1:$D$35,SUMPRODUCT((T1008&gt;=BenchmarkResults!$F$3:$F$35)*(mongodb_hardware_log!T1008&lt;BenchmarkResults!$G$3:$G$35)*ROW(BenchmarkResults!$F$3:$F$35)),{1,3})</f>
        <v>q2_avg_order_city</v>
      </c>
      <c r="B1008">
        <v>2</v>
      </c>
      <c r="C1008" s="13">
        <v>1</v>
      </c>
      <c r="D1008" s="13">
        <v>0</v>
      </c>
      <c r="E1008" s="13">
        <v>133376</v>
      </c>
      <c r="F1008" s="13">
        <v>747552</v>
      </c>
      <c r="G1008" s="13">
        <v>2292</v>
      </c>
      <c r="H1008" s="13">
        <v>1647536</v>
      </c>
      <c r="I1008" s="13">
        <v>0</v>
      </c>
      <c r="J1008" s="13">
        <v>0</v>
      </c>
      <c r="K1008" s="13">
        <v>1386</v>
      </c>
      <c r="L1008" s="13">
        <v>9</v>
      </c>
      <c r="M1008" s="13">
        <v>739</v>
      </c>
      <c r="N1008" s="13">
        <v>233</v>
      </c>
      <c r="O1008" s="13">
        <v>33</v>
      </c>
      <c r="P1008" s="13">
        <v>1</v>
      </c>
      <c r="Q1008" s="13">
        <v>65</v>
      </c>
      <c r="R1008" s="13">
        <v>1</v>
      </c>
      <c r="S1008" s="13">
        <v>0</v>
      </c>
      <c r="T1008" s="23">
        <v>46247.600752314815</v>
      </c>
      <c r="U1008" s="55">
        <f t="shared" si="45"/>
        <v>1</v>
      </c>
      <c r="V1008" s="55">
        <f t="shared" si="46"/>
        <v>0.16666666666666666</v>
      </c>
      <c r="W1008" s="56">
        <f t="shared" si="47"/>
        <v>1174.5</v>
      </c>
    </row>
    <row r="1009" spans="1:23" x14ac:dyDescent="0.3">
      <c r="A1009" s="13" t="str" cm="1">
        <f t="array" ref="A1009:B1009">INDEX(BenchmarkResults!$B$1:$D$35,SUMPRODUCT((T1009&gt;=BenchmarkResults!$F$3:$F$35)*(mongodb_hardware_log!T1009&lt;BenchmarkResults!$G$3:$G$35)*ROW(BenchmarkResults!$F$3:$F$35)),{1,3})</f>
        <v>q2_avg_order_city</v>
      </c>
      <c r="B1009">
        <v>2</v>
      </c>
      <c r="C1009" s="13">
        <v>1</v>
      </c>
      <c r="D1009" s="13">
        <v>0</v>
      </c>
      <c r="E1009" s="13">
        <v>133376</v>
      </c>
      <c r="F1009" s="13">
        <v>739740</v>
      </c>
      <c r="G1009" s="13">
        <v>2324</v>
      </c>
      <c r="H1009" s="13">
        <v>1655996</v>
      </c>
      <c r="I1009" s="13">
        <v>0</v>
      </c>
      <c r="J1009" s="13">
        <v>0</v>
      </c>
      <c r="K1009" s="13">
        <v>841</v>
      </c>
      <c r="L1009" s="13">
        <v>25</v>
      </c>
      <c r="M1009" s="13">
        <v>759</v>
      </c>
      <c r="N1009" s="13">
        <v>263</v>
      </c>
      <c r="O1009" s="13">
        <v>33</v>
      </c>
      <c r="P1009" s="13">
        <v>1</v>
      </c>
      <c r="Q1009" s="13">
        <v>65</v>
      </c>
      <c r="R1009" s="13">
        <v>0</v>
      </c>
      <c r="S1009" s="13">
        <v>1</v>
      </c>
      <c r="T1009" s="23">
        <v>46247.600868055553</v>
      </c>
      <c r="U1009" s="55">
        <f t="shared" si="45"/>
        <v>1</v>
      </c>
      <c r="V1009" s="55">
        <f t="shared" si="46"/>
        <v>0.16666666666666666</v>
      </c>
      <c r="W1009" s="56">
        <f t="shared" si="47"/>
        <v>1105.6666666666667</v>
      </c>
    </row>
    <row r="1010" spans="1:23" x14ac:dyDescent="0.3">
      <c r="A1010" s="13" t="str" cm="1">
        <f t="array" ref="A1010:B1010">INDEX(BenchmarkResults!$B$1:$D$35,SUMPRODUCT((T1010&gt;=BenchmarkResults!$F$3:$F$35)*(mongodb_hardware_log!T1010&lt;BenchmarkResults!$G$3:$G$35)*ROW(BenchmarkResults!$F$3:$F$35)),{1,3})</f>
        <v>q2_avg_order_city</v>
      </c>
      <c r="B1010">
        <v>2</v>
      </c>
      <c r="C1010" s="13">
        <v>1</v>
      </c>
      <c r="D1010" s="13">
        <v>0</v>
      </c>
      <c r="E1010" s="13">
        <v>133376</v>
      </c>
      <c r="F1010" s="13">
        <v>723612</v>
      </c>
      <c r="G1010" s="13">
        <v>2332</v>
      </c>
      <c r="H1010" s="13">
        <v>1669412</v>
      </c>
      <c r="I1010" s="13">
        <v>0</v>
      </c>
      <c r="J1010" s="13">
        <v>0</v>
      </c>
      <c r="K1010" s="13">
        <v>1342</v>
      </c>
      <c r="L1010" s="13">
        <v>17</v>
      </c>
      <c r="M1010" s="13">
        <v>724</v>
      </c>
      <c r="N1010" s="13">
        <v>214</v>
      </c>
      <c r="O1010" s="13">
        <v>33</v>
      </c>
      <c r="P1010" s="13">
        <v>1</v>
      </c>
      <c r="Q1010" s="13">
        <v>64</v>
      </c>
      <c r="R1010" s="13">
        <v>1</v>
      </c>
      <c r="S1010" s="13">
        <v>0</v>
      </c>
      <c r="T1010" s="23">
        <v>46247.600983796299</v>
      </c>
      <c r="U1010" s="55">
        <f t="shared" si="45"/>
        <v>1</v>
      </c>
      <c r="V1010" s="55">
        <f t="shared" si="46"/>
        <v>0</v>
      </c>
      <c r="W1010" s="56">
        <f t="shared" si="47"/>
        <v>1194.3333333333333</v>
      </c>
    </row>
    <row r="1011" spans="1:23" x14ac:dyDescent="0.3">
      <c r="A1011" s="13" t="str" cm="1">
        <f t="array" ref="A1011:B1011">INDEX(BenchmarkResults!$B$1:$D$35,SUMPRODUCT((T1011&gt;=BenchmarkResults!$F$3:$F$35)*(mongodb_hardware_log!T1011&lt;BenchmarkResults!$G$3:$G$35)*ROW(BenchmarkResults!$F$3:$F$35)),{1,3})</f>
        <v>q2_avg_order_city</v>
      </c>
      <c r="B1011">
        <v>2</v>
      </c>
      <c r="C1011" s="13">
        <v>1</v>
      </c>
      <c r="D1011" s="13">
        <v>0</v>
      </c>
      <c r="E1011" s="13">
        <v>133376</v>
      </c>
      <c r="F1011" s="13">
        <v>715800</v>
      </c>
      <c r="G1011" s="13">
        <v>2340</v>
      </c>
      <c r="H1011" s="13">
        <v>1679364</v>
      </c>
      <c r="I1011" s="13">
        <v>0</v>
      </c>
      <c r="J1011" s="13">
        <v>0</v>
      </c>
      <c r="K1011" s="13">
        <v>995</v>
      </c>
      <c r="L1011" s="13">
        <v>13</v>
      </c>
      <c r="M1011" s="13">
        <v>763</v>
      </c>
      <c r="N1011" s="13">
        <v>266</v>
      </c>
      <c r="O1011" s="13">
        <v>33</v>
      </c>
      <c r="P1011" s="13">
        <v>1</v>
      </c>
      <c r="Q1011" s="13">
        <v>65</v>
      </c>
      <c r="R1011" s="13">
        <v>0</v>
      </c>
      <c r="S1011" s="13">
        <v>0</v>
      </c>
      <c r="T1011" s="23">
        <v>46247.601099537038</v>
      </c>
      <c r="U1011" s="55">
        <f t="shared" si="45"/>
        <v>1</v>
      </c>
      <c r="V1011" s="55">
        <f t="shared" si="46"/>
        <v>0</v>
      </c>
      <c r="W1011" s="56">
        <f t="shared" si="47"/>
        <v>1134.5</v>
      </c>
    </row>
    <row r="1012" spans="1:23" x14ac:dyDescent="0.3">
      <c r="A1012" s="13" t="str" cm="1">
        <f t="array" ref="A1012:B1012">INDEX(BenchmarkResults!$B$1:$D$35,SUMPRODUCT((T1012&gt;=BenchmarkResults!$F$3:$F$35)*(mongodb_hardware_log!T1012&lt;BenchmarkResults!$G$3:$G$35)*ROW(BenchmarkResults!$F$3:$F$35)),{1,3})</f>
        <v>q2_avg_order_city</v>
      </c>
      <c r="B1012">
        <v>2</v>
      </c>
      <c r="C1012" s="13">
        <v>1</v>
      </c>
      <c r="D1012" s="13">
        <v>0</v>
      </c>
      <c r="E1012" s="13">
        <v>133376</v>
      </c>
      <c r="F1012" s="13">
        <v>700176</v>
      </c>
      <c r="G1012" s="13">
        <v>2348</v>
      </c>
      <c r="H1012" s="13">
        <v>1694736</v>
      </c>
      <c r="I1012" s="13">
        <v>0</v>
      </c>
      <c r="J1012" s="13">
        <v>0</v>
      </c>
      <c r="K1012" s="13">
        <v>1546</v>
      </c>
      <c r="L1012" s="13">
        <v>9</v>
      </c>
      <c r="M1012" s="13">
        <v>712</v>
      </c>
      <c r="N1012" s="13">
        <v>211</v>
      </c>
      <c r="O1012" s="13">
        <v>33</v>
      </c>
      <c r="P1012" s="13">
        <v>1</v>
      </c>
      <c r="Q1012" s="13">
        <v>65</v>
      </c>
      <c r="R1012" s="13">
        <v>0</v>
      </c>
      <c r="S1012" s="13">
        <v>0</v>
      </c>
      <c r="T1012" s="23">
        <v>46247.601215277777</v>
      </c>
      <c r="U1012" s="55">
        <f t="shared" si="45"/>
        <v>1</v>
      </c>
      <c r="V1012" s="55">
        <f t="shared" si="46"/>
        <v>0</v>
      </c>
      <c r="W1012" s="56">
        <f t="shared" si="47"/>
        <v>1214.8333333333333</v>
      </c>
    </row>
    <row r="1013" spans="1:23" x14ac:dyDescent="0.3">
      <c r="A1013" s="13" t="str" cm="1">
        <f t="array" ref="A1013:B1013">INDEX(BenchmarkResults!$B$1:$D$35,SUMPRODUCT((T1013&gt;=BenchmarkResults!$F$3:$F$35)*(mongodb_hardware_log!T1013&lt;BenchmarkResults!$G$3:$G$35)*ROW(BenchmarkResults!$F$3:$F$35)),{1,3})</f>
        <v>q2_avg_order_city</v>
      </c>
      <c r="B1013">
        <v>2</v>
      </c>
      <c r="C1013" s="13">
        <v>0</v>
      </c>
      <c r="D1013" s="13">
        <v>1</v>
      </c>
      <c r="E1013" s="13">
        <v>133376</v>
      </c>
      <c r="F1013" s="13">
        <v>685056</v>
      </c>
      <c r="G1013" s="13">
        <v>2356</v>
      </c>
      <c r="H1013" s="13">
        <v>1707620</v>
      </c>
      <c r="I1013" s="13">
        <v>0</v>
      </c>
      <c r="J1013" s="13">
        <v>0</v>
      </c>
      <c r="K1013" s="13">
        <v>1280</v>
      </c>
      <c r="L1013" s="13">
        <v>9</v>
      </c>
      <c r="M1013" s="13">
        <v>701</v>
      </c>
      <c r="N1013" s="13">
        <v>202</v>
      </c>
      <c r="O1013" s="13">
        <v>33</v>
      </c>
      <c r="P1013" s="13">
        <v>1</v>
      </c>
      <c r="Q1013" s="13">
        <v>65</v>
      </c>
      <c r="R1013" s="13">
        <v>0</v>
      </c>
      <c r="S1013" s="13">
        <v>1</v>
      </c>
      <c r="T1013" s="23">
        <v>46247.601331018515</v>
      </c>
      <c r="U1013" s="55">
        <f t="shared" si="45"/>
        <v>0.83333333333333337</v>
      </c>
      <c r="V1013" s="55">
        <f t="shared" si="46"/>
        <v>0.16666666666666666</v>
      </c>
      <c r="W1013" s="56">
        <f t="shared" si="47"/>
        <v>1231.6666666666667</v>
      </c>
    </row>
    <row r="1014" spans="1:23" x14ac:dyDescent="0.3">
      <c r="A1014" s="13" t="str" cm="1">
        <f t="array" ref="A1014:B1014">INDEX(BenchmarkResults!$B$1:$D$35,SUMPRODUCT((T1014&gt;=BenchmarkResults!$F$3:$F$35)*(mongodb_hardware_log!T1014&lt;BenchmarkResults!$G$3:$G$35)*ROW(BenchmarkResults!$F$3:$F$35)),{1,3})</f>
        <v>q2_avg_order_city</v>
      </c>
      <c r="B1014">
        <v>2</v>
      </c>
      <c r="C1014" s="13">
        <v>1</v>
      </c>
      <c r="D1014" s="13">
        <v>0</v>
      </c>
      <c r="E1014" s="13">
        <v>133376</v>
      </c>
      <c r="F1014" s="13">
        <v>677496</v>
      </c>
      <c r="G1014" s="13">
        <v>2364</v>
      </c>
      <c r="H1014" s="13">
        <v>1717984</v>
      </c>
      <c r="I1014" s="13">
        <v>0</v>
      </c>
      <c r="J1014" s="13">
        <v>0</v>
      </c>
      <c r="K1014" s="13">
        <v>1039</v>
      </c>
      <c r="L1014" s="13">
        <v>9</v>
      </c>
      <c r="M1014" s="13">
        <v>717</v>
      </c>
      <c r="N1014" s="13">
        <v>212</v>
      </c>
      <c r="O1014" s="13">
        <v>33</v>
      </c>
      <c r="P1014" s="13">
        <v>1</v>
      </c>
      <c r="Q1014" s="13">
        <v>65</v>
      </c>
      <c r="R1014" s="13">
        <v>0</v>
      </c>
      <c r="S1014" s="13">
        <v>0</v>
      </c>
      <c r="T1014" s="23">
        <v>46247.601446759261</v>
      </c>
      <c r="U1014" s="55">
        <f t="shared" si="45"/>
        <v>0.83333333333333337</v>
      </c>
      <c r="V1014" s="55">
        <f t="shared" si="46"/>
        <v>0.16666666666666666</v>
      </c>
      <c r="W1014" s="56">
        <f t="shared" si="47"/>
        <v>1173.8333333333333</v>
      </c>
    </row>
    <row r="1015" spans="1:23" x14ac:dyDescent="0.3">
      <c r="A1015" s="13" t="str" cm="1">
        <f t="array" ref="A1015:B1015">INDEX(BenchmarkResults!$B$1:$D$35,SUMPRODUCT((T1015&gt;=BenchmarkResults!$F$3:$F$35)*(mongodb_hardware_log!T1015&lt;BenchmarkResults!$G$3:$G$35)*ROW(BenchmarkResults!$F$3:$F$35)),{1,3})</f>
        <v>q2_avg_order_city</v>
      </c>
      <c r="B1015">
        <v>2</v>
      </c>
      <c r="C1015" s="13">
        <v>0</v>
      </c>
      <c r="D1015" s="13">
        <v>1</v>
      </c>
      <c r="E1015" s="13">
        <v>133376</v>
      </c>
      <c r="F1015" s="13">
        <v>669936</v>
      </c>
      <c r="G1015" s="13">
        <v>2396</v>
      </c>
      <c r="H1015" s="13">
        <v>1728824</v>
      </c>
      <c r="I1015" s="13">
        <v>0</v>
      </c>
      <c r="J1015" s="13">
        <v>0</v>
      </c>
      <c r="K1015" s="13">
        <v>1081</v>
      </c>
      <c r="L1015" s="13">
        <v>32</v>
      </c>
      <c r="M1015" s="13">
        <v>703</v>
      </c>
      <c r="N1015" s="13">
        <v>205</v>
      </c>
      <c r="O1015" s="13">
        <v>34</v>
      </c>
      <c r="P1015" s="13">
        <v>1</v>
      </c>
      <c r="Q1015" s="13">
        <v>65</v>
      </c>
      <c r="R1015" s="13">
        <v>0</v>
      </c>
      <c r="S1015" s="13">
        <v>1</v>
      </c>
      <c r="T1015" s="23">
        <v>46247.6015625</v>
      </c>
      <c r="U1015" s="55">
        <f t="shared" si="45"/>
        <v>0.66666666666666663</v>
      </c>
      <c r="V1015" s="55">
        <f t="shared" si="46"/>
        <v>0.33333333333333331</v>
      </c>
      <c r="W1015" s="56">
        <f t="shared" si="47"/>
        <v>1213.8333333333333</v>
      </c>
    </row>
    <row r="1016" spans="1:23" x14ac:dyDescent="0.3">
      <c r="A1016" s="13" t="str" cm="1">
        <f t="array" ref="A1016:B1016">INDEX(BenchmarkResults!$B$1:$D$35,SUMPRODUCT((T1016&gt;=BenchmarkResults!$F$3:$F$35)*(mongodb_hardware_log!T1016&lt;BenchmarkResults!$G$3:$G$35)*ROW(BenchmarkResults!$F$3:$F$35)),{1,3})</f>
        <v>q2_avg_order_city</v>
      </c>
      <c r="B1016">
        <v>2</v>
      </c>
      <c r="C1016" s="13">
        <v>1</v>
      </c>
      <c r="D1016" s="13">
        <v>0</v>
      </c>
      <c r="E1016" s="13">
        <v>133376</v>
      </c>
      <c r="F1016" s="13">
        <v>661872</v>
      </c>
      <c r="G1016" s="13">
        <v>2404</v>
      </c>
      <c r="H1016" s="13">
        <v>1735752</v>
      </c>
      <c r="I1016" s="13">
        <v>0</v>
      </c>
      <c r="J1016" s="13">
        <v>0</v>
      </c>
      <c r="K1016" s="13">
        <v>693</v>
      </c>
      <c r="L1016" s="13">
        <v>9</v>
      </c>
      <c r="M1016" s="13">
        <v>706</v>
      </c>
      <c r="N1016" s="13">
        <v>202</v>
      </c>
      <c r="O1016" s="13">
        <v>33</v>
      </c>
      <c r="P1016" s="13">
        <v>1</v>
      </c>
      <c r="Q1016" s="13">
        <v>65</v>
      </c>
      <c r="R1016" s="13">
        <v>0</v>
      </c>
      <c r="S1016" s="13">
        <v>1</v>
      </c>
      <c r="T1016" s="23">
        <v>46247.601678240739</v>
      </c>
      <c r="U1016" s="55">
        <f t="shared" si="45"/>
        <v>0.66666666666666663</v>
      </c>
      <c r="V1016" s="55">
        <f t="shared" si="46"/>
        <v>0.33333333333333331</v>
      </c>
      <c r="W1016" s="56">
        <f t="shared" si="47"/>
        <v>1105.6666666666667</v>
      </c>
    </row>
    <row r="1017" spans="1:23" x14ac:dyDescent="0.3">
      <c r="A1017" s="13" t="str" cm="1">
        <f t="array" ref="A1017:B1017">INDEX(BenchmarkResults!$B$1:$D$35,SUMPRODUCT((T1017&gt;=BenchmarkResults!$F$3:$F$35)*(mongodb_hardware_log!T1017&lt;BenchmarkResults!$G$3:$G$35)*ROW(BenchmarkResults!$F$3:$F$35)),{1,3})</f>
        <v>q2_avg_order_city</v>
      </c>
      <c r="B1017">
        <v>2</v>
      </c>
      <c r="C1017" s="13">
        <v>1</v>
      </c>
      <c r="D1017" s="13">
        <v>0</v>
      </c>
      <c r="E1017" s="13">
        <v>133376</v>
      </c>
      <c r="F1017" s="13">
        <v>646752</v>
      </c>
      <c r="G1017" s="13">
        <v>2412</v>
      </c>
      <c r="H1017" s="13">
        <v>1751256</v>
      </c>
      <c r="I1017" s="13">
        <v>0</v>
      </c>
      <c r="J1017" s="13">
        <v>0</v>
      </c>
      <c r="K1017" s="13">
        <v>1552</v>
      </c>
      <c r="L1017" s="13">
        <v>9</v>
      </c>
      <c r="M1017" s="13">
        <v>699</v>
      </c>
      <c r="N1017" s="13">
        <v>200</v>
      </c>
      <c r="O1017" s="13">
        <v>33</v>
      </c>
      <c r="P1017" s="13">
        <v>1</v>
      </c>
      <c r="Q1017" s="13">
        <v>65</v>
      </c>
      <c r="R1017" s="13">
        <v>0</v>
      </c>
      <c r="S1017" s="13">
        <v>0</v>
      </c>
      <c r="T1017" s="23">
        <v>46247.601793981485</v>
      </c>
      <c r="U1017" s="55">
        <f t="shared" si="45"/>
        <v>0.66666666666666663</v>
      </c>
      <c r="V1017" s="55">
        <f t="shared" si="46"/>
        <v>0.33333333333333331</v>
      </c>
      <c r="W1017" s="56">
        <f t="shared" si="47"/>
        <v>1198.5</v>
      </c>
    </row>
    <row r="1018" spans="1:23" x14ac:dyDescent="0.3">
      <c r="A1018" s="13" t="str" cm="1">
        <f t="array" ref="A1018:B1018">INDEX(BenchmarkResults!$B$1:$D$35,SUMPRODUCT((T1018&gt;=BenchmarkResults!$F$3:$F$35)*(mongodb_hardware_log!T1018&lt;BenchmarkResults!$G$3:$G$35)*ROW(BenchmarkResults!$F$3:$F$35)),{1,3})</f>
        <v>q2_avg_order_city</v>
      </c>
      <c r="B1018">
        <v>2</v>
      </c>
      <c r="C1018" s="13">
        <v>1</v>
      </c>
      <c r="D1018" s="13">
        <v>0</v>
      </c>
      <c r="E1018" s="13">
        <v>133376</v>
      </c>
      <c r="F1018" s="13">
        <v>631128</v>
      </c>
      <c r="G1018" s="13">
        <v>2420</v>
      </c>
      <c r="H1018" s="13">
        <v>1764132</v>
      </c>
      <c r="I1018" s="13">
        <v>0</v>
      </c>
      <c r="J1018" s="13">
        <v>0</v>
      </c>
      <c r="K1018" s="13">
        <v>1285</v>
      </c>
      <c r="L1018" s="13">
        <v>10</v>
      </c>
      <c r="M1018" s="13">
        <v>706</v>
      </c>
      <c r="N1018" s="13">
        <v>207</v>
      </c>
      <c r="O1018" s="13">
        <v>33</v>
      </c>
      <c r="P1018" s="13">
        <v>1</v>
      </c>
      <c r="Q1018" s="13">
        <v>65</v>
      </c>
      <c r="R1018" s="13">
        <v>0</v>
      </c>
      <c r="S1018" s="13">
        <v>0</v>
      </c>
      <c r="T1018" s="23">
        <v>46247.601909722223</v>
      </c>
      <c r="U1018" s="55">
        <f t="shared" si="45"/>
        <v>0.66666666666666663</v>
      </c>
      <c r="V1018" s="55">
        <f t="shared" si="46"/>
        <v>0.33333333333333331</v>
      </c>
      <c r="W1018" s="56">
        <f t="shared" si="47"/>
        <v>1155</v>
      </c>
    </row>
    <row r="1019" spans="1:23" x14ac:dyDescent="0.3">
      <c r="A1019" s="13" t="str" cm="1">
        <f t="array" ref="A1019:B1019">INDEX(BenchmarkResults!$B$1:$D$35,SUMPRODUCT((T1019&gt;=BenchmarkResults!$F$3:$F$35)*(mongodb_hardware_log!T1019&lt;BenchmarkResults!$G$3:$G$35)*ROW(BenchmarkResults!$F$3:$F$35)),{1,3})</f>
        <v>q2_avg_order_city</v>
      </c>
      <c r="B1019">
        <v>2</v>
      </c>
      <c r="C1019" s="13">
        <v>1</v>
      </c>
      <c r="D1019" s="13">
        <v>0</v>
      </c>
      <c r="E1019" s="13">
        <v>133376</v>
      </c>
      <c r="F1019" s="13">
        <v>629112</v>
      </c>
      <c r="G1019" s="13">
        <v>2444</v>
      </c>
      <c r="H1019" s="13">
        <v>1774684</v>
      </c>
      <c r="I1019" s="13">
        <v>0</v>
      </c>
      <c r="J1019" s="13">
        <v>0</v>
      </c>
      <c r="K1019" s="13">
        <v>1055</v>
      </c>
      <c r="L1019" s="13">
        <v>30</v>
      </c>
      <c r="M1019" s="13">
        <v>710</v>
      </c>
      <c r="N1019" s="13">
        <v>218</v>
      </c>
      <c r="O1019" s="13">
        <v>34</v>
      </c>
      <c r="P1019" s="13">
        <v>1</v>
      </c>
      <c r="Q1019" s="13">
        <v>65</v>
      </c>
      <c r="R1019" s="13">
        <v>0</v>
      </c>
      <c r="S1019" s="13">
        <v>0</v>
      </c>
      <c r="T1019" s="23">
        <v>46247.602025462962</v>
      </c>
      <c r="U1019" s="55">
        <f t="shared" si="45"/>
        <v>0.83333333333333337</v>
      </c>
      <c r="V1019" s="55">
        <f t="shared" si="46"/>
        <v>0.16666666666666666</v>
      </c>
      <c r="W1019" s="56">
        <f t="shared" si="47"/>
        <v>1117.5</v>
      </c>
    </row>
    <row r="1020" spans="1:23" x14ac:dyDescent="0.3">
      <c r="A1020" s="13" t="str" cm="1">
        <f t="array" ref="A1020:B1020">INDEX(BenchmarkResults!$B$1:$D$35,SUMPRODUCT((T1020&gt;=BenchmarkResults!$F$3:$F$35)*(mongodb_hardware_log!T1020&lt;BenchmarkResults!$G$3:$G$35)*ROW(BenchmarkResults!$F$3:$F$35)),{1,3})</f>
        <v>q2_avg_order_city</v>
      </c>
      <c r="B1020">
        <v>2</v>
      </c>
      <c r="C1020" s="13">
        <v>1</v>
      </c>
      <c r="D1020" s="13">
        <v>0</v>
      </c>
      <c r="E1020" s="13">
        <v>133376</v>
      </c>
      <c r="F1020" s="13">
        <v>618276</v>
      </c>
      <c r="G1020" s="13">
        <v>2452</v>
      </c>
      <c r="H1020" s="13">
        <v>1786040</v>
      </c>
      <c r="I1020" s="13">
        <v>0</v>
      </c>
      <c r="J1020" s="13">
        <v>0</v>
      </c>
      <c r="K1020" s="13">
        <v>1135</v>
      </c>
      <c r="L1020" s="13">
        <v>10</v>
      </c>
      <c r="M1020" s="13">
        <v>719</v>
      </c>
      <c r="N1020" s="13">
        <v>220</v>
      </c>
      <c r="O1020" s="13">
        <v>33</v>
      </c>
      <c r="P1020" s="13">
        <v>1</v>
      </c>
      <c r="Q1020" s="13">
        <v>65</v>
      </c>
      <c r="R1020" s="13">
        <v>0</v>
      </c>
      <c r="S1020" s="13">
        <v>0</v>
      </c>
      <c r="T1020" s="23">
        <v>46247.602141203701</v>
      </c>
      <c r="U1020" s="55">
        <f t="shared" si="45"/>
        <v>0.83333333333333337</v>
      </c>
      <c r="V1020" s="55">
        <f t="shared" si="46"/>
        <v>0.16666666666666666</v>
      </c>
      <c r="W1020" s="56">
        <f t="shared" si="47"/>
        <v>1133.5</v>
      </c>
    </row>
    <row r="1021" spans="1:23" x14ac:dyDescent="0.3">
      <c r="A1021" s="13" t="str" cm="1">
        <f t="array" ref="A1021:B1021">INDEX(BenchmarkResults!$B$1:$D$35,SUMPRODUCT((T1021&gt;=BenchmarkResults!$F$3:$F$35)*(mongodb_hardware_log!T1021&lt;BenchmarkResults!$G$3:$G$35)*ROW(BenchmarkResults!$F$3:$F$35)),{1,3})</f>
        <v>q2_avg_order_city</v>
      </c>
      <c r="B1021">
        <v>2</v>
      </c>
      <c r="C1021" s="13">
        <v>1</v>
      </c>
      <c r="D1021" s="13">
        <v>0</v>
      </c>
      <c r="E1021" s="13">
        <v>133376</v>
      </c>
      <c r="F1021" s="13">
        <v>606684</v>
      </c>
      <c r="G1021" s="13">
        <v>2476</v>
      </c>
      <c r="H1021" s="13">
        <v>1797096</v>
      </c>
      <c r="I1021" s="13">
        <v>0</v>
      </c>
      <c r="J1021" s="13">
        <v>0</v>
      </c>
      <c r="K1021" s="13">
        <v>1108</v>
      </c>
      <c r="L1021" s="13">
        <v>23</v>
      </c>
      <c r="M1021" s="13">
        <v>705</v>
      </c>
      <c r="N1021" s="13">
        <v>210</v>
      </c>
      <c r="O1021" s="13">
        <v>33</v>
      </c>
      <c r="P1021" s="13">
        <v>1</v>
      </c>
      <c r="Q1021" s="13">
        <v>65</v>
      </c>
      <c r="R1021" s="13">
        <v>0</v>
      </c>
      <c r="S1021" s="13">
        <v>0</v>
      </c>
      <c r="T1021" s="23">
        <v>46247.602256944447</v>
      </c>
      <c r="U1021" s="55">
        <f t="shared" si="45"/>
        <v>1</v>
      </c>
      <c r="V1021" s="55">
        <f t="shared" si="46"/>
        <v>0</v>
      </c>
      <c r="W1021" s="56">
        <f t="shared" si="47"/>
        <v>1138</v>
      </c>
    </row>
    <row r="1022" spans="1:23" x14ac:dyDescent="0.3">
      <c r="A1022" s="13" t="str" cm="1">
        <f t="array" ref="A1022:B1022">INDEX(BenchmarkResults!$B$1:$D$35,SUMPRODUCT((T1022&gt;=BenchmarkResults!$F$3:$F$35)*(mongodb_hardware_log!T1022&lt;BenchmarkResults!$G$3:$G$35)*ROW(BenchmarkResults!$F$3:$F$35)),{1,3})</f>
        <v>q2_avg_order_city</v>
      </c>
      <c r="B1022">
        <v>2</v>
      </c>
      <c r="C1022" s="13">
        <v>1</v>
      </c>
      <c r="D1022" s="13">
        <v>0</v>
      </c>
      <c r="E1022" s="13">
        <v>133376</v>
      </c>
      <c r="F1022" s="13">
        <v>592824</v>
      </c>
      <c r="G1022" s="13">
        <v>2484</v>
      </c>
      <c r="H1022" s="13">
        <v>1807700</v>
      </c>
      <c r="I1022" s="13">
        <v>0</v>
      </c>
      <c r="J1022" s="13">
        <v>0</v>
      </c>
      <c r="K1022" s="13">
        <v>1058</v>
      </c>
      <c r="L1022" s="13">
        <v>19</v>
      </c>
      <c r="M1022" s="13">
        <v>720</v>
      </c>
      <c r="N1022" s="13">
        <v>212</v>
      </c>
      <c r="O1022" s="13">
        <v>33</v>
      </c>
      <c r="P1022" s="13">
        <v>1</v>
      </c>
      <c r="Q1022" s="13">
        <v>64</v>
      </c>
      <c r="R1022" s="13">
        <v>0</v>
      </c>
      <c r="S1022" s="13">
        <v>1</v>
      </c>
      <c r="T1022" s="23">
        <v>46247.602372685185</v>
      </c>
      <c r="U1022" s="55">
        <f t="shared" si="45"/>
        <v>1</v>
      </c>
      <c r="V1022" s="55">
        <f t="shared" si="46"/>
        <v>0</v>
      </c>
      <c r="W1022" s="56">
        <f t="shared" si="47"/>
        <v>1198.8333333333333</v>
      </c>
    </row>
    <row r="1023" spans="1:23" x14ac:dyDescent="0.3">
      <c r="A1023" s="13" t="str" cm="1">
        <f t="array" ref="A1023:B1023">INDEX(BenchmarkResults!$B$1:$D$35,SUMPRODUCT((T1023&gt;=BenchmarkResults!$F$3:$F$35)*(mongodb_hardware_log!T1023&lt;BenchmarkResults!$G$3:$G$35)*ROW(BenchmarkResults!$F$3:$F$35)),{1,3})</f>
        <v>q2_avg_order_city</v>
      </c>
      <c r="B1023">
        <v>2</v>
      </c>
      <c r="C1023" s="13">
        <v>1</v>
      </c>
      <c r="D1023" s="13">
        <v>0</v>
      </c>
      <c r="E1023" s="13">
        <v>133376</v>
      </c>
      <c r="F1023" s="13">
        <v>579216</v>
      </c>
      <c r="G1023" s="13">
        <v>2492</v>
      </c>
      <c r="H1023" s="13">
        <v>1821464</v>
      </c>
      <c r="I1023" s="13">
        <v>0</v>
      </c>
      <c r="J1023" s="13">
        <v>0</v>
      </c>
      <c r="K1023" s="13">
        <v>1376</v>
      </c>
      <c r="L1023" s="13">
        <v>10</v>
      </c>
      <c r="M1023" s="13">
        <v>731</v>
      </c>
      <c r="N1023" s="13">
        <v>223</v>
      </c>
      <c r="O1023" s="13">
        <v>33</v>
      </c>
      <c r="P1023" s="13">
        <v>1</v>
      </c>
      <c r="Q1023" s="13">
        <v>65</v>
      </c>
      <c r="R1023" s="13">
        <v>0</v>
      </c>
      <c r="S1023" s="13">
        <v>0</v>
      </c>
      <c r="T1023" s="23">
        <v>46247.602488425924</v>
      </c>
      <c r="U1023" s="55">
        <f t="shared" si="45"/>
        <v>1</v>
      </c>
      <c r="V1023" s="55">
        <f t="shared" si="46"/>
        <v>0</v>
      </c>
      <c r="W1023" s="56">
        <f t="shared" si="47"/>
        <v>1169.5</v>
      </c>
    </row>
    <row r="1024" spans="1:23" x14ac:dyDescent="0.3">
      <c r="A1024" s="13" t="str" cm="1">
        <f t="array" ref="A1024:B1024">INDEX(BenchmarkResults!$B$1:$D$35,SUMPRODUCT((T1024&gt;=BenchmarkResults!$F$3:$F$35)*(mongodb_hardware_log!T1024&lt;BenchmarkResults!$G$3:$G$35)*ROW(BenchmarkResults!$F$3:$F$35)),{1,3})</f>
        <v>q2_avg_order_city</v>
      </c>
      <c r="B1024">
        <v>2</v>
      </c>
      <c r="C1024" s="13">
        <v>1</v>
      </c>
      <c r="D1024" s="13">
        <v>0</v>
      </c>
      <c r="E1024" s="13">
        <v>133376</v>
      </c>
      <c r="F1024" s="13">
        <v>569388</v>
      </c>
      <c r="G1024" s="13">
        <v>2500</v>
      </c>
      <c r="H1024" s="13">
        <v>1830684</v>
      </c>
      <c r="I1024" s="13">
        <v>0</v>
      </c>
      <c r="J1024" s="13">
        <v>0</v>
      </c>
      <c r="K1024" s="13">
        <v>924</v>
      </c>
      <c r="L1024" s="13">
        <v>11</v>
      </c>
      <c r="M1024" s="13">
        <v>706</v>
      </c>
      <c r="N1024" s="13">
        <v>208</v>
      </c>
      <c r="O1024" s="13">
        <v>33</v>
      </c>
      <c r="P1024" s="13">
        <v>1</v>
      </c>
      <c r="Q1024" s="13">
        <v>65</v>
      </c>
      <c r="R1024" s="13">
        <v>0</v>
      </c>
      <c r="S1024" s="13">
        <v>0</v>
      </c>
      <c r="T1024" s="23">
        <v>46247.60260416667</v>
      </c>
      <c r="U1024" s="55">
        <f t="shared" si="45"/>
        <v>1</v>
      </c>
      <c r="V1024" s="55">
        <f t="shared" si="46"/>
        <v>0</v>
      </c>
      <c r="W1024" s="56">
        <f t="shared" si="47"/>
        <v>1109.3333333333333</v>
      </c>
    </row>
    <row r="1025" spans="1:23" x14ac:dyDescent="0.3">
      <c r="A1025" s="13" t="str" cm="1">
        <f t="array" ref="A1025:B1025">INDEX(BenchmarkResults!$B$1:$D$35,SUMPRODUCT((T1025&gt;=BenchmarkResults!$F$3:$F$35)*(mongodb_hardware_log!T1025&lt;BenchmarkResults!$G$3:$G$35)*ROW(BenchmarkResults!$F$3:$F$35)),{1,3})</f>
        <v>q2_avg_order_city</v>
      </c>
      <c r="B1025">
        <v>2</v>
      </c>
      <c r="C1025" s="13">
        <v>1</v>
      </c>
      <c r="D1025" s="13">
        <v>0</v>
      </c>
      <c r="E1025" s="13">
        <v>133376</v>
      </c>
      <c r="F1025" s="13">
        <v>556284</v>
      </c>
      <c r="G1025" s="13">
        <v>2508</v>
      </c>
      <c r="H1025" s="13">
        <v>1842320</v>
      </c>
      <c r="I1025" s="13">
        <v>0</v>
      </c>
      <c r="J1025" s="13">
        <v>0</v>
      </c>
      <c r="K1025" s="13">
        <v>1164</v>
      </c>
      <c r="L1025" s="13">
        <v>12</v>
      </c>
      <c r="M1025" s="13">
        <v>699</v>
      </c>
      <c r="N1025" s="13">
        <v>200</v>
      </c>
      <c r="O1025" s="13">
        <v>33</v>
      </c>
      <c r="P1025" s="13">
        <v>1</v>
      </c>
      <c r="Q1025" s="13">
        <v>65</v>
      </c>
      <c r="R1025" s="13">
        <v>0</v>
      </c>
      <c r="S1025" s="13">
        <v>0</v>
      </c>
      <c r="T1025" s="23">
        <v>46247.602719907409</v>
      </c>
      <c r="U1025" s="55">
        <f t="shared" si="45"/>
        <v>1</v>
      </c>
      <c r="V1025" s="55">
        <f t="shared" si="46"/>
        <v>0</v>
      </c>
      <c r="W1025" s="56">
        <f t="shared" si="47"/>
        <v>1127.5</v>
      </c>
    </row>
    <row r="1026" spans="1:23" x14ac:dyDescent="0.3">
      <c r="A1026" s="13" t="str" cm="1">
        <f t="array" ref="A1026:B1026">INDEX(BenchmarkResults!$B$1:$D$35,SUMPRODUCT((T1026&gt;=BenchmarkResults!$F$3:$F$35)*(mongodb_hardware_log!T1026&lt;BenchmarkResults!$G$3:$G$35)*ROW(BenchmarkResults!$F$3:$F$35)),{1,3})</f>
        <v>q2_avg_order_city</v>
      </c>
      <c r="B1026">
        <v>2</v>
      </c>
      <c r="C1026" s="13">
        <v>1</v>
      </c>
      <c r="D1026" s="13">
        <v>0</v>
      </c>
      <c r="E1026" s="13">
        <v>133376</v>
      </c>
      <c r="F1026" s="13">
        <v>544440</v>
      </c>
      <c r="G1026" s="13">
        <v>2516</v>
      </c>
      <c r="H1026" s="13">
        <v>1851956</v>
      </c>
      <c r="I1026" s="13">
        <v>0</v>
      </c>
      <c r="J1026" s="13">
        <v>0</v>
      </c>
      <c r="K1026" s="13">
        <v>963</v>
      </c>
      <c r="L1026" s="13">
        <v>11</v>
      </c>
      <c r="M1026" s="13">
        <v>734</v>
      </c>
      <c r="N1026" s="13">
        <v>219</v>
      </c>
      <c r="O1026" s="13">
        <v>33</v>
      </c>
      <c r="P1026" s="13">
        <v>1</v>
      </c>
      <c r="Q1026" s="13">
        <v>65</v>
      </c>
      <c r="R1026" s="13">
        <v>0</v>
      </c>
      <c r="S1026" s="13">
        <v>1</v>
      </c>
      <c r="T1026" s="23">
        <v>46247.602835648147</v>
      </c>
      <c r="U1026" s="55">
        <f t="shared" si="45"/>
        <v>1</v>
      </c>
      <c r="V1026" s="55">
        <f t="shared" si="46"/>
        <v>0</v>
      </c>
      <c r="W1026" s="56">
        <f t="shared" si="47"/>
        <v>1098.8333333333333</v>
      </c>
    </row>
    <row r="1027" spans="1:23" x14ac:dyDescent="0.3">
      <c r="A1027" s="13" t="str" cm="1">
        <f t="array" ref="A1027:B1027">INDEX(BenchmarkResults!$B$1:$D$35,SUMPRODUCT((T1027&gt;=BenchmarkResults!$F$3:$F$35)*(mongodb_hardware_log!T1027&lt;BenchmarkResults!$G$3:$G$35)*ROW(BenchmarkResults!$F$3:$F$35)),{1,3})</f>
        <v>q2_avg_order_city</v>
      </c>
      <c r="B1027">
        <v>2</v>
      </c>
      <c r="C1027" s="13">
        <v>1</v>
      </c>
      <c r="D1027" s="13">
        <v>0</v>
      </c>
      <c r="E1027" s="13">
        <v>133376</v>
      </c>
      <c r="F1027" s="13">
        <v>536628</v>
      </c>
      <c r="G1027" s="13">
        <v>2540</v>
      </c>
      <c r="H1027" s="13">
        <v>1861520</v>
      </c>
      <c r="I1027" s="13">
        <v>0</v>
      </c>
      <c r="J1027" s="13">
        <v>0</v>
      </c>
      <c r="K1027" s="13">
        <v>954</v>
      </c>
      <c r="L1027" s="13">
        <v>24</v>
      </c>
      <c r="M1027" s="13">
        <v>706</v>
      </c>
      <c r="N1027" s="13">
        <v>214</v>
      </c>
      <c r="O1027" s="13">
        <v>33</v>
      </c>
      <c r="P1027" s="13">
        <v>1</v>
      </c>
      <c r="Q1027" s="13">
        <v>65</v>
      </c>
      <c r="R1027" s="13">
        <v>0</v>
      </c>
      <c r="S1027" s="13">
        <v>0</v>
      </c>
      <c r="T1027" s="23">
        <v>46247.602951388886</v>
      </c>
      <c r="U1027" s="55">
        <f t="shared" si="45"/>
        <v>1</v>
      </c>
      <c r="V1027" s="55">
        <f t="shared" si="46"/>
        <v>0</v>
      </c>
      <c r="W1027" s="56">
        <f t="shared" si="47"/>
        <v>1073.1666666666667</v>
      </c>
    </row>
    <row r="1028" spans="1:23" x14ac:dyDescent="0.3">
      <c r="A1028" s="13" t="str" cm="1">
        <f t="array" ref="A1028:B1028">INDEX(BenchmarkResults!$B$1:$D$35,SUMPRODUCT((T1028&gt;=BenchmarkResults!$F$3:$F$35)*(mongodb_hardware_log!T1028&lt;BenchmarkResults!$G$3:$G$35)*ROW(BenchmarkResults!$F$3:$F$35)),{1,3})</f>
        <v>q2_avg_order_city</v>
      </c>
      <c r="B1028">
        <v>3</v>
      </c>
      <c r="C1028" s="13">
        <v>1</v>
      </c>
      <c r="D1028" s="13">
        <v>0</v>
      </c>
      <c r="E1028" s="13">
        <v>133376</v>
      </c>
      <c r="F1028" s="13">
        <v>528032</v>
      </c>
      <c r="G1028" s="13">
        <v>2560</v>
      </c>
      <c r="H1028" s="13">
        <v>1873744</v>
      </c>
      <c r="I1028" s="13">
        <v>0</v>
      </c>
      <c r="J1028" s="13">
        <v>0</v>
      </c>
      <c r="K1028" s="13">
        <v>1226</v>
      </c>
      <c r="L1028" s="13">
        <v>18</v>
      </c>
      <c r="M1028" s="13">
        <v>727</v>
      </c>
      <c r="N1028" s="13">
        <v>242</v>
      </c>
      <c r="O1028" s="13">
        <v>34</v>
      </c>
      <c r="P1028" s="13">
        <v>1</v>
      </c>
      <c r="Q1028" s="13">
        <v>65</v>
      </c>
      <c r="R1028" s="13">
        <v>0</v>
      </c>
      <c r="S1028" s="13">
        <v>0</v>
      </c>
      <c r="T1028" s="23">
        <v>46247.603067129632</v>
      </c>
      <c r="U1028" s="55">
        <f t="shared" si="45"/>
        <v>1</v>
      </c>
      <c r="V1028" s="55">
        <f t="shared" si="46"/>
        <v>0</v>
      </c>
      <c r="W1028" s="56">
        <f t="shared" si="47"/>
        <v>1101.1666666666667</v>
      </c>
    </row>
    <row r="1029" spans="1:23" x14ac:dyDescent="0.3">
      <c r="A1029" s="13" t="str" cm="1">
        <f t="array" ref="A1029:B1029">INDEX(BenchmarkResults!$B$1:$D$35,SUMPRODUCT((T1029&gt;=BenchmarkResults!$F$3:$F$35)*(mongodb_hardware_log!T1029&lt;BenchmarkResults!$G$3:$G$35)*ROW(BenchmarkResults!$F$3:$F$35)),{1,3})</f>
        <v>q2_avg_order_city</v>
      </c>
      <c r="B1029">
        <v>3</v>
      </c>
      <c r="C1029" s="13">
        <v>1</v>
      </c>
      <c r="D1029" s="13">
        <v>0</v>
      </c>
      <c r="E1029" s="13">
        <v>133376</v>
      </c>
      <c r="F1029" s="13">
        <v>512408</v>
      </c>
      <c r="G1029" s="13">
        <v>2568</v>
      </c>
      <c r="H1029" s="13">
        <v>1887844</v>
      </c>
      <c r="I1029" s="13">
        <v>0</v>
      </c>
      <c r="J1029" s="13">
        <v>0</v>
      </c>
      <c r="K1029" s="13">
        <v>1413</v>
      </c>
      <c r="L1029" s="13">
        <v>8</v>
      </c>
      <c r="M1029" s="13">
        <v>701</v>
      </c>
      <c r="N1029" s="13">
        <v>200</v>
      </c>
      <c r="O1029" s="13">
        <v>33</v>
      </c>
      <c r="P1029" s="13">
        <v>1</v>
      </c>
      <c r="Q1029" s="13">
        <v>65</v>
      </c>
      <c r="R1029" s="13">
        <v>0</v>
      </c>
      <c r="S1029" s="13">
        <v>0</v>
      </c>
      <c r="T1029" s="23">
        <v>46247.603182870371</v>
      </c>
      <c r="U1029" s="55">
        <f t="shared" si="45"/>
        <v>1</v>
      </c>
      <c r="V1029" s="55">
        <f t="shared" si="46"/>
        <v>0</v>
      </c>
      <c r="W1029" s="56">
        <f t="shared" si="47"/>
        <v>1107.3333333333333</v>
      </c>
    </row>
    <row r="1030" spans="1:23" x14ac:dyDescent="0.3">
      <c r="A1030" s="13" t="str" cm="1">
        <f t="array" ref="A1030:B1030">INDEX(BenchmarkResults!$B$1:$D$35,SUMPRODUCT((T1030&gt;=BenchmarkResults!$F$3:$F$35)*(mongodb_hardware_log!T1030&lt;BenchmarkResults!$G$3:$G$35)*ROW(BenchmarkResults!$F$3:$F$35)),{1,3})</f>
        <v>q2_avg_order_city</v>
      </c>
      <c r="B1030">
        <v>3</v>
      </c>
      <c r="C1030" s="13">
        <v>1</v>
      </c>
      <c r="D1030" s="13">
        <v>0</v>
      </c>
      <c r="E1030" s="13">
        <v>133376</v>
      </c>
      <c r="F1030" s="13">
        <v>496784</v>
      </c>
      <c r="G1030" s="13">
        <v>2576</v>
      </c>
      <c r="H1030" s="13">
        <v>1902780</v>
      </c>
      <c r="I1030" s="13">
        <v>0</v>
      </c>
      <c r="J1030" s="13">
        <v>0</v>
      </c>
      <c r="K1030" s="13">
        <v>1492</v>
      </c>
      <c r="L1030" s="13">
        <v>20</v>
      </c>
      <c r="M1030" s="13">
        <v>709</v>
      </c>
      <c r="N1030" s="13">
        <v>209</v>
      </c>
      <c r="O1030" s="13">
        <v>33</v>
      </c>
      <c r="P1030" s="13">
        <v>1</v>
      </c>
      <c r="Q1030" s="13">
        <v>65</v>
      </c>
      <c r="R1030" s="13">
        <v>0</v>
      </c>
      <c r="S1030" s="13">
        <v>0</v>
      </c>
      <c r="T1030" s="23">
        <v>46247.603298611109</v>
      </c>
      <c r="U1030" s="55">
        <f t="shared" si="45"/>
        <v>1</v>
      </c>
      <c r="V1030" s="55">
        <f t="shared" si="46"/>
        <v>0</v>
      </c>
      <c r="W1030" s="56">
        <f t="shared" si="47"/>
        <v>1202</v>
      </c>
    </row>
    <row r="1031" spans="1:23" x14ac:dyDescent="0.3">
      <c r="A1031" s="13" t="str" cm="1">
        <f t="array" ref="A1031:B1031">INDEX(BenchmarkResults!$B$1:$D$35,SUMPRODUCT((T1031&gt;=BenchmarkResults!$F$3:$F$35)*(mongodb_hardware_log!T1031&lt;BenchmarkResults!$G$3:$G$35)*ROW(BenchmarkResults!$F$3:$F$35)),{1,3})</f>
        <v>q2_avg_order_city</v>
      </c>
      <c r="B1031">
        <v>3</v>
      </c>
      <c r="C1031" s="13">
        <v>1</v>
      </c>
      <c r="D1031" s="13">
        <v>0</v>
      </c>
      <c r="E1031" s="13">
        <v>133376</v>
      </c>
      <c r="F1031" s="13">
        <v>481664</v>
      </c>
      <c r="G1031" s="13">
        <v>2592</v>
      </c>
      <c r="H1031" s="13">
        <v>1913912</v>
      </c>
      <c r="I1031" s="13">
        <v>0</v>
      </c>
      <c r="J1031" s="13">
        <v>0</v>
      </c>
      <c r="K1031" s="13">
        <v>1108</v>
      </c>
      <c r="L1031" s="13">
        <v>40</v>
      </c>
      <c r="M1031" s="13">
        <v>705</v>
      </c>
      <c r="N1031" s="13">
        <v>207</v>
      </c>
      <c r="O1031" s="13">
        <v>33</v>
      </c>
      <c r="P1031" s="13">
        <v>1</v>
      </c>
      <c r="Q1031" s="13">
        <v>65</v>
      </c>
      <c r="R1031" s="13">
        <v>0</v>
      </c>
      <c r="S1031" s="13">
        <v>0</v>
      </c>
      <c r="T1031" s="23">
        <v>46247.603414351855</v>
      </c>
      <c r="U1031" s="55">
        <f t="shared" si="45"/>
        <v>1</v>
      </c>
      <c r="V1031" s="55">
        <f t="shared" si="46"/>
        <v>0</v>
      </c>
      <c r="W1031" s="56">
        <f t="shared" si="47"/>
        <v>1192.6666666666667</v>
      </c>
    </row>
    <row r="1032" spans="1:23" x14ac:dyDescent="0.3">
      <c r="A1032" s="13" t="str" cm="1">
        <f t="array" ref="A1032:B1032">INDEX(BenchmarkResults!$B$1:$D$35,SUMPRODUCT((T1032&gt;=BenchmarkResults!$F$3:$F$35)*(mongodb_hardware_log!T1032&lt;BenchmarkResults!$G$3:$G$35)*ROW(BenchmarkResults!$F$3:$F$35)),{1,3})</f>
        <v>q2_avg_order_city</v>
      </c>
      <c r="B1032">
        <v>3</v>
      </c>
      <c r="C1032" s="13">
        <v>1</v>
      </c>
      <c r="D1032" s="13">
        <v>0</v>
      </c>
      <c r="E1032" s="13">
        <v>133376</v>
      </c>
      <c r="F1032" s="13">
        <v>474104</v>
      </c>
      <c r="G1032" s="13">
        <v>2600</v>
      </c>
      <c r="H1032" s="13">
        <v>1924936</v>
      </c>
      <c r="I1032" s="13">
        <v>0</v>
      </c>
      <c r="J1032" s="13">
        <v>0</v>
      </c>
      <c r="K1032" s="13">
        <v>1104</v>
      </c>
      <c r="L1032" s="13">
        <v>8</v>
      </c>
      <c r="M1032" s="13">
        <v>717</v>
      </c>
      <c r="N1032" s="13">
        <v>208</v>
      </c>
      <c r="O1032" s="13">
        <v>33</v>
      </c>
      <c r="P1032" s="13">
        <v>1</v>
      </c>
      <c r="Q1032" s="13">
        <v>65</v>
      </c>
      <c r="R1032" s="13">
        <v>0</v>
      </c>
      <c r="S1032" s="13">
        <v>0</v>
      </c>
      <c r="T1032" s="23">
        <v>46247.603530092594</v>
      </c>
      <c r="U1032" s="55">
        <f t="shared" si="45"/>
        <v>1</v>
      </c>
      <c r="V1032" s="55">
        <f t="shared" si="46"/>
        <v>0</v>
      </c>
      <c r="W1032" s="56">
        <f t="shared" si="47"/>
        <v>1216.1666666666667</v>
      </c>
    </row>
    <row r="1033" spans="1:23" x14ac:dyDescent="0.3">
      <c r="A1033" s="13" t="str" cm="1">
        <f t="array" ref="A1033:B1033">INDEX(BenchmarkResults!$B$1:$D$35,SUMPRODUCT((T1033&gt;=BenchmarkResults!$F$3:$F$35)*(mongodb_hardware_log!T1033&lt;BenchmarkResults!$G$3:$G$35)*ROW(BenchmarkResults!$F$3:$F$35)),{1,3})</f>
        <v>q2_avg_order_city</v>
      </c>
      <c r="B1033">
        <v>3</v>
      </c>
      <c r="C1033" s="13">
        <v>1</v>
      </c>
      <c r="D1033" s="13">
        <v>0</v>
      </c>
      <c r="E1033" s="13">
        <v>133376</v>
      </c>
      <c r="F1033" s="13">
        <v>474104</v>
      </c>
      <c r="G1033" s="13">
        <v>2672</v>
      </c>
      <c r="H1033" s="13">
        <v>1936660</v>
      </c>
      <c r="I1033" s="13">
        <v>0</v>
      </c>
      <c r="J1033" s="13">
        <v>0</v>
      </c>
      <c r="K1033" s="13">
        <v>1163</v>
      </c>
      <c r="L1033" s="13">
        <v>44</v>
      </c>
      <c r="M1033" s="13">
        <v>756</v>
      </c>
      <c r="N1033" s="13">
        <v>264</v>
      </c>
      <c r="O1033" s="13">
        <v>33</v>
      </c>
      <c r="P1033" s="13">
        <v>1</v>
      </c>
      <c r="Q1033" s="13">
        <v>65</v>
      </c>
      <c r="R1033" s="13">
        <v>1</v>
      </c>
      <c r="S1033" s="13">
        <v>0</v>
      </c>
      <c r="T1033" s="23">
        <v>46247.603645833333</v>
      </c>
      <c r="U1033" s="55">
        <f t="shared" ref="U1033:U1096" si="48">AVERAGE(C1028:C1033)</f>
        <v>1</v>
      </c>
      <c r="V1033" s="55">
        <f t="shared" ref="V1033:V1096" si="49">AVERAGE(D1028:D1033)</f>
        <v>0</v>
      </c>
      <c r="W1033" s="56">
        <f t="shared" ref="W1033:W1096" si="50">AVERAGE(K1028:K1033)</f>
        <v>1251</v>
      </c>
    </row>
    <row r="1034" spans="1:23" x14ac:dyDescent="0.3">
      <c r="A1034" s="13" t="str" cm="1">
        <f t="array" ref="A1034:B1034">INDEX(BenchmarkResults!$B$1:$D$35,SUMPRODUCT((T1034&gt;=BenchmarkResults!$F$3:$F$35)*(mongodb_hardware_log!T1034&lt;BenchmarkResults!$G$3:$G$35)*ROW(BenchmarkResults!$F$3:$F$35)),{1,3})</f>
        <v>q2_avg_order_city</v>
      </c>
      <c r="B1034">
        <v>3</v>
      </c>
      <c r="C1034" s="13">
        <v>1</v>
      </c>
      <c r="D1034" s="13">
        <v>0</v>
      </c>
      <c r="E1034" s="13">
        <v>133376</v>
      </c>
      <c r="F1034" s="13">
        <v>466292</v>
      </c>
      <c r="G1034" s="13">
        <v>2680</v>
      </c>
      <c r="H1034" s="13">
        <v>1947596</v>
      </c>
      <c r="I1034" s="13">
        <v>0</v>
      </c>
      <c r="J1034" s="13">
        <v>0</v>
      </c>
      <c r="K1034" s="13">
        <v>1096</v>
      </c>
      <c r="L1034" s="13">
        <v>6</v>
      </c>
      <c r="M1034" s="13">
        <v>708</v>
      </c>
      <c r="N1034" s="13">
        <v>212</v>
      </c>
      <c r="O1034" s="13">
        <v>33</v>
      </c>
      <c r="P1034" s="13">
        <v>1</v>
      </c>
      <c r="Q1034" s="13">
        <v>65</v>
      </c>
      <c r="R1034" s="13">
        <v>0</v>
      </c>
      <c r="S1034" s="13">
        <v>0</v>
      </c>
      <c r="T1034" s="23">
        <v>46247.603761574072</v>
      </c>
      <c r="U1034" s="55">
        <f t="shared" si="48"/>
        <v>1</v>
      </c>
      <c r="V1034" s="55">
        <f t="shared" si="49"/>
        <v>0</v>
      </c>
      <c r="W1034" s="56">
        <f t="shared" si="50"/>
        <v>1229.3333333333333</v>
      </c>
    </row>
    <row r="1035" spans="1:23" x14ac:dyDescent="0.3">
      <c r="A1035" s="13" t="str" cm="1">
        <f t="array" ref="A1035:B1035">INDEX(BenchmarkResults!$B$1:$D$35,SUMPRODUCT((T1035&gt;=BenchmarkResults!$F$3:$F$35)*(mongodb_hardware_log!T1035&lt;BenchmarkResults!$G$3:$G$35)*ROW(BenchmarkResults!$F$3:$F$35)),{1,3})</f>
        <v>q2_avg_order_city</v>
      </c>
      <c r="B1035">
        <v>3</v>
      </c>
      <c r="C1035" s="13">
        <v>1</v>
      </c>
      <c r="D1035" s="13">
        <v>0</v>
      </c>
      <c r="E1035" s="13">
        <v>133376</v>
      </c>
      <c r="F1035" s="13">
        <v>449916</v>
      </c>
      <c r="G1035" s="13">
        <v>2688</v>
      </c>
      <c r="H1035" s="13">
        <v>1959132</v>
      </c>
      <c r="I1035" s="13">
        <v>0</v>
      </c>
      <c r="J1035" s="13">
        <v>0</v>
      </c>
      <c r="K1035" s="13">
        <v>1150</v>
      </c>
      <c r="L1035" s="13">
        <v>24</v>
      </c>
      <c r="M1035" s="13">
        <v>737</v>
      </c>
      <c r="N1035" s="13">
        <v>232</v>
      </c>
      <c r="O1035" s="13">
        <v>33</v>
      </c>
      <c r="P1035" s="13">
        <v>1</v>
      </c>
      <c r="Q1035" s="13">
        <v>65</v>
      </c>
      <c r="R1035" s="13">
        <v>1</v>
      </c>
      <c r="S1035" s="13">
        <v>0</v>
      </c>
      <c r="T1035" s="23">
        <v>46247.603877314818</v>
      </c>
      <c r="U1035" s="55">
        <f t="shared" si="48"/>
        <v>1</v>
      </c>
      <c r="V1035" s="55">
        <f t="shared" si="49"/>
        <v>0</v>
      </c>
      <c r="W1035" s="56">
        <f t="shared" si="50"/>
        <v>1185.5</v>
      </c>
    </row>
    <row r="1036" spans="1:23" x14ac:dyDescent="0.3">
      <c r="A1036" s="13" t="str" cm="1">
        <f t="array" ref="A1036:B1036">INDEX(BenchmarkResults!$B$1:$D$35,SUMPRODUCT((T1036&gt;=BenchmarkResults!$F$3:$F$35)*(mongodb_hardware_log!T1036&lt;BenchmarkResults!$G$3:$G$35)*ROW(BenchmarkResults!$F$3:$F$35)),{1,3})</f>
        <v>q2_avg_order_city</v>
      </c>
      <c r="B1036">
        <v>3</v>
      </c>
      <c r="C1036" s="13">
        <v>1</v>
      </c>
      <c r="D1036" s="13">
        <v>0</v>
      </c>
      <c r="E1036" s="13">
        <v>133376</v>
      </c>
      <c r="F1036" s="13">
        <v>444968</v>
      </c>
      <c r="G1036" s="13">
        <v>2696</v>
      </c>
      <c r="H1036" s="13">
        <v>1971104</v>
      </c>
      <c r="I1036" s="13">
        <v>0</v>
      </c>
      <c r="J1036" s="13">
        <v>0</v>
      </c>
      <c r="K1036" s="13">
        <v>1194</v>
      </c>
      <c r="L1036" s="13">
        <v>26</v>
      </c>
      <c r="M1036" s="13">
        <v>715</v>
      </c>
      <c r="N1036" s="13">
        <v>213</v>
      </c>
      <c r="O1036" s="13">
        <v>33</v>
      </c>
      <c r="P1036" s="13">
        <v>1</v>
      </c>
      <c r="Q1036" s="13">
        <v>65</v>
      </c>
      <c r="R1036" s="13">
        <v>0</v>
      </c>
      <c r="S1036" s="13">
        <v>0</v>
      </c>
      <c r="T1036" s="23">
        <v>46247.603993055556</v>
      </c>
      <c r="U1036" s="55">
        <f t="shared" si="48"/>
        <v>1</v>
      </c>
      <c r="V1036" s="55">
        <f t="shared" si="49"/>
        <v>0</v>
      </c>
      <c r="W1036" s="56">
        <f t="shared" si="50"/>
        <v>1135.8333333333333</v>
      </c>
    </row>
    <row r="1037" spans="1:23" x14ac:dyDescent="0.3">
      <c r="A1037" s="13" t="str" cm="1">
        <f t="array" ref="A1037:B1037">INDEX(BenchmarkResults!$B$1:$D$35,SUMPRODUCT((T1037&gt;=BenchmarkResults!$F$3:$F$35)*(mongodb_hardware_log!T1037&lt;BenchmarkResults!$G$3:$G$35)*ROW(BenchmarkResults!$F$3:$F$35)),{1,3})</f>
        <v>q2_avg_order_city</v>
      </c>
      <c r="B1037">
        <v>3</v>
      </c>
      <c r="C1037" s="13">
        <v>1</v>
      </c>
      <c r="D1037" s="13">
        <v>0</v>
      </c>
      <c r="E1037" s="13">
        <v>133376</v>
      </c>
      <c r="F1037" s="13">
        <v>431864</v>
      </c>
      <c r="G1037" s="13">
        <v>2712</v>
      </c>
      <c r="H1037" s="13">
        <v>1983512</v>
      </c>
      <c r="I1037" s="13">
        <v>0</v>
      </c>
      <c r="J1037" s="13">
        <v>0</v>
      </c>
      <c r="K1037" s="13">
        <v>1241</v>
      </c>
      <c r="L1037" s="13">
        <v>10</v>
      </c>
      <c r="M1037" s="13">
        <v>718</v>
      </c>
      <c r="N1037" s="13">
        <v>219</v>
      </c>
      <c r="O1037" s="13">
        <v>33</v>
      </c>
      <c r="P1037" s="13">
        <v>1</v>
      </c>
      <c r="Q1037" s="13">
        <v>65</v>
      </c>
      <c r="R1037" s="13">
        <v>0</v>
      </c>
      <c r="S1037" s="13">
        <v>0</v>
      </c>
      <c r="T1037" s="23">
        <v>46247.604108796295</v>
      </c>
      <c r="U1037" s="55">
        <f t="shared" si="48"/>
        <v>1</v>
      </c>
      <c r="V1037" s="55">
        <f t="shared" si="49"/>
        <v>0</v>
      </c>
      <c r="W1037" s="56">
        <f t="shared" si="50"/>
        <v>1158</v>
      </c>
    </row>
    <row r="1038" spans="1:23" x14ac:dyDescent="0.3">
      <c r="A1038" s="13" t="str" cm="1">
        <f t="array" ref="A1038:B1038">INDEX(BenchmarkResults!$B$1:$D$35,SUMPRODUCT((T1038&gt;=BenchmarkResults!$F$3:$F$35)*(mongodb_hardware_log!T1038&lt;BenchmarkResults!$G$3:$G$35)*ROW(BenchmarkResults!$F$3:$F$35)),{1,3})</f>
        <v>q2_avg_order_city</v>
      </c>
      <c r="B1038">
        <v>3</v>
      </c>
      <c r="C1038" s="13">
        <v>1</v>
      </c>
      <c r="D1038" s="13">
        <v>0</v>
      </c>
      <c r="E1038" s="13">
        <v>133376</v>
      </c>
      <c r="F1038" s="13">
        <v>416744</v>
      </c>
      <c r="G1038" s="13">
        <v>2720</v>
      </c>
      <c r="H1038" s="13">
        <v>1998300</v>
      </c>
      <c r="I1038" s="13">
        <v>0</v>
      </c>
      <c r="J1038" s="13">
        <v>0</v>
      </c>
      <c r="K1038" s="13">
        <v>1485</v>
      </c>
      <c r="L1038" s="13">
        <v>8</v>
      </c>
      <c r="M1038" s="13">
        <v>752</v>
      </c>
      <c r="N1038" s="13">
        <v>229</v>
      </c>
      <c r="O1038" s="13">
        <v>33</v>
      </c>
      <c r="P1038" s="13">
        <v>1</v>
      </c>
      <c r="Q1038" s="13">
        <v>65</v>
      </c>
      <c r="R1038" s="13">
        <v>1</v>
      </c>
      <c r="S1038" s="13">
        <v>0</v>
      </c>
      <c r="T1038" s="23">
        <v>46247.604224537034</v>
      </c>
      <c r="U1038" s="55">
        <f t="shared" si="48"/>
        <v>1</v>
      </c>
      <c r="V1038" s="55">
        <f t="shared" si="49"/>
        <v>0</v>
      </c>
      <c r="W1038" s="56">
        <f t="shared" si="50"/>
        <v>1221.5</v>
      </c>
    </row>
    <row r="1039" spans="1:23" x14ac:dyDescent="0.3">
      <c r="A1039" s="13" t="str" cm="1">
        <f t="array" ref="A1039:B1039">INDEX(BenchmarkResults!$B$1:$D$35,SUMPRODUCT((T1039&gt;=BenchmarkResults!$F$3:$F$35)*(mongodb_hardware_log!T1039&lt;BenchmarkResults!$G$3:$G$35)*ROW(BenchmarkResults!$F$3:$F$35)),{1,3})</f>
        <v>q2_avg_order_city</v>
      </c>
      <c r="B1039">
        <v>3</v>
      </c>
      <c r="C1039" s="13">
        <v>1</v>
      </c>
      <c r="D1039" s="13">
        <v>0</v>
      </c>
      <c r="E1039" s="13">
        <v>133376</v>
      </c>
      <c r="F1039" s="13">
        <v>408932</v>
      </c>
      <c r="G1039" s="13">
        <v>2744</v>
      </c>
      <c r="H1039" s="13">
        <v>2006112</v>
      </c>
      <c r="I1039" s="13">
        <v>0</v>
      </c>
      <c r="J1039" s="13">
        <v>0</v>
      </c>
      <c r="K1039" s="13">
        <v>777</v>
      </c>
      <c r="L1039" s="13">
        <v>29</v>
      </c>
      <c r="M1039" s="13">
        <v>708</v>
      </c>
      <c r="N1039" s="13">
        <v>211</v>
      </c>
      <c r="O1039" s="13">
        <v>33</v>
      </c>
      <c r="P1039" s="13">
        <v>1</v>
      </c>
      <c r="Q1039" s="13">
        <v>65</v>
      </c>
      <c r="R1039" s="13">
        <v>0</v>
      </c>
      <c r="S1039" s="13">
        <v>1</v>
      </c>
      <c r="T1039" s="23">
        <v>46247.60434027778</v>
      </c>
      <c r="U1039" s="55">
        <f t="shared" si="48"/>
        <v>1</v>
      </c>
      <c r="V1039" s="55">
        <f t="shared" si="49"/>
        <v>0</v>
      </c>
      <c r="W1039" s="56">
        <f t="shared" si="50"/>
        <v>1157.1666666666667</v>
      </c>
    </row>
    <row r="1040" spans="1:23" x14ac:dyDescent="0.3">
      <c r="A1040" s="13" t="str" cm="1">
        <f t="array" ref="A1040:B1040">INDEX(BenchmarkResults!$B$1:$D$35,SUMPRODUCT((T1040&gt;=BenchmarkResults!$F$3:$F$35)*(mongodb_hardware_log!T1040&lt;BenchmarkResults!$G$3:$G$35)*ROW(BenchmarkResults!$F$3:$F$35)),{1,3})</f>
        <v>q2_avg_order_city</v>
      </c>
      <c r="B1040">
        <v>3</v>
      </c>
      <c r="C1040" s="13">
        <v>1</v>
      </c>
      <c r="D1040" s="13">
        <v>0</v>
      </c>
      <c r="E1040" s="13">
        <v>133376</v>
      </c>
      <c r="F1040" s="13">
        <v>392048</v>
      </c>
      <c r="G1040" s="13">
        <v>2752</v>
      </c>
      <c r="H1040" s="13">
        <v>2021908</v>
      </c>
      <c r="I1040" s="13">
        <v>0</v>
      </c>
      <c r="J1040" s="13">
        <v>0</v>
      </c>
      <c r="K1040" s="13">
        <v>1577</v>
      </c>
      <c r="L1040" s="13">
        <v>8</v>
      </c>
      <c r="M1040" s="13">
        <v>717</v>
      </c>
      <c r="N1040" s="13">
        <v>211</v>
      </c>
      <c r="O1040" s="13">
        <v>33</v>
      </c>
      <c r="P1040" s="13">
        <v>1</v>
      </c>
      <c r="Q1040" s="13">
        <v>65</v>
      </c>
      <c r="R1040" s="13">
        <v>0</v>
      </c>
      <c r="S1040" s="13">
        <v>0</v>
      </c>
      <c r="T1040" s="23">
        <v>46247.604456018518</v>
      </c>
      <c r="U1040" s="55">
        <f t="shared" si="48"/>
        <v>1</v>
      </c>
      <c r="V1040" s="55">
        <f t="shared" si="49"/>
        <v>0</v>
      </c>
      <c r="W1040" s="56">
        <f t="shared" si="50"/>
        <v>1237.3333333333333</v>
      </c>
    </row>
    <row r="1041" spans="1:23" x14ac:dyDescent="0.3">
      <c r="A1041" s="13" t="str" cm="1">
        <f t="array" ref="A1041:B1041">INDEX(BenchmarkResults!$B$1:$D$35,SUMPRODUCT((T1041&gt;=BenchmarkResults!$F$3:$F$35)*(mongodb_hardware_log!T1041&lt;BenchmarkResults!$G$3:$G$35)*ROW(BenchmarkResults!$F$3:$F$35)),{1,3})</f>
        <v>q2_avg_order_city</v>
      </c>
      <c r="B1041">
        <v>3</v>
      </c>
      <c r="C1041" s="13">
        <v>1</v>
      </c>
      <c r="D1041" s="13">
        <v>0</v>
      </c>
      <c r="E1041" s="13">
        <v>133376</v>
      </c>
      <c r="F1041" s="13">
        <v>384236</v>
      </c>
      <c r="G1041" s="13">
        <v>2760</v>
      </c>
      <c r="H1041" s="13">
        <v>2032176</v>
      </c>
      <c r="I1041" s="13">
        <v>0</v>
      </c>
      <c r="J1041" s="13">
        <v>0</v>
      </c>
      <c r="K1041" s="13">
        <v>1027</v>
      </c>
      <c r="L1041" s="13">
        <v>8</v>
      </c>
      <c r="M1041" s="13">
        <v>698</v>
      </c>
      <c r="N1041" s="13">
        <v>198</v>
      </c>
      <c r="O1041" s="13">
        <v>33</v>
      </c>
      <c r="P1041" s="13">
        <v>1</v>
      </c>
      <c r="Q1041" s="13">
        <v>65</v>
      </c>
      <c r="R1041" s="13">
        <v>0</v>
      </c>
      <c r="S1041" s="13">
        <v>0</v>
      </c>
      <c r="T1041" s="23">
        <v>46247.604571759257</v>
      </c>
      <c r="U1041" s="55">
        <f t="shared" si="48"/>
        <v>1</v>
      </c>
      <c r="V1041" s="55">
        <f t="shared" si="49"/>
        <v>0</v>
      </c>
      <c r="W1041" s="56">
        <f t="shared" si="50"/>
        <v>1216.8333333333333</v>
      </c>
    </row>
    <row r="1042" spans="1:23" x14ac:dyDescent="0.3">
      <c r="A1042" s="13" t="str" cm="1">
        <f t="array" ref="A1042:B1042">INDEX(BenchmarkResults!$B$1:$D$35,SUMPRODUCT((T1042&gt;=BenchmarkResults!$F$3:$F$35)*(mongodb_hardware_log!T1042&lt;BenchmarkResults!$G$3:$G$35)*ROW(BenchmarkResults!$F$3:$F$35)),{1,3})</f>
        <v>q2_avg_order_city</v>
      </c>
      <c r="B1042">
        <v>3</v>
      </c>
      <c r="C1042" s="13">
        <v>1</v>
      </c>
      <c r="D1042" s="13">
        <v>0</v>
      </c>
      <c r="E1042" s="13">
        <v>133376</v>
      </c>
      <c r="F1042" s="13">
        <v>374660</v>
      </c>
      <c r="G1042" s="13">
        <v>2776</v>
      </c>
      <c r="H1042" s="13">
        <v>2042836</v>
      </c>
      <c r="I1042" s="13">
        <v>0</v>
      </c>
      <c r="J1042" s="13">
        <v>0</v>
      </c>
      <c r="K1042" s="13">
        <v>1067</v>
      </c>
      <c r="L1042" s="13">
        <v>16</v>
      </c>
      <c r="M1042" s="13">
        <v>706</v>
      </c>
      <c r="N1042" s="13">
        <v>204</v>
      </c>
      <c r="O1042" s="13">
        <v>33</v>
      </c>
      <c r="P1042" s="13">
        <v>1</v>
      </c>
      <c r="Q1042" s="13">
        <v>65</v>
      </c>
      <c r="R1042" s="13">
        <v>0</v>
      </c>
      <c r="S1042" s="13">
        <v>0</v>
      </c>
      <c r="T1042" s="23">
        <v>46247.604687500003</v>
      </c>
      <c r="U1042" s="55">
        <f t="shared" si="48"/>
        <v>1</v>
      </c>
      <c r="V1042" s="55">
        <f t="shared" si="49"/>
        <v>0</v>
      </c>
      <c r="W1042" s="56">
        <f t="shared" si="50"/>
        <v>1195.6666666666667</v>
      </c>
    </row>
    <row r="1043" spans="1:23" x14ac:dyDescent="0.3">
      <c r="A1043" s="13" t="str" cm="1">
        <f t="array" ref="A1043:B1043">INDEX(BenchmarkResults!$B$1:$D$35,SUMPRODUCT((T1043&gt;=BenchmarkResults!$F$3:$F$35)*(mongodb_hardware_log!T1043&lt;BenchmarkResults!$G$3:$G$35)*ROW(BenchmarkResults!$F$3:$F$35)),{1,3})</f>
        <v>q2_avg_order_city</v>
      </c>
      <c r="B1043">
        <v>3</v>
      </c>
      <c r="C1043" s="13">
        <v>1</v>
      </c>
      <c r="D1043" s="13">
        <v>0</v>
      </c>
      <c r="E1043" s="13">
        <v>133376</v>
      </c>
      <c r="F1043" s="13">
        <v>361556</v>
      </c>
      <c r="G1043" s="13">
        <v>2784</v>
      </c>
      <c r="H1043" s="13">
        <v>2054608</v>
      </c>
      <c r="I1043" s="13">
        <v>0</v>
      </c>
      <c r="J1043" s="13">
        <v>0</v>
      </c>
      <c r="K1043" s="13">
        <v>1176</v>
      </c>
      <c r="L1043" s="13">
        <v>6</v>
      </c>
      <c r="M1043" s="13">
        <v>712</v>
      </c>
      <c r="N1043" s="13">
        <v>215</v>
      </c>
      <c r="O1043" s="13">
        <v>34</v>
      </c>
      <c r="P1043" s="13">
        <v>1</v>
      </c>
      <c r="Q1043" s="13">
        <v>65</v>
      </c>
      <c r="R1043" s="13">
        <v>0</v>
      </c>
      <c r="S1043" s="13">
        <v>0</v>
      </c>
      <c r="T1043" s="23">
        <v>46247.604803240742</v>
      </c>
      <c r="U1043" s="55">
        <f t="shared" si="48"/>
        <v>1</v>
      </c>
      <c r="V1043" s="55">
        <f t="shared" si="49"/>
        <v>0</v>
      </c>
      <c r="W1043" s="56">
        <f t="shared" si="50"/>
        <v>1184.8333333333333</v>
      </c>
    </row>
    <row r="1044" spans="1:23" x14ac:dyDescent="0.3">
      <c r="A1044" s="13" t="str" cm="1">
        <f t="array" ref="A1044:B1044">INDEX(BenchmarkResults!$B$1:$D$35,SUMPRODUCT((T1044&gt;=BenchmarkResults!$F$3:$F$35)*(mongodb_hardware_log!T1044&lt;BenchmarkResults!$G$3:$G$35)*ROW(BenchmarkResults!$F$3:$F$35)),{1,3})</f>
        <v>q2_avg_order_city</v>
      </c>
      <c r="B1044">
        <v>3</v>
      </c>
      <c r="C1044" s="13">
        <v>1</v>
      </c>
      <c r="D1044" s="13">
        <v>0</v>
      </c>
      <c r="E1044" s="13">
        <v>133376</v>
      </c>
      <c r="F1044" s="13">
        <v>346436</v>
      </c>
      <c r="G1044" s="13">
        <v>2792</v>
      </c>
      <c r="H1044" s="13">
        <v>2065848</v>
      </c>
      <c r="I1044" s="13">
        <v>0</v>
      </c>
      <c r="J1044" s="13">
        <v>0</v>
      </c>
      <c r="K1044" s="13">
        <v>1124</v>
      </c>
      <c r="L1044" s="13">
        <v>8</v>
      </c>
      <c r="M1044" s="13">
        <v>713</v>
      </c>
      <c r="N1044" s="13">
        <v>209</v>
      </c>
      <c r="O1044" s="13">
        <v>33</v>
      </c>
      <c r="P1044" s="13">
        <v>1</v>
      </c>
      <c r="Q1044" s="13">
        <v>65</v>
      </c>
      <c r="R1044" s="13">
        <v>0</v>
      </c>
      <c r="S1044" s="13">
        <v>0</v>
      </c>
      <c r="T1044" s="23">
        <v>46247.60491898148</v>
      </c>
      <c r="U1044" s="55">
        <f t="shared" si="48"/>
        <v>1</v>
      </c>
      <c r="V1044" s="55">
        <f t="shared" si="49"/>
        <v>0</v>
      </c>
      <c r="W1044" s="56">
        <f t="shared" si="50"/>
        <v>1124.6666666666667</v>
      </c>
    </row>
    <row r="1045" spans="1:23" x14ac:dyDescent="0.3">
      <c r="A1045" s="13" t="str" cm="1">
        <f t="array" ref="A1045:B1045">INDEX(BenchmarkResults!$B$1:$D$35,SUMPRODUCT((T1045&gt;=BenchmarkResults!$F$3:$F$35)*(mongodb_hardware_log!T1045&lt;BenchmarkResults!$G$3:$G$35)*ROW(BenchmarkResults!$F$3:$F$35)),{1,3})</f>
        <v>q2_avg_order_city</v>
      </c>
      <c r="B1045">
        <v>3</v>
      </c>
      <c r="C1045" s="13">
        <v>1</v>
      </c>
      <c r="D1045" s="13">
        <v>0</v>
      </c>
      <c r="E1045" s="13">
        <v>133376</v>
      </c>
      <c r="F1045" s="13">
        <v>339380</v>
      </c>
      <c r="G1045" s="13">
        <v>2824</v>
      </c>
      <c r="H1045" s="13">
        <v>2077380</v>
      </c>
      <c r="I1045" s="13">
        <v>0</v>
      </c>
      <c r="J1045" s="13">
        <v>0</v>
      </c>
      <c r="K1045" s="13">
        <v>1154</v>
      </c>
      <c r="L1045" s="13">
        <v>29</v>
      </c>
      <c r="M1045" s="13">
        <v>703</v>
      </c>
      <c r="N1045" s="13">
        <v>210</v>
      </c>
      <c r="O1045" s="13">
        <v>33</v>
      </c>
      <c r="P1045" s="13">
        <v>1</v>
      </c>
      <c r="Q1045" s="13">
        <v>65</v>
      </c>
      <c r="R1045" s="13">
        <v>0</v>
      </c>
      <c r="S1045" s="13">
        <v>0</v>
      </c>
      <c r="T1045" s="23">
        <v>46247.605034722219</v>
      </c>
      <c r="U1045" s="55">
        <f t="shared" si="48"/>
        <v>1</v>
      </c>
      <c r="V1045" s="55">
        <f t="shared" si="49"/>
        <v>0</v>
      </c>
      <c r="W1045" s="56">
        <f t="shared" si="50"/>
        <v>1187.5</v>
      </c>
    </row>
    <row r="1046" spans="1:23" x14ac:dyDescent="0.3">
      <c r="A1046" s="13" t="str" cm="1">
        <f t="array" ref="A1046:B1046">INDEX(BenchmarkResults!$B$1:$D$35,SUMPRODUCT((T1046&gt;=BenchmarkResults!$F$3:$F$35)*(mongodb_hardware_log!T1046&lt;BenchmarkResults!$G$3:$G$35)*ROW(BenchmarkResults!$F$3:$F$35)),{1,3})</f>
        <v>q2_avg_order_city</v>
      </c>
      <c r="B1046">
        <v>3</v>
      </c>
      <c r="C1046" s="13">
        <v>1</v>
      </c>
      <c r="D1046" s="13">
        <v>0</v>
      </c>
      <c r="E1046" s="13">
        <v>133376</v>
      </c>
      <c r="F1046" s="13">
        <v>329804</v>
      </c>
      <c r="G1046" s="13">
        <v>2832</v>
      </c>
      <c r="H1046" s="13">
        <v>2087796</v>
      </c>
      <c r="I1046" s="13">
        <v>0</v>
      </c>
      <c r="J1046" s="13">
        <v>0</v>
      </c>
      <c r="K1046" s="13">
        <v>1044</v>
      </c>
      <c r="L1046" s="13">
        <v>10</v>
      </c>
      <c r="M1046" s="13">
        <v>732</v>
      </c>
      <c r="N1046" s="13">
        <v>219</v>
      </c>
      <c r="O1046" s="13">
        <v>33</v>
      </c>
      <c r="P1046" s="13">
        <v>1</v>
      </c>
      <c r="Q1046" s="13">
        <v>65</v>
      </c>
      <c r="R1046" s="13">
        <v>1</v>
      </c>
      <c r="S1046" s="13">
        <v>1</v>
      </c>
      <c r="T1046" s="23">
        <v>46247.605150462965</v>
      </c>
      <c r="U1046" s="55">
        <f t="shared" si="48"/>
        <v>1</v>
      </c>
      <c r="V1046" s="55">
        <f t="shared" si="49"/>
        <v>0</v>
      </c>
      <c r="W1046" s="56">
        <f t="shared" si="50"/>
        <v>1098.6666666666667</v>
      </c>
    </row>
    <row r="1047" spans="1:23" x14ac:dyDescent="0.3">
      <c r="A1047" s="13" t="str" cm="1">
        <f t="array" ref="A1047:B1047">INDEX(BenchmarkResults!$B$1:$D$35,SUMPRODUCT((T1047&gt;=BenchmarkResults!$F$3:$F$35)*(mongodb_hardware_log!T1047&lt;BenchmarkResults!$G$3:$G$35)*ROW(BenchmarkResults!$F$3:$F$35)),{1,3})</f>
        <v>q2_avg_order_city</v>
      </c>
      <c r="B1047">
        <v>3</v>
      </c>
      <c r="C1047" s="13">
        <v>1</v>
      </c>
      <c r="D1047" s="13">
        <v>0</v>
      </c>
      <c r="E1047" s="13">
        <v>133376</v>
      </c>
      <c r="F1047" s="13">
        <v>314684</v>
      </c>
      <c r="G1047" s="13">
        <v>2840</v>
      </c>
      <c r="H1047" s="13">
        <v>2098568</v>
      </c>
      <c r="I1047" s="13">
        <v>0</v>
      </c>
      <c r="J1047" s="13">
        <v>0</v>
      </c>
      <c r="K1047" s="13">
        <v>1074</v>
      </c>
      <c r="L1047" s="13">
        <v>9</v>
      </c>
      <c r="M1047" s="13">
        <v>704</v>
      </c>
      <c r="N1047" s="13">
        <v>202</v>
      </c>
      <c r="O1047" s="13">
        <v>33</v>
      </c>
      <c r="P1047" s="13">
        <v>1</v>
      </c>
      <c r="Q1047" s="13">
        <v>65</v>
      </c>
      <c r="R1047" s="13">
        <v>0</v>
      </c>
      <c r="S1047" s="13">
        <v>0</v>
      </c>
      <c r="T1047" s="23">
        <v>46247.605266203704</v>
      </c>
      <c r="U1047" s="55">
        <f t="shared" si="48"/>
        <v>1</v>
      </c>
      <c r="V1047" s="55">
        <f t="shared" si="49"/>
        <v>0</v>
      </c>
      <c r="W1047" s="56">
        <f t="shared" si="50"/>
        <v>1106.5</v>
      </c>
    </row>
    <row r="1048" spans="1:23" x14ac:dyDescent="0.3">
      <c r="A1048" s="13" t="str" cm="1">
        <f t="array" ref="A1048:B1048">INDEX(BenchmarkResults!$B$1:$D$35,SUMPRODUCT((T1048&gt;=BenchmarkResults!$F$3:$F$35)*(mongodb_hardware_log!T1048&lt;BenchmarkResults!$G$3:$G$35)*ROW(BenchmarkResults!$F$3:$F$35)),{1,3})</f>
        <v>q2_avg_order_city</v>
      </c>
      <c r="B1048">
        <v>3</v>
      </c>
      <c r="C1048" s="13">
        <v>1</v>
      </c>
      <c r="D1048" s="13">
        <v>0</v>
      </c>
      <c r="E1048" s="13">
        <v>133376</v>
      </c>
      <c r="F1048" s="13">
        <v>302840</v>
      </c>
      <c r="G1048" s="13">
        <v>2848</v>
      </c>
      <c r="H1048" s="13">
        <v>2110160</v>
      </c>
      <c r="I1048" s="13">
        <v>0</v>
      </c>
      <c r="J1048" s="13">
        <v>0</v>
      </c>
      <c r="K1048" s="13">
        <v>1159</v>
      </c>
      <c r="L1048" s="13">
        <v>10</v>
      </c>
      <c r="M1048" s="13">
        <v>727</v>
      </c>
      <c r="N1048" s="13">
        <v>229</v>
      </c>
      <c r="O1048" s="13">
        <v>33</v>
      </c>
      <c r="P1048" s="13">
        <v>1</v>
      </c>
      <c r="Q1048" s="13">
        <v>65</v>
      </c>
      <c r="R1048" s="13">
        <v>0</v>
      </c>
      <c r="S1048" s="13">
        <v>0</v>
      </c>
      <c r="T1048" s="23">
        <v>46247.605381944442</v>
      </c>
      <c r="U1048" s="55">
        <f t="shared" si="48"/>
        <v>1</v>
      </c>
      <c r="V1048" s="55">
        <f t="shared" si="49"/>
        <v>0</v>
      </c>
      <c r="W1048" s="56">
        <f t="shared" si="50"/>
        <v>1121.8333333333333</v>
      </c>
    </row>
    <row r="1049" spans="1:23" x14ac:dyDescent="0.3">
      <c r="A1049" s="13" t="str" cm="1">
        <f t="array" ref="A1049:B1049">INDEX(BenchmarkResults!$B$1:$D$35,SUMPRODUCT((T1049&gt;=BenchmarkResults!$F$3:$F$35)*(mongodb_hardware_log!T1049&lt;BenchmarkResults!$G$3:$G$35)*ROW(BenchmarkResults!$F$3:$F$35)),{1,3})</f>
        <v>q2_avg_order_city</v>
      </c>
      <c r="B1049">
        <v>3</v>
      </c>
      <c r="C1049" s="13">
        <v>1</v>
      </c>
      <c r="D1049" s="13">
        <v>0</v>
      </c>
      <c r="E1049" s="13">
        <v>133376</v>
      </c>
      <c r="F1049" s="13">
        <v>294776</v>
      </c>
      <c r="G1049" s="13">
        <v>2856</v>
      </c>
      <c r="H1049" s="13">
        <v>2122508</v>
      </c>
      <c r="I1049" s="13">
        <v>0</v>
      </c>
      <c r="J1049" s="13">
        <v>0</v>
      </c>
      <c r="K1049" s="13">
        <v>1234</v>
      </c>
      <c r="L1049" s="13">
        <v>16</v>
      </c>
      <c r="M1049" s="13">
        <v>727</v>
      </c>
      <c r="N1049" s="13">
        <v>223</v>
      </c>
      <c r="O1049" s="13">
        <v>33</v>
      </c>
      <c r="P1049" s="13">
        <v>1</v>
      </c>
      <c r="Q1049" s="13">
        <v>65</v>
      </c>
      <c r="R1049" s="13">
        <v>1</v>
      </c>
      <c r="S1049" s="13">
        <v>0</v>
      </c>
      <c r="T1049" s="23">
        <v>46247.605497685188</v>
      </c>
      <c r="U1049" s="55">
        <f t="shared" si="48"/>
        <v>1</v>
      </c>
      <c r="V1049" s="55">
        <f t="shared" si="49"/>
        <v>0</v>
      </c>
      <c r="W1049" s="56">
        <f t="shared" si="50"/>
        <v>1131.5</v>
      </c>
    </row>
    <row r="1050" spans="1:23" x14ac:dyDescent="0.3">
      <c r="A1050" s="13" t="str" cm="1">
        <f t="array" ref="A1050:B1050">INDEX(BenchmarkResults!$B$1:$D$35,SUMPRODUCT((T1050&gt;=BenchmarkResults!$F$3:$F$35)*(mongodb_hardware_log!T1050&lt;BenchmarkResults!$G$3:$G$35)*ROW(BenchmarkResults!$F$3:$F$35)),{1,3})</f>
        <v>q2_avg_order_city</v>
      </c>
      <c r="B1050">
        <v>3</v>
      </c>
      <c r="C1050" s="13">
        <v>1</v>
      </c>
      <c r="D1050" s="13">
        <v>0</v>
      </c>
      <c r="E1050" s="13">
        <v>133376</v>
      </c>
      <c r="F1050" s="13">
        <v>279656</v>
      </c>
      <c r="G1050" s="13">
        <v>2864</v>
      </c>
      <c r="H1050" s="13">
        <v>2133720</v>
      </c>
      <c r="I1050" s="13">
        <v>0</v>
      </c>
      <c r="J1050" s="13">
        <v>0</v>
      </c>
      <c r="K1050" s="13">
        <v>1121</v>
      </c>
      <c r="L1050" s="13">
        <v>12</v>
      </c>
      <c r="M1050" s="13">
        <v>798</v>
      </c>
      <c r="N1050" s="13">
        <v>293</v>
      </c>
      <c r="O1050" s="13">
        <v>33</v>
      </c>
      <c r="P1050" s="13">
        <v>1</v>
      </c>
      <c r="Q1050" s="13">
        <v>65</v>
      </c>
      <c r="R1050" s="13">
        <v>0</v>
      </c>
      <c r="S1050" s="13">
        <v>1</v>
      </c>
      <c r="T1050" s="23">
        <v>46247.605613425927</v>
      </c>
      <c r="U1050" s="55">
        <f t="shared" si="48"/>
        <v>1</v>
      </c>
      <c r="V1050" s="55">
        <f t="shared" si="49"/>
        <v>0</v>
      </c>
      <c r="W1050" s="56">
        <f t="shared" si="50"/>
        <v>1131</v>
      </c>
    </row>
    <row r="1051" spans="1:23" x14ac:dyDescent="0.3">
      <c r="A1051" s="13" t="str" cm="1">
        <f t="array" ref="A1051:B1051">INDEX(BenchmarkResults!$B$1:$D$35,SUMPRODUCT((T1051&gt;=BenchmarkResults!$F$3:$F$35)*(mongodb_hardware_log!T1051&lt;BenchmarkResults!$G$3:$G$35)*ROW(BenchmarkResults!$F$3:$F$35)),{1,3})</f>
        <v>q2_avg_order_city</v>
      </c>
      <c r="B1051">
        <v>3</v>
      </c>
      <c r="C1051" s="13">
        <v>2</v>
      </c>
      <c r="D1051" s="13">
        <v>0</v>
      </c>
      <c r="E1051" s="13">
        <v>133376</v>
      </c>
      <c r="F1051" s="13">
        <v>271340</v>
      </c>
      <c r="G1051" s="13">
        <v>2896</v>
      </c>
      <c r="H1051" s="13">
        <v>2144176</v>
      </c>
      <c r="I1051" s="13">
        <v>0</v>
      </c>
      <c r="J1051" s="13">
        <v>0</v>
      </c>
      <c r="K1051" s="13">
        <v>1045</v>
      </c>
      <c r="L1051" s="13">
        <v>24</v>
      </c>
      <c r="M1051" s="13">
        <v>707</v>
      </c>
      <c r="N1051" s="13">
        <v>208</v>
      </c>
      <c r="O1051" s="13">
        <v>33</v>
      </c>
      <c r="P1051" s="13">
        <v>1</v>
      </c>
      <c r="Q1051" s="13">
        <v>64</v>
      </c>
      <c r="R1051" s="13">
        <v>1</v>
      </c>
      <c r="S1051" s="13">
        <v>0</v>
      </c>
      <c r="T1051" s="23">
        <v>46247.605729166666</v>
      </c>
      <c r="U1051" s="55">
        <f t="shared" si="48"/>
        <v>1.1666666666666667</v>
      </c>
      <c r="V1051" s="55">
        <f t="shared" si="49"/>
        <v>0</v>
      </c>
      <c r="W1051" s="56">
        <f t="shared" si="50"/>
        <v>1112.8333333333333</v>
      </c>
    </row>
    <row r="1052" spans="1:23" x14ac:dyDescent="0.3">
      <c r="A1052" s="13" t="str" cm="1">
        <f t="array" ref="A1052:B1052">INDEX(BenchmarkResults!$B$1:$D$35,SUMPRODUCT((T1052&gt;=BenchmarkResults!$F$3:$F$35)*(mongodb_hardware_log!T1052&lt;BenchmarkResults!$G$3:$G$35)*ROW(BenchmarkResults!$F$3:$F$35)),{1,3})</f>
        <v>q2_avg_order_city</v>
      </c>
      <c r="B1052">
        <v>3</v>
      </c>
      <c r="C1052" s="13">
        <v>2</v>
      </c>
      <c r="D1052" s="13">
        <v>0</v>
      </c>
      <c r="E1052" s="13">
        <v>133376</v>
      </c>
      <c r="F1052" s="13">
        <v>271940</v>
      </c>
      <c r="G1052" s="13">
        <v>2912</v>
      </c>
      <c r="H1052" s="13">
        <v>2155584</v>
      </c>
      <c r="I1052" s="13">
        <v>0</v>
      </c>
      <c r="J1052" s="13">
        <v>0</v>
      </c>
      <c r="K1052" s="13">
        <v>1141</v>
      </c>
      <c r="L1052" s="13">
        <v>28</v>
      </c>
      <c r="M1052" s="13">
        <v>731</v>
      </c>
      <c r="N1052" s="13">
        <v>235</v>
      </c>
      <c r="O1052" s="13">
        <v>34</v>
      </c>
      <c r="P1052" s="13">
        <v>1</v>
      </c>
      <c r="Q1052" s="13">
        <v>64</v>
      </c>
      <c r="R1052" s="13">
        <v>0</v>
      </c>
      <c r="S1052" s="13">
        <v>0</v>
      </c>
      <c r="T1052" s="23">
        <v>46247.605844907404</v>
      </c>
      <c r="U1052" s="55">
        <f t="shared" si="48"/>
        <v>1.3333333333333333</v>
      </c>
      <c r="V1052" s="55">
        <f t="shared" si="49"/>
        <v>0</v>
      </c>
      <c r="W1052" s="56">
        <f t="shared" si="50"/>
        <v>1129</v>
      </c>
    </row>
    <row r="1053" spans="1:23" x14ac:dyDescent="0.3">
      <c r="A1053" s="13" t="str" cm="1">
        <f t="array" ref="A1053:B1053">INDEX(BenchmarkResults!$B$1:$D$35,SUMPRODUCT((T1053&gt;=BenchmarkResults!$F$3:$F$35)*(mongodb_hardware_log!T1053&lt;BenchmarkResults!$G$3:$G$35)*ROW(BenchmarkResults!$F$3:$F$35)),{1,3})</f>
        <v>q2_avg_order_city</v>
      </c>
      <c r="B1053">
        <v>3</v>
      </c>
      <c r="C1053" s="13">
        <v>2</v>
      </c>
      <c r="D1053" s="13">
        <v>0</v>
      </c>
      <c r="E1053" s="13">
        <v>133376</v>
      </c>
      <c r="F1053" s="13">
        <v>255308</v>
      </c>
      <c r="G1053" s="13">
        <v>2920</v>
      </c>
      <c r="H1053" s="13">
        <v>2166920</v>
      </c>
      <c r="I1053" s="13">
        <v>0</v>
      </c>
      <c r="J1053" s="13">
        <v>0</v>
      </c>
      <c r="K1053" s="13">
        <v>1136</v>
      </c>
      <c r="L1053" s="13">
        <v>21</v>
      </c>
      <c r="M1053" s="13">
        <v>711</v>
      </c>
      <c r="N1053" s="13">
        <v>211</v>
      </c>
      <c r="O1053" s="13">
        <v>33</v>
      </c>
      <c r="P1053" s="13">
        <v>1</v>
      </c>
      <c r="Q1053" s="13">
        <v>65</v>
      </c>
      <c r="R1053" s="13">
        <v>1</v>
      </c>
      <c r="S1053" s="13">
        <v>0</v>
      </c>
      <c r="T1053" s="23">
        <v>46247.60596064815</v>
      </c>
      <c r="U1053" s="55">
        <f t="shared" si="48"/>
        <v>1.5</v>
      </c>
      <c r="V1053" s="55">
        <f t="shared" si="49"/>
        <v>0</v>
      </c>
      <c r="W1053" s="56">
        <f t="shared" si="50"/>
        <v>1139.3333333333333</v>
      </c>
    </row>
    <row r="1054" spans="1:23" x14ac:dyDescent="0.3">
      <c r="A1054" s="13" t="str" cm="1">
        <f t="array" ref="A1054:B1054">INDEX(BenchmarkResults!$B$1:$D$35,SUMPRODUCT((T1054&gt;=BenchmarkResults!$F$3:$F$35)*(mongodb_hardware_log!T1054&lt;BenchmarkResults!$G$3:$G$35)*ROW(BenchmarkResults!$F$3:$F$35)),{1,3})</f>
        <v>q2_avg_order_city</v>
      </c>
      <c r="B1054">
        <v>3</v>
      </c>
      <c r="C1054" s="13">
        <v>2</v>
      </c>
      <c r="D1054" s="13">
        <v>0</v>
      </c>
      <c r="E1054" s="13">
        <v>133376</v>
      </c>
      <c r="F1054" s="13">
        <v>247244</v>
      </c>
      <c r="G1054" s="13">
        <v>2928</v>
      </c>
      <c r="H1054" s="13">
        <v>2178464</v>
      </c>
      <c r="I1054" s="13">
        <v>0</v>
      </c>
      <c r="J1054" s="13">
        <v>0</v>
      </c>
      <c r="K1054" s="13">
        <v>1152</v>
      </c>
      <c r="L1054" s="13">
        <v>10</v>
      </c>
      <c r="M1054" s="13">
        <v>711</v>
      </c>
      <c r="N1054" s="13">
        <v>209</v>
      </c>
      <c r="O1054" s="13">
        <v>33</v>
      </c>
      <c r="P1054" s="13">
        <v>1</v>
      </c>
      <c r="Q1054" s="13">
        <v>65</v>
      </c>
      <c r="R1054" s="13">
        <v>0</v>
      </c>
      <c r="S1054" s="13">
        <v>0</v>
      </c>
      <c r="T1054" s="23">
        <v>46247.606076388889</v>
      </c>
      <c r="U1054" s="55">
        <f t="shared" si="48"/>
        <v>1.6666666666666667</v>
      </c>
      <c r="V1054" s="55">
        <f t="shared" si="49"/>
        <v>0</v>
      </c>
      <c r="W1054" s="56">
        <f t="shared" si="50"/>
        <v>1138.1666666666667</v>
      </c>
    </row>
    <row r="1055" spans="1:23" x14ac:dyDescent="0.3">
      <c r="A1055" s="13" t="str" cm="1">
        <f t="array" ref="A1055:B1055">INDEX(BenchmarkResults!$B$1:$D$35,SUMPRODUCT((T1055&gt;=BenchmarkResults!$F$3:$F$35)*(mongodb_hardware_log!T1055&lt;BenchmarkResults!$G$3:$G$35)*ROW(BenchmarkResults!$F$3:$F$35)),{1,3})</f>
        <v>q2_avg_order_city</v>
      </c>
      <c r="B1055">
        <v>3</v>
      </c>
      <c r="C1055" s="13">
        <v>1</v>
      </c>
      <c r="D1055" s="13">
        <v>0</v>
      </c>
      <c r="E1055" s="13">
        <v>133376</v>
      </c>
      <c r="F1055" s="13">
        <v>232376</v>
      </c>
      <c r="G1055" s="13">
        <v>2936</v>
      </c>
      <c r="H1055" s="13">
        <v>2190432</v>
      </c>
      <c r="I1055" s="13">
        <v>0</v>
      </c>
      <c r="J1055" s="13">
        <v>0</v>
      </c>
      <c r="K1055" s="13">
        <v>1200</v>
      </c>
      <c r="L1055" s="13">
        <v>23</v>
      </c>
      <c r="M1055" s="13">
        <v>701</v>
      </c>
      <c r="N1055" s="13">
        <v>201</v>
      </c>
      <c r="O1055" s="13">
        <v>33</v>
      </c>
      <c r="P1055" s="13">
        <v>1</v>
      </c>
      <c r="Q1055" s="13">
        <v>65</v>
      </c>
      <c r="R1055" s="13">
        <v>0</v>
      </c>
      <c r="S1055" s="13">
        <v>0</v>
      </c>
      <c r="T1055" s="23">
        <v>46247.606192129628</v>
      </c>
      <c r="U1055" s="55">
        <f t="shared" si="48"/>
        <v>1.6666666666666667</v>
      </c>
      <c r="V1055" s="55">
        <f t="shared" si="49"/>
        <v>0</v>
      </c>
      <c r="W1055" s="56">
        <f t="shared" si="50"/>
        <v>1132.5</v>
      </c>
    </row>
    <row r="1056" spans="1:23" x14ac:dyDescent="0.3">
      <c r="A1056" s="13" t="str" cm="1">
        <f t="array" ref="A1056:B1056">INDEX(BenchmarkResults!$B$1:$D$35,SUMPRODUCT((T1056&gt;=BenchmarkResults!$F$3:$F$35)*(mongodb_hardware_log!T1056&lt;BenchmarkResults!$G$3:$G$35)*ROW(BenchmarkResults!$F$3:$F$35)),{1,3})</f>
        <v>q2_avg_order_city</v>
      </c>
      <c r="B1056">
        <v>3</v>
      </c>
      <c r="C1056" s="13">
        <v>2</v>
      </c>
      <c r="D1056" s="13">
        <v>0</v>
      </c>
      <c r="E1056" s="13">
        <v>133376</v>
      </c>
      <c r="F1056" s="13">
        <v>224312</v>
      </c>
      <c r="G1056" s="13">
        <v>2944</v>
      </c>
      <c r="H1056" s="13">
        <v>2201264</v>
      </c>
      <c r="I1056" s="13">
        <v>0</v>
      </c>
      <c r="J1056" s="13">
        <v>0</v>
      </c>
      <c r="K1056" s="13">
        <v>1083</v>
      </c>
      <c r="L1056" s="13">
        <v>11</v>
      </c>
      <c r="M1056" s="13">
        <v>736</v>
      </c>
      <c r="N1056" s="13">
        <v>213</v>
      </c>
      <c r="O1056" s="13">
        <v>33</v>
      </c>
      <c r="P1056" s="13">
        <v>1</v>
      </c>
      <c r="Q1056" s="13">
        <v>64</v>
      </c>
      <c r="R1056" s="13">
        <v>0</v>
      </c>
      <c r="S1056" s="13">
        <v>2</v>
      </c>
      <c r="T1056" s="23">
        <v>46247.606307870374</v>
      </c>
      <c r="U1056" s="55">
        <f t="shared" si="48"/>
        <v>1.8333333333333333</v>
      </c>
      <c r="V1056" s="55">
        <f t="shared" si="49"/>
        <v>0</v>
      </c>
      <c r="W1056" s="56">
        <f t="shared" si="50"/>
        <v>1126.1666666666667</v>
      </c>
    </row>
    <row r="1057" spans="1:23" x14ac:dyDescent="0.3">
      <c r="A1057" s="13" t="str" cm="1">
        <f t="array" ref="A1057:B1057">INDEX(BenchmarkResults!$B$1:$D$35,SUMPRODUCT((T1057&gt;=BenchmarkResults!$F$3:$F$35)*(mongodb_hardware_log!T1057&lt;BenchmarkResults!$G$3:$G$35)*ROW(BenchmarkResults!$F$3:$F$35)),{1,3})</f>
        <v>q2_avg_order_city</v>
      </c>
      <c r="B1057">
        <v>3</v>
      </c>
      <c r="C1057" s="13">
        <v>1</v>
      </c>
      <c r="D1057" s="13">
        <v>0</v>
      </c>
      <c r="E1057" s="13">
        <v>133376</v>
      </c>
      <c r="F1057" s="13">
        <v>216048</v>
      </c>
      <c r="G1057" s="13">
        <v>2968</v>
      </c>
      <c r="H1057" s="13">
        <v>2211408</v>
      </c>
      <c r="I1057" s="13">
        <v>0</v>
      </c>
      <c r="J1057" s="13">
        <v>0</v>
      </c>
      <c r="K1057" s="13">
        <v>1012</v>
      </c>
      <c r="L1057" s="13">
        <v>30</v>
      </c>
      <c r="M1057" s="13">
        <v>777</v>
      </c>
      <c r="N1057" s="13">
        <v>237</v>
      </c>
      <c r="O1057" s="13">
        <v>32</v>
      </c>
      <c r="P1057" s="13">
        <v>1</v>
      </c>
      <c r="Q1057" s="13">
        <v>62</v>
      </c>
      <c r="R1057" s="13">
        <v>1</v>
      </c>
      <c r="S1057" s="13">
        <v>3</v>
      </c>
      <c r="T1057" s="23">
        <v>46247.606423611112</v>
      </c>
      <c r="U1057" s="55">
        <f t="shared" si="48"/>
        <v>1.6666666666666667</v>
      </c>
      <c r="V1057" s="55">
        <f t="shared" si="49"/>
        <v>0</v>
      </c>
      <c r="W1057" s="56">
        <f t="shared" si="50"/>
        <v>1120.6666666666667</v>
      </c>
    </row>
    <row r="1058" spans="1:23" x14ac:dyDescent="0.3">
      <c r="A1058" s="13" t="str" cm="1">
        <f t="array" ref="A1058:B1058">INDEX(BenchmarkResults!$B$1:$D$35,SUMPRODUCT((T1058&gt;=BenchmarkResults!$F$3:$F$35)*(mongodb_hardware_log!T1058&lt;BenchmarkResults!$G$3:$G$35)*ROW(BenchmarkResults!$F$3:$F$35)),{1,3})</f>
        <v>q2_avg_order_city</v>
      </c>
      <c r="B1058">
        <v>3</v>
      </c>
      <c r="C1058" s="13">
        <v>2</v>
      </c>
      <c r="D1058" s="13">
        <v>0</v>
      </c>
      <c r="E1058" s="13">
        <v>133376</v>
      </c>
      <c r="F1058" s="13">
        <v>208236</v>
      </c>
      <c r="G1058" s="13">
        <v>2984</v>
      </c>
      <c r="H1058" s="13">
        <v>2217684</v>
      </c>
      <c r="I1058" s="13">
        <v>0</v>
      </c>
      <c r="J1058" s="13">
        <v>0</v>
      </c>
      <c r="K1058" s="13">
        <v>628</v>
      </c>
      <c r="L1058" s="13">
        <v>32</v>
      </c>
      <c r="M1058" s="13">
        <v>790</v>
      </c>
      <c r="N1058" s="13">
        <v>220</v>
      </c>
      <c r="O1058" s="13">
        <v>32</v>
      </c>
      <c r="P1058" s="13">
        <v>1</v>
      </c>
      <c r="Q1058" s="13">
        <v>61</v>
      </c>
      <c r="R1058" s="13">
        <v>0</v>
      </c>
      <c r="S1058" s="13">
        <v>6</v>
      </c>
      <c r="T1058" s="23">
        <v>46247.606539351851</v>
      </c>
      <c r="U1058" s="55">
        <f t="shared" si="48"/>
        <v>1.6666666666666667</v>
      </c>
      <c r="V1058" s="55">
        <f t="shared" si="49"/>
        <v>0</v>
      </c>
      <c r="W1058" s="56">
        <f t="shared" si="50"/>
        <v>1035.1666666666667</v>
      </c>
    </row>
    <row r="1059" spans="1:23" x14ac:dyDescent="0.3">
      <c r="A1059" s="13" t="str" cm="1">
        <f t="array" ref="A1059:B1059">INDEX(BenchmarkResults!$B$1:$D$35,SUMPRODUCT((T1059&gt;=BenchmarkResults!$F$3:$F$35)*(mongodb_hardware_log!T1059&lt;BenchmarkResults!$G$3:$G$35)*ROW(BenchmarkResults!$F$3:$F$35)),{1,3})</f>
        <v>q2_avg_order_city</v>
      </c>
      <c r="B1059">
        <v>3</v>
      </c>
      <c r="C1059" s="13">
        <v>1</v>
      </c>
      <c r="D1059" s="13">
        <v>0</v>
      </c>
      <c r="E1059" s="13">
        <v>133376</v>
      </c>
      <c r="F1059" s="13">
        <v>192360</v>
      </c>
      <c r="G1059" s="13">
        <v>2992</v>
      </c>
      <c r="H1059" s="13">
        <v>2227500</v>
      </c>
      <c r="I1059" s="13">
        <v>0</v>
      </c>
      <c r="J1059" s="13">
        <v>0</v>
      </c>
      <c r="K1059" s="13">
        <v>981</v>
      </c>
      <c r="L1059" s="13">
        <v>7</v>
      </c>
      <c r="M1059" s="13">
        <v>761</v>
      </c>
      <c r="N1059" s="13">
        <v>213</v>
      </c>
      <c r="O1059" s="13">
        <v>33</v>
      </c>
      <c r="P1059" s="13">
        <v>1</v>
      </c>
      <c r="Q1059" s="13">
        <v>62</v>
      </c>
      <c r="R1059" s="13">
        <v>0</v>
      </c>
      <c r="S1059" s="13">
        <v>4</v>
      </c>
      <c r="T1059" s="23">
        <v>46247.60665509259</v>
      </c>
      <c r="U1059" s="55">
        <f t="shared" si="48"/>
        <v>1.5</v>
      </c>
      <c r="V1059" s="55">
        <f t="shared" si="49"/>
        <v>0</v>
      </c>
      <c r="W1059" s="56">
        <f t="shared" si="50"/>
        <v>1009.3333333333334</v>
      </c>
    </row>
    <row r="1060" spans="1:23" x14ac:dyDescent="0.3">
      <c r="A1060" s="13" t="str" cm="1">
        <f t="array" ref="A1060:B1060">INDEX(BenchmarkResults!$B$1:$D$35,SUMPRODUCT((T1060&gt;=BenchmarkResults!$F$3:$F$35)*(mongodb_hardware_log!T1060&lt;BenchmarkResults!$G$3:$G$35)*ROW(BenchmarkResults!$F$3:$F$35)),{1,3})</f>
        <v>q2_avg_order_city</v>
      </c>
      <c r="B1060">
        <v>3</v>
      </c>
      <c r="C1060" s="13">
        <v>1</v>
      </c>
      <c r="D1060" s="13">
        <v>0</v>
      </c>
      <c r="E1060" s="13">
        <v>133376</v>
      </c>
      <c r="F1060" s="13">
        <v>189588</v>
      </c>
      <c r="G1060" s="13">
        <v>3000</v>
      </c>
      <c r="H1060" s="13">
        <v>2238056</v>
      </c>
      <c r="I1060" s="13">
        <v>0</v>
      </c>
      <c r="J1060" s="13">
        <v>0</v>
      </c>
      <c r="K1060" s="13">
        <v>1056</v>
      </c>
      <c r="L1060" s="13">
        <v>13</v>
      </c>
      <c r="M1060" s="13">
        <v>729</v>
      </c>
      <c r="N1060" s="13">
        <v>220</v>
      </c>
      <c r="O1060" s="13">
        <v>33</v>
      </c>
      <c r="P1060" s="13">
        <v>1</v>
      </c>
      <c r="Q1060" s="13">
        <v>65</v>
      </c>
      <c r="R1060" s="13">
        <v>1</v>
      </c>
      <c r="S1060" s="13">
        <v>0</v>
      </c>
      <c r="T1060" s="23">
        <v>46247.606770833336</v>
      </c>
      <c r="U1060" s="55">
        <f t="shared" si="48"/>
        <v>1.3333333333333333</v>
      </c>
      <c r="V1060" s="55">
        <f t="shared" si="49"/>
        <v>0</v>
      </c>
      <c r="W1060" s="56">
        <f t="shared" si="50"/>
        <v>993.33333333333337</v>
      </c>
    </row>
    <row r="1061" spans="1:23" x14ac:dyDescent="0.3">
      <c r="A1061" s="13" t="str" cm="1">
        <f t="array" ref="A1061:B1061">INDEX(BenchmarkResults!$B$1:$D$35,SUMPRODUCT((T1061&gt;=BenchmarkResults!$F$3:$F$35)*(mongodb_hardware_log!T1061&lt;BenchmarkResults!$G$3:$G$35)*ROW(BenchmarkResults!$F$3:$F$35)),{1,3})</f>
        <v>q2_avg_order_city</v>
      </c>
      <c r="B1061">
        <v>3</v>
      </c>
      <c r="C1061" s="13">
        <v>2</v>
      </c>
      <c r="D1061" s="13">
        <v>0</v>
      </c>
      <c r="E1061" s="13">
        <v>133376</v>
      </c>
      <c r="F1061" s="13">
        <v>176164</v>
      </c>
      <c r="G1061" s="13">
        <v>3008</v>
      </c>
      <c r="H1061" s="13">
        <v>2249148</v>
      </c>
      <c r="I1061" s="13">
        <v>0</v>
      </c>
      <c r="J1061" s="13">
        <v>0</v>
      </c>
      <c r="K1061" s="13">
        <v>1109</v>
      </c>
      <c r="L1061" s="13">
        <v>14</v>
      </c>
      <c r="M1061" s="13">
        <v>720</v>
      </c>
      <c r="N1061" s="13">
        <v>216</v>
      </c>
      <c r="O1061" s="13">
        <v>34</v>
      </c>
      <c r="P1061" s="13">
        <v>1</v>
      </c>
      <c r="Q1061" s="13">
        <v>65</v>
      </c>
      <c r="R1061" s="13">
        <v>0</v>
      </c>
      <c r="S1061" s="13">
        <v>1</v>
      </c>
      <c r="T1061" s="23">
        <v>46247.606886574074</v>
      </c>
      <c r="U1061" s="55">
        <f t="shared" si="48"/>
        <v>1.5</v>
      </c>
      <c r="V1061" s="55">
        <f t="shared" si="49"/>
        <v>0</v>
      </c>
      <c r="W1061" s="56">
        <f t="shared" si="50"/>
        <v>978.16666666666663</v>
      </c>
    </row>
    <row r="1062" spans="1:23" x14ac:dyDescent="0.3">
      <c r="A1062" s="13" t="str" cm="1">
        <f t="array" ref="A1062:B1062">INDEX(BenchmarkResults!$B$1:$D$35,SUMPRODUCT((T1062&gt;=BenchmarkResults!$F$3:$F$35)*(mongodb_hardware_log!T1062&lt;BenchmarkResults!$G$3:$G$35)*ROW(BenchmarkResults!$F$3:$F$35)),{1,3})</f>
        <v>q2_avg_order_city</v>
      </c>
      <c r="B1062">
        <v>3</v>
      </c>
      <c r="C1062" s="13">
        <v>2</v>
      </c>
      <c r="D1062" s="13">
        <v>0</v>
      </c>
      <c r="E1062" s="13">
        <v>133376</v>
      </c>
      <c r="F1062" s="13">
        <v>166612</v>
      </c>
      <c r="G1062" s="13">
        <v>3024</v>
      </c>
      <c r="H1062" s="13">
        <v>2260424</v>
      </c>
      <c r="I1062" s="13">
        <v>0</v>
      </c>
      <c r="J1062" s="13">
        <v>0</v>
      </c>
      <c r="K1062" s="13">
        <v>1130</v>
      </c>
      <c r="L1062" s="13">
        <v>12</v>
      </c>
      <c r="M1062" s="13">
        <v>741</v>
      </c>
      <c r="N1062" s="13">
        <v>229</v>
      </c>
      <c r="O1062" s="13">
        <v>33</v>
      </c>
      <c r="P1062" s="13">
        <v>1</v>
      </c>
      <c r="Q1062" s="13">
        <v>64</v>
      </c>
      <c r="R1062" s="13">
        <v>0</v>
      </c>
      <c r="S1062" s="13">
        <v>1</v>
      </c>
      <c r="T1062" s="23">
        <v>46247.607002314813</v>
      </c>
      <c r="U1062" s="55">
        <f t="shared" si="48"/>
        <v>1.5</v>
      </c>
      <c r="V1062" s="55">
        <f t="shared" si="49"/>
        <v>0</v>
      </c>
      <c r="W1062" s="56">
        <f t="shared" si="50"/>
        <v>986</v>
      </c>
    </row>
    <row r="1063" spans="1:23" x14ac:dyDescent="0.3">
      <c r="A1063" s="13" t="str" cm="1">
        <f t="array" ref="A1063:B1063">INDEX(BenchmarkResults!$B$1:$D$35,SUMPRODUCT((T1063&gt;=BenchmarkResults!$F$3:$F$35)*(mongodb_hardware_log!T1063&lt;BenchmarkResults!$G$3:$G$35)*ROW(BenchmarkResults!$F$3:$F$35)),{1,3})</f>
        <v>q2_avg_order_city</v>
      </c>
      <c r="B1063">
        <v>3</v>
      </c>
      <c r="C1063" s="13">
        <v>2</v>
      </c>
      <c r="D1063" s="13">
        <v>0</v>
      </c>
      <c r="E1063" s="13">
        <v>133376</v>
      </c>
      <c r="F1063" s="13">
        <v>155524</v>
      </c>
      <c r="G1063" s="13">
        <v>3048</v>
      </c>
      <c r="H1063" s="13">
        <v>2271460</v>
      </c>
      <c r="I1063" s="13">
        <v>0</v>
      </c>
      <c r="J1063" s="13">
        <v>0</v>
      </c>
      <c r="K1063" s="13">
        <v>1098</v>
      </c>
      <c r="L1063" s="13">
        <v>22</v>
      </c>
      <c r="M1063" s="13">
        <v>794</v>
      </c>
      <c r="N1063" s="13">
        <v>307</v>
      </c>
      <c r="O1063" s="13">
        <v>33</v>
      </c>
      <c r="P1063" s="13">
        <v>1</v>
      </c>
      <c r="Q1063" s="13">
        <v>65</v>
      </c>
      <c r="R1063" s="13">
        <v>0</v>
      </c>
      <c r="S1063" s="13">
        <v>0</v>
      </c>
      <c r="T1063" s="23">
        <v>46247.607118055559</v>
      </c>
      <c r="U1063" s="55">
        <f t="shared" si="48"/>
        <v>1.6666666666666667</v>
      </c>
      <c r="V1063" s="55">
        <f t="shared" si="49"/>
        <v>0</v>
      </c>
      <c r="W1063" s="56">
        <f t="shared" si="50"/>
        <v>1000.3333333333334</v>
      </c>
    </row>
    <row r="1064" spans="1:23" x14ac:dyDescent="0.3">
      <c r="A1064" s="13" t="str" cm="1">
        <f t="array" ref="A1064:B1064">INDEX(BenchmarkResults!$B$1:$D$35,SUMPRODUCT((T1064&gt;=BenchmarkResults!$F$3:$F$35)*(mongodb_hardware_log!T1064&lt;BenchmarkResults!$G$3:$G$35)*ROW(BenchmarkResults!$F$3:$F$35)),{1,3})</f>
        <v>q2_avg_order_city</v>
      </c>
      <c r="B1064">
        <v>3</v>
      </c>
      <c r="C1064" s="13">
        <v>2</v>
      </c>
      <c r="D1064" s="13">
        <v>0</v>
      </c>
      <c r="E1064" s="13">
        <v>133376</v>
      </c>
      <c r="F1064" s="13">
        <v>143176</v>
      </c>
      <c r="G1064" s="13">
        <v>3056</v>
      </c>
      <c r="H1064" s="13">
        <v>2283412</v>
      </c>
      <c r="I1064" s="13">
        <v>0</v>
      </c>
      <c r="J1064" s="13">
        <v>0</v>
      </c>
      <c r="K1064" s="13">
        <v>1195</v>
      </c>
      <c r="L1064" s="13">
        <v>38</v>
      </c>
      <c r="M1064" s="13">
        <v>716</v>
      </c>
      <c r="N1064" s="13">
        <v>216</v>
      </c>
      <c r="O1064" s="13">
        <v>33</v>
      </c>
      <c r="P1064" s="13">
        <v>1</v>
      </c>
      <c r="Q1064" s="13">
        <v>65</v>
      </c>
      <c r="R1064" s="13">
        <v>0</v>
      </c>
      <c r="S1064" s="13">
        <v>0</v>
      </c>
      <c r="T1064" s="23">
        <v>46247.607233796298</v>
      </c>
      <c r="U1064" s="55">
        <f t="shared" si="48"/>
        <v>1.6666666666666667</v>
      </c>
      <c r="V1064" s="55">
        <f t="shared" si="49"/>
        <v>0</v>
      </c>
      <c r="W1064" s="56">
        <f t="shared" si="50"/>
        <v>1094.8333333333333</v>
      </c>
    </row>
    <row r="1065" spans="1:23" x14ac:dyDescent="0.3">
      <c r="A1065" s="13" t="str" cm="1">
        <f t="array" ref="A1065:B1065">INDEX(BenchmarkResults!$B$1:$D$35,SUMPRODUCT((T1065&gt;=BenchmarkResults!$F$3:$F$35)*(mongodb_hardware_log!T1065&lt;BenchmarkResults!$G$3:$G$35)*ROW(BenchmarkResults!$F$3:$F$35)),{1,3})</f>
        <v>q2_avg_order_city</v>
      </c>
      <c r="B1065">
        <v>3</v>
      </c>
      <c r="C1065" s="13">
        <v>3</v>
      </c>
      <c r="D1065" s="13">
        <v>0</v>
      </c>
      <c r="E1065" s="13">
        <v>133376</v>
      </c>
      <c r="F1065" s="13">
        <v>747672</v>
      </c>
      <c r="G1065" s="13">
        <v>3064</v>
      </c>
      <c r="H1065" s="13">
        <v>1633876</v>
      </c>
      <c r="I1065" s="13">
        <v>0</v>
      </c>
      <c r="J1065" s="13">
        <v>0</v>
      </c>
      <c r="K1065" s="13">
        <v>593</v>
      </c>
      <c r="L1065" s="13">
        <v>10</v>
      </c>
      <c r="M1065" s="13">
        <v>998</v>
      </c>
      <c r="N1065" s="13">
        <v>455</v>
      </c>
      <c r="O1065" s="13">
        <v>38</v>
      </c>
      <c r="P1065" s="13">
        <v>9</v>
      </c>
      <c r="Q1065" s="13">
        <v>53</v>
      </c>
      <c r="R1065" s="13">
        <v>0</v>
      </c>
      <c r="S1065" s="13">
        <v>0</v>
      </c>
      <c r="T1065" s="23">
        <v>46247.607349537036</v>
      </c>
      <c r="U1065" s="55">
        <f t="shared" si="48"/>
        <v>2</v>
      </c>
      <c r="V1065" s="55">
        <f t="shared" si="49"/>
        <v>0</v>
      </c>
      <c r="W1065" s="56">
        <f t="shared" si="50"/>
        <v>1030.1666666666667</v>
      </c>
    </row>
    <row r="1066" spans="1:23" x14ac:dyDescent="0.3">
      <c r="A1066" s="13" t="str" cm="1">
        <f t="array" ref="A1066:B1066">INDEX(BenchmarkResults!$B$1:$D$35,SUMPRODUCT((T1066&gt;=BenchmarkResults!$F$3:$F$35)*(mongodb_hardware_log!T1066&lt;BenchmarkResults!$G$3:$G$35)*ROW(BenchmarkResults!$F$3:$F$35)),{1,3})</f>
        <v>q2_avg_order_city</v>
      </c>
      <c r="B1066">
        <v>3</v>
      </c>
      <c r="C1066" s="13">
        <v>1</v>
      </c>
      <c r="D1066" s="13">
        <v>0</v>
      </c>
      <c r="E1066" s="13">
        <v>133376</v>
      </c>
      <c r="F1066" s="13">
        <v>757364</v>
      </c>
      <c r="G1066" s="13">
        <v>3072</v>
      </c>
      <c r="H1066" s="13">
        <v>1644784</v>
      </c>
      <c r="I1066" s="13">
        <v>0</v>
      </c>
      <c r="J1066" s="13">
        <v>0</v>
      </c>
      <c r="K1066" s="13">
        <v>1082</v>
      </c>
      <c r="L1066" s="13">
        <v>9</v>
      </c>
      <c r="M1066" s="13">
        <v>745</v>
      </c>
      <c r="N1066" s="13">
        <v>210</v>
      </c>
      <c r="O1066" s="13">
        <v>34</v>
      </c>
      <c r="P1066" s="13">
        <v>4</v>
      </c>
      <c r="Q1066" s="13">
        <v>61</v>
      </c>
      <c r="R1066" s="13">
        <v>0</v>
      </c>
      <c r="S1066" s="13">
        <v>0</v>
      </c>
      <c r="T1066" s="23">
        <v>46247.607465277775</v>
      </c>
      <c r="U1066" s="55">
        <f t="shared" si="48"/>
        <v>2</v>
      </c>
      <c r="V1066" s="55">
        <f t="shared" si="49"/>
        <v>0</v>
      </c>
      <c r="W1066" s="56">
        <f t="shared" si="50"/>
        <v>1034.5</v>
      </c>
    </row>
    <row r="1067" spans="1:23" x14ac:dyDescent="0.3">
      <c r="A1067" s="13" t="str" cm="1">
        <f t="array" ref="A1067:B1067">INDEX(BenchmarkResults!$B$1:$D$35,SUMPRODUCT((T1067&gt;=BenchmarkResults!$F$3:$F$35)*(mongodb_hardware_log!T1067&lt;BenchmarkResults!$G$3:$G$35)*ROW(BenchmarkResults!$F$3:$F$35)),{1,3})</f>
        <v>q2_avg_order_city</v>
      </c>
      <c r="B1067">
        <v>3</v>
      </c>
      <c r="C1067" s="13">
        <v>1</v>
      </c>
      <c r="D1067" s="13">
        <v>0</v>
      </c>
      <c r="E1067" s="13">
        <v>133376</v>
      </c>
      <c r="F1067" s="13">
        <v>741992</v>
      </c>
      <c r="G1067" s="13">
        <v>3080</v>
      </c>
      <c r="H1067" s="13">
        <v>1659020</v>
      </c>
      <c r="I1067" s="13">
        <v>0</v>
      </c>
      <c r="J1067" s="13">
        <v>0</v>
      </c>
      <c r="K1067" s="13">
        <v>1427</v>
      </c>
      <c r="L1067" s="13">
        <v>9</v>
      </c>
      <c r="M1067" s="13">
        <v>731</v>
      </c>
      <c r="N1067" s="13">
        <v>229</v>
      </c>
      <c r="O1067" s="13">
        <v>33</v>
      </c>
      <c r="P1067" s="13">
        <v>1</v>
      </c>
      <c r="Q1067" s="13">
        <v>65</v>
      </c>
      <c r="R1067" s="13">
        <v>0</v>
      </c>
      <c r="S1067" s="13">
        <v>0</v>
      </c>
      <c r="T1067" s="23">
        <v>46247.607581018521</v>
      </c>
      <c r="U1067" s="55">
        <f t="shared" si="48"/>
        <v>1.8333333333333333</v>
      </c>
      <c r="V1067" s="55">
        <f t="shared" si="49"/>
        <v>0</v>
      </c>
      <c r="W1067" s="56">
        <f t="shared" si="50"/>
        <v>1087.5</v>
      </c>
    </row>
    <row r="1068" spans="1:23" x14ac:dyDescent="0.3">
      <c r="A1068" s="13" t="str" cm="1">
        <f t="array" ref="A1068:B1068">INDEX(BenchmarkResults!$B$1:$D$35,SUMPRODUCT((T1068&gt;=BenchmarkResults!$F$3:$F$35)*(mongodb_hardware_log!T1068&lt;BenchmarkResults!$G$3:$G$35)*ROW(BenchmarkResults!$F$3:$F$35)),{1,3})</f>
        <v>q2_avg_order_city</v>
      </c>
      <c r="B1068">
        <v>3</v>
      </c>
      <c r="C1068" s="13">
        <v>1</v>
      </c>
      <c r="D1068" s="13">
        <v>0</v>
      </c>
      <c r="E1068" s="13">
        <v>133376</v>
      </c>
      <c r="F1068" s="13">
        <v>734232</v>
      </c>
      <c r="G1068" s="13">
        <v>3088</v>
      </c>
      <c r="H1068" s="13">
        <v>1666256</v>
      </c>
      <c r="I1068" s="13">
        <v>0</v>
      </c>
      <c r="J1068" s="13">
        <v>0</v>
      </c>
      <c r="K1068" s="13">
        <v>722</v>
      </c>
      <c r="L1068" s="13">
        <v>8</v>
      </c>
      <c r="M1068" s="13">
        <v>790</v>
      </c>
      <c r="N1068" s="13">
        <v>276</v>
      </c>
      <c r="O1068" s="13">
        <v>33</v>
      </c>
      <c r="P1068" s="13">
        <v>1</v>
      </c>
      <c r="Q1068" s="13">
        <v>64</v>
      </c>
      <c r="R1068" s="13">
        <v>0</v>
      </c>
      <c r="S1068" s="13">
        <v>2</v>
      </c>
      <c r="T1068" s="23">
        <v>46247.60769675926</v>
      </c>
      <c r="U1068" s="55">
        <f t="shared" si="48"/>
        <v>1.6666666666666667</v>
      </c>
      <c r="V1068" s="55">
        <f t="shared" si="49"/>
        <v>0</v>
      </c>
      <c r="W1068" s="56">
        <f t="shared" si="50"/>
        <v>1019.5</v>
      </c>
    </row>
    <row r="1069" spans="1:23" x14ac:dyDescent="0.3">
      <c r="A1069" s="13" t="str" cm="1">
        <f t="array" ref="A1069:B1069">INDEX(BenchmarkResults!$B$1:$D$35,SUMPRODUCT((T1069&gt;=BenchmarkResults!$F$3:$F$35)*(mongodb_hardware_log!T1069&lt;BenchmarkResults!$G$3:$G$35)*ROW(BenchmarkResults!$F$3:$F$35)),{1,3})</f>
        <v>q2_avg_order_city</v>
      </c>
      <c r="B1069">
        <v>3</v>
      </c>
      <c r="C1069" s="13">
        <v>1</v>
      </c>
      <c r="D1069" s="13">
        <v>0</v>
      </c>
      <c r="E1069" s="13">
        <v>133376</v>
      </c>
      <c r="F1069" s="13">
        <v>721912</v>
      </c>
      <c r="G1069" s="13">
        <v>3120</v>
      </c>
      <c r="H1069" s="13">
        <v>1677760</v>
      </c>
      <c r="I1069" s="13">
        <v>0</v>
      </c>
      <c r="J1069" s="13">
        <v>0</v>
      </c>
      <c r="K1069" s="13">
        <v>1146</v>
      </c>
      <c r="L1069" s="13">
        <v>40</v>
      </c>
      <c r="M1069" s="13">
        <v>715</v>
      </c>
      <c r="N1069" s="13">
        <v>218</v>
      </c>
      <c r="O1069" s="13">
        <v>33</v>
      </c>
      <c r="P1069" s="13">
        <v>1</v>
      </c>
      <c r="Q1069" s="13">
        <v>64</v>
      </c>
      <c r="R1069" s="13">
        <v>1</v>
      </c>
      <c r="S1069" s="13">
        <v>1</v>
      </c>
      <c r="T1069" s="23">
        <v>46247.607812499999</v>
      </c>
      <c r="U1069" s="55">
        <f t="shared" si="48"/>
        <v>1.5</v>
      </c>
      <c r="V1069" s="55">
        <f t="shared" si="49"/>
        <v>0</v>
      </c>
      <c r="W1069" s="56">
        <f t="shared" si="50"/>
        <v>1027.5</v>
      </c>
    </row>
    <row r="1070" spans="1:23" x14ac:dyDescent="0.3">
      <c r="A1070" s="13" t="str" cm="1">
        <f t="array" ref="A1070:B1070">INDEX(BenchmarkResults!$B$1:$D$35,SUMPRODUCT((T1070&gt;=BenchmarkResults!$F$3:$F$35)*(mongodb_hardware_log!T1070&lt;BenchmarkResults!$G$3:$G$35)*ROW(BenchmarkResults!$F$3:$F$35)),{1,3})</f>
        <v>q2_avg_order_city</v>
      </c>
      <c r="B1070">
        <v>3</v>
      </c>
      <c r="C1070" s="13">
        <v>1</v>
      </c>
      <c r="D1070" s="13">
        <v>0</v>
      </c>
      <c r="E1070" s="13">
        <v>133376</v>
      </c>
      <c r="F1070" s="13">
        <v>701756</v>
      </c>
      <c r="G1070" s="13">
        <v>3128</v>
      </c>
      <c r="H1070" s="13">
        <v>1693884</v>
      </c>
      <c r="I1070" s="13">
        <v>0</v>
      </c>
      <c r="J1070" s="13">
        <v>0</v>
      </c>
      <c r="K1070" s="13">
        <v>1615</v>
      </c>
      <c r="L1070" s="13">
        <v>10</v>
      </c>
      <c r="M1070" s="13">
        <v>712</v>
      </c>
      <c r="N1070" s="13">
        <v>208</v>
      </c>
      <c r="O1070" s="13">
        <v>33</v>
      </c>
      <c r="P1070" s="13">
        <v>1</v>
      </c>
      <c r="Q1070" s="13">
        <v>65</v>
      </c>
      <c r="R1070" s="13">
        <v>0</v>
      </c>
      <c r="S1070" s="13">
        <v>0</v>
      </c>
      <c r="T1070" s="23">
        <v>46247.607928240737</v>
      </c>
      <c r="U1070" s="55">
        <f t="shared" si="48"/>
        <v>1.3333333333333333</v>
      </c>
      <c r="V1070" s="55">
        <f t="shared" si="49"/>
        <v>0</v>
      </c>
      <c r="W1070" s="56">
        <f t="shared" si="50"/>
        <v>1097.5</v>
      </c>
    </row>
    <row r="1071" spans="1:23" x14ac:dyDescent="0.3">
      <c r="A1071" s="13" t="str" cm="1">
        <f t="array" ref="A1071:B1071">INDEX(BenchmarkResults!$B$1:$D$35,SUMPRODUCT((T1071&gt;=BenchmarkResults!$F$3:$F$35)*(mongodb_hardware_log!T1071&lt;BenchmarkResults!$G$3:$G$35)*ROW(BenchmarkResults!$F$3:$F$35)),{1,3})</f>
        <v>q2_avg_order_city</v>
      </c>
      <c r="B1071">
        <v>3</v>
      </c>
      <c r="C1071" s="13">
        <v>1</v>
      </c>
      <c r="D1071" s="13">
        <v>0</v>
      </c>
      <c r="E1071" s="13">
        <v>133376</v>
      </c>
      <c r="F1071" s="13">
        <v>686636</v>
      </c>
      <c r="G1071" s="13">
        <v>3136</v>
      </c>
      <c r="H1071" s="13">
        <v>1705804</v>
      </c>
      <c r="I1071" s="13">
        <v>0</v>
      </c>
      <c r="J1071" s="13">
        <v>0</v>
      </c>
      <c r="K1071" s="13">
        <v>1189</v>
      </c>
      <c r="L1071" s="13">
        <v>10</v>
      </c>
      <c r="M1071" s="13">
        <v>711</v>
      </c>
      <c r="N1071" s="13">
        <v>213</v>
      </c>
      <c r="O1071" s="13">
        <v>33</v>
      </c>
      <c r="P1071" s="13">
        <v>1</v>
      </c>
      <c r="Q1071" s="13">
        <v>65</v>
      </c>
      <c r="R1071" s="13">
        <v>0</v>
      </c>
      <c r="S1071" s="13">
        <v>0</v>
      </c>
      <c r="T1071" s="23">
        <v>46247.608043981483</v>
      </c>
      <c r="U1071" s="55">
        <f t="shared" si="48"/>
        <v>1</v>
      </c>
      <c r="V1071" s="55">
        <f t="shared" si="49"/>
        <v>0</v>
      </c>
      <c r="W1071" s="56">
        <f t="shared" si="50"/>
        <v>1196.8333333333333</v>
      </c>
    </row>
    <row r="1072" spans="1:23" x14ac:dyDescent="0.3">
      <c r="A1072" s="13" t="str" cm="1">
        <f t="array" ref="A1072:B1072">INDEX(BenchmarkResults!$B$1:$D$35,SUMPRODUCT((T1072&gt;=BenchmarkResults!$F$3:$F$35)*(mongodb_hardware_log!T1072&lt;BenchmarkResults!$G$3:$G$35)*ROW(BenchmarkResults!$F$3:$F$35)),{1,3})</f>
        <v>q2_avg_order_city</v>
      </c>
      <c r="B1072">
        <v>3</v>
      </c>
      <c r="C1072" s="13">
        <v>2</v>
      </c>
      <c r="D1072" s="13">
        <v>0</v>
      </c>
      <c r="E1072" s="13">
        <v>133376</v>
      </c>
      <c r="F1072" s="13">
        <v>679076</v>
      </c>
      <c r="G1072" s="13">
        <v>3144</v>
      </c>
      <c r="H1072" s="13">
        <v>1716204</v>
      </c>
      <c r="I1072" s="13">
        <v>0</v>
      </c>
      <c r="J1072" s="13">
        <v>0</v>
      </c>
      <c r="K1072" s="13">
        <v>1040</v>
      </c>
      <c r="L1072" s="13">
        <v>29</v>
      </c>
      <c r="M1072" s="13">
        <v>699</v>
      </c>
      <c r="N1072" s="13">
        <v>200</v>
      </c>
      <c r="O1072" s="13">
        <v>33</v>
      </c>
      <c r="P1072" s="13">
        <v>1</v>
      </c>
      <c r="Q1072" s="13">
        <v>65</v>
      </c>
      <c r="R1072" s="13">
        <v>0</v>
      </c>
      <c r="S1072" s="13">
        <v>0</v>
      </c>
      <c r="T1072" s="23">
        <v>46247.608159722222</v>
      </c>
      <c r="U1072" s="55">
        <f t="shared" si="48"/>
        <v>1.1666666666666667</v>
      </c>
      <c r="V1072" s="55">
        <f t="shared" si="49"/>
        <v>0</v>
      </c>
      <c r="W1072" s="56">
        <f t="shared" si="50"/>
        <v>1189.8333333333333</v>
      </c>
    </row>
    <row r="1073" spans="1:23" x14ac:dyDescent="0.3">
      <c r="A1073" s="13" t="str" cm="1">
        <f t="array" ref="A1073:B1073">INDEX(BenchmarkResults!$B$1:$D$35,SUMPRODUCT((T1073&gt;=BenchmarkResults!$F$3:$F$35)*(mongodb_hardware_log!T1073&lt;BenchmarkResults!$G$3:$G$35)*ROW(BenchmarkResults!$F$3:$F$35)),{1,3})</f>
        <v>q2_avg_order_city</v>
      </c>
      <c r="B1073">
        <v>3</v>
      </c>
      <c r="C1073" s="13">
        <v>1</v>
      </c>
      <c r="D1073" s="13">
        <v>0</v>
      </c>
      <c r="E1073" s="13">
        <v>133376</v>
      </c>
      <c r="F1073" s="13">
        <v>663956</v>
      </c>
      <c r="G1073" s="13">
        <v>3152</v>
      </c>
      <c r="H1073" s="13">
        <v>1727520</v>
      </c>
      <c r="I1073" s="13">
        <v>1</v>
      </c>
      <c r="J1073" s="13">
        <v>0</v>
      </c>
      <c r="K1073" s="13">
        <v>1142</v>
      </c>
      <c r="L1073" s="13">
        <v>10</v>
      </c>
      <c r="M1073" s="13">
        <v>698</v>
      </c>
      <c r="N1073" s="13">
        <v>202</v>
      </c>
      <c r="O1073" s="13">
        <v>33</v>
      </c>
      <c r="P1073" s="13">
        <v>1</v>
      </c>
      <c r="Q1073" s="13">
        <v>65</v>
      </c>
      <c r="R1073" s="13">
        <v>0</v>
      </c>
      <c r="S1073" s="13">
        <v>0</v>
      </c>
      <c r="T1073" s="23">
        <v>46247.608275462961</v>
      </c>
      <c r="U1073" s="55">
        <f t="shared" si="48"/>
        <v>1.1666666666666667</v>
      </c>
      <c r="V1073" s="55">
        <f t="shared" si="49"/>
        <v>0</v>
      </c>
      <c r="W1073" s="56">
        <f t="shared" si="50"/>
        <v>1142.3333333333333</v>
      </c>
    </row>
    <row r="1074" spans="1:23" x14ac:dyDescent="0.3">
      <c r="A1074" s="13" t="str" cm="1">
        <f t="array" ref="A1074:B1074">INDEX(BenchmarkResults!$B$1:$D$35,SUMPRODUCT((T1074&gt;=BenchmarkResults!$F$3:$F$35)*(mongodb_hardware_log!T1074&lt;BenchmarkResults!$G$3:$G$35)*ROW(BenchmarkResults!$F$3:$F$35)),{1,3})</f>
        <v>q2_avg_order_city</v>
      </c>
      <c r="B1074">
        <v>3</v>
      </c>
      <c r="C1074" s="13">
        <v>1</v>
      </c>
      <c r="D1074" s="13">
        <v>0</v>
      </c>
      <c r="E1074" s="13">
        <v>133376</v>
      </c>
      <c r="F1074" s="13">
        <v>655388</v>
      </c>
      <c r="G1074" s="13">
        <v>3160</v>
      </c>
      <c r="H1074" s="13">
        <v>1739908</v>
      </c>
      <c r="I1074" s="13">
        <v>0</v>
      </c>
      <c r="J1074" s="13">
        <v>0</v>
      </c>
      <c r="K1074" s="13">
        <v>1229</v>
      </c>
      <c r="L1074" s="13">
        <v>10</v>
      </c>
      <c r="M1074" s="13">
        <v>724</v>
      </c>
      <c r="N1074" s="13">
        <v>220</v>
      </c>
      <c r="O1074" s="13">
        <v>33</v>
      </c>
      <c r="P1074" s="13">
        <v>1</v>
      </c>
      <c r="Q1074" s="13">
        <v>65</v>
      </c>
      <c r="R1074" s="13">
        <v>1</v>
      </c>
      <c r="S1074" s="13">
        <v>0</v>
      </c>
      <c r="T1074" s="23">
        <v>46247.608391203707</v>
      </c>
      <c r="U1074" s="55">
        <f t="shared" si="48"/>
        <v>1.1666666666666667</v>
      </c>
      <c r="V1074" s="55">
        <f t="shared" si="49"/>
        <v>0</v>
      </c>
      <c r="W1074" s="56">
        <f t="shared" si="50"/>
        <v>1226.8333333333333</v>
      </c>
    </row>
    <row r="1075" spans="1:23" x14ac:dyDescent="0.3">
      <c r="A1075" s="13" t="str" cm="1">
        <f t="array" ref="A1075:B1075">INDEX(BenchmarkResults!$B$1:$D$35,SUMPRODUCT((T1075&gt;=BenchmarkResults!$F$3:$F$35)*(mongodb_hardware_log!T1075&lt;BenchmarkResults!$G$3:$G$35)*ROW(BenchmarkResults!$F$3:$F$35)),{1,3})</f>
        <v>q2_avg_order_city</v>
      </c>
      <c r="B1075">
        <v>3</v>
      </c>
      <c r="C1075" s="13">
        <v>1</v>
      </c>
      <c r="D1075" s="13">
        <v>0</v>
      </c>
      <c r="E1075" s="13">
        <v>133376</v>
      </c>
      <c r="F1075" s="13">
        <v>647576</v>
      </c>
      <c r="G1075" s="13">
        <v>3192</v>
      </c>
      <c r="H1075" s="13">
        <v>1750016</v>
      </c>
      <c r="I1075" s="13">
        <v>0</v>
      </c>
      <c r="J1075" s="13">
        <v>0</v>
      </c>
      <c r="K1075" s="13">
        <v>1010</v>
      </c>
      <c r="L1075" s="13">
        <v>30</v>
      </c>
      <c r="M1075" s="13">
        <v>711</v>
      </c>
      <c r="N1075" s="13">
        <v>218</v>
      </c>
      <c r="O1075" s="13">
        <v>33</v>
      </c>
      <c r="P1075" s="13">
        <v>1</v>
      </c>
      <c r="Q1075" s="13">
        <v>65</v>
      </c>
      <c r="R1075" s="13">
        <v>0</v>
      </c>
      <c r="S1075" s="13">
        <v>0</v>
      </c>
      <c r="T1075" s="23">
        <v>46247.608506944445</v>
      </c>
      <c r="U1075" s="55">
        <f t="shared" si="48"/>
        <v>1.1666666666666667</v>
      </c>
      <c r="V1075" s="55">
        <f t="shared" si="49"/>
        <v>0</v>
      </c>
      <c r="W1075" s="56">
        <f t="shared" si="50"/>
        <v>1204.1666666666667</v>
      </c>
    </row>
    <row r="1076" spans="1:23" x14ac:dyDescent="0.3">
      <c r="A1076" s="13" t="str" cm="1">
        <f t="array" ref="A1076:B1076">INDEX(BenchmarkResults!$B$1:$D$35,SUMPRODUCT((T1076&gt;=BenchmarkResults!$F$3:$F$35)*(mongodb_hardware_log!T1076&lt;BenchmarkResults!$G$3:$G$35)*ROW(BenchmarkResults!$F$3:$F$35)),{1,3})</f>
        <v>q2_avg_order_city</v>
      </c>
      <c r="B1076">
        <v>3</v>
      </c>
      <c r="C1076" s="13">
        <v>1</v>
      </c>
      <c r="D1076" s="13">
        <v>0</v>
      </c>
      <c r="E1076" s="13">
        <v>133376</v>
      </c>
      <c r="F1076" s="13">
        <v>638000</v>
      </c>
      <c r="G1076" s="13">
        <v>3200</v>
      </c>
      <c r="H1076" s="13">
        <v>1760048</v>
      </c>
      <c r="I1076" s="13">
        <v>0</v>
      </c>
      <c r="J1076" s="13">
        <v>0</v>
      </c>
      <c r="K1076" s="13">
        <v>1003</v>
      </c>
      <c r="L1076" s="13">
        <v>10</v>
      </c>
      <c r="M1076" s="13">
        <v>704</v>
      </c>
      <c r="N1076" s="13">
        <v>205</v>
      </c>
      <c r="O1076" s="13">
        <v>33</v>
      </c>
      <c r="P1076" s="13">
        <v>1</v>
      </c>
      <c r="Q1076" s="13">
        <v>65</v>
      </c>
      <c r="R1076" s="13">
        <v>0</v>
      </c>
      <c r="S1076" s="13">
        <v>0</v>
      </c>
      <c r="T1076" s="23">
        <v>46247.608622685184</v>
      </c>
      <c r="U1076" s="55">
        <f t="shared" si="48"/>
        <v>1.1666666666666667</v>
      </c>
      <c r="V1076" s="55">
        <f t="shared" si="49"/>
        <v>0</v>
      </c>
      <c r="W1076" s="56">
        <f t="shared" si="50"/>
        <v>1102.1666666666667</v>
      </c>
    </row>
    <row r="1077" spans="1:23" x14ac:dyDescent="0.3">
      <c r="A1077" s="13" t="str" cm="1">
        <f t="array" ref="A1077:B1077">INDEX(BenchmarkResults!$B$1:$D$35,SUMPRODUCT((T1077&gt;=BenchmarkResults!$F$3:$F$35)*(mongodb_hardware_log!T1077&lt;BenchmarkResults!$G$3:$G$35)*ROW(BenchmarkResults!$F$3:$F$35)),{1,3})</f>
        <v>q2_avg_order_city</v>
      </c>
      <c r="B1077">
        <v>3</v>
      </c>
      <c r="C1077" s="13">
        <v>1</v>
      </c>
      <c r="D1077" s="13">
        <v>0</v>
      </c>
      <c r="E1077" s="13">
        <v>133376</v>
      </c>
      <c r="F1077" s="13">
        <v>624140</v>
      </c>
      <c r="G1077" s="13">
        <v>3208</v>
      </c>
      <c r="H1077" s="13">
        <v>1772672</v>
      </c>
      <c r="I1077" s="13">
        <v>0</v>
      </c>
      <c r="J1077" s="13">
        <v>0</v>
      </c>
      <c r="K1077" s="13">
        <v>1262</v>
      </c>
      <c r="L1077" s="13">
        <v>10</v>
      </c>
      <c r="M1077" s="13">
        <v>715</v>
      </c>
      <c r="N1077" s="13">
        <v>215</v>
      </c>
      <c r="O1077" s="13">
        <v>33</v>
      </c>
      <c r="P1077" s="13">
        <v>1</v>
      </c>
      <c r="Q1077" s="13">
        <v>65</v>
      </c>
      <c r="R1077" s="13">
        <v>0</v>
      </c>
      <c r="S1077" s="13">
        <v>0</v>
      </c>
      <c r="T1077" s="23">
        <v>46247.608738425923</v>
      </c>
      <c r="U1077" s="55">
        <f t="shared" si="48"/>
        <v>1.1666666666666667</v>
      </c>
      <c r="V1077" s="55">
        <f t="shared" si="49"/>
        <v>0</v>
      </c>
      <c r="W1077" s="56">
        <f t="shared" si="50"/>
        <v>1114.3333333333333</v>
      </c>
    </row>
    <row r="1078" spans="1:23" x14ac:dyDescent="0.3">
      <c r="A1078" s="13" t="str" cm="1">
        <f t="array" ref="A1078:B1078">INDEX(BenchmarkResults!$B$1:$D$35,SUMPRODUCT((T1078&gt;=BenchmarkResults!$F$3:$F$35)*(mongodb_hardware_log!T1078&lt;BenchmarkResults!$G$3:$G$35)*ROW(BenchmarkResults!$F$3:$F$35)),{1,3})</f>
        <v>q2_avg_order_city</v>
      </c>
      <c r="B1078">
        <v>3</v>
      </c>
      <c r="C1078" s="13">
        <v>1</v>
      </c>
      <c r="D1078" s="13">
        <v>0</v>
      </c>
      <c r="E1078" s="13">
        <v>133376</v>
      </c>
      <c r="F1078" s="13">
        <v>609020</v>
      </c>
      <c r="G1078" s="13">
        <v>3216</v>
      </c>
      <c r="H1078" s="13">
        <v>1786984</v>
      </c>
      <c r="I1078" s="13">
        <v>0</v>
      </c>
      <c r="J1078" s="13">
        <v>0</v>
      </c>
      <c r="K1078" s="13">
        <v>1431</v>
      </c>
      <c r="L1078" s="13">
        <v>10</v>
      </c>
      <c r="M1078" s="13">
        <v>707</v>
      </c>
      <c r="N1078" s="13">
        <v>208</v>
      </c>
      <c r="O1078" s="13">
        <v>33</v>
      </c>
      <c r="P1078" s="13">
        <v>1</v>
      </c>
      <c r="Q1078" s="13">
        <v>65</v>
      </c>
      <c r="R1078" s="13">
        <v>0</v>
      </c>
      <c r="S1078" s="13">
        <v>0</v>
      </c>
      <c r="T1078" s="23">
        <v>46247.608854166669</v>
      </c>
      <c r="U1078" s="55">
        <f t="shared" si="48"/>
        <v>1</v>
      </c>
      <c r="V1078" s="55">
        <f t="shared" si="49"/>
        <v>0</v>
      </c>
      <c r="W1078" s="56">
        <f t="shared" si="50"/>
        <v>1179.5</v>
      </c>
    </row>
    <row r="1079" spans="1:23" x14ac:dyDescent="0.3">
      <c r="A1079" s="13" t="str" cm="1">
        <f t="array" ref="A1079:B1079">INDEX(BenchmarkResults!$B$1:$D$35,SUMPRODUCT((T1079&gt;=BenchmarkResults!$F$3:$F$35)*(mongodb_hardware_log!T1079&lt;BenchmarkResults!$G$3:$G$35)*ROW(BenchmarkResults!$F$3:$F$35)),{1,3})</f>
        <v>q2_avg_order_city</v>
      </c>
      <c r="B1079">
        <v>3</v>
      </c>
      <c r="C1079" s="13">
        <v>1</v>
      </c>
      <c r="D1079" s="13">
        <v>0</v>
      </c>
      <c r="E1079" s="13">
        <v>133376</v>
      </c>
      <c r="F1079" s="13">
        <v>602972</v>
      </c>
      <c r="G1079" s="13">
        <v>3224</v>
      </c>
      <c r="H1079" s="13">
        <v>1801016</v>
      </c>
      <c r="I1079" s="13">
        <v>0</v>
      </c>
      <c r="J1079" s="13">
        <v>0</v>
      </c>
      <c r="K1079" s="13">
        <v>1403</v>
      </c>
      <c r="L1079" s="13">
        <v>12</v>
      </c>
      <c r="M1079" s="13">
        <v>718</v>
      </c>
      <c r="N1079" s="13">
        <v>211</v>
      </c>
      <c r="O1079" s="13">
        <v>33</v>
      </c>
      <c r="P1079" s="13">
        <v>1</v>
      </c>
      <c r="Q1079" s="13">
        <v>65</v>
      </c>
      <c r="R1079" s="13">
        <v>0</v>
      </c>
      <c r="S1079" s="13">
        <v>1</v>
      </c>
      <c r="T1079" s="23">
        <v>46247.608969907407</v>
      </c>
      <c r="U1079" s="55">
        <f t="shared" si="48"/>
        <v>1</v>
      </c>
      <c r="V1079" s="55">
        <f t="shared" si="49"/>
        <v>0</v>
      </c>
      <c r="W1079" s="56">
        <f t="shared" si="50"/>
        <v>1223</v>
      </c>
    </row>
    <row r="1080" spans="1:23" x14ac:dyDescent="0.3">
      <c r="A1080" s="13" t="str" cm="1">
        <f t="array" ref="A1080:B1080">INDEX(BenchmarkResults!$B$1:$D$35,SUMPRODUCT((T1080&gt;=BenchmarkResults!$F$3:$F$35)*(mongodb_hardware_log!T1080&lt;BenchmarkResults!$G$3:$G$35)*ROW(BenchmarkResults!$F$3:$F$35)),{1,3})</f>
        <v>q2_avg_order_city</v>
      </c>
      <c r="B1080">
        <v>3</v>
      </c>
      <c r="C1080" s="13">
        <v>1</v>
      </c>
      <c r="D1080" s="13">
        <v>0</v>
      </c>
      <c r="E1080" s="13">
        <v>133376</v>
      </c>
      <c r="F1080" s="13">
        <v>594532</v>
      </c>
      <c r="G1080" s="13">
        <v>3232</v>
      </c>
      <c r="H1080" s="13">
        <v>1809960</v>
      </c>
      <c r="I1080" s="13">
        <v>0</v>
      </c>
      <c r="J1080" s="13">
        <v>0</v>
      </c>
      <c r="K1080" s="13">
        <v>897</v>
      </c>
      <c r="L1080" s="13">
        <v>10</v>
      </c>
      <c r="M1080" s="13">
        <v>735</v>
      </c>
      <c r="N1080" s="13">
        <v>224</v>
      </c>
      <c r="O1080" s="13">
        <v>33</v>
      </c>
      <c r="P1080" s="13">
        <v>1</v>
      </c>
      <c r="Q1080" s="13">
        <v>64</v>
      </c>
      <c r="R1080" s="13">
        <v>0</v>
      </c>
      <c r="S1080" s="13">
        <v>1</v>
      </c>
      <c r="T1080" s="23">
        <v>46247.609085648146</v>
      </c>
      <c r="U1080" s="55">
        <f t="shared" si="48"/>
        <v>1</v>
      </c>
      <c r="V1080" s="55">
        <f t="shared" si="49"/>
        <v>0</v>
      </c>
      <c r="W1080" s="56">
        <f t="shared" si="50"/>
        <v>1167.6666666666667</v>
      </c>
    </row>
    <row r="1081" spans="1:23" x14ac:dyDescent="0.3">
      <c r="A1081" s="13" t="str" cm="1">
        <f t="array" ref="A1081:B1081">INDEX(BenchmarkResults!$B$1:$D$35,SUMPRODUCT((T1081&gt;=BenchmarkResults!$F$3:$F$35)*(mongodb_hardware_log!T1081&lt;BenchmarkResults!$G$3:$G$35)*ROW(BenchmarkResults!$F$3:$F$35)),{1,3})</f>
        <v>q2_avg_order_city</v>
      </c>
      <c r="B1081">
        <v>3</v>
      </c>
      <c r="C1081" s="13">
        <v>1</v>
      </c>
      <c r="D1081" s="13">
        <v>0</v>
      </c>
      <c r="E1081" s="13">
        <v>133376</v>
      </c>
      <c r="F1081" s="13">
        <v>578656</v>
      </c>
      <c r="G1081" s="13">
        <v>3256</v>
      </c>
      <c r="H1081" s="13">
        <v>1821336</v>
      </c>
      <c r="I1081" s="13">
        <v>0</v>
      </c>
      <c r="J1081" s="13">
        <v>0</v>
      </c>
      <c r="K1081" s="13">
        <v>1134</v>
      </c>
      <c r="L1081" s="13">
        <v>24</v>
      </c>
      <c r="M1081" s="13">
        <v>712</v>
      </c>
      <c r="N1081" s="13">
        <v>213</v>
      </c>
      <c r="O1081" s="13">
        <v>33</v>
      </c>
      <c r="P1081" s="13">
        <v>1</v>
      </c>
      <c r="Q1081" s="13">
        <v>65</v>
      </c>
      <c r="R1081" s="13">
        <v>0</v>
      </c>
      <c r="S1081" s="13">
        <v>0</v>
      </c>
      <c r="T1081" s="23">
        <v>46247.609201388892</v>
      </c>
      <c r="U1081" s="55">
        <f t="shared" si="48"/>
        <v>1</v>
      </c>
      <c r="V1081" s="55">
        <f t="shared" si="49"/>
        <v>0</v>
      </c>
      <c r="W1081" s="56">
        <f t="shared" si="50"/>
        <v>1188.3333333333333</v>
      </c>
    </row>
    <row r="1082" spans="1:23" x14ac:dyDescent="0.3">
      <c r="A1082" s="13" t="str" cm="1">
        <f t="array" ref="A1082:B1082">INDEX(BenchmarkResults!$B$1:$D$35,SUMPRODUCT((T1082&gt;=BenchmarkResults!$F$3:$F$35)*(mongodb_hardware_log!T1082&lt;BenchmarkResults!$G$3:$G$35)*ROW(BenchmarkResults!$F$3:$F$35)),{1,3})</f>
        <v>q2_avg_order_city</v>
      </c>
      <c r="B1082">
        <v>3</v>
      </c>
      <c r="C1082" s="13">
        <v>1</v>
      </c>
      <c r="D1082" s="13">
        <v>0</v>
      </c>
      <c r="E1082" s="13">
        <v>133376</v>
      </c>
      <c r="F1082" s="13">
        <v>576260</v>
      </c>
      <c r="G1082" s="13">
        <v>3264</v>
      </c>
      <c r="H1082" s="13">
        <v>1832068</v>
      </c>
      <c r="I1082" s="13">
        <v>0</v>
      </c>
      <c r="J1082" s="13">
        <v>0</v>
      </c>
      <c r="K1082" s="13">
        <v>1073</v>
      </c>
      <c r="L1082" s="13">
        <v>12</v>
      </c>
      <c r="M1082" s="13">
        <v>708</v>
      </c>
      <c r="N1082" s="13">
        <v>204</v>
      </c>
      <c r="O1082" s="13">
        <v>34</v>
      </c>
      <c r="P1082" s="13">
        <v>1</v>
      </c>
      <c r="Q1082" s="13">
        <v>65</v>
      </c>
      <c r="R1082" s="13">
        <v>0</v>
      </c>
      <c r="S1082" s="13">
        <v>1</v>
      </c>
      <c r="T1082" s="23">
        <v>46247.609317129631</v>
      </c>
      <c r="U1082" s="55">
        <f t="shared" si="48"/>
        <v>1</v>
      </c>
      <c r="V1082" s="55">
        <f t="shared" si="49"/>
        <v>0</v>
      </c>
      <c r="W1082" s="56">
        <f t="shared" si="50"/>
        <v>1200</v>
      </c>
    </row>
    <row r="1083" spans="1:23" x14ac:dyDescent="0.3">
      <c r="A1083" s="13" t="str" cm="1">
        <f t="array" ref="A1083:B1083">INDEX(BenchmarkResults!$B$1:$D$35,SUMPRODUCT((T1083&gt;=BenchmarkResults!$F$3:$F$35)*(mongodb_hardware_log!T1083&lt;BenchmarkResults!$G$3:$G$35)*ROW(BenchmarkResults!$F$3:$F$35)),{1,3})</f>
        <v>q2_avg_order_city</v>
      </c>
      <c r="B1083">
        <v>3</v>
      </c>
      <c r="C1083" s="13">
        <v>1</v>
      </c>
      <c r="D1083" s="13">
        <v>0</v>
      </c>
      <c r="E1083" s="13">
        <v>133376</v>
      </c>
      <c r="F1083" s="13">
        <v>564280</v>
      </c>
      <c r="G1083" s="13">
        <v>3280</v>
      </c>
      <c r="H1083" s="13">
        <v>1844464</v>
      </c>
      <c r="I1083" s="13">
        <v>0</v>
      </c>
      <c r="J1083" s="13">
        <v>0</v>
      </c>
      <c r="K1083" s="13">
        <v>1242</v>
      </c>
      <c r="L1083" s="13">
        <v>24</v>
      </c>
      <c r="M1083" s="13">
        <v>735</v>
      </c>
      <c r="N1083" s="13">
        <v>232</v>
      </c>
      <c r="O1083" s="13">
        <v>33</v>
      </c>
      <c r="P1083" s="13">
        <v>1</v>
      </c>
      <c r="Q1083" s="13">
        <v>65</v>
      </c>
      <c r="R1083" s="13">
        <v>1</v>
      </c>
      <c r="S1083" s="13">
        <v>0</v>
      </c>
      <c r="T1083" s="23">
        <v>46247.609432870369</v>
      </c>
      <c r="U1083" s="55">
        <f t="shared" si="48"/>
        <v>1</v>
      </c>
      <c r="V1083" s="55">
        <f t="shared" si="49"/>
        <v>0</v>
      </c>
      <c r="W1083" s="56">
        <f t="shared" si="50"/>
        <v>1196.6666666666667</v>
      </c>
    </row>
    <row r="1084" spans="1:23" x14ac:dyDescent="0.3">
      <c r="A1084" s="13" t="str" cm="1">
        <f t="array" ref="A1084:B1084">INDEX(BenchmarkResults!$B$1:$D$35,SUMPRODUCT((T1084&gt;=BenchmarkResults!$F$3:$F$35)*(mongodb_hardware_log!T1084&lt;BenchmarkResults!$G$3:$G$35)*ROW(BenchmarkResults!$F$3:$F$35)),{1,3})</f>
        <v>q2_avg_order_city</v>
      </c>
      <c r="B1084">
        <v>3</v>
      </c>
      <c r="C1084" s="13">
        <v>1</v>
      </c>
      <c r="D1084" s="13">
        <v>0</v>
      </c>
      <c r="E1084" s="13">
        <v>133376</v>
      </c>
      <c r="F1084" s="13">
        <v>548404</v>
      </c>
      <c r="G1084" s="13">
        <v>3288</v>
      </c>
      <c r="H1084" s="13">
        <v>1855052</v>
      </c>
      <c r="I1084" s="13">
        <v>0</v>
      </c>
      <c r="J1084" s="13">
        <v>0</v>
      </c>
      <c r="K1084" s="13">
        <v>1056</v>
      </c>
      <c r="L1084" s="13">
        <v>12</v>
      </c>
      <c r="M1084" s="13">
        <v>700</v>
      </c>
      <c r="N1084" s="13">
        <v>200</v>
      </c>
      <c r="O1084" s="13">
        <v>34</v>
      </c>
      <c r="P1084" s="13">
        <v>1</v>
      </c>
      <c r="Q1084" s="13">
        <v>64</v>
      </c>
      <c r="R1084" s="13">
        <v>1</v>
      </c>
      <c r="S1084" s="13">
        <v>0</v>
      </c>
      <c r="T1084" s="23">
        <v>46247.609548611108</v>
      </c>
      <c r="U1084" s="55">
        <f t="shared" si="48"/>
        <v>1</v>
      </c>
      <c r="V1084" s="55">
        <f t="shared" si="49"/>
        <v>0</v>
      </c>
      <c r="W1084" s="56">
        <f t="shared" si="50"/>
        <v>1134.1666666666667</v>
      </c>
    </row>
    <row r="1085" spans="1:23" x14ac:dyDescent="0.3">
      <c r="A1085" s="13" t="str" cm="1">
        <f t="array" ref="A1085:B1085">INDEX(BenchmarkResults!$B$1:$D$35,SUMPRODUCT((T1085&gt;=BenchmarkResults!$F$3:$F$35)*(mongodb_hardware_log!T1085&lt;BenchmarkResults!$G$3:$G$35)*ROW(BenchmarkResults!$F$3:$F$35)),{1,3})</f>
        <v>q2_avg_order_city</v>
      </c>
      <c r="B1085">
        <v>3</v>
      </c>
      <c r="C1085" s="13">
        <v>1</v>
      </c>
      <c r="D1085" s="13">
        <v>0</v>
      </c>
      <c r="E1085" s="13">
        <v>133376</v>
      </c>
      <c r="F1085" s="13">
        <v>540592</v>
      </c>
      <c r="G1085" s="13">
        <v>3296</v>
      </c>
      <c r="H1085" s="13">
        <v>1867796</v>
      </c>
      <c r="I1085" s="13">
        <v>0</v>
      </c>
      <c r="J1085" s="13">
        <v>0</v>
      </c>
      <c r="K1085" s="13">
        <v>1280</v>
      </c>
      <c r="L1085" s="13">
        <v>25</v>
      </c>
      <c r="M1085" s="13">
        <v>707</v>
      </c>
      <c r="N1085" s="13">
        <v>207</v>
      </c>
      <c r="O1085" s="13">
        <v>33</v>
      </c>
      <c r="P1085" s="13">
        <v>1</v>
      </c>
      <c r="Q1085" s="13">
        <v>65</v>
      </c>
      <c r="R1085" s="13">
        <v>0</v>
      </c>
      <c r="S1085" s="13">
        <v>0</v>
      </c>
      <c r="T1085" s="23">
        <v>46247.609664351854</v>
      </c>
      <c r="U1085" s="55">
        <f t="shared" si="48"/>
        <v>1</v>
      </c>
      <c r="V1085" s="55">
        <f t="shared" si="49"/>
        <v>0</v>
      </c>
      <c r="W1085" s="56">
        <f t="shared" si="50"/>
        <v>1113.6666666666667</v>
      </c>
    </row>
    <row r="1086" spans="1:23" x14ac:dyDescent="0.3">
      <c r="A1086" s="13" t="str" cm="1">
        <f t="array" ref="A1086:B1086">INDEX(BenchmarkResults!$B$1:$D$35,SUMPRODUCT((T1086&gt;=BenchmarkResults!$F$3:$F$35)*(mongodb_hardware_log!T1086&lt;BenchmarkResults!$G$3:$G$35)*ROW(BenchmarkResults!$F$3:$F$35)),{1,3})</f>
        <v>q2_avg_order_city</v>
      </c>
      <c r="B1086">
        <v>3</v>
      </c>
      <c r="C1086" s="13">
        <v>1</v>
      </c>
      <c r="D1086" s="13">
        <v>0</v>
      </c>
      <c r="E1086" s="13">
        <v>133376</v>
      </c>
      <c r="F1086" s="13">
        <v>524716</v>
      </c>
      <c r="G1086" s="13">
        <v>3304</v>
      </c>
      <c r="H1086" s="13">
        <v>1877972</v>
      </c>
      <c r="I1086" s="13">
        <v>0</v>
      </c>
      <c r="J1086" s="13">
        <v>0</v>
      </c>
      <c r="K1086" s="13">
        <v>1014</v>
      </c>
      <c r="L1086" s="13">
        <v>14</v>
      </c>
      <c r="M1086" s="13">
        <v>716</v>
      </c>
      <c r="N1086" s="13">
        <v>219</v>
      </c>
      <c r="O1086" s="13">
        <v>34</v>
      </c>
      <c r="P1086" s="13">
        <v>1</v>
      </c>
      <c r="Q1086" s="13">
        <v>65</v>
      </c>
      <c r="R1086" s="13">
        <v>0</v>
      </c>
      <c r="S1086" s="13">
        <v>0</v>
      </c>
      <c r="T1086" s="23">
        <v>46247.609780092593</v>
      </c>
      <c r="U1086" s="55">
        <f t="shared" si="48"/>
        <v>1</v>
      </c>
      <c r="V1086" s="55">
        <f t="shared" si="49"/>
        <v>0</v>
      </c>
      <c r="W1086" s="56">
        <f t="shared" si="50"/>
        <v>1133.1666666666667</v>
      </c>
    </row>
    <row r="1087" spans="1:23" x14ac:dyDescent="0.3">
      <c r="A1087" s="13" t="str" cm="1">
        <f t="array" ref="A1087:B1087">INDEX(BenchmarkResults!$B$1:$D$35,SUMPRODUCT((T1087&gt;=BenchmarkResults!$F$3:$F$35)*(mongodb_hardware_log!T1087&lt;BenchmarkResults!$G$3:$G$35)*ROW(BenchmarkResults!$F$3:$F$35)),{1,3})</f>
        <v>q2_avg_order_city</v>
      </c>
      <c r="B1087">
        <v>3</v>
      </c>
      <c r="C1087" s="13">
        <v>1</v>
      </c>
      <c r="D1087" s="13">
        <v>0</v>
      </c>
      <c r="E1087" s="13">
        <v>133376</v>
      </c>
      <c r="F1087" s="13">
        <v>513880</v>
      </c>
      <c r="G1087" s="13">
        <v>3336</v>
      </c>
      <c r="H1087" s="13">
        <v>1893548</v>
      </c>
      <c r="I1087" s="13">
        <v>0</v>
      </c>
      <c r="J1087" s="13">
        <v>0</v>
      </c>
      <c r="K1087" s="13">
        <v>1560</v>
      </c>
      <c r="L1087" s="13">
        <v>28</v>
      </c>
      <c r="M1087" s="13">
        <v>719</v>
      </c>
      <c r="N1087" s="13">
        <v>219</v>
      </c>
      <c r="O1087" s="13">
        <v>33</v>
      </c>
      <c r="P1087" s="13">
        <v>1</v>
      </c>
      <c r="Q1087" s="13">
        <v>65</v>
      </c>
      <c r="R1087" s="13">
        <v>0</v>
      </c>
      <c r="S1087" s="13">
        <v>0</v>
      </c>
      <c r="T1087" s="23">
        <v>46247.609895833331</v>
      </c>
      <c r="U1087" s="55">
        <f t="shared" si="48"/>
        <v>1</v>
      </c>
      <c r="V1087" s="55">
        <f t="shared" si="49"/>
        <v>0</v>
      </c>
      <c r="W1087" s="56">
        <f t="shared" si="50"/>
        <v>1204.1666666666667</v>
      </c>
    </row>
    <row r="1088" spans="1:23" x14ac:dyDescent="0.3">
      <c r="A1088" s="13" t="str" cm="1">
        <f t="array" ref="A1088:B1088">INDEX(BenchmarkResults!$B$1:$D$35,SUMPRODUCT((T1088&gt;=BenchmarkResults!$F$3:$F$35)*(mongodb_hardware_log!T1088&lt;BenchmarkResults!$G$3:$G$35)*ROW(BenchmarkResults!$F$3:$F$35)),{1,3})</f>
        <v>q2_avg_order_city</v>
      </c>
      <c r="B1088">
        <v>3</v>
      </c>
      <c r="C1088" s="13">
        <v>1</v>
      </c>
      <c r="D1088" s="13">
        <v>0</v>
      </c>
      <c r="E1088" s="13">
        <v>133376</v>
      </c>
      <c r="F1088" s="13">
        <v>514688</v>
      </c>
      <c r="G1088" s="13">
        <v>3344</v>
      </c>
      <c r="H1088" s="13">
        <v>1905164</v>
      </c>
      <c r="I1088" s="13">
        <v>0</v>
      </c>
      <c r="J1088" s="13">
        <v>0</v>
      </c>
      <c r="K1088" s="13">
        <v>1156</v>
      </c>
      <c r="L1088" s="13">
        <v>12</v>
      </c>
      <c r="M1088" s="13">
        <v>696</v>
      </c>
      <c r="N1088" s="13">
        <v>196</v>
      </c>
      <c r="O1088" s="13">
        <v>33</v>
      </c>
      <c r="P1088" s="13">
        <v>1</v>
      </c>
      <c r="Q1088" s="13">
        <v>65</v>
      </c>
      <c r="R1088" s="13">
        <v>0</v>
      </c>
      <c r="S1088" s="13">
        <v>0</v>
      </c>
      <c r="T1088" s="23">
        <v>46247.610011574077</v>
      </c>
      <c r="U1088" s="55">
        <f t="shared" si="48"/>
        <v>1</v>
      </c>
      <c r="V1088" s="55">
        <f t="shared" si="49"/>
        <v>0</v>
      </c>
      <c r="W1088" s="56">
        <f t="shared" si="50"/>
        <v>1218</v>
      </c>
    </row>
    <row r="1089" spans="1:23" x14ac:dyDescent="0.3">
      <c r="A1089" s="13" t="str" cm="1">
        <f t="array" ref="A1089:B1089">INDEX(BenchmarkResults!$B$1:$D$35,SUMPRODUCT((T1089&gt;=BenchmarkResults!$F$3:$F$35)*(mongodb_hardware_log!T1089&lt;BenchmarkResults!$G$3:$G$35)*ROW(BenchmarkResults!$F$3:$F$35)),{1,3})</f>
        <v>q2_avg_order_city</v>
      </c>
      <c r="B1089">
        <v>3</v>
      </c>
      <c r="C1089" s="13">
        <v>3</v>
      </c>
      <c r="D1089" s="13">
        <v>0</v>
      </c>
      <c r="E1089" s="13">
        <v>133376</v>
      </c>
      <c r="F1089" s="13">
        <v>499820</v>
      </c>
      <c r="G1089" s="13">
        <v>3352</v>
      </c>
      <c r="H1089" s="13">
        <v>1917956</v>
      </c>
      <c r="I1089" s="13">
        <v>0</v>
      </c>
      <c r="J1089" s="13">
        <v>0</v>
      </c>
      <c r="K1089" s="13">
        <v>1282</v>
      </c>
      <c r="L1089" s="13">
        <v>12</v>
      </c>
      <c r="M1089" s="13">
        <v>716</v>
      </c>
      <c r="N1089" s="13">
        <v>214</v>
      </c>
      <c r="O1089" s="13">
        <v>33</v>
      </c>
      <c r="P1089" s="13">
        <v>1</v>
      </c>
      <c r="Q1089" s="13">
        <v>64</v>
      </c>
      <c r="R1089" s="13">
        <v>1</v>
      </c>
      <c r="S1089" s="13">
        <v>0</v>
      </c>
      <c r="T1089" s="23">
        <v>46247.610127314816</v>
      </c>
      <c r="U1089" s="55">
        <f t="shared" si="48"/>
        <v>1.3333333333333333</v>
      </c>
      <c r="V1089" s="55">
        <f t="shared" si="49"/>
        <v>0</v>
      </c>
      <c r="W1089" s="56">
        <f t="shared" si="50"/>
        <v>1224.6666666666667</v>
      </c>
    </row>
    <row r="1090" spans="1:23" x14ac:dyDescent="0.3">
      <c r="A1090" s="13" t="str" cm="1">
        <f t="array" ref="A1090:B1090">INDEX(BenchmarkResults!$B$1:$D$35,SUMPRODUCT((T1090&gt;=BenchmarkResults!$F$3:$F$35)*(mongodb_hardware_log!T1090&lt;BenchmarkResults!$G$3:$G$35)*ROW(BenchmarkResults!$F$3:$F$35)),{1,3})</f>
        <v>q2_avg_order_city</v>
      </c>
      <c r="B1090">
        <v>3</v>
      </c>
      <c r="C1090" s="13">
        <v>1</v>
      </c>
      <c r="D1090" s="13">
        <v>0</v>
      </c>
      <c r="E1090" s="13">
        <v>133376</v>
      </c>
      <c r="F1090" s="13">
        <v>484956</v>
      </c>
      <c r="G1090" s="13">
        <v>3360</v>
      </c>
      <c r="H1090" s="13">
        <v>1929800</v>
      </c>
      <c r="I1090" s="13">
        <v>0</v>
      </c>
      <c r="J1090" s="13">
        <v>0</v>
      </c>
      <c r="K1090" s="13">
        <v>1185</v>
      </c>
      <c r="L1090" s="13">
        <v>21</v>
      </c>
      <c r="M1090" s="13">
        <v>737</v>
      </c>
      <c r="N1090" s="13">
        <v>243</v>
      </c>
      <c r="O1090" s="13">
        <v>33</v>
      </c>
      <c r="P1090" s="13">
        <v>1</v>
      </c>
      <c r="Q1090" s="13">
        <v>64</v>
      </c>
      <c r="R1090" s="13">
        <v>1</v>
      </c>
      <c r="S1090" s="13">
        <v>0</v>
      </c>
      <c r="T1090" s="23">
        <v>46247.610243055555</v>
      </c>
      <c r="U1090" s="55">
        <f t="shared" si="48"/>
        <v>1.3333333333333333</v>
      </c>
      <c r="V1090" s="55">
        <f t="shared" si="49"/>
        <v>0</v>
      </c>
      <c r="W1090" s="56">
        <f t="shared" si="50"/>
        <v>1246.1666666666667</v>
      </c>
    </row>
    <row r="1091" spans="1:23" x14ac:dyDescent="0.3">
      <c r="A1091" s="13" t="str" cm="1">
        <f t="array" ref="A1091:B1091">INDEX(BenchmarkResults!$B$1:$D$35,SUMPRODUCT((T1091&gt;=BenchmarkResults!$F$3:$F$35)*(mongodb_hardware_log!T1091&lt;BenchmarkResults!$G$3:$G$35)*ROW(BenchmarkResults!$F$3:$F$35)),{1,3})</f>
        <v>q2_avg_order_city</v>
      </c>
      <c r="B1091">
        <v>3</v>
      </c>
      <c r="C1091" s="13">
        <v>2</v>
      </c>
      <c r="D1091" s="13">
        <v>0</v>
      </c>
      <c r="E1091" s="13">
        <v>133376</v>
      </c>
      <c r="F1091" s="13">
        <v>476388</v>
      </c>
      <c r="G1091" s="13">
        <v>3368</v>
      </c>
      <c r="H1091" s="13">
        <v>1940476</v>
      </c>
      <c r="I1091" s="13">
        <v>0</v>
      </c>
      <c r="J1091" s="13">
        <v>0</v>
      </c>
      <c r="K1091" s="13">
        <v>1067</v>
      </c>
      <c r="L1091" s="13">
        <v>13</v>
      </c>
      <c r="M1091" s="13">
        <v>716</v>
      </c>
      <c r="N1091" s="13">
        <v>215</v>
      </c>
      <c r="O1091" s="13">
        <v>33</v>
      </c>
      <c r="P1091" s="13">
        <v>1</v>
      </c>
      <c r="Q1091" s="13">
        <v>65</v>
      </c>
      <c r="R1091" s="13">
        <v>0</v>
      </c>
      <c r="S1091" s="13">
        <v>0</v>
      </c>
      <c r="T1091" s="23">
        <v>46247.610358796293</v>
      </c>
      <c r="U1091" s="55">
        <f t="shared" si="48"/>
        <v>1.5</v>
      </c>
      <c r="V1091" s="55">
        <f t="shared" si="49"/>
        <v>0</v>
      </c>
      <c r="W1091" s="56">
        <f t="shared" si="50"/>
        <v>1210.6666666666667</v>
      </c>
    </row>
    <row r="1092" spans="1:23" x14ac:dyDescent="0.3">
      <c r="A1092" s="13" t="str" cm="1">
        <f t="array" ref="A1092:B1092">INDEX(BenchmarkResults!$B$1:$D$35,SUMPRODUCT((T1092&gt;=BenchmarkResults!$F$3:$F$35)*(mongodb_hardware_log!T1092&lt;BenchmarkResults!$G$3:$G$35)*ROW(BenchmarkResults!$F$3:$F$35)),{1,3})</f>
        <v>q2_avg_order_city</v>
      </c>
      <c r="B1092">
        <v>3</v>
      </c>
      <c r="C1092" s="13">
        <v>1</v>
      </c>
      <c r="D1092" s="13">
        <v>0</v>
      </c>
      <c r="E1092" s="13">
        <v>133376</v>
      </c>
      <c r="F1092" s="13">
        <v>461268</v>
      </c>
      <c r="G1092" s="13">
        <v>3376</v>
      </c>
      <c r="H1092" s="13">
        <v>1952056</v>
      </c>
      <c r="I1092" s="13">
        <v>0</v>
      </c>
      <c r="J1092" s="13">
        <v>0</v>
      </c>
      <c r="K1092" s="13">
        <v>1158</v>
      </c>
      <c r="L1092" s="13">
        <v>6</v>
      </c>
      <c r="M1092" s="13">
        <v>716</v>
      </c>
      <c r="N1092" s="13">
        <v>209</v>
      </c>
      <c r="O1092" s="13">
        <v>33</v>
      </c>
      <c r="P1092" s="13">
        <v>1</v>
      </c>
      <c r="Q1092" s="13">
        <v>65</v>
      </c>
      <c r="R1092" s="13">
        <v>0</v>
      </c>
      <c r="S1092" s="13">
        <v>0</v>
      </c>
      <c r="T1092" s="23">
        <v>46247.610474537039</v>
      </c>
      <c r="U1092" s="55">
        <f t="shared" si="48"/>
        <v>1.5</v>
      </c>
      <c r="V1092" s="55">
        <f t="shared" si="49"/>
        <v>0</v>
      </c>
      <c r="W1092" s="56">
        <f t="shared" si="50"/>
        <v>1234.6666666666667</v>
      </c>
    </row>
    <row r="1093" spans="1:23" x14ac:dyDescent="0.3">
      <c r="A1093" s="13" t="str" cm="1">
        <f t="array" ref="A1093:B1093">INDEX(BenchmarkResults!$B$1:$D$35,SUMPRODUCT((T1093&gt;=BenchmarkResults!$F$3:$F$35)*(mongodb_hardware_log!T1093&lt;BenchmarkResults!$G$3:$G$35)*ROW(BenchmarkResults!$F$3:$F$35)),{1,3})</f>
        <v>q2_avg_order_city</v>
      </c>
      <c r="B1093">
        <v>3</v>
      </c>
      <c r="C1093" s="13">
        <v>1</v>
      </c>
      <c r="D1093" s="13">
        <v>0</v>
      </c>
      <c r="E1093" s="13">
        <v>133376</v>
      </c>
      <c r="F1093" s="13">
        <v>451856</v>
      </c>
      <c r="G1093" s="13">
        <v>3440</v>
      </c>
      <c r="H1093" s="13">
        <v>1967592</v>
      </c>
      <c r="I1093" s="13">
        <v>0</v>
      </c>
      <c r="J1093" s="13">
        <v>0</v>
      </c>
      <c r="K1093" s="13">
        <v>1548</v>
      </c>
      <c r="L1093" s="13">
        <v>38</v>
      </c>
      <c r="M1093" s="13">
        <v>769</v>
      </c>
      <c r="N1093" s="13">
        <v>281</v>
      </c>
      <c r="O1093" s="13">
        <v>33</v>
      </c>
      <c r="P1093" s="13">
        <v>1</v>
      </c>
      <c r="Q1093" s="13">
        <v>64</v>
      </c>
      <c r="R1093" s="13">
        <v>2</v>
      </c>
      <c r="S1093" s="13">
        <v>0</v>
      </c>
      <c r="T1093" s="23">
        <v>46247.610590277778</v>
      </c>
      <c r="U1093" s="55">
        <f t="shared" si="48"/>
        <v>1.5</v>
      </c>
      <c r="V1093" s="55">
        <f t="shared" si="49"/>
        <v>0</v>
      </c>
      <c r="W1093" s="56">
        <f t="shared" si="50"/>
        <v>1232.6666666666667</v>
      </c>
    </row>
    <row r="1094" spans="1:23" x14ac:dyDescent="0.3">
      <c r="A1094" s="13" t="str" cm="1">
        <f t="array" ref="A1094:B1094">INDEX(BenchmarkResults!$B$1:$D$35,SUMPRODUCT((T1094&gt;=BenchmarkResults!$F$3:$F$35)*(mongodb_hardware_log!T1094&lt;BenchmarkResults!$G$3:$G$35)*ROW(BenchmarkResults!$F$3:$F$35)),{1,3})</f>
        <v>q2_avg_order_city</v>
      </c>
      <c r="B1094">
        <v>3</v>
      </c>
      <c r="C1094" s="13">
        <v>1</v>
      </c>
      <c r="D1094" s="13">
        <v>0</v>
      </c>
      <c r="E1094" s="13">
        <v>133376</v>
      </c>
      <c r="F1094" s="13">
        <v>436988</v>
      </c>
      <c r="G1094" s="13">
        <v>3456</v>
      </c>
      <c r="H1094" s="13">
        <v>1978768</v>
      </c>
      <c r="I1094" s="13">
        <v>0</v>
      </c>
      <c r="J1094" s="13">
        <v>0</v>
      </c>
      <c r="K1094" s="13">
        <v>1115</v>
      </c>
      <c r="L1094" s="13">
        <v>52</v>
      </c>
      <c r="M1094" s="13">
        <v>741</v>
      </c>
      <c r="N1094" s="13">
        <v>246</v>
      </c>
      <c r="O1094" s="13">
        <v>33</v>
      </c>
      <c r="P1094" s="13">
        <v>1</v>
      </c>
      <c r="Q1094" s="13">
        <v>65</v>
      </c>
      <c r="R1094" s="13">
        <v>0</v>
      </c>
      <c r="S1094" s="13">
        <v>0</v>
      </c>
      <c r="T1094" s="23">
        <v>46247.610706018517</v>
      </c>
      <c r="U1094" s="55">
        <f t="shared" si="48"/>
        <v>1.5</v>
      </c>
      <c r="V1094" s="55">
        <f t="shared" si="49"/>
        <v>0</v>
      </c>
      <c r="W1094" s="56">
        <f t="shared" si="50"/>
        <v>1225.8333333333333</v>
      </c>
    </row>
    <row r="1095" spans="1:23" x14ac:dyDescent="0.3">
      <c r="A1095" s="13" t="str" cm="1">
        <f t="array" ref="A1095:B1095">INDEX(BenchmarkResults!$B$1:$D$35,SUMPRODUCT((T1095&gt;=BenchmarkResults!$F$3:$F$35)*(mongodb_hardware_log!T1095&lt;BenchmarkResults!$G$3:$G$35)*ROW(BenchmarkResults!$F$3:$F$35)),{1,3})</f>
        <v>q2_avg_order_city</v>
      </c>
      <c r="B1095">
        <v>3</v>
      </c>
      <c r="C1095" s="13">
        <v>1</v>
      </c>
      <c r="D1095" s="13">
        <v>0</v>
      </c>
      <c r="E1095" s="13">
        <v>133376</v>
      </c>
      <c r="F1095" s="13">
        <v>428924</v>
      </c>
      <c r="G1095" s="13">
        <v>3464</v>
      </c>
      <c r="H1095" s="13">
        <v>1989628</v>
      </c>
      <c r="I1095" s="13">
        <v>0</v>
      </c>
      <c r="J1095" s="13">
        <v>0</v>
      </c>
      <c r="K1095" s="13">
        <v>1088</v>
      </c>
      <c r="L1095" s="13">
        <v>19</v>
      </c>
      <c r="M1095" s="13">
        <v>732</v>
      </c>
      <c r="N1095" s="13">
        <v>236</v>
      </c>
      <c r="O1095" s="13">
        <v>33</v>
      </c>
      <c r="P1095" s="13">
        <v>1</v>
      </c>
      <c r="Q1095" s="13">
        <v>65</v>
      </c>
      <c r="R1095" s="13">
        <v>0</v>
      </c>
      <c r="S1095" s="13">
        <v>0</v>
      </c>
      <c r="T1095" s="23">
        <v>46247.610821759263</v>
      </c>
      <c r="U1095" s="55">
        <f t="shared" si="48"/>
        <v>1.1666666666666667</v>
      </c>
      <c r="V1095" s="55">
        <f t="shared" si="49"/>
        <v>0</v>
      </c>
      <c r="W1095" s="56">
        <f t="shared" si="50"/>
        <v>1193.5</v>
      </c>
    </row>
    <row r="1096" spans="1:23" x14ac:dyDescent="0.3">
      <c r="A1096" s="13" t="str" cm="1">
        <f t="array" ref="A1096:B1096">INDEX(BenchmarkResults!$B$1:$D$35,SUMPRODUCT((T1096&gt;=BenchmarkResults!$F$3:$F$35)*(mongodb_hardware_log!T1096&lt;BenchmarkResults!$G$3:$G$35)*ROW(BenchmarkResults!$F$3:$F$35)),{1,3})</f>
        <v>q2_avg_order_city</v>
      </c>
      <c r="B1096">
        <v>3</v>
      </c>
      <c r="C1096" s="13">
        <v>1</v>
      </c>
      <c r="D1096" s="13">
        <v>0</v>
      </c>
      <c r="E1096" s="13">
        <v>133376</v>
      </c>
      <c r="F1096" s="13">
        <v>417332</v>
      </c>
      <c r="G1096" s="13">
        <v>3472</v>
      </c>
      <c r="H1096" s="13">
        <v>2001132</v>
      </c>
      <c r="I1096" s="13">
        <v>0</v>
      </c>
      <c r="J1096" s="13">
        <v>0</v>
      </c>
      <c r="K1096" s="13">
        <v>1153</v>
      </c>
      <c r="L1096" s="13">
        <v>9</v>
      </c>
      <c r="M1096" s="13">
        <v>707</v>
      </c>
      <c r="N1096" s="13">
        <v>201</v>
      </c>
      <c r="O1096" s="13">
        <v>34</v>
      </c>
      <c r="P1096" s="13">
        <v>2</v>
      </c>
      <c r="Q1096" s="13">
        <v>64</v>
      </c>
      <c r="R1096" s="13">
        <v>0</v>
      </c>
      <c r="S1096" s="13">
        <v>0</v>
      </c>
      <c r="T1096" s="23">
        <v>46247.610937500001</v>
      </c>
      <c r="U1096" s="55">
        <f t="shared" si="48"/>
        <v>1.1666666666666667</v>
      </c>
      <c r="V1096" s="55">
        <f t="shared" si="49"/>
        <v>0</v>
      </c>
      <c r="W1096" s="56">
        <f t="shared" si="50"/>
        <v>1188.1666666666667</v>
      </c>
    </row>
    <row r="1097" spans="1:23" x14ac:dyDescent="0.3">
      <c r="A1097" s="13" t="str" cm="1">
        <f t="array" ref="A1097:B1097">INDEX(BenchmarkResults!$B$1:$D$35,SUMPRODUCT((T1097&gt;=BenchmarkResults!$F$3:$F$35)*(mongodb_hardware_log!T1097&lt;BenchmarkResults!$G$3:$G$35)*ROW(BenchmarkResults!$F$3:$F$35)),{1,3})</f>
        <v>q2_avg_order_city</v>
      </c>
      <c r="B1097">
        <v>3</v>
      </c>
      <c r="C1097" s="13">
        <v>1</v>
      </c>
      <c r="D1097" s="13">
        <v>0</v>
      </c>
      <c r="E1097" s="13">
        <v>133376</v>
      </c>
      <c r="F1097" s="13">
        <v>406244</v>
      </c>
      <c r="G1097" s="13">
        <v>3480</v>
      </c>
      <c r="H1097" s="13">
        <v>2012500</v>
      </c>
      <c r="I1097" s="13">
        <v>0</v>
      </c>
      <c r="J1097" s="13">
        <v>0</v>
      </c>
      <c r="K1097" s="13">
        <v>1137</v>
      </c>
      <c r="L1097" s="13">
        <v>9</v>
      </c>
      <c r="M1097" s="13">
        <v>705</v>
      </c>
      <c r="N1097" s="13">
        <v>210</v>
      </c>
      <c r="O1097" s="13">
        <v>33</v>
      </c>
      <c r="P1097" s="13">
        <v>1</v>
      </c>
      <c r="Q1097" s="13">
        <v>65</v>
      </c>
      <c r="R1097" s="13">
        <v>0</v>
      </c>
      <c r="S1097" s="13">
        <v>0</v>
      </c>
      <c r="T1097" s="23">
        <v>46247.61105324074</v>
      </c>
      <c r="U1097" s="55">
        <f t="shared" ref="U1097:U1160" si="51">AVERAGE(C1092:C1097)</f>
        <v>1</v>
      </c>
      <c r="V1097" s="55">
        <f t="shared" ref="V1097:V1160" si="52">AVERAGE(D1092:D1097)</f>
        <v>0</v>
      </c>
      <c r="W1097" s="56">
        <f t="shared" ref="W1097:W1160" si="53">AVERAGE(K1092:K1097)</f>
        <v>1199.8333333333333</v>
      </c>
    </row>
    <row r="1098" spans="1:23" x14ac:dyDescent="0.3">
      <c r="A1098" s="13" t="str" cm="1">
        <f t="array" ref="A1098:B1098">INDEX(BenchmarkResults!$B$1:$D$35,SUMPRODUCT((T1098&gt;=BenchmarkResults!$F$3:$F$35)*(mongodb_hardware_log!T1098&lt;BenchmarkResults!$G$3:$G$35)*ROW(BenchmarkResults!$F$3:$F$35)),{1,3})</f>
        <v>q2_avg_order_city</v>
      </c>
      <c r="B1098">
        <v>3</v>
      </c>
      <c r="C1098" s="13">
        <v>1</v>
      </c>
      <c r="D1098" s="13">
        <v>0</v>
      </c>
      <c r="E1098" s="13">
        <v>133376</v>
      </c>
      <c r="F1098" s="13">
        <v>392136</v>
      </c>
      <c r="G1098" s="13">
        <v>3488</v>
      </c>
      <c r="H1098" s="13">
        <v>2025540</v>
      </c>
      <c r="I1098" s="13">
        <v>0</v>
      </c>
      <c r="J1098" s="13">
        <v>0</v>
      </c>
      <c r="K1098" s="13">
        <v>1307</v>
      </c>
      <c r="L1098" s="13">
        <v>10</v>
      </c>
      <c r="M1098" s="13">
        <v>737</v>
      </c>
      <c r="N1098" s="13">
        <v>222</v>
      </c>
      <c r="O1098" s="13">
        <v>33</v>
      </c>
      <c r="P1098" s="13">
        <v>1</v>
      </c>
      <c r="Q1098" s="13">
        <v>65</v>
      </c>
      <c r="R1098" s="13">
        <v>0</v>
      </c>
      <c r="S1098" s="13">
        <v>1</v>
      </c>
      <c r="T1098" s="23">
        <v>46247.611168981479</v>
      </c>
      <c r="U1098" s="55">
        <f t="shared" si="51"/>
        <v>1</v>
      </c>
      <c r="V1098" s="55">
        <f t="shared" si="52"/>
        <v>0</v>
      </c>
      <c r="W1098" s="56">
        <f t="shared" si="53"/>
        <v>1224.6666666666667</v>
      </c>
    </row>
    <row r="1099" spans="1:23" x14ac:dyDescent="0.3">
      <c r="A1099" s="13" t="str" cm="1">
        <f t="array" ref="A1099:B1099">INDEX(BenchmarkResults!$B$1:$D$35,SUMPRODUCT((T1099&gt;=BenchmarkResults!$F$3:$F$35)*(mongodb_hardware_log!T1099&lt;BenchmarkResults!$G$3:$G$35)*ROW(BenchmarkResults!$F$3:$F$35)),{1,3})</f>
        <v>q2_avg_order_city</v>
      </c>
      <c r="B1099">
        <v>3</v>
      </c>
      <c r="C1099" s="13">
        <v>1</v>
      </c>
      <c r="D1099" s="13">
        <v>0</v>
      </c>
      <c r="E1099" s="13">
        <v>133376</v>
      </c>
      <c r="F1099" s="13">
        <v>385812</v>
      </c>
      <c r="G1099" s="13">
        <v>3512</v>
      </c>
      <c r="H1099" s="13">
        <v>2034324</v>
      </c>
      <c r="I1099" s="13">
        <v>0</v>
      </c>
      <c r="J1099" s="13">
        <v>0</v>
      </c>
      <c r="K1099" s="13">
        <v>872</v>
      </c>
      <c r="L1099" s="13">
        <v>31</v>
      </c>
      <c r="M1099" s="13">
        <v>717</v>
      </c>
      <c r="N1099" s="13">
        <v>221</v>
      </c>
      <c r="O1099" s="13">
        <v>33</v>
      </c>
      <c r="P1099" s="13">
        <v>1</v>
      </c>
      <c r="Q1099" s="13">
        <v>64</v>
      </c>
      <c r="R1099" s="13">
        <v>1</v>
      </c>
      <c r="S1099" s="13">
        <v>0</v>
      </c>
      <c r="T1099" s="23">
        <v>46247.611284722225</v>
      </c>
      <c r="U1099" s="55">
        <f t="shared" si="51"/>
        <v>1</v>
      </c>
      <c r="V1099" s="55">
        <f t="shared" si="52"/>
        <v>0</v>
      </c>
      <c r="W1099" s="56">
        <f t="shared" si="53"/>
        <v>1112</v>
      </c>
    </row>
    <row r="1100" spans="1:23" x14ac:dyDescent="0.3">
      <c r="A1100" s="13" t="str" cm="1">
        <f t="array" ref="A1100:B1100">INDEX(BenchmarkResults!$B$1:$D$35,SUMPRODUCT((T1100&gt;=BenchmarkResults!$F$3:$F$35)*(mongodb_hardware_log!T1100&lt;BenchmarkResults!$G$3:$G$35)*ROW(BenchmarkResults!$F$3:$F$35)),{1,3})</f>
        <v>q2_avg_order_city</v>
      </c>
      <c r="B1100">
        <v>3</v>
      </c>
      <c r="C1100" s="13">
        <v>1</v>
      </c>
      <c r="D1100" s="13">
        <v>0</v>
      </c>
      <c r="E1100" s="13">
        <v>133376</v>
      </c>
      <c r="F1100" s="13">
        <v>369432</v>
      </c>
      <c r="G1100" s="13">
        <v>3520</v>
      </c>
      <c r="H1100" s="13">
        <v>2048516</v>
      </c>
      <c r="I1100" s="13">
        <v>0</v>
      </c>
      <c r="J1100" s="13">
        <v>0</v>
      </c>
      <c r="K1100" s="13">
        <v>1416</v>
      </c>
      <c r="L1100" s="13">
        <v>12</v>
      </c>
      <c r="M1100" s="13">
        <v>712</v>
      </c>
      <c r="N1100" s="13">
        <v>207</v>
      </c>
      <c r="O1100" s="13">
        <v>33</v>
      </c>
      <c r="P1100" s="13">
        <v>1</v>
      </c>
      <c r="Q1100" s="13">
        <v>65</v>
      </c>
      <c r="R1100" s="13">
        <v>0</v>
      </c>
      <c r="S1100" s="13">
        <v>0</v>
      </c>
      <c r="T1100" s="23">
        <v>46247.611400462964</v>
      </c>
      <c r="U1100" s="55">
        <f t="shared" si="51"/>
        <v>1</v>
      </c>
      <c r="V1100" s="55">
        <f t="shared" si="52"/>
        <v>0</v>
      </c>
      <c r="W1100" s="56">
        <f t="shared" si="53"/>
        <v>1162.1666666666667</v>
      </c>
    </row>
    <row r="1101" spans="1:23" x14ac:dyDescent="0.3">
      <c r="A1101" s="13" t="str" cm="1">
        <f t="array" ref="A1101:B1101">INDEX(BenchmarkResults!$B$1:$D$35,SUMPRODUCT((T1101&gt;=BenchmarkResults!$F$3:$F$35)*(mongodb_hardware_log!T1101&lt;BenchmarkResults!$G$3:$G$35)*ROW(BenchmarkResults!$F$3:$F$35)),{1,3})</f>
        <v>q2_avg_order_city</v>
      </c>
      <c r="B1101">
        <v>3</v>
      </c>
      <c r="C1101" s="13">
        <v>1</v>
      </c>
      <c r="D1101" s="13">
        <v>0</v>
      </c>
      <c r="E1101" s="13">
        <v>133376</v>
      </c>
      <c r="F1101" s="13">
        <v>357840</v>
      </c>
      <c r="G1101" s="13">
        <v>3528</v>
      </c>
      <c r="H1101" s="13">
        <v>2059564</v>
      </c>
      <c r="I1101" s="13">
        <v>0</v>
      </c>
      <c r="J1101" s="13">
        <v>0</v>
      </c>
      <c r="K1101" s="13">
        <v>1113</v>
      </c>
      <c r="L1101" s="13">
        <v>8</v>
      </c>
      <c r="M1101" s="13">
        <v>703</v>
      </c>
      <c r="N1101" s="13">
        <v>205</v>
      </c>
      <c r="O1101" s="13">
        <v>34</v>
      </c>
      <c r="P1101" s="13">
        <v>1</v>
      </c>
      <c r="Q1101" s="13">
        <v>64</v>
      </c>
      <c r="R1101" s="13">
        <v>1</v>
      </c>
      <c r="S1101" s="13">
        <v>0</v>
      </c>
      <c r="T1101" s="23">
        <v>46247.611516203702</v>
      </c>
      <c r="U1101" s="55">
        <f t="shared" si="51"/>
        <v>1</v>
      </c>
      <c r="V1101" s="55">
        <f t="shared" si="52"/>
        <v>0</v>
      </c>
      <c r="W1101" s="56">
        <f t="shared" si="53"/>
        <v>1166.3333333333333</v>
      </c>
    </row>
    <row r="1102" spans="1:23" x14ac:dyDescent="0.3">
      <c r="A1102" s="13" t="str" cm="1">
        <f t="array" ref="A1102:B1102">INDEX(BenchmarkResults!$B$1:$D$35,SUMPRODUCT((T1102&gt;=BenchmarkResults!$F$3:$F$35)*(mongodb_hardware_log!T1102&lt;BenchmarkResults!$G$3:$G$35)*ROW(BenchmarkResults!$F$3:$F$35)),{1,3})</f>
        <v>q2_avg_order_city</v>
      </c>
      <c r="B1102">
        <v>3</v>
      </c>
      <c r="C1102" s="13">
        <v>1</v>
      </c>
      <c r="D1102" s="13">
        <v>0</v>
      </c>
      <c r="E1102" s="13">
        <v>133376</v>
      </c>
      <c r="F1102" s="13">
        <v>345744</v>
      </c>
      <c r="G1102" s="13">
        <v>3536</v>
      </c>
      <c r="H1102" s="13">
        <v>2071520</v>
      </c>
      <c r="I1102" s="13">
        <v>0</v>
      </c>
      <c r="J1102" s="13">
        <v>0</v>
      </c>
      <c r="K1102" s="13">
        <v>1196</v>
      </c>
      <c r="L1102" s="13">
        <v>23</v>
      </c>
      <c r="M1102" s="13">
        <v>716</v>
      </c>
      <c r="N1102" s="13">
        <v>219</v>
      </c>
      <c r="O1102" s="13">
        <v>33</v>
      </c>
      <c r="P1102" s="13">
        <v>1</v>
      </c>
      <c r="Q1102" s="13">
        <v>65</v>
      </c>
      <c r="R1102" s="13">
        <v>1</v>
      </c>
      <c r="S1102" s="13">
        <v>0</v>
      </c>
      <c r="T1102" s="23">
        <v>46247.611631944441</v>
      </c>
      <c r="U1102" s="55">
        <f t="shared" si="51"/>
        <v>1</v>
      </c>
      <c r="V1102" s="55">
        <f t="shared" si="52"/>
        <v>0</v>
      </c>
      <c r="W1102" s="56">
        <f t="shared" si="53"/>
        <v>1173.5</v>
      </c>
    </row>
    <row r="1103" spans="1:23" x14ac:dyDescent="0.3">
      <c r="A1103" s="13" t="str" cm="1">
        <f t="array" ref="A1103:B1103">INDEX(BenchmarkResults!$B$1:$D$35,SUMPRODUCT((T1103&gt;=BenchmarkResults!$F$3:$F$35)*(mongodb_hardware_log!T1103&lt;BenchmarkResults!$G$3:$G$35)*ROW(BenchmarkResults!$F$3:$F$35)),{1,3})</f>
        <v>q2_avg_order_city</v>
      </c>
      <c r="B1103">
        <v>3</v>
      </c>
      <c r="C1103" s="13">
        <v>1</v>
      </c>
      <c r="D1103" s="13">
        <v>0</v>
      </c>
      <c r="E1103" s="13">
        <v>133376</v>
      </c>
      <c r="F1103" s="13">
        <v>340540</v>
      </c>
      <c r="G1103" s="13">
        <v>3544</v>
      </c>
      <c r="H1103" s="13">
        <v>2080828</v>
      </c>
      <c r="I1103" s="13">
        <v>0</v>
      </c>
      <c r="J1103" s="13">
        <v>0</v>
      </c>
      <c r="K1103" s="13">
        <v>922</v>
      </c>
      <c r="L1103" s="13">
        <v>10</v>
      </c>
      <c r="M1103" s="13">
        <v>719</v>
      </c>
      <c r="N1103" s="13">
        <v>224</v>
      </c>
      <c r="O1103" s="13">
        <v>34</v>
      </c>
      <c r="P1103" s="13">
        <v>1</v>
      </c>
      <c r="Q1103" s="13">
        <v>65</v>
      </c>
      <c r="R1103" s="13">
        <v>0</v>
      </c>
      <c r="S1103" s="13">
        <v>0</v>
      </c>
      <c r="T1103" s="23">
        <v>46247.611747685187</v>
      </c>
      <c r="U1103" s="55">
        <f t="shared" si="51"/>
        <v>1</v>
      </c>
      <c r="V1103" s="55">
        <f t="shared" si="52"/>
        <v>0</v>
      </c>
      <c r="W1103" s="56">
        <f t="shared" si="53"/>
        <v>1137.6666666666667</v>
      </c>
    </row>
    <row r="1104" spans="1:23" x14ac:dyDescent="0.3">
      <c r="A1104" s="13" t="str" cm="1">
        <f t="array" ref="A1104:B1104">INDEX(BenchmarkResults!$B$1:$D$35,SUMPRODUCT((T1104&gt;=BenchmarkResults!$F$3:$F$35)*(mongodb_hardware_log!T1104&lt;BenchmarkResults!$G$3:$G$35)*ROW(BenchmarkResults!$F$3:$F$35)),{1,3})</f>
        <v>q2_avg_order_city</v>
      </c>
      <c r="B1104">
        <v>3</v>
      </c>
      <c r="C1104" s="13">
        <v>1</v>
      </c>
      <c r="D1104" s="13">
        <v>0</v>
      </c>
      <c r="E1104" s="13">
        <v>133376</v>
      </c>
      <c r="F1104" s="13">
        <v>324664</v>
      </c>
      <c r="G1104" s="13">
        <v>3552</v>
      </c>
      <c r="H1104" s="13">
        <v>2093192</v>
      </c>
      <c r="I1104" s="13">
        <v>0</v>
      </c>
      <c r="J1104" s="13">
        <v>0</v>
      </c>
      <c r="K1104" s="13">
        <v>1239</v>
      </c>
      <c r="L1104" s="13">
        <v>18</v>
      </c>
      <c r="M1104" s="13">
        <v>720</v>
      </c>
      <c r="N1104" s="13">
        <v>212</v>
      </c>
      <c r="O1104" s="13">
        <v>33</v>
      </c>
      <c r="P1104" s="13">
        <v>1</v>
      </c>
      <c r="Q1104" s="13">
        <v>65</v>
      </c>
      <c r="R1104" s="13">
        <v>0</v>
      </c>
      <c r="S1104" s="13">
        <v>0</v>
      </c>
      <c r="T1104" s="23">
        <v>46247.611863425926</v>
      </c>
      <c r="U1104" s="55">
        <f t="shared" si="51"/>
        <v>1</v>
      </c>
      <c r="V1104" s="55">
        <f t="shared" si="52"/>
        <v>0</v>
      </c>
      <c r="W1104" s="56">
        <f t="shared" si="53"/>
        <v>1126.3333333333333</v>
      </c>
    </row>
    <row r="1105" spans="1:23" x14ac:dyDescent="0.3">
      <c r="A1105" s="13" t="str" cm="1">
        <f t="array" ref="A1105:B1105">INDEX(BenchmarkResults!$B$1:$D$35,SUMPRODUCT((T1105&gt;=BenchmarkResults!$F$3:$F$35)*(mongodb_hardware_log!T1105&lt;BenchmarkResults!$G$3:$G$35)*ROW(BenchmarkResults!$F$3:$F$35)),{1,3})</f>
        <v>q2_avg_order_city</v>
      </c>
      <c r="B1105">
        <v>3</v>
      </c>
      <c r="C1105" s="13">
        <v>1</v>
      </c>
      <c r="D1105" s="13">
        <v>0</v>
      </c>
      <c r="E1105" s="13">
        <v>133376</v>
      </c>
      <c r="F1105" s="13">
        <v>316600</v>
      </c>
      <c r="G1105" s="13">
        <v>3584</v>
      </c>
      <c r="H1105" s="13">
        <v>2102868</v>
      </c>
      <c r="I1105" s="13">
        <v>0</v>
      </c>
      <c r="J1105" s="13">
        <v>0</v>
      </c>
      <c r="K1105" s="13">
        <v>966</v>
      </c>
      <c r="L1105" s="13">
        <v>26</v>
      </c>
      <c r="M1105" s="13">
        <v>725</v>
      </c>
      <c r="N1105" s="13">
        <v>216</v>
      </c>
      <c r="O1105" s="13">
        <v>33</v>
      </c>
      <c r="P1105" s="13">
        <v>1</v>
      </c>
      <c r="Q1105" s="13">
        <v>64</v>
      </c>
      <c r="R1105" s="13">
        <v>0</v>
      </c>
      <c r="S1105" s="13">
        <v>1</v>
      </c>
      <c r="T1105" s="23">
        <v>46247.611979166664</v>
      </c>
      <c r="U1105" s="55">
        <f t="shared" si="51"/>
        <v>1</v>
      </c>
      <c r="V1105" s="55">
        <f t="shared" si="52"/>
        <v>0</v>
      </c>
      <c r="W1105" s="56">
        <f t="shared" si="53"/>
        <v>1142</v>
      </c>
    </row>
    <row r="1106" spans="1:23" x14ac:dyDescent="0.3">
      <c r="A1106" s="13" t="str" cm="1">
        <f t="array" ref="A1106:B1106">INDEX(BenchmarkResults!$B$1:$D$35,SUMPRODUCT((T1106&gt;=BenchmarkResults!$F$3:$F$35)*(mongodb_hardware_log!T1106&lt;BenchmarkResults!$G$3:$G$35)*ROW(BenchmarkResults!$F$3:$F$35)),{1,3})</f>
        <v>q2_avg_order_city</v>
      </c>
      <c r="B1106">
        <v>3</v>
      </c>
      <c r="C1106" s="13">
        <v>2</v>
      </c>
      <c r="D1106" s="13">
        <v>0</v>
      </c>
      <c r="E1106" s="13">
        <v>133376</v>
      </c>
      <c r="F1106" s="13">
        <v>307528</v>
      </c>
      <c r="G1106" s="13">
        <v>3592</v>
      </c>
      <c r="H1106" s="13">
        <v>2113108</v>
      </c>
      <c r="I1106" s="13">
        <v>0</v>
      </c>
      <c r="J1106" s="13">
        <v>0</v>
      </c>
      <c r="K1106" s="13">
        <v>1024</v>
      </c>
      <c r="L1106" s="13">
        <v>24</v>
      </c>
      <c r="M1106" s="13">
        <v>825</v>
      </c>
      <c r="N1106" s="13">
        <v>234</v>
      </c>
      <c r="O1106" s="13">
        <v>30</v>
      </c>
      <c r="P1106" s="13">
        <v>1</v>
      </c>
      <c r="Q1106" s="13">
        <v>59</v>
      </c>
      <c r="R1106" s="13">
        <v>0</v>
      </c>
      <c r="S1106" s="13">
        <v>10</v>
      </c>
      <c r="T1106" s="23">
        <v>46247.61209490741</v>
      </c>
      <c r="U1106" s="55">
        <f t="shared" si="51"/>
        <v>1.1666666666666667</v>
      </c>
      <c r="V1106" s="55">
        <f t="shared" si="52"/>
        <v>0</v>
      </c>
      <c r="W1106" s="56">
        <f t="shared" si="53"/>
        <v>1076.6666666666667</v>
      </c>
    </row>
    <row r="1107" spans="1:23" x14ac:dyDescent="0.3">
      <c r="A1107" s="13" t="str" cm="1">
        <f t="array" ref="A1107:B1107">INDEX(BenchmarkResults!$B$1:$D$35,SUMPRODUCT((T1107&gt;=BenchmarkResults!$F$3:$F$35)*(mongodb_hardware_log!T1107&lt;BenchmarkResults!$G$3:$G$35)*ROW(BenchmarkResults!$F$3:$F$35)),{1,3})</f>
        <v>q2_avg_order_city</v>
      </c>
      <c r="B1107">
        <v>3</v>
      </c>
      <c r="C1107" s="13">
        <v>1</v>
      </c>
      <c r="D1107" s="13">
        <v>0</v>
      </c>
      <c r="E1107" s="13">
        <v>133376</v>
      </c>
      <c r="F1107" s="13">
        <v>296440</v>
      </c>
      <c r="G1107" s="13">
        <v>3600</v>
      </c>
      <c r="H1107" s="13">
        <v>2125396</v>
      </c>
      <c r="I1107" s="13">
        <v>0</v>
      </c>
      <c r="J1107" s="13">
        <v>0</v>
      </c>
      <c r="K1107" s="13">
        <v>1238</v>
      </c>
      <c r="L1107" s="13">
        <v>11</v>
      </c>
      <c r="M1107" s="13">
        <v>785</v>
      </c>
      <c r="N1107" s="13">
        <v>222</v>
      </c>
      <c r="O1107" s="13">
        <v>32</v>
      </c>
      <c r="P1107" s="13">
        <v>1</v>
      </c>
      <c r="Q1107" s="13">
        <v>62</v>
      </c>
      <c r="R1107" s="13">
        <v>1</v>
      </c>
      <c r="S1107" s="13">
        <v>5</v>
      </c>
      <c r="T1107" s="23">
        <v>46247.612210648149</v>
      </c>
      <c r="U1107" s="55">
        <f t="shared" si="51"/>
        <v>1.1666666666666667</v>
      </c>
      <c r="V1107" s="55">
        <f t="shared" si="52"/>
        <v>0</v>
      </c>
      <c r="W1107" s="56">
        <f t="shared" si="53"/>
        <v>1097.5</v>
      </c>
    </row>
    <row r="1108" spans="1:23" x14ac:dyDescent="0.3">
      <c r="A1108" s="13" t="str" cm="1">
        <f t="array" ref="A1108:B1108">INDEX(BenchmarkResults!$B$1:$D$35,SUMPRODUCT((T1108&gt;=BenchmarkResults!$F$3:$F$35)*(mongodb_hardware_log!T1108&lt;BenchmarkResults!$G$3:$G$35)*ROW(BenchmarkResults!$F$3:$F$35)),{1,3})</f>
        <v>q2_avg_order_city</v>
      </c>
      <c r="B1108">
        <v>3</v>
      </c>
      <c r="C1108" s="13">
        <v>1</v>
      </c>
      <c r="D1108" s="13">
        <v>0</v>
      </c>
      <c r="E1108" s="13">
        <v>133376</v>
      </c>
      <c r="F1108" s="13">
        <v>282076</v>
      </c>
      <c r="G1108" s="13">
        <v>3608</v>
      </c>
      <c r="H1108" s="13">
        <v>2136208</v>
      </c>
      <c r="I1108" s="13">
        <v>0</v>
      </c>
      <c r="J1108" s="13">
        <v>0</v>
      </c>
      <c r="K1108" s="13">
        <v>1074</v>
      </c>
      <c r="L1108" s="13">
        <v>20</v>
      </c>
      <c r="M1108" s="13">
        <v>707</v>
      </c>
      <c r="N1108" s="13">
        <v>206</v>
      </c>
      <c r="O1108" s="13">
        <v>33</v>
      </c>
      <c r="P1108" s="13">
        <v>1</v>
      </c>
      <c r="Q1108" s="13">
        <v>65</v>
      </c>
      <c r="R1108" s="13">
        <v>0</v>
      </c>
      <c r="S1108" s="13">
        <v>0</v>
      </c>
      <c r="T1108" s="23">
        <v>46247.612326388888</v>
      </c>
      <c r="U1108" s="55">
        <f t="shared" si="51"/>
        <v>1.1666666666666667</v>
      </c>
      <c r="V1108" s="55">
        <f t="shared" si="52"/>
        <v>0</v>
      </c>
      <c r="W1108" s="56">
        <f t="shared" si="53"/>
        <v>1077.1666666666667</v>
      </c>
    </row>
    <row r="1109" spans="1:23" x14ac:dyDescent="0.3">
      <c r="A1109" s="13" t="str" cm="1">
        <f t="array" ref="A1109:B1109">INDEX(BenchmarkResults!$B$1:$D$35,SUMPRODUCT((T1109&gt;=BenchmarkResults!$F$3:$F$35)*(mongodb_hardware_log!T1109&lt;BenchmarkResults!$G$3:$G$35)*ROW(BenchmarkResults!$F$3:$F$35)),{1,3})</f>
        <v>q2_avg_order_city</v>
      </c>
      <c r="B1109">
        <v>3</v>
      </c>
      <c r="C1109" s="13">
        <v>1</v>
      </c>
      <c r="D1109" s="13">
        <v>0</v>
      </c>
      <c r="E1109" s="13">
        <v>133376</v>
      </c>
      <c r="F1109" s="13">
        <v>273760</v>
      </c>
      <c r="G1109" s="13">
        <v>3616</v>
      </c>
      <c r="H1109" s="13">
        <v>2146340</v>
      </c>
      <c r="I1109" s="13">
        <v>1</v>
      </c>
      <c r="J1109" s="13">
        <v>0</v>
      </c>
      <c r="K1109" s="13">
        <v>1015</v>
      </c>
      <c r="L1109" s="13">
        <v>11</v>
      </c>
      <c r="M1109" s="13">
        <v>733</v>
      </c>
      <c r="N1109" s="13">
        <v>234</v>
      </c>
      <c r="O1109" s="13">
        <v>33</v>
      </c>
      <c r="P1109" s="13">
        <v>1</v>
      </c>
      <c r="Q1109" s="13">
        <v>65</v>
      </c>
      <c r="R1109" s="13">
        <v>1</v>
      </c>
      <c r="S1109" s="13">
        <v>0</v>
      </c>
      <c r="T1109" s="23">
        <v>46247.612442129626</v>
      </c>
      <c r="U1109" s="55">
        <f t="shared" si="51"/>
        <v>1.1666666666666667</v>
      </c>
      <c r="V1109" s="55">
        <f t="shared" si="52"/>
        <v>0</v>
      </c>
      <c r="W1109" s="56">
        <f t="shared" si="53"/>
        <v>1092.6666666666667</v>
      </c>
    </row>
    <row r="1110" spans="1:23" x14ac:dyDescent="0.3">
      <c r="A1110" s="13" t="str" cm="1">
        <f t="array" ref="A1110:B1110">INDEX(BenchmarkResults!$B$1:$D$35,SUMPRODUCT((T1110&gt;=BenchmarkResults!$F$3:$F$35)*(mongodb_hardware_log!T1110&lt;BenchmarkResults!$G$3:$G$35)*ROW(BenchmarkResults!$F$3:$F$35)),{1,3})</f>
        <v>q2_avg_order_city</v>
      </c>
      <c r="B1110">
        <v>3</v>
      </c>
      <c r="C1110" s="13">
        <v>1</v>
      </c>
      <c r="D1110" s="13">
        <v>0</v>
      </c>
      <c r="E1110" s="13">
        <v>133376</v>
      </c>
      <c r="F1110" s="13">
        <v>264436</v>
      </c>
      <c r="G1110" s="13">
        <v>3624</v>
      </c>
      <c r="H1110" s="13">
        <v>2156064</v>
      </c>
      <c r="I1110" s="13">
        <v>0</v>
      </c>
      <c r="J1110" s="13">
        <v>0</v>
      </c>
      <c r="K1110" s="13">
        <v>970</v>
      </c>
      <c r="L1110" s="13">
        <v>11</v>
      </c>
      <c r="M1110" s="13">
        <v>733</v>
      </c>
      <c r="N1110" s="13">
        <v>221</v>
      </c>
      <c r="O1110" s="13">
        <v>33</v>
      </c>
      <c r="P1110" s="13">
        <v>1</v>
      </c>
      <c r="Q1110" s="13">
        <v>65</v>
      </c>
      <c r="R1110" s="13">
        <v>1</v>
      </c>
      <c r="S1110" s="13">
        <v>0</v>
      </c>
      <c r="T1110" s="23">
        <v>46247.612557870372</v>
      </c>
      <c r="U1110" s="55">
        <f t="shared" si="51"/>
        <v>1.1666666666666667</v>
      </c>
      <c r="V1110" s="55">
        <f t="shared" si="52"/>
        <v>0</v>
      </c>
      <c r="W1110" s="56">
        <f t="shared" si="53"/>
        <v>1047.8333333333333</v>
      </c>
    </row>
    <row r="1111" spans="1:23" x14ac:dyDescent="0.3">
      <c r="A1111" s="13" t="str" cm="1">
        <f t="array" ref="A1111:B1111">INDEX(BenchmarkResults!$B$1:$D$35,SUMPRODUCT((T1111&gt;=BenchmarkResults!$F$3:$F$35)*(mongodb_hardware_log!T1111&lt;BenchmarkResults!$G$3:$G$35)*ROW(BenchmarkResults!$F$3:$F$35)),{1,3})</f>
        <v>q2_avg_order_city</v>
      </c>
      <c r="B1111">
        <v>3</v>
      </c>
      <c r="C1111" s="13">
        <v>1</v>
      </c>
      <c r="D1111" s="13">
        <v>0</v>
      </c>
      <c r="E1111" s="13">
        <v>133376</v>
      </c>
      <c r="F1111" s="13">
        <v>250576</v>
      </c>
      <c r="G1111" s="13">
        <v>3648</v>
      </c>
      <c r="H1111" s="13">
        <v>2167480</v>
      </c>
      <c r="I1111" s="13">
        <v>0</v>
      </c>
      <c r="J1111" s="13">
        <v>0</v>
      </c>
      <c r="K1111" s="13">
        <v>1144</v>
      </c>
      <c r="L1111" s="13">
        <v>25</v>
      </c>
      <c r="M1111" s="13">
        <v>723</v>
      </c>
      <c r="N1111" s="13">
        <v>218</v>
      </c>
      <c r="O1111" s="13">
        <v>33</v>
      </c>
      <c r="P1111" s="13">
        <v>1</v>
      </c>
      <c r="Q1111" s="13">
        <v>65</v>
      </c>
      <c r="R1111" s="13">
        <v>0</v>
      </c>
      <c r="S1111" s="13">
        <v>1</v>
      </c>
      <c r="T1111" s="23">
        <v>46247.612673611111</v>
      </c>
      <c r="U1111" s="55">
        <f t="shared" si="51"/>
        <v>1.1666666666666667</v>
      </c>
      <c r="V1111" s="55">
        <f t="shared" si="52"/>
        <v>0</v>
      </c>
      <c r="W1111" s="56">
        <f t="shared" si="53"/>
        <v>1077.5</v>
      </c>
    </row>
    <row r="1112" spans="1:23" x14ac:dyDescent="0.3">
      <c r="A1112" s="13" t="str" cm="1">
        <f t="array" ref="A1112:B1112">INDEX(BenchmarkResults!$B$1:$D$35,SUMPRODUCT((T1112&gt;=BenchmarkResults!$F$3:$F$35)*(mongodb_hardware_log!T1112&lt;BenchmarkResults!$G$3:$G$35)*ROW(BenchmarkResults!$F$3:$F$35)),{1,3})</f>
        <v>q2_avg_order_city</v>
      </c>
      <c r="B1112">
        <v>3</v>
      </c>
      <c r="C1112" s="13">
        <v>1</v>
      </c>
      <c r="D1112" s="13">
        <v>0</v>
      </c>
      <c r="E1112" s="13">
        <v>133376</v>
      </c>
      <c r="F1112" s="13">
        <v>242288</v>
      </c>
      <c r="G1112" s="13">
        <v>3656</v>
      </c>
      <c r="H1112" s="13">
        <v>2177460</v>
      </c>
      <c r="I1112" s="13">
        <v>0</v>
      </c>
      <c r="J1112" s="13">
        <v>0</v>
      </c>
      <c r="K1112" s="13">
        <v>996</v>
      </c>
      <c r="L1112" s="13">
        <v>18</v>
      </c>
      <c r="M1112" s="13">
        <v>740</v>
      </c>
      <c r="N1112" s="13">
        <v>217</v>
      </c>
      <c r="O1112" s="13">
        <v>32</v>
      </c>
      <c r="P1112" s="13">
        <v>1</v>
      </c>
      <c r="Q1112" s="13">
        <v>64</v>
      </c>
      <c r="R1112" s="13">
        <v>1</v>
      </c>
      <c r="S1112" s="13">
        <v>1</v>
      </c>
      <c r="T1112" s="23">
        <v>46247.61278935185</v>
      </c>
      <c r="U1112" s="55">
        <f t="shared" si="51"/>
        <v>1</v>
      </c>
      <c r="V1112" s="55">
        <f t="shared" si="52"/>
        <v>0</v>
      </c>
      <c r="W1112" s="56">
        <f t="shared" si="53"/>
        <v>1072.8333333333333</v>
      </c>
    </row>
    <row r="1113" spans="1:23" x14ac:dyDescent="0.3">
      <c r="A1113" s="13" t="str" cm="1">
        <f t="array" ref="A1113:B1113">INDEX(BenchmarkResults!$B$1:$D$35,SUMPRODUCT((T1113&gt;=BenchmarkResults!$F$3:$F$35)*(mongodb_hardware_log!T1113&lt;BenchmarkResults!$G$3:$G$35)*ROW(BenchmarkResults!$F$3:$F$35)),{1,3})</f>
        <v>q2_avg_order_city</v>
      </c>
      <c r="B1113">
        <v>3</v>
      </c>
      <c r="C1113" s="13">
        <v>1</v>
      </c>
      <c r="D1113" s="13">
        <v>0</v>
      </c>
      <c r="E1113" s="13">
        <v>133376</v>
      </c>
      <c r="F1113" s="13">
        <v>230948</v>
      </c>
      <c r="G1113" s="13">
        <v>3672</v>
      </c>
      <c r="H1113" s="13">
        <v>2187840</v>
      </c>
      <c r="I1113" s="13">
        <v>0</v>
      </c>
      <c r="J1113" s="13">
        <v>0</v>
      </c>
      <c r="K1113" s="13">
        <v>1047</v>
      </c>
      <c r="L1113" s="13">
        <v>16</v>
      </c>
      <c r="M1113" s="13">
        <v>705</v>
      </c>
      <c r="N1113" s="13">
        <v>199</v>
      </c>
      <c r="O1113" s="13">
        <v>33</v>
      </c>
      <c r="P1113" s="13">
        <v>1</v>
      </c>
      <c r="Q1113" s="13">
        <v>65</v>
      </c>
      <c r="R1113" s="13">
        <v>0</v>
      </c>
      <c r="S1113" s="13">
        <v>0</v>
      </c>
      <c r="T1113" s="23">
        <v>46247.612905092596</v>
      </c>
      <c r="U1113" s="55">
        <f t="shared" si="51"/>
        <v>1</v>
      </c>
      <c r="V1113" s="55">
        <f t="shared" si="52"/>
        <v>0</v>
      </c>
      <c r="W1113" s="56">
        <f t="shared" si="53"/>
        <v>1041</v>
      </c>
    </row>
    <row r="1114" spans="1:23" x14ac:dyDescent="0.3">
      <c r="A1114" s="13" t="str" cm="1">
        <f t="array" ref="A1114:B1114">INDEX(BenchmarkResults!$B$1:$D$35,SUMPRODUCT((T1114&gt;=BenchmarkResults!$F$3:$F$35)*(mongodb_hardware_log!T1114&lt;BenchmarkResults!$G$3:$G$35)*ROW(BenchmarkResults!$F$3:$F$35)),{1,3})</f>
        <v>q2_avg_order_city</v>
      </c>
      <c r="B1114">
        <v>3</v>
      </c>
      <c r="C1114" s="13">
        <v>1</v>
      </c>
      <c r="D1114" s="13">
        <v>0</v>
      </c>
      <c r="E1114" s="13">
        <v>133376</v>
      </c>
      <c r="F1114" s="13">
        <v>213360</v>
      </c>
      <c r="G1114" s="13">
        <v>3680</v>
      </c>
      <c r="H1114" s="13">
        <v>2203124</v>
      </c>
      <c r="I1114" s="13">
        <v>0</v>
      </c>
      <c r="J1114" s="13">
        <v>0</v>
      </c>
      <c r="K1114" s="13">
        <v>1527</v>
      </c>
      <c r="L1114" s="13">
        <v>9</v>
      </c>
      <c r="M1114" s="13">
        <v>713</v>
      </c>
      <c r="N1114" s="13">
        <v>214</v>
      </c>
      <c r="O1114" s="13">
        <v>34</v>
      </c>
      <c r="P1114" s="13">
        <v>1</v>
      </c>
      <c r="Q1114" s="13">
        <v>65</v>
      </c>
      <c r="R1114" s="13">
        <v>0</v>
      </c>
      <c r="S1114" s="13">
        <v>0</v>
      </c>
      <c r="T1114" s="23">
        <v>46247.613020833334</v>
      </c>
      <c r="U1114" s="55">
        <f t="shared" si="51"/>
        <v>1</v>
      </c>
      <c r="V1114" s="55">
        <f t="shared" si="52"/>
        <v>0</v>
      </c>
      <c r="W1114" s="56">
        <f t="shared" si="53"/>
        <v>1116.5</v>
      </c>
    </row>
    <row r="1115" spans="1:23" x14ac:dyDescent="0.3">
      <c r="A1115" s="13" t="str" cm="1">
        <f t="array" ref="A1115:B1115">INDEX(BenchmarkResults!$B$1:$D$35,SUMPRODUCT((T1115&gt;=BenchmarkResults!$F$3:$F$35)*(mongodb_hardware_log!T1115&lt;BenchmarkResults!$G$3:$G$35)*ROW(BenchmarkResults!$F$3:$F$35)),{1,3})</f>
        <v>q2_avg_order_city</v>
      </c>
      <c r="B1115">
        <v>3</v>
      </c>
      <c r="C1115" s="13">
        <v>1</v>
      </c>
      <c r="D1115" s="13">
        <v>0</v>
      </c>
      <c r="E1115" s="13">
        <v>133376</v>
      </c>
      <c r="F1115" s="13">
        <v>207060</v>
      </c>
      <c r="G1115" s="13">
        <v>3696</v>
      </c>
      <c r="H1115" s="13">
        <v>2214324</v>
      </c>
      <c r="I1115" s="13">
        <v>0</v>
      </c>
      <c r="J1115" s="13">
        <v>0</v>
      </c>
      <c r="K1115" s="13">
        <v>1112</v>
      </c>
      <c r="L1115" s="13">
        <v>13</v>
      </c>
      <c r="M1115" s="13">
        <v>709</v>
      </c>
      <c r="N1115" s="13">
        <v>211</v>
      </c>
      <c r="O1115" s="13">
        <v>33</v>
      </c>
      <c r="P1115" s="13">
        <v>1</v>
      </c>
      <c r="Q1115" s="13">
        <v>65</v>
      </c>
      <c r="R1115" s="13">
        <v>1</v>
      </c>
      <c r="S1115" s="13">
        <v>0</v>
      </c>
      <c r="T1115" s="23">
        <v>46247.613136574073</v>
      </c>
      <c r="U1115" s="55">
        <f t="shared" si="51"/>
        <v>1</v>
      </c>
      <c r="V1115" s="55">
        <f t="shared" si="52"/>
        <v>0</v>
      </c>
      <c r="W1115" s="56">
        <f t="shared" si="53"/>
        <v>1132.6666666666667</v>
      </c>
    </row>
    <row r="1116" spans="1:23" x14ac:dyDescent="0.3">
      <c r="A1116" s="13" t="str" cm="1">
        <f t="array" ref="A1116:B1116">INDEX(BenchmarkResults!$B$1:$D$35,SUMPRODUCT((T1116&gt;=BenchmarkResults!$F$3:$F$35)*(mongodb_hardware_log!T1116&lt;BenchmarkResults!$G$3:$G$35)*ROW(BenchmarkResults!$F$3:$F$35)),{1,3})</f>
        <v>q2_avg_order_city</v>
      </c>
      <c r="B1116">
        <v>3</v>
      </c>
      <c r="C1116" s="13">
        <v>1</v>
      </c>
      <c r="D1116" s="13">
        <v>0</v>
      </c>
      <c r="E1116" s="13">
        <v>133376</v>
      </c>
      <c r="F1116" s="13">
        <v>191948</v>
      </c>
      <c r="G1116" s="13">
        <v>3712</v>
      </c>
      <c r="H1116" s="13">
        <v>2226104</v>
      </c>
      <c r="I1116" s="13">
        <v>0</v>
      </c>
      <c r="J1116" s="13">
        <v>0</v>
      </c>
      <c r="K1116" s="13">
        <v>1187</v>
      </c>
      <c r="L1116" s="13">
        <v>21</v>
      </c>
      <c r="M1116" s="13">
        <v>726</v>
      </c>
      <c r="N1116" s="13">
        <v>223</v>
      </c>
      <c r="O1116" s="13">
        <v>34</v>
      </c>
      <c r="P1116" s="13">
        <v>1</v>
      </c>
      <c r="Q1116" s="13">
        <v>65</v>
      </c>
      <c r="R1116" s="13">
        <v>0</v>
      </c>
      <c r="S1116" s="13">
        <v>0</v>
      </c>
      <c r="T1116" s="23">
        <v>46247.613252314812</v>
      </c>
      <c r="U1116" s="55">
        <f t="shared" si="51"/>
        <v>1</v>
      </c>
      <c r="V1116" s="55">
        <f t="shared" si="52"/>
        <v>0</v>
      </c>
      <c r="W1116" s="56">
        <f t="shared" si="53"/>
        <v>1168.8333333333333</v>
      </c>
    </row>
    <row r="1117" spans="1:23" x14ac:dyDescent="0.3">
      <c r="A1117" s="13" t="str" cm="1">
        <f t="array" ref="A1117:B1117">INDEX(BenchmarkResults!$B$1:$D$35,SUMPRODUCT((T1117&gt;=BenchmarkResults!$F$3:$F$35)*(mongodb_hardware_log!T1117&lt;BenchmarkResults!$G$3:$G$35)*ROW(BenchmarkResults!$F$3:$F$35)),{1,3})</f>
        <v>q2_avg_order_city</v>
      </c>
      <c r="B1117">
        <v>3</v>
      </c>
      <c r="C1117" s="13">
        <v>1</v>
      </c>
      <c r="D1117" s="13">
        <v>0</v>
      </c>
      <c r="E1117" s="13">
        <v>133376</v>
      </c>
      <c r="F1117" s="13">
        <v>180608</v>
      </c>
      <c r="G1117" s="13">
        <v>3736</v>
      </c>
      <c r="H1117" s="13">
        <v>2237552</v>
      </c>
      <c r="I1117" s="13">
        <v>0</v>
      </c>
      <c r="J1117" s="13">
        <v>0</v>
      </c>
      <c r="K1117" s="13">
        <v>1136</v>
      </c>
      <c r="L1117" s="13">
        <v>41</v>
      </c>
      <c r="M1117" s="13">
        <v>732</v>
      </c>
      <c r="N1117" s="13">
        <v>236</v>
      </c>
      <c r="O1117" s="13">
        <v>33</v>
      </c>
      <c r="P1117" s="13">
        <v>1</v>
      </c>
      <c r="Q1117" s="13">
        <v>65</v>
      </c>
      <c r="R1117" s="13">
        <v>1</v>
      </c>
      <c r="S1117" s="13">
        <v>0</v>
      </c>
      <c r="T1117" s="23">
        <v>46247.613368055558</v>
      </c>
      <c r="U1117" s="55">
        <f t="shared" si="51"/>
        <v>1</v>
      </c>
      <c r="V1117" s="55">
        <f t="shared" si="52"/>
        <v>0</v>
      </c>
      <c r="W1117" s="56">
        <f t="shared" si="53"/>
        <v>1167.5</v>
      </c>
    </row>
    <row r="1118" spans="1:23" x14ac:dyDescent="0.3">
      <c r="A1118" s="13" t="str" cm="1">
        <f t="array" ref="A1118:B1118">INDEX(BenchmarkResults!$B$1:$D$35,SUMPRODUCT((T1118&gt;=BenchmarkResults!$F$3:$F$35)*(mongodb_hardware_log!T1118&lt;BenchmarkResults!$G$3:$G$35)*ROW(BenchmarkResults!$F$3:$F$35)),{1,3})</f>
        <v>q2_avg_order_city</v>
      </c>
      <c r="B1118">
        <v>3</v>
      </c>
      <c r="C1118" s="13">
        <v>1</v>
      </c>
      <c r="D1118" s="13">
        <v>0</v>
      </c>
      <c r="E1118" s="13">
        <v>133376</v>
      </c>
      <c r="F1118" s="13">
        <v>168096</v>
      </c>
      <c r="G1118" s="13">
        <v>3752</v>
      </c>
      <c r="H1118" s="13">
        <v>2248940</v>
      </c>
      <c r="I1118" s="13">
        <v>0</v>
      </c>
      <c r="J1118" s="13">
        <v>0</v>
      </c>
      <c r="K1118" s="13">
        <v>1138</v>
      </c>
      <c r="L1118" s="13">
        <v>18</v>
      </c>
      <c r="M1118" s="13">
        <v>724</v>
      </c>
      <c r="N1118" s="13">
        <v>220</v>
      </c>
      <c r="O1118" s="13">
        <v>33</v>
      </c>
      <c r="P1118" s="13">
        <v>1</v>
      </c>
      <c r="Q1118" s="13">
        <v>65</v>
      </c>
      <c r="R1118" s="13">
        <v>0</v>
      </c>
      <c r="S1118" s="13">
        <v>0</v>
      </c>
      <c r="T1118" s="23">
        <v>46247.613483796296</v>
      </c>
      <c r="U1118" s="55">
        <f t="shared" si="51"/>
        <v>1</v>
      </c>
      <c r="V1118" s="55">
        <f t="shared" si="52"/>
        <v>0</v>
      </c>
      <c r="W1118" s="56">
        <f t="shared" si="53"/>
        <v>1191.1666666666667</v>
      </c>
    </row>
    <row r="1119" spans="1:23" x14ac:dyDescent="0.3">
      <c r="A1119" s="13" t="str" cm="1">
        <f t="array" ref="A1119:B1119">INDEX(BenchmarkResults!$B$1:$D$35,SUMPRODUCT((T1119&gt;=BenchmarkResults!$F$3:$F$35)*(mongodb_hardware_log!T1119&lt;BenchmarkResults!$G$3:$G$35)*ROW(BenchmarkResults!$F$3:$F$35)),{1,3})</f>
        <v>q2_avg_order_city</v>
      </c>
      <c r="B1119">
        <v>3</v>
      </c>
      <c r="C1119" s="13">
        <v>3</v>
      </c>
      <c r="D1119" s="13">
        <v>0</v>
      </c>
      <c r="E1119" s="13">
        <v>133376</v>
      </c>
      <c r="F1119" s="13">
        <v>159436</v>
      </c>
      <c r="G1119" s="13">
        <v>3760</v>
      </c>
      <c r="H1119" s="13">
        <v>2259704</v>
      </c>
      <c r="I1119" s="13">
        <v>0</v>
      </c>
      <c r="J1119" s="13">
        <v>0</v>
      </c>
      <c r="K1119" s="13">
        <v>1087</v>
      </c>
      <c r="L1119" s="13">
        <v>8</v>
      </c>
      <c r="M1119" s="13">
        <v>724</v>
      </c>
      <c r="N1119" s="13">
        <v>218</v>
      </c>
      <c r="O1119" s="13">
        <v>34</v>
      </c>
      <c r="P1119" s="13">
        <v>1</v>
      </c>
      <c r="Q1119" s="13">
        <v>65</v>
      </c>
      <c r="R1119" s="13">
        <v>0</v>
      </c>
      <c r="S1119" s="13">
        <v>0</v>
      </c>
      <c r="T1119" s="23">
        <v>46247.613599537035</v>
      </c>
      <c r="U1119" s="55">
        <f t="shared" si="51"/>
        <v>1.3333333333333333</v>
      </c>
      <c r="V1119" s="55">
        <f t="shared" si="52"/>
        <v>0</v>
      </c>
      <c r="W1119" s="56">
        <f t="shared" si="53"/>
        <v>1197.8333333333333</v>
      </c>
    </row>
    <row r="1120" spans="1:23" x14ac:dyDescent="0.3">
      <c r="A1120" s="13" t="str" cm="1">
        <f t="array" ref="A1120:B1120">INDEX(BenchmarkResults!$B$1:$D$35,SUMPRODUCT((T1120&gt;=BenchmarkResults!$F$3:$F$35)*(mongodb_hardware_log!T1120&lt;BenchmarkResults!$G$3:$G$35)*ROW(BenchmarkResults!$F$3:$F$35)),{1,3})</f>
        <v>q2_avg_order_city</v>
      </c>
      <c r="B1120">
        <v>3</v>
      </c>
      <c r="C1120" s="13">
        <v>1</v>
      </c>
      <c r="D1120" s="13">
        <v>0</v>
      </c>
      <c r="E1120" s="13">
        <v>133376</v>
      </c>
      <c r="F1120" s="13">
        <v>150168</v>
      </c>
      <c r="G1120" s="13">
        <v>3768</v>
      </c>
      <c r="H1120" s="13">
        <v>2272404</v>
      </c>
      <c r="I1120" s="13">
        <v>0</v>
      </c>
      <c r="J1120" s="13">
        <v>0</v>
      </c>
      <c r="K1120" s="13">
        <v>1259</v>
      </c>
      <c r="L1120" s="13">
        <v>17</v>
      </c>
      <c r="M1120" s="13">
        <v>735</v>
      </c>
      <c r="N1120" s="13">
        <v>232</v>
      </c>
      <c r="O1120" s="13">
        <v>34</v>
      </c>
      <c r="P1120" s="13">
        <v>1</v>
      </c>
      <c r="Q1120" s="13">
        <v>65</v>
      </c>
      <c r="R1120" s="13">
        <v>1</v>
      </c>
      <c r="S1120" s="13">
        <v>0</v>
      </c>
      <c r="T1120" s="23">
        <v>46247.613715277781</v>
      </c>
      <c r="U1120" s="55">
        <f t="shared" si="51"/>
        <v>1.3333333333333333</v>
      </c>
      <c r="V1120" s="55">
        <f t="shared" si="52"/>
        <v>0</v>
      </c>
      <c r="W1120" s="56">
        <f t="shared" si="53"/>
        <v>1153.1666666666667</v>
      </c>
    </row>
    <row r="1121" spans="1:23" x14ac:dyDescent="0.3">
      <c r="A1121" s="13" t="str" cm="1">
        <f t="array" ref="A1121:B1121">INDEX(BenchmarkResults!$B$1:$D$35,SUMPRODUCT((T1121&gt;=BenchmarkResults!$F$3:$F$35)*(mongodb_hardware_log!T1121&lt;BenchmarkResults!$G$3:$G$35)*ROW(BenchmarkResults!$F$3:$F$35)),{1,3})</f>
        <v>q2_avg_order_city</v>
      </c>
      <c r="B1121">
        <v>3</v>
      </c>
      <c r="C1121" s="13">
        <v>1</v>
      </c>
      <c r="D1121" s="13">
        <v>0</v>
      </c>
      <c r="E1121" s="13">
        <v>133376</v>
      </c>
      <c r="F1121" s="13">
        <v>135804</v>
      </c>
      <c r="G1121" s="13">
        <v>3784</v>
      </c>
      <c r="H1121" s="13">
        <v>2283796</v>
      </c>
      <c r="I1121" s="13">
        <v>0</v>
      </c>
      <c r="J1121" s="13">
        <v>0</v>
      </c>
      <c r="K1121" s="13">
        <v>1143</v>
      </c>
      <c r="L1121" s="13">
        <v>38</v>
      </c>
      <c r="M1121" s="13">
        <v>700</v>
      </c>
      <c r="N1121" s="13">
        <v>203</v>
      </c>
      <c r="O1121" s="13">
        <v>34</v>
      </c>
      <c r="P1121" s="13">
        <v>1</v>
      </c>
      <c r="Q1121" s="13">
        <v>65</v>
      </c>
      <c r="R1121" s="13">
        <v>0</v>
      </c>
      <c r="S1121" s="13">
        <v>0</v>
      </c>
      <c r="T1121" s="23">
        <v>46247.61383101852</v>
      </c>
      <c r="U1121" s="55">
        <f t="shared" si="51"/>
        <v>1.3333333333333333</v>
      </c>
      <c r="V1121" s="55">
        <f t="shared" si="52"/>
        <v>0</v>
      </c>
      <c r="W1121" s="56">
        <f t="shared" si="53"/>
        <v>1158.3333333333333</v>
      </c>
    </row>
    <row r="1122" spans="1:23" x14ac:dyDescent="0.3">
      <c r="A1122" s="13" t="str" cm="1">
        <f t="array" ref="A1122:B1122">INDEX(BenchmarkResults!$B$1:$D$35,SUMPRODUCT((T1122&gt;=BenchmarkResults!$F$3:$F$35)*(mongodb_hardware_log!T1122&lt;BenchmarkResults!$G$3:$G$35)*ROW(BenchmarkResults!$F$3:$F$35)),{1,3})</f>
        <v>q2_avg_order_city</v>
      </c>
      <c r="B1122">
        <v>3</v>
      </c>
      <c r="C1122" s="13">
        <v>1</v>
      </c>
      <c r="D1122" s="13">
        <v>0</v>
      </c>
      <c r="E1122" s="13">
        <v>133376</v>
      </c>
      <c r="F1122" s="13">
        <v>127740</v>
      </c>
      <c r="G1122" s="13">
        <v>3792</v>
      </c>
      <c r="H1122" s="13">
        <v>2293264</v>
      </c>
      <c r="I1122" s="13">
        <v>0</v>
      </c>
      <c r="J1122" s="13">
        <v>0</v>
      </c>
      <c r="K1122" s="13">
        <v>943</v>
      </c>
      <c r="L1122" s="13">
        <v>5</v>
      </c>
      <c r="M1122" s="13">
        <v>727</v>
      </c>
      <c r="N1122" s="13">
        <v>222</v>
      </c>
      <c r="O1122" s="13">
        <v>33</v>
      </c>
      <c r="P1122" s="13">
        <v>1</v>
      </c>
      <c r="Q1122" s="13">
        <v>65</v>
      </c>
      <c r="R1122" s="13">
        <v>1</v>
      </c>
      <c r="S1122" s="13">
        <v>0</v>
      </c>
      <c r="T1122" s="23">
        <v>46247.613946759258</v>
      </c>
      <c r="U1122" s="55">
        <f t="shared" si="51"/>
        <v>1.3333333333333333</v>
      </c>
      <c r="V1122" s="55">
        <f t="shared" si="52"/>
        <v>0</v>
      </c>
      <c r="W1122" s="56">
        <f t="shared" si="53"/>
        <v>1117.6666666666667</v>
      </c>
    </row>
    <row r="1123" spans="1:23" x14ac:dyDescent="0.3">
      <c r="A1123" s="13" t="str" cm="1">
        <f t="array" ref="A1123:B1123">INDEX(BenchmarkResults!$B$1:$D$35,SUMPRODUCT((T1123&gt;=BenchmarkResults!$F$3:$F$35)*(mongodb_hardware_log!T1123&lt;BenchmarkResults!$G$3:$G$35)*ROW(BenchmarkResults!$F$3:$F$35)),{1,3})</f>
        <v>q2_avg_order_city</v>
      </c>
      <c r="B1123">
        <v>3</v>
      </c>
      <c r="C1123" s="13">
        <v>1</v>
      </c>
      <c r="D1123" s="13">
        <v>0</v>
      </c>
      <c r="E1123" s="13">
        <v>133376</v>
      </c>
      <c r="F1123" s="13">
        <v>116904</v>
      </c>
      <c r="G1123" s="13">
        <v>3832</v>
      </c>
      <c r="H1123" s="13">
        <v>2304640</v>
      </c>
      <c r="I1123" s="13">
        <v>0</v>
      </c>
      <c r="J1123" s="13">
        <v>0</v>
      </c>
      <c r="K1123" s="13">
        <v>1142</v>
      </c>
      <c r="L1123" s="13">
        <v>34</v>
      </c>
      <c r="M1123" s="13">
        <v>720</v>
      </c>
      <c r="N1123" s="13">
        <v>225</v>
      </c>
      <c r="O1123" s="13">
        <v>33</v>
      </c>
      <c r="P1123" s="13">
        <v>1</v>
      </c>
      <c r="Q1123" s="13">
        <v>65</v>
      </c>
      <c r="R1123" s="13">
        <v>0</v>
      </c>
      <c r="S1123" s="13">
        <v>0</v>
      </c>
      <c r="T1123" s="23">
        <v>46247.614062499997</v>
      </c>
      <c r="U1123" s="55">
        <f t="shared" si="51"/>
        <v>1.3333333333333333</v>
      </c>
      <c r="V1123" s="55">
        <f t="shared" si="52"/>
        <v>0</v>
      </c>
      <c r="W1123" s="56">
        <f t="shared" si="53"/>
        <v>1118.6666666666667</v>
      </c>
    </row>
    <row r="1124" spans="1:23" x14ac:dyDescent="0.3">
      <c r="A1124" s="13" t="str" cm="1">
        <f t="array" ref="A1124:B1124">INDEX(BenchmarkResults!$B$1:$D$35,SUMPRODUCT((T1124&gt;=BenchmarkResults!$F$3:$F$35)*(mongodb_hardware_log!T1124&lt;BenchmarkResults!$G$3:$G$35)*ROW(BenchmarkResults!$F$3:$F$35)),{1,3})</f>
        <v>q2_avg_order_city</v>
      </c>
      <c r="B1124">
        <v>3</v>
      </c>
      <c r="C1124" s="13">
        <v>1</v>
      </c>
      <c r="D1124" s="13">
        <v>0</v>
      </c>
      <c r="E1124" s="13">
        <v>133376</v>
      </c>
      <c r="F1124" s="13">
        <v>101280</v>
      </c>
      <c r="G1124" s="13">
        <v>3840</v>
      </c>
      <c r="H1124" s="13">
        <v>2320080</v>
      </c>
      <c r="I1124" s="13">
        <v>0</v>
      </c>
      <c r="J1124" s="13">
        <v>0</v>
      </c>
      <c r="K1124" s="13">
        <v>1542</v>
      </c>
      <c r="L1124" s="13">
        <v>14</v>
      </c>
      <c r="M1124" s="13">
        <v>724</v>
      </c>
      <c r="N1124" s="13">
        <v>221</v>
      </c>
      <c r="O1124" s="13">
        <v>33</v>
      </c>
      <c r="P1124" s="13">
        <v>1</v>
      </c>
      <c r="Q1124" s="13">
        <v>65</v>
      </c>
      <c r="R1124" s="13">
        <v>0</v>
      </c>
      <c r="S1124" s="13">
        <v>0</v>
      </c>
      <c r="T1124" s="23">
        <v>46247.614178240743</v>
      </c>
      <c r="U1124" s="55">
        <f t="shared" si="51"/>
        <v>1.3333333333333333</v>
      </c>
      <c r="V1124" s="55">
        <f t="shared" si="52"/>
        <v>0</v>
      </c>
      <c r="W1124" s="56">
        <f t="shared" si="53"/>
        <v>1186</v>
      </c>
    </row>
    <row r="1125" spans="1:23" x14ac:dyDescent="0.3">
      <c r="A1125" s="13" t="str" cm="1">
        <f t="array" ref="A1125:B1125">INDEX(BenchmarkResults!$B$1:$D$35,SUMPRODUCT((T1125&gt;=BenchmarkResults!$F$3:$F$35)*(mongodb_hardware_log!T1125&lt;BenchmarkResults!$G$3:$G$35)*ROW(BenchmarkResults!$F$3:$F$35)),{1,3})</f>
        <v>q2_avg_order_city</v>
      </c>
      <c r="B1125">
        <v>3</v>
      </c>
      <c r="C1125" s="13">
        <v>2</v>
      </c>
      <c r="D1125" s="13">
        <v>0</v>
      </c>
      <c r="E1125" s="13">
        <v>133376</v>
      </c>
      <c r="F1125" s="13">
        <v>141944</v>
      </c>
      <c r="G1125" s="13">
        <v>3848</v>
      </c>
      <c r="H1125" s="13">
        <v>2278568</v>
      </c>
      <c r="I1125" s="13">
        <v>0</v>
      </c>
      <c r="J1125" s="13">
        <v>0</v>
      </c>
      <c r="K1125" s="13">
        <v>1120</v>
      </c>
      <c r="L1125" s="13">
        <v>10</v>
      </c>
      <c r="M1125" s="13">
        <v>739</v>
      </c>
      <c r="N1125" s="13">
        <v>229</v>
      </c>
      <c r="O1125" s="13">
        <v>33</v>
      </c>
      <c r="P1125" s="13">
        <v>1</v>
      </c>
      <c r="Q1125" s="13">
        <v>64</v>
      </c>
      <c r="R1125" s="13">
        <v>1</v>
      </c>
      <c r="S1125" s="13">
        <v>0</v>
      </c>
      <c r="T1125" s="23">
        <v>46247.614293981482</v>
      </c>
      <c r="U1125" s="55">
        <f t="shared" si="51"/>
        <v>1.1666666666666667</v>
      </c>
      <c r="V1125" s="55">
        <f t="shared" si="52"/>
        <v>0</v>
      </c>
      <c r="W1125" s="56">
        <f t="shared" si="53"/>
        <v>1191.5</v>
      </c>
    </row>
    <row r="1126" spans="1:23" x14ac:dyDescent="0.3">
      <c r="A1126" s="13" t="str" cm="1">
        <f t="array" ref="A1126:B1126">INDEX(BenchmarkResults!$B$1:$D$35,SUMPRODUCT((T1126&gt;=BenchmarkResults!$F$3:$F$35)*(mongodb_hardware_log!T1126&lt;BenchmarkResults!$G$3:$G$35)*ROW(BenchmarkResults!$F$3:$F$35)),{1,3})</f>
        <v>q2_avg_order_city</v>
      </c>
      <c r="B1126">
        <v>3</v>
      </c>
      <c r="C1126" s="13">
        <v>2</v>
      </c>
      <c r="D1126" s="13">
        <v>0</v>
      </c>
      <c r="E1126" s="13">
        <v>133376</v>
      </c>
      <c r="F1126" s="13">
        <v>587360</v>
      </c>
      <c r="G1126" s="13">
        <v>3856</v>
      </c>
      <c r="H1126" s="13">
        <v>1638236</v>
      </c>
      <c r="I1126" s="13">
        <v>0</v>
      </c>
      <c r="J1126" s="13">
        <v>0</v>
      </c>
      <c r="K1126" s="13">
        <v>603</v>
      </c>
      <c r="L1126" s="13">
        <v>8</v>
      </c>
      <c r="M1126" s="13">
        <v>992</v>
      </c>
      <c r="N1126" s="13">
        <v>430</v>
      </c>
      <c r="O1126" s="13">
        <v>36</v>
      </c>
      <c r="P1126" s="13">
        <v>9</v>
      </c>
      <c r="Q1126" s="13">
        <v>54</v>
      </c>
      <c r="R1126" s="13">
        <v>0</v>
      </c>
      <c r="S1126" s="13">
        <v>0</v>
      </c>
      <c r="T1126" s="23">
        <v>46247.61440972222</v>
      </c>
      <c r="U1126" s="55">
        <f t="shared" si="51"/>
        <v>1.3333333333333333</v>
      </c>
      <c r="V1126" s="55">
        <f t="shared" si="52"/>
        <v>0</v>
      </c>
      <c r="W1126" s="56">
        <f t="shared" si="53"/>
        <v>1082.1666666666667</v>
      </c>
    </row>
    <row r="1127" spans="1:23" x14ac:dyDescent="0.3">
      <c r="A1127" s="13" t="str" cm="1">
        <f t="array" ref="A1127:B1127">INDEX(BenchmarkResults!$B$1:$D$35,SUMPRODUCT((T1127&gt;=BenchmarkResults!$F$3:$F$35)*(mongodb_hardware_log!T1127&lt;BenchmarkResults!$G$3:$G$35)*ROW(BenchmarkResults!$F$3:$F$35)),{1,3})</f>
        <v>q2_avg_order_city</v>
      </c>
      <c r="B1127">
        <v>3</v>
      </c>
      <c r="C1127" s="13">
        <v>2</v>
      </c>
      <c r="D1127" s="13">
        <v>0</v>
      </c>
      <c r="E1127" s="13">
        <v>133376</v>
      </c>
      <c r="F1127" s="13">
        <v>751956</v>
      </c>
      <c r="G1127" s="13">
        <v>3872</v>
      </c>
      <c r="H1127" s="13">
        <v>1649260</v>
      </c>
      <c r="I1127" s="13">
        <v>0</v>
      </c>
      <c r="J1127" s="13">
        <v>0</v>
      </c>
      <c r="K1127" s="13">
        <v>1102</v>
      </c>
      <c r="L1127" s="13">
        <v>14</v>
      </c>
      <c r="M1127" s="13">
        <v>787</v>
      </c>
      <c r="N1127" s="13">
        <v>246</v>
      </c>
      <c r="O1127" s="13">
        <v>34</v>
      </c>
      <c r="P1127" s="13">
        <v>5</v>
      </c>
      <c r="Q1127" s="13">
        <v>59</v>
      </c>
      <c r="R1127" s="13">
        <v>1</v>
      </c>
      <c r="S1127" s="13">
        <v>1</v>
      </c>
      <c r="T1127" s="23">
        <v>46247.614525462966</v>
      </c>
      <c r="U1127" s="55">
        <f t="shared" si="51"/>
        <v>1.5</v>
      </c>
      <c r="V1127" s="55">
        <f t="shared" si="52"/>
        <v>0</v>
      </c>
      <c r="W1127" s="56">
        <f t="shared" si="53"/>
        <v>1075.3333333333333</v>
      </c>
    </row>
    <row r="1128" spans="1:23" x14ac:dyDescent="0.3">
      <c r="A1128" s="13" t="str" cm="1">
        <f t="array" ref="A1128:B1128">INDEX(BenchmarkResults!$B$1:$D$35,SUMPRODUCT((T1128&gt;=BenchmarkResults!$F$3:$F$35)*(mongodb_hardware_log!T1128&lt;BenchmarkResults!$G$3:$G$35)*ROW(BenchmarkResults!$F$3:$F$35)),{1,3})</f>
        <v>q2_avg_order_city</v>
      </c>
      <c r="B1128">
        <v>3</v>
      </c>
      <c r="C1128" s="13">
        <v>1</v>
      </c>
      <c r="D1128" s="13">
        <v>0</v>
      </c>
      <c r="E1128" s="13">
        <v>133376</v>
      </c>
      <c r="F1128" s="13">
        <v>740112</v>
      </c>
      <c r="G1128" s="13">
        <v>3880</v>
      </c>
      <c r="H1128" s="13">
        <v>1660364</v>
      </c>
      <c r="I1128" s="13">
        <v>0</v>
      </c>
      <c r="J1128" s="13">
        <v>0</v>
      </c>
      <c r="K1128" s="13">
        <v>1110</v>
      </c>
      <c r="L1128" s="13">
        <v>4</v>
      </c>
      <c r="M1128" s="13">
        <v>747</v>
      </c>
      <c r="N1128" s="13">
        <v>234</v>
      </c>
      <c r="O1128" s="13">
        <v>33</v>
      </c>
      <c r="P1128" s="13">
        <v>1</v>
      </c>
      <c r="Q1128" s="13">
        <v>65</v>
      </c>
      <c r="R1128" s="13">
        <v>0</v>
      </c>
      <c r="S1128" s="13">
        <v>0</v>
      </c>
      <c r="T1128" s="23">
        <v>46247.614641203705</v>
      </c>
      <c r="U1128" s="55">
        <f t="shared" si="51"/>
        <v>1.5</v>
      </c>
      <c r="V1128" s="55">
        <f t="shared" si="52"/>
        <v>0</v>
      </c>
      <c r="W1128" s="56">
        <f t="shared" si="53"/>
        <v>1103.1666666666667</v>
      </c>
    </row>
    <row r="1129" spans="1:23" x14ac:dyDescent="0.3">
      <c r="A1129" s="13" t="str" cm="1">
        <f t="array" ref="A1129:B1129">INDEX(BenchmarkResults!$B$1:$D$35,SUMPRODUCT((T1129&gt;=BenchmarkResults!$F$3:$F$35)*(mongodb_hardware_log!T1129&lt;BenchmarkResults!$G$3:$G$35)*ROW(BenchmarkResults!$F$3:$F$35)),{1,3})</f>
        <v>q2_avg_order_city</v>
      </c>
      <c r="B1129">
        <v>3</v>
      </c>
      <c r="C1129" s="13">
        <v>1</v>
      </c>
      <c r="D1129" s="13">
        <v>0</v>
      </c>
      <c r="E1129" s="13">
        <v>133376</v>
      </c>
      <c r="F1129" s="13">
        <v>720204</v>
      </c>
      <c r="G1129" s="13">
        <v>3912</v>
      </c>
      <c r="H1129" s="13">
        <v>1671784</v>
      </c>
      <c r="I1129" s="13">
        <v>0</v>
      </c>
      <c r="J1129" s="13">
        <v>0</v>
      </c>
      <c r="K1129" s="13">
        <v>1142</v>
      </c>
      <c r="L1129" s="13">
        <v>32</v>
      </c>
      <c r="M1129" s="13">
        <v>718</v>
      </c>
      <c r="N1129" s="13">
        <v>218</v>
      </c>
      <c r="O1129" s="13">
        <v>33</v>
      </c>
      <c r="P1129" s="13">
        <v>1</v>
      </c>
      <c r="Q1129" s="13">
        <v>65</v>
      </c>
      <c r="R1129" s="13">
        <v>0</v>
      </c>
      <c r="S1129" s="13">
        <v>1</v>
      </c>
      <c r="T1129" s="23">
        <v>46247.614756944444</v>
      </c>
      <c r="U1129" s="55">
        <f t="shared" si="51"/>
        <v>1.5</v>
      </c>
      <c r="V1129" s="55">
        <f t="shared" si="52"/>
        <v>0</v>
      </c>
      <c r="W1129" s="56">
        <f t="shared" si="53"/>
        <v>1103.1666666666667</v>
      </c>
    </row>
    <row r="1130" spans="1:23" x14ac:dyDescent="0.3">
      <c r="A1130" s="13" t="str" cm="1">
        <f t="array" ref="A1130:B1130">INDEX(BenchmarkResults!$B$1:$D$35,SUMPRODUCT((T1130&gt;=BenchmarkResults!$F$3:$F$35)*(mongodb_hardware_log!T1130&lt;BenchmarkResults!$G$3:$G$35)*ROW(BenchmarkResults!$F$3:$F$35)),{1,3})</f>
        <v>q2_avg_order_city</v>
      </c>
      <c r="B1130">
        <v>3</v>
      </c>
      <c r="C1130" s="13">
        <v>1</v>
      </c>
      <c r="D1130" s="13">
        <v>0</v>
      </c>
      <c r="E1130" s="13">
        <v>133376</v>
      </c>
      <c r="F1130" s="13">
        <v>718720</v>
      </c>
      <c r="G1130" s="13">
        <v>3920</v>
      </c>
      <c r="H1130" s="13">
        <v>1682452</v>
      </c>
      <c r="I1130" s="13">
        <v>0</v>
      </c>
      <c r="J1130" s="13">
        <v>0</v>
      </c>
      <c r="K1130" s="13">
        <v>1067</v>
      </c>
      <c r="L1130" s="13">
        <v>9</v>
      </c>
      <c r="M1130" s="13">
        <v>728</v>
      </c>
      <c r="N1130" s="13">
        <v>225</v>
      </c>
      <c r="O1130" s="13">
        <v>33</v>
      </c>
      <c r="P1130" s="13">
        <v>1</v>
      </c>
      <c r="Q1130" s="13">
        <v>65</v>
      </c>
      <c r="R1130" s="13">
        <v>0</v>
      </c>
      <c r="S1130" s="13">
        <v>0</v>
      </c>
      <c r="T1130" s="23">
        <v>46247.614872685182</v>
      </c>
      <c r="U1130" s="55">
        <f t="shared" si="51"/>
        <v>1.5</v>
      </c>
      <c r="V1130" s="55">
        <f t="shared" si="52"/>
        <v>0</v>
      </c>
      <c r="W1130" s="56">
        <f t="shared" si="53"/>
        <v>1024</v>
      </c>
    </row>
    <row r="1131" spans="1:23" x14ac:dyDescent="0.3">
      <c r="A1131" s="13" t="str" cm="1">
        <f t="array" ref="A1131:B1131">INDEX(BenchmarkResults!$B$1:$D$35,SUMPRODUCT((T1131&gt;=BenchmarkResults!$F$3:$F$35)*(mongodb_hardware_log!T1131&lt;BenchmarkResults!$G$3:$G$35)*ROW(BenchmarkResults!$F$3:$F$35)),{1,3})</f>
        <v>q2_avg_order_city</v>
      </c>
      <c r="B1131">
        <v>3</v>
      </c>
      <c r="C1131" s="13">
        <v>1</v>
      </c>
      <c r="D1131" s="13">
        <v>0</v>
      </c>
      <c r="E1131" s="13">
        <v>133376</v>
      </c>
      <c r="F1131" s="13">
        <v>701836</v>
      </c>
      <c r="G1131" s="13">
        <v>3928</v>
      </c>
      <c r="H1131" s="13">
        <v>1698636</v>
      </c>
      <c r="I1131" s="13">
        <v>0</v>
      </c>
      <c r="J1131" s="13">
        <v>0</v>
      </c>
      <c r="K1131" s="13">
        <v>1618</v>
      </c>
      <c r="L1131" s="13">
        <v>11</v>
      </c>
      <c r="M1131" s="13">
        <v>733</v>
      </c>
      <c r="N1131" s="13">
        <v>220</v>
      </c>
      <c r="O1131" s="13">
        <v>33</v>
      </c>
      <c r="P1131" s="13">
        <v>1</v>
      </c>
      <c r="Q1131" s="13">
        <v>65</v>
      </c>
      <c r="R1131" s="13">
        <v>1</v>
      </c>
      <c r="S1131" s="13">
        <v>0</v>
      </c>
      <c r="T1131" s="23">
        <v>46247.614988425928</v>
      </c>
      <c r="U1131" s="55">
        <f t="shared" si="51"/>
        <v>1.3333333333333333</v>
      </c>
      <c r="V1131" s="55">
        <f t="shared" si="52"/>
        <v>0</v>
      </c>
      <c r="W1131" s="56">
        <f t="shared" si="53"/>
        <v>1107</v>
      </c>
    </row>
    <row r="1132" spans="1:23" x14ac:dyDescent="0.3">
      <c r="A1132" s="13" t="str" cm="1">
        <f t="array" ref="A1132:B1132">INDEX(BenchmarkResults!$B$1:$D$35,SUMPRODUCT((T1132&gt;=BenchmarkResults!$F$3:$F$35)*(mongodb_hardware_log!T1132&lt;BenchmarkResults!$G$3:$G$35)*ROW(BenchmarkResults!$F$3:$F$35)),{1,3})</f>
        <v>q2_avg_order_city</v>
      </c>
      <c r="B1132">
        <v>3</v>
      </c>
      <c r="C1132" s="13">
        <v>1</v>
      </c>
      <c r="D1132" s="13">
        <v>0</v>
      </c>
      <c r="E1132" s="13">
        <v>133376</v>
      </c>
      <c r="F1132" s="13">
        <v>690244</v>
      </c>
      <c r="G1132" s="13">
        <v>3944</v>
      </c>
      <c r="H1132" s="13">
        <v>1708968</v>
      </c>
      <c r="I1132" s="13">
        <v>0</v>
      </c>
      <c r="J1132" s="13">
        <v>0</v>
      </c>
      <c r="K1132" s="13">
        <v>1030</v>
      </c>
      <c r="L1132" s="13">
        <v>18</v>
      </c>
      <c r="M1132" s="13">
        <v>719</v>
      </c>
      <c r="N1132" s="13">
        <v>215</v>
      </c>
      <c r="O1132" s="13">
        <v>33</v>
      </c>
      <c r="P1132" s="13">
        <v>1</v>
      </c>
      <c r="Q1132" s="13">
        <v>64</v>
      </c>
      <c r="R1132" s="13">
        <v>1</v>
      </c>
      <c r="S1132" s="13">
        <v>0</v>
      </c>
      <c r="T1132" s="23">
        <v>46247.615104166667</v>
      </c>
      <c r="U1132" s="55">
        <f t="shared" si="51"/>
        <v>1.1666666666666667</v>
      </c>
      <c r="V1132" s="55">
        <f t="shared" si="52"/>
        <v>0</v>
      </c>
      <c r="W1132" s="56">
        <f t="shared" si="53"/>
        <v>1178.1666666666667</v>
      </c>
    </row>
    <row r="1133" spans="1:23" x14ac:dyDescent="0.3">
      <c r="A1133" s="13" t="str" cm="1">
        <f t="array" ref="A1133:B1133">INDEX(BenchmarkResults!$B$1:$D$35,SUMPRODUCT((T1133&gt;=BenchmarkResults!$F$3:$F$35)*(mongodb_hardware_log!T1133&lt;BenchmarkResults!$G$3:$G$35)*ROW(BenchmarkResults!$F$3:$F$35)),{1,3})</f>
        <v>q2_avg_order_city</v>
      </c>
      <c r="B1133">
        <v>3</v>
      </c>
      <c r="C1133" s="13">
        <v>1</v>
      </c>
      <c r="D1133" s="13">
        <v>0</v>
      </c>
      <c r="E1133" s="13">
        <v>133376</v>
      </c>
      <c r="F1133" s="13">
        <v>678652</v>
      </c>
      <c r="G1133" s="13">
        <v>3952</v>
      </c>
      <c r="H1133" s="13">
        <v>1719416</v>
      </c>
      <c r="I1133" s="13">
        <v>0</v>
      </c>
      <c r="J1133" s="13">
        <v>0</v>
      </c>
      <c r="K1133" s="13">
        <v>1045</v>
      </c>
      <c r="L1133" s="13">
        <v>17</v>
      </c>
      <c r="M1133" s="13">
        <v>722</v>
      </c>
      <c r="N1133" s="13">
        <v>222</v>
      </c>
      <c r="O1133" s="13">
        <v>33</v>
      </c>
      <c r="P1133" s="13">
        <v>1</v>
      </c>
      <c r="Q1133" s="13">
        <v>65</v>
      </c>
      <c r="R1133" s="13">
        <v>0</v>
      </c>
      <c r="S1133" s="13">
        <v>0</v>
      </c>
      <c r="T1133" s="23">
        <v>46247.615219907406</v>
      </c>
      <c r="U1133" s="55">
        <f t="shared" si="51"/>
        <v>1</v>
      </c>
      <c r="V1133" s="55">
        <f t="shared" si="52"/>
        <v>0</v>
      </c>
      <c r="W1133" s="56">
        <f t="shared" si="53"/>
        <v>1168.6666666666667</v>
      </c>
    </row>
    <row r="1134" spans="1:23" x14ac:dyDescent="0.3">
      <c r="A1134" s="13" t="str" cm="1">
        <f t="array" ref="A1134:B1134">INDEX(BenchmarkResults!$B$1:$D$35,SUMPRODUCT((T1134&gt;=BenchmarkResults!$F$3:$F$35)*(mongodb_hardware_log!T1134&lt;BenchmarkResults!$G$3:$G$35)*ROW(BenchmarkResults!$F$3:$F$35)),{1,3})</f>
        <v>q2_avg_order_city</v>
      </c>
      <c r="B1134">
        <v>3</v>
      </c>
      <c r="C1134" s="13">
        <v>1</v>
      </c>
      <c r="D1134" s="13">
        <v>0</v>
      </c>
      <c r="E1134" s="13">
        <v>133376</v>
      </c>
      <c r="F1134" s="13">
        <v>663532</v>
      </c>
      <c r="G1134" s="13">
        <v>3960</v>
      </c>
      <c r="H1134" s="13">
        <v>1730952</v>
      </c>
      <c r="I1134" s="13">
        <v>0</v>
      </c>
      <c r="J1134" s="13">
        <v>0</v>
      </c>
      <c r="K1134" s="13">
        <v>1153</v>
      </c>
      <c r="L1134" s="13">
        <v>11</v>
      </c>
      <c r="M1134" s="13">
        <v>716</v>
      </c>
      <c r="N1134" s="13">
        <v>206</v>
      </c>
      <c r="O1134" s="13">
        <v>33</v>
      </c>
      <c r="P1134" s="13">
        <v>1</v>
      </c>
      <c r="Q1134" s="13">
        <v>65</v>
      </c>
      <c r="R1134" s="13">
        <v>0</v>
      </c>
      <c r="S1134" s="13">
        <v>0</v>
      </c>
      <c r="T1134" s="23">
        <v>46247.615335648145</v>
      </c>
      <c r="U1134" s="55">
        <f t="shared" si="51"/>
        <v>1</v>
      </c>
      <c r="V1134" s="55">
        <f t="shared" si="52"/>
        <v>0</v>
      </c>
      <c r="W1134" s="56">
        <f t="shared" si="53"/>
        <v>1175.8333333333333</v>
      </c>
    </row>
    <row r="1135" spans="1:23" x14ac:dyDescent="0.3">
      <c r="A1135" s="13" t="str" cm="1">
        <f t="array" ref="A1135:B1135">INDEX(BenchmarkResults!$B$1:$D$35,SUMPRODUCT((T1135&gt;=BenchmarkResults!$F$3:$F$35)*(mongodb_hardware_log!T1135&lt;BenchmarkResults!$G$3:$G$35)*ROW(BenchmarkResults!$F$3:$F$35)),{1,3})</f>
        <v>q2_avg_order_city</v>
      </c>
      <c r="B1135">
        <v>3</v>
      </c>
      <c r="C1135" s="13">
        <v>4</v>
      </c>
      <c r="D1135" s="13">
        <v>0</v>
      </c>
      <c r="E1135" s="13">
        <v>133376</v>
      </c>
      <c r="F1135" s="13">
        <v>655972</v>
      </c>
      <c r="G1135" s="13">
        <v>3984</v>
      </c>
      <c r="H1135" s="13">
        <v>1742308</v>
      </c>
      <c r="I1135" s="13">
        <v>0</v>
      </c>
      <c r="J1135" s="13">
        <v>0</v>
      </c>
      <c r="K1135" s="13">
        <v>1135</v>
      </c>
      <c r="L1135" s="13">
        <v>23</v>
      </c>
      <c r="M1135" s="13">
        <v>731</v>
      </c>
      <c r="N1135" s="13">
        <v>239</v>
      </c>
      <c r="O1135" s="13">
        <v>33</v>
      </c>
      <c r="P1135" s="13">
        <v>1</v>
      </c>
      <c r="Q1135" s="13">
        <v>65</v>
      </c>
      <c r="R1135" s="13">
        <v>1</v>
      </c>
      <c r="S1135" s="13">
        <v>0</v>
      </c>
      <c r="T1135" s="23">
        <v>46247.615451388891</v>
      </c>
      <c r="U1135" s="55">
        <f t="shared" si="51"/>
        <v>1.5</v>
      </c>
      <c r="V1135" s="55">
        <f t="shared" si="52"/>
        <v>0</v>
      </c>
      <c r="W1135" s="56">
        <f t="shared" si="53"/>
        <v>1174.6666666666667</v>
      </c>
    </row>
    <row r="1136" spans="1:23" x14ac:dyDescent="0.3">
      <c r="A1136" s="13" t="str" cm="1">
        <f t="array" ref="A1136:B1136">INDEX(BenchmarkResults!$B$1:$D$35,SUMPRODUCT((T1136&gt;=BenchmarkResults!$F$3:$F$35)*(mongodb_hardware_log!T1136&lt;BenchmarkResults!$G$3:$G$35)*ROW(BenchmarkResults!$F$3:$F$35)),{1,3})</f>
        <v>q2_avg_order_city</v>
      </c>
      <c r="B1136">
        <v>3</v>
      </c>
      <c r="C1136" s="13">
        <v>1</v>
      </c>
      <c r="D1136" s="13">
        <v>0</v>
      </c>
      <c r="E1136" s="13">
        <v>133376</v>
      </c>
      <c r="F1136" s="13">
        <v>640608</v>
      </c>
      <c r="G1136" s="13">
        <v>3992</v>
      </c>
      <c r="H1136" s="13">
        <v>1756164</v>
      </c>
      <c r="I1136" s="13">
        <v>0</v>
      </c>
      <c r="J1136" s="13">
        <v>0</v>
      </c>
      <c r="K1136" s="13">
        <v>1391</v>
      </c>
      <c r="L1136" s="13">
        <v>14</v>
      </c>
      <c r="M1136" s="13">
        <v>728</v>
      </c>
      <c r="N1136" s="13">
        <v>220</v>
      </c>
      <c r="O1136" s="13">
        <v>33</v>
      </c>
      <c r="P1136" s="13">
        <v>1</v>
      </c>
      <c r="Q1136" s="13">
        <v>65</v>
      </c>
      <c r="R1136" s="13">
        <v>0</v>
      </c>
      <c r="S1136" s="13">
        <v>0</v>
      </c>
      <c r="T1136" s="23">
        <v>46247.615567129629</v>
      </c>
      <c r="U1136" s="55">
        <f t="shared" si="51"/>
        <v>1.5</v>
      </c>
      <c r="V1136" s="55">
        <f t="shared" si="52"/>
        <v>0</v>
      </c>
      <c r="W1136" s="56">
        <f t="shared" si="53"/>
        <v>1228.6666666666667</v>
      </c>
    </row>
    <row r="1137" spans="1:23" x14ac:dyDescent="0.3">
      <c r="A1137" s="13" t="str" cm="1">
        <f t="array" ref="A1137:B1137">INDEX(BenchmarkResults!$B$1:$D$35,SUMPRODUCT((T1137&gt;=BenchmarkResults!$F$3:$F$35)*(mongodb_hardware_log!T1137&lt;BenchmarkResults!$G$3:$G$35)*ROW(BenchmarkResults!$F$3:$F$35)),{1,3})</f>
        <v>q2_avg_order_city</v>
      </c>
      <c r="B1137">
        <v>3</v>
      </c>
      <c r="C1137" s="13">
        <v>1</v>
      </c>
      <c r="D1137" s="13">
        <v>0</v>
      </c>
      <c r="E1137" s="13">
        <v>133376</v>
      </c>
      <c r="F1137" s="13">
        <v>623472</v>
      </c>
      <c r="G1137" s="13">
        <v>4000</v>
      </c>
      <c r="H1137" s="13">
        <v>1768844</v>
      </c>
      <c r="I1137" s="13">
        <v>0</v>
      </c>
      <c r="J1137" s="13">
        <v>0</v>
      </c>
      <c r="K1137" s="13">
        <v>1260</v>
      </c>
      <c r="L1137" s="13">
        <v>22</v>
      </c>
      <c r="M1137" s="13">
        <v>711</v>
      </c>
      <c r="N1137" s="13">
        <v>206</v>
      </c>
      <c r="O1137" s="13">
        <v>33</v>
      </c>
      <c r="P1137" s="13">
        <v>1</v>
      </c>
      <c r="Q1137" s="13">
        <v>65</v>
      </c>
      <c r="R1137" s="13">
        <v>0</v>
      </c>
      <c r="S1137" s="13">
        <v>0</v>
      </c>
      <c r="T1137" s="23">
        <v>46247.615682870368</v>
      </c>
      <c r="U1137" s="55">
        <f t="shared" si="51"/>
        <v>1.5</v>
      </c>
      <c r="V1137" s="55">
        <f t="shared" si="52"/>
        <v>0</v>
      </c>
      <c r="W1137" s="56">
        <f t="shared" si="53"/>
        <v>1169</v>
      </c>
    </row>
    <row r="1138" spans="1:23" x14ac:dyDescent="0.3">
      <c r="A1138" s="13" t="str" cm="1">
        <f t="array" ref="A1138:B1138">INDEX(BenchmarkResults!$B$1:$D$35,SUMPRODUCT((T1138&gt;=BenchmarkResults!$F$3:$F$35)*(mongodb_hardware_log!T1138&lt;BenchmarkResults!$G$3:$G$35)*ROW(BenchmarkResults!$F$3:$F$35)),{1,3})</f>
        <v>q2_avg_order_city</v>
      </c>
      <c r="B1138">
        <v>3</v>
      </c>
      <c r="C1138" s="13">
        <v>1</v>
      </c>
      <c r="D1138" s="13">
        <v>0</v>
      </c>
      <c r="E1138" s="13">
        <v>133376</v>
      </c>
      <c r="F1138" s="13">
        <v>615912</v>
      </c>
      <c r="G1138" s="13">
        <v>4008</v>
      </c>
      <c r="H1138" s="13">
        <v>1779136</v>
      </c>
      <c r="I1138" s="13">
        <v>0</v>
      </c>
      <c r="J1138" s="13">
        <v>0</v>
      </c>
      <c r="K1138" s="13">
        <v>1029</v>
      </c>
      <c r="L1138" s="13">
        <v>12</v>
      </c>
      <c r="M1138" s="13">
        <v>702</v>
      </c>
      <c r="N1138" s="13">
        <v>202</v>
      </c>
      <c r="O1138" s="13">
        <v>33</v>
      </c>
      <c r="P1138" s="13">
        <v>1</v>
      </c>
      <c r="Q1138" s="13">
        <v>65</v>
      </c>
      <c r="R1138" s="13">
        <v>0</v>
      </c>
      <c r="S1138" s="13">
        <v>0</v>
      </c>
      <c r="T1138" s="23">
        <v>46247.615798611114</v>
      </c>
      <c r="U1138" s="55">
        <f t="shared" si="51"/>
        <v>1.5</v>
      </c>
      <c r="V1138" s="55">
        <f t="shared" si="52"/>
        <v>0</v>
      </c>
      <c r="W1138" s="56">
        <f t="shared" si="53"/>
        <v>1168.8333333333333</v>
      </c>
    </row>
    <row r="1139" spans="1:23" x14ac:dyDescent="0.3">
      <c r="A1139" s="13" t="str" cm="1">
        <f t="array" ref="A1139:B1139">INDEX(BenchmarkResults!$B$1:$D$35,SUMPRODUCT((T1139&gt;=BenchmarkResults!$F$3:$F$35)*(mongodb_hardware_log!T1139&lt;BenchmarkResults!$G$3:$G$35)*ROW(BenchmarkResults!$F$3:$F$35)),{1,3})</f>
        <v>q2_avg_order_city</v>
      </c>
      <c r="B1139">
        <v>3</v>
      </c>
      <c r="C1139" s="13">
        <v>1</v>
      </c>
      <c r="D1139" s="13">
        <v>0</v>
      </c>
      <c r="E1139" s="13">
        <v>133376</v>
      </c>
      <c r="F1139" s="13">
        <v>612132</v>
      </c>
      <c r="G1139" s="13">
        <v>4016</v>
      </c>
      <c r="H1139" s="13">
        <v>1790664</v>
      </c>
      <c r="I1139" s="13">
        <v>0</v>
      </c>
      <c r="J1139" s="13">
        <v>0</v>
      </c>
      <c r="K1139" s="13">
        <v>1154</v>
      </c>
      <c r="L1139" s="13">
        <v>15</v>
      </c>
      <c r="M1139" s="13">
        <v>714</v>
      </c>
      <c r="N1139" s="13">
        <v>219</v>
      </c>
      <c r="O1139" s="13">
        <v>34</v>
      </c>
      <c r="P1139" s="13">
        <v>1</v>
      </c>
      <c r="Q1139" s="13">
        <v>65</v>
      </c>
      <c r="R1139" s="13">
        <v>0</v>
      </c>
      <c r="S1139" s="13">
        <v>0</v>
      </c>
      <c r="T1139" s="23">
        <v>46247.615914351853</v>
      </c>
      <c r="U1139" s="55">
        <f t="shared" si="51"/>
        <v>1.5</v>
      </c>
      <c r="V1139" s="55">
        <f t="shared" si="52"/>
        <v>0</v>
      </c>
      <c r="W1139" s="56">
        <f t="shared" si="53"/>
        <v>1187</v>
      </c>
    </row>
    <row r="1140" spans="1:23" x14ac:dyDescent="0.3">
      <c r="A1140" s="13" t="str" cm="1">
        <f t="array" ref="A1140:B1140">INDEX(BenchmarkResults!$B$1:$D$35,SUMPRODUCT((T1140&gt;=BenchmarkResults!$F$3:$F$35)*(mongodb_hardware_log!T1140&lt;BenchmarkResults!$G$3:$G$35)*ROW(BenchmarkResults!$F$3:$F$35)),{1,3})</f>
        <v>q2_avg_order_city</v>
      </c>
      <c r="B1140">
        <v>3</v>
      </c>
      <c r="C1140" s="13">
        <v>1</v>
      </c>
      <c r="D1140" s="13">
        <v>0</v>
      </c>
      <c r="E1140" s="13">
        <v>133376</v>
      </c>
      <c r="F1140" s="13">
        <v>601540</v>
      </c>
      <c r="G1140" s="13">
        <v>4024</v>
      </c>
      <c r="H1140" s="13">
        <v>1803284</v>
      </c>
      <c r="I1140" s="13">
        <v>0</v>
      </c>
      <c r="J1140" s="13">
        <v>0</v>
      </c>
      <c r="K1140" s="13">
        <v>1261</v>
      </c>
      <c r="L1140" s="13">
        <v>11</v>
      </c>
      <c r="M1140" s="13">
        <v>738</v>
      </c>
      <c r="N1140" s="13">
        <v>230</v>
      </c>
      <c r="O1140" s="13">
        <v>33</v>
      </c>
      <c r="P1140" s="13">
        <v>1</v>
      </c>
      <c r="Q1140" s="13">
        <v>65</v>
      </c>
      <c r="R1140" s="13">
        <v>0</v>
      </c>
      <c r="S1140" s="13">
        <v>0</v>
      </c>
      <c r="T1140" s="23">
        <v>46247.616030092591</v>
      </c>
      <c r="U1140" s="55">
        <f t="shared" si="51"/>
        <v>1.5</v>
      </c>
      <c r="V1140" s="55">
        <f t="shared" si="52"/>
        <v>0</v>
      </c>
      <c r="W1140" s="56">
        <f t="shared" si="53"/>
        <v>1205</v>
      </c>
    </row>
    <row r="1141" spans="1:23" x14ac:dyDescent="0.3">
      <c r="A1141" s="13" t="str" cm="1">
        <f t="array" ref="A1141:B1141">INDEX(BenchmarkResults!$B$1:$D$35,SUMPRODUCT((T1141&gt;=BenchmarkResults!$F$3:$F$35)*(mongodb_hardware_log!T1141&lt;BenchmarkResults!$G$3:$G$35)*ROW(BenchmarkResults!$F$3:$F$35)),{1,3})</f>
        <v>q2_avg_order_city</v>
      </c>
      <c r="B1141">
        <v>3</v>
      </c>
      <c r="C1141" s="13">
        <v>1</v>
      </c>
      <c r="D1141" s="13">
        <v>0</v>
      </c>
      <c r="E1141" s="13">
        <v>133376</v>
      </c>
      <c r="F1141" s="13">
        <v>585664</v>
      </c>
      <c r="G1141" s="13">
        <v>4048</v>
      </c>
      <c r="H1141" s="13">
        <v>1818256</v>
      </c>
      <c r="I1141" s="13">
        <v>0</v>
      </c>
      <c r="J1141" s="13">
        <v>0</v>
      </c>
      <c r="K1141" s="13">
        <v>1500</v>
      </c>
      <c r="L1141" s="13">
        <v>40</v>
      </c>
      <c r="M1141" s="13">
        <v>808</v>
      </c>
      <c r="N1141" s="13">
        <v>315</v>
      </c>
      <c r="O1141" s="13">
        <v>33</v>
      </c>
      <c r="P1141" s="13">
        <v>1</v>
      </c>
      <c r="Q1141" s="13">
        <v>65</v>
      </c>
      <c r="R1141" s="13">
        <v>0</v>
      </c>
      <c r="S1141" s="13">
        <v>0</v>
      </c>
      <c r="T1141" s="23">
        <v>46247.61614583333</v>
      </c>
      <c r="U1141" s="55">
        <f t="shared" si="51"/>
        <v>1</v>
      </c>
      <c r="V1141" s="55">
        <f t="shared" si="52"/>
        <v>0</v>
      </c>
      <c r="W1141" s="56">
        <f t="shared" si="53"/>
        <v>1265.8333333333333</v>
      </c>
    </row>
    <row r="1142" spans="1:23" x14ac:dyDescent="0.3">
      <c r="A1142" s="13" t="str" cm="1">
        <f t="array" ref="A1142:B1142">INDEX(BenchmarkResults!$B$1:$D$35,SUMPRODUCT((T1142&gt;=BenchmarkResults!$F$3:$F$35)*(mongodb_hardware_log!T1142&lt;BenchmarkResults!$G$3:$G$35)*ROW(BenchmarkResults!$F$3:$F$35)),{1,3})</f>
        <v>q2_avg_order_city</v>
      </c>
      <c r="B1142">
        <v>3</v>
      </c>
      <c r="C1142" s="13">
        <v>1</v>
      </c>
      <c r="D1142" s="13">
        <v>0</v>
      </c>
      <c r="E1142" s="13">
        <v>133376</v>
      </c>
      <c r="F1142" s="13">
        <v>576592</v>
      </c>
      <c r="G1142" s="13">
        <v>4056</v>
      </c>
      <c r="H1142" s="13">
        <v>1829784</v>
      </c>
      <c r="I1142" s="13">
        <v>0</v>
      </c>
      <c r="J1142" s="13">
        <v>0</v>
      </c>
      <c r="K1142" s="13">
        <v>1152</v>
      </c>
      <c r="L1142" s="13">
        <v>11</v>
      </c>
      <c r="M1142" s="13">
        <v>711</v>
      </c>
      <c r="N1142" s="13">
        <v>207</v>
      </c>
      <c r="O1142" s="13">
        <v>33</v>
      </c>
      <c r="P1142" s="13">
        <v>1</v>
      </c>
      <c r="Q1142" s="13">
        <v>65</v>
      </c>
      <c r="R1142" s="13">
        <v>0</v>
      </c>
      <c r="S1142" s="13">
        <v>0</v>
      </c>
      <c r="T1142" s="23">
        <v>46247.616261574076</v>
      </c>
      <c r="U1142" s="55">
        <f t="shared" si="51"/>
        <v>1</v>
      </c>
      <c r="V1142" s="55">
        <f t="shared" si="52"/>
        <v>0</v>
      </c>
      <c r="W1142" s="56">
        <f t="shared" si="53"/>
        <v>1226</v>
      </c>
    </row>
    <row r="1143" spans="1:23" x14ac:dyDescent="0.3">
      <c r="A1143" s="13" t="str" cm="1">
        <f t="array" ref="A1143:B1143">INDEX(BenchmarkResults!$B$1:$D$35,SUMPRODUCT((T1143&gt;=BenchmarkResults!$F$3:$F$35)*(mongodb_hardware_log!T1143&lt;BenchmarkResults!$G$3:$G$35)*ROW(BenchmarkResults!$F$3:$F$35)),{1,3})</f>
        <v>q2_avg_order_city</v>
      </c>
      <c r="B1143">
        <v>3</v>
      </c>
      <c r="C1143" s="13">
        <v>1</v>
      </c>
      <c r="D1143" s="13">
        <v>0</v>
      </c>
      <c r="E1143" s="13">
        <v>133376</v>
      </c>
      <c r="F1143" s="13">
        <v>562480</v>
      </c>
      <c r="G1143" s="13">
        <v>4064</v>
      </c>
      <c r="H1143" s="13">
        <v>1842724</v>
      </c>
      <c r="I1143" s="13">
        <v>0</v>
      </c>
      <c r="J1143" s="13">
        <v>0</v>
      </c>
      <c r="K1143" s="13">
        <v>1294</v>
      </c>
      <c r="L1143" s="13">
        <v>16</v>
      </c>
      <c r="M1143" s="13">
        <v>708</v>
      </c>
      <c r="N1143" s="13">
        <v>205</v>
      </c>
      <c r="O1143" s="13">
        <v>33</v>
      </c>
      <c r="P1143" s="13">
        <v>1</v>
      </c>
      <c r="Q1143" s="13">
        <v>65</v>
      </c>
      <c r="R1143" s="13">
        <v>0</v>
      </c>
      <c r="S1143" s="13">
        <v>0</v>
      </c>
      <c r="T1143" s="23">
        <v>46247.616377314815</v>
      </c>
      <c r="U1143" s="55">
        <f t="shared" si="51"/>
        <v>1</v>
      </c>
      <c r="V1143" s="55">
        <f t="shared" si="52"/>
        <v>0</v>
      </c>
      <c r="W1143" s="56">
        <f t="shared" si="53"/>
        <v>1231.6666666666667</v>
      </c>
    </row>
    <row r="1144" spans="1:23" x14ac:dyDescent="0.3">
      <c r="A1144" s="13" t="str" cm="1">
        <f t="array" ref="A1144:B1144">INDEX(BenchmarkResults!$B$1:$D$35,SUMPRODUCT((T1144&gt;=BenchmarkResults!$F$3:$F$35)*(mongodb_hardware_log!T1144&lt;BenchmarkResults!$G$3:$G$35)*ROW(BenchmarkResults!$F$3:$F$35)),{1,3})</f>
        <v>q2_avg_order_city</v>
      </c>
      <c r="B1144">
        <v>3</v>
      </c>
      <c r="C1144" s="13">
        <v>1</v>
      </c>
      <c r="D1144" s="13">
        <v>0</v>
      </c>
      <c r="E1144" s="13">
        <v>133376</v>
      </c>
      <c r="F1144" s="13">
        <v>556936</v>
      </c>
      <c r="G1144" s="13">
        <v>4080</v>
      </c>
      <c r="H1144" s="13">
        <v>1852328</v>
      </c>
      <c r="I1144" s="13">
        <v>0</v>
      </c>
      <c r="J1144" s="13">
        <v>0</v>
      </c>
      <c r="K1144" s="13">
        <v>966</v>
      </c>
      <c r="L1144" s="13">
        <v>13</v>
      </c>
      <c r="M1144" s="13">
        <v>713</v>
      </c>
      <c r="N1144" s="13">
        <v>210</v>
      </c>
      <c r="O1144" s="13">
        <v>33</v>
      </c>
      <c r="P1144" s="13">
        <v>1</v>
      </c>
      <c r="Q1144" s="13">
        <v>65</v>
      </c>
      <c r="R1144" s="13">
        <v>0</v>
      </c>
      <c r="S1144" s="13">
        <v>0</v>
      </c>
      <c r="T1144" s="23">
        <v>46247.616493055553</v>
      </c>
      <c r="U1144" s="55">
        <f t="shared" si="51"/>
        <v>1</v>
      </c>
      <c r="V1144" s="55">
        <f t="shared" si="52"/>
        <v>0</v>
      </c>
      <c r="W1144" s="56">
        <f t="shared" si="53"/>
        <v>1221.1666666666667</v>
      </c>
    </row>
    <row r="1145" spans="1:23" x14ac:dyDescent="0.3">
      <c r="A1145" s="13" t="str" cm="1">
        <f t="array" ref="A1145:B1145">INDEX(BenchmarkResults!$B$1:$D$35,SUMPRODUCT((T1145&gt;=BenchmarkResults!$F$3:$F$35)*(mongodb_hardware_log!T1145&lt;BenchmarkResults!$G$3:$G$35)*ROW(BenchmarkResults!$F$3:$F$35)),{1,3})</f>
        <v>q2_avg_order_city</v>
      </c>
      <c r="B1145">
        <v>3</v>
      </c>
      <c r="C1145" s="13">
        <v>1</v>
      </c>
      <c r="D1145" s="13">
        <v>0</v>
      </c>
      <c r="E1145" s="13">
        <v>133376</v>
      </c>
      <c r="F1145" s="13">
        <v>545848</v>
      </c>
      <c r="G1145" s="13">
        <v>4088</v>
      </c>
      <c r="H1145" s="13">
        <v>1863764</v>
      </c>
      <c r="I1145" s="13">
        <v>0</v>
      </c>
      <c r="J1145" s="13">
        <v>0</v>
      </c>
      <c r="K1145" s="13">
        <v>1136</v>
      </c>
      <c r="L1145" s="13">
        <v>12</v>
      </c>
      <c r="M1145" s="13">
        <v>811</v>
      </c>
      <c r="N1145" s="13">
        <v>307</v>
      </c>
      <c r="O1145" s="13">
        <v>33</v>
      </c>
      <c r="P1145" s="13">
        <v>1</v>
      </c>
      <c r="Q1145" s="13">
        <v>65</v>
      </c>
      <c r="R1145" s="13">
        <v>1</v>
      </c>
      <c r="S1145" s="13">
        <v>0</v>
      </c>
      <c r="T1145" s="23">
        <v>46247.616608796299</v>
      </c>
      <c r="U1145" s="55">
        <f t="shared" si="51"/>
        <v>1</v>
      </c>
      <c r="V1145" s="55">
        <f t="shared" si="52"/>
        <v>0</v>
      </c>
      <c r="W1145" s="56">
        <f t="shared" si="53"/>
        <v>1218.1666666666667</v>
      </c>
    </row>
    <row r="1146" spans="1:23" x14ac:dyDescent="0.3">
      <c r="A1146" s="13" t="str" cm="1">
        <f t="array" ref="A1146:B1146">INDEX(BenchmarkResults!$B$1:$D$35,SUMPRODUCT((T1146&gt;=BenchmarkResults!$F$3:$F$35)*(mongodb_hardware_log!T1146&lt;BenchmarkResults!$G$3:$G$35)*ROW(BenchmarkResults!$F$3:$F$35)),{1,3})</f>
        <v>q2_avg_order_city</v>
      </c>
      <c r="B1146">
        <v>3</v>
      </c>
      <c r="C1146" s="13">
        <v>2</v>
      </c>
      <c r="D1146" s="13">
        <v>0</v>
      </c>
      <c r="E1146" s="13">
        <v>133376</v>
      </c>
      <c r="F1146" s="13">
        <v>528964</v>
      </c>
      <c r="G1146" s="13">
        <v>4096</v>
      </c>
      <c r="H1146" s="13">
        <v>1878568</v>
      </c>
      <c r="I1146" s="13">
        <v>0</v>
      </c>
      <c r="J1146" s="13">
        <v>0</v>
      </c>
      <c r="K1146" s="13">
        <v>1484</v>
      </c>
      <c r="L1146" s="13">
        <v>12</v>
      </c>
      <c r="M1146" s="13">
        <v>711</v>
      </c>
      <c r="N1146" s="13">
        <v>201</v>
      </c>
      <c r="O1146" s="13">
        <v>33</v>
      </c>
      <c r="P1146" s="13">
        <v>1</v>
      </c>
      <c r="Q1146" s="13">
        <v>65</v>
      </c>
      <c r="R1146" s="13">
        <v>0</v>
      </c>
      <c r="S1146" s="13">
        <v>0</v>
      </c>
      <c r="T1146" s="23">
        <v>46247.616724537038</v>
      </c>
      <c r="U1146" s="55">
        <f t="shared" si="51"/>
        <v>1.1666666666666667</v>
      </c>
      <c r="V1146" s="55">
        <f t="shared" si="52"/>
        <v>0</v>
      </c>
      <c r="W1146" s="56">
        <f t="shared" si="53"/>
        <v>1255.3333333333333</v>
      </c>
    </row>
    <row r="1147" spans="1:23" x14ac:dyDescent="0.3">
      <c r="A1147" s="13" t="str" cm="1">
        <f t="array" ref="A1147:B1147">INDEX(BenchmarkResults!$B$1:$D$35,SUMPRODUCT((T1147&gt;=BenchmarkResults!$F$3:$F$35)*(mongodb_hardware_log!T1147&lt;BenchmarkResults!$G$3:$G$35)*ROW(BenchmarkResults!$F$3:$F$35)),{1,3})</f>
        <v>q2_avg_order_city</v>
      </c>
      <c r="B1147">
        <v>3</v>
      </c>
      <c r="C1147" s="13">
        <v>1</v>
      </c>
      <c r="D1147" s="13">
        <v>0</v>
      </c>
      <c r="E1147" s="13">
        <v>133376</v>
      </c>
      <c r="F1147" s="13">
        <v>510968</v>
      </c>
      <c r="G1147" s="13">
        <v>4136</v>
      </c>
      <c r="H1147" s="13">
        <v>1890564</v>
      </c>
      <c r="I1147" s="13">
        <v>0</v>
      </c>
      <c r="J1147" s="13">
        <v>0</v>
      </c>
      <c r="K1147" s="13">
        <v>1195</v>
      </c>
      <c r="L1147" s="13">
        <v>58</v>
      </c>
      <c r="M1147" s="13">
        <v>716</v>
      </c>
      <c r="N1147" s="13">
        <v>227</v>
      </c>
      <c r="O1147" s="13">
        <v>34</v>
      </c>
      <c r="P1147" s="13">
        <v>1</v>
      </c>
      <c r="Q1147" s="13">
        <v>65</v>
      </c>
      <c r="R1147" s="13">
        <v>0</v>
      </c>
      <c r="S1147" s="13">
        <v>0</v>
      </c>
      <c r="T1147" s="23">
        <v>46247.616840277777</v>
      </c>
      <c r="U1147" s="55">
        <f t="shared" si="51"/>
        <v>1.1666666666666667</v>
      </c>
      <c r="V1147" s="55">
        <f t="shared" si="52"/>
        <v>0</v>
      </c>
      <c r="W1147" s="56">
        <f t="shared" si="53"/>
        <v>1204.5</v>
      </c>
    </row>
    <row r="1148" spans="1:23" x14ac:dyDescent="0.3">
      <c r="A1148" s="13" t="str" cm="1">
        <f t="array" ref="A1148:B1148">INDEX(BenchmarkResults!$B$1:$D$35,SUMPRODUCT((T1148&gt;=BenchmarkResults!$F$3:$F$35)*(mongodb_hardware_log!T1148&lt;BenchmarkResults!$G$3:$G$35)*ROW(BenchmarkResults!$F$3:$F$35)),{1,3})</f>
        <v>q2_avg_order_city</v>
      </c>
      <c r="B1148">
        <v>3</v>
      </c>
      <c r="C1148" s="13">
        <v>1</v>
      </c>
      <c r="D1148" s="13">
        <v>0</v>
      </c>
      <c r="E1148" s="13">
        <v>133376</v>
      </c>
      <c r="F1148" s="13">
        <v>500916</v>
      </c>
      <c r="G1148" s="13">
        <v>4144</v>
      </c>
      <c r="H1148" s="13">
        <v>1902568</v>
      </c>
      <c r="I1148" s="13">
        <v>0</v>
      </c>
      <c r="J1148" s="13">
        <v>0</v>
      </c>
      <c r="K1148" s="13">
        <v>1203</v>
      </c>
      <c r="L1148" s="13">
        <v>13</v>
      </c>
      <c r="M1148" s="13">
        <v>789</v>
      </c>
      <c r="N1148" s="13">
        <v>304</v>
      </c>
      <c r="O1148" s="13">
        <v>33</v>
      </c>
      <c r="P1148" s="13">
        <v>1</v>
      </c>
      <c r="Q1148" s="13">
        <v>65</v>
      </c>
      <c r="R1148" s="13">
        <v>0</v>
      </c>
      <c r="S1148" s="13">
        <v>0</v>
      </c>
      <c r="T1148" s="23">
        <v>46247.616956018515</v>
      </c>
      <c r="U1148" s="55">
        <f t="shared" si="51"/>
        <v>1.1666666666666667</v>
      </c>
      <c r="V1148" s="55">
        <f t="shared" si="52"/>
        <v>0</v>
      </c>
      <c r="W1148" s="56">
        <f t="shared" si="53"/>
        <v>1213</v>
      </c>
    </row>
    <row r="1149" spans="1:23" x14ac:dyDescent="0.3">
      <c r="A1149" s="13" t="str" cm="1">
        <f t="array" ref="A1149:B1149">INDEX(BenchmarkResults!$B$1:$D$35,SUMPRODUCT((T1149&gt;=BenchmarkResults!$F$3:$F$35)*(mongodb_hardware_log!T1149&lt;BenchmarkResults!$G$3:$G$35)*ROW(BenchmarkResults!$F$3:$F$35)),{1,3})</f>
        <v>q2_avg_order_city</v>
      </c>
      <c r="B1149">
        <v>3</v>
      </c>
      <c r="C1149" s="13">
        <v>1</v>
      </c>
      <c r="D1149" s="13">
        <v>0</v>
      </c>
      <c r="E1149" s="13">
        <v>133376</v>
      </c>
      <c r="F1149" s="13">
        <v>491844</v>
      </c>
      <c r="G1149" s="13">
        <v>4152</v>
      </c>
      <c r="H1149" s="13">
        <v>1914168</v>
      </c>
      <c r="I1149" s="13">
        <v>0</v>
      </c>
      <c r="J1149" s="13">
        <v>0</v>
      </c>
      <c r="K1149" s="13">
        <v>1158</v>
      </c>
      <c r="L1149" s="13">
        <v>13</v>
      </c>
      <c r="M1149" s="13">
        <v>696</v>
      </c>
      <c r="N1149" s="13">
        <v>194</v>
      </c>
      <c r="O1149" s="13">
        <v>33</v>
      </c>
      <c r="P1149" s="13">
        <v>1</v>
      </c>
      <c r="Q1149" s="13">
        <v>66</v>
      </c>
      <c r="R1149" s="13">
        <v>0</v>
      </c>
      <c r="S1149" s="13">
        <v>0</v>
      </c>
      <c r="T1149" s="23">
        <v>46247.617071759261</v>
      </c>
      <c r="U1149" s="55">
        <f t="shared" si="51"/>
        <v>1.1666666666666667</v>
      </c>
      <c r="V1149" s="55">
        <f t="shared" si="52"/>
        <v>0</v>
      </c>
      <c r="W1149" s="56">
        <f t="shared" si="53"/>
        <v>1190.3333333333333</v>
      </c>
    </row>
    <row r="1150" spans="1:23" x14ac:dyDescent="0.3">
      <c r="A1150" s="13" t="str" cm="1">
        <f t="array" ref="A1150:B1150">INDEX(BenchmarkResults!$B$1:$D$35,SUMPRODUCT((T1150&gt;=BenchmarkResults!$F$3:$F$35)*(mongodb_hardware_log!T1150&lt;BenchmarkResults!$G$3:$G$35)*ROW(BenchmarkResults!$F$3:$F$35)),{1,3})</f>
        <v>q2_avg_order_city</v>
      </c>
      <c r="B1150">
        <v>3</v>
      </c>
      <c r="C1150" s="13">
        <v>1</v>
      </c>
      <c r="D1150" s="13">
        <v>0</v>
      </c>
      <c r="E1150" s="13">
        <v>133376</v>
      </c>
      <c r="F1150" s="13">
        <v>485296</v>
      </c>
      <c r="G1150" s="13">
        <v>4160</v>
      </c>
      <c r="H1150" s="13">
        <v>1927792</v>
      </c>
      <c r="I1150" s="13">
        <v>0</v>
      </c>
      <c r="J1150" s="13">
        <v>0</v>
      </c>
      <c r="K1150" s="13">
        <v>1366</v>
      </c>
      <c r="L1150" s="13">
        <v>12</v>
      </c>
      <c r="M1150" s="13">
        <v>725</v>
      </c>
      <c r="N1150" s="13">
        <v>218</v>
      </c>
      <c r="O1150" s="13">
        <v>33</v>
      </c>
      <c r="P1150" s="13">
        <v>1</v>
      </c>
      <c r="Q1150" s="13">
        <v>65</v>
      </c>
      <c r="R1150" s="13">
        <v>0</v>
      </c>
      <c r="S1150" s="13">
        <v>0</v>
      </c>
      <c r="T1150" s="23">
        <v>46247.6171875</v>
      </c>
      <c r="U1150" s="55">
        <f t="shared" si="51"/>
        <v>1.1666666666666667</v>
      </c>
      <c r="V1150" s="55">
        <f t="shared" si="52"/>
        <v>0</v>
      </c>
      <c r="W1150" s="56">
        <f t="shared" si="53"/>
        <v>1257</v>
      </c>
    </row>
    <row r="1151" spans="1:23" x14ac:dyDescent="0.3">
      <c r="A1151" s="13" t="str" cm="1">
        <f t="array" ref="A1151:B1151">INDEX(BenchmarkResults!$B$1:$D$35,SUMPRODUCT((T1151&gt;=BenchmarkResults!$F$3:$F$35)*(mongodb_hardware_log!T1151&lt;BenchmarkResults!$G$3:$G$35)*ROW(BenchmarkResults!$F$3:$F$35)),{1,3})</f>
        <v>q2_avg_order_city</v>
      </c>
      <c r="B1151">
        <v>3</v>
      </c>
      <c r="C1151" s="13">
        <v>2</v>
      </c>
      <c r="D1151" s="13">
        <v>0</v>
      </c>
      <c r="E1151" s="13">
        <v>133376</v>
      </c>
      <c r="F1151" s="13">
        <v>473956</v>
      </c>
      <c r="G1151" s="13">
        <v>4168</v>
      </c>
      <c r="H1151" s="13">
        <v>1940596</v>
      </c>
      <c r="I1151" s="13">
        <v>0</v>
      </c>
      <c r="J1151" s="13">
        <v>0</v>
      </c>
      <c r="K1151" s="13">
        <v>1278</v>
      </c>
      <c r="L1151" s="13">
        <v>12</v>
      </c>
      <c r="M1151" s="13">
        <v>702</v>
      </c>
      <c r="N1151" s="13">
        <v>203</v>
      </c>
      <c r="O1151" s="13">
        <v>33</v>
      </c>
      <c r="P1151" s="13">
        <v>1</v>
      </c>
      <c r="Q1151" s="13">
        <v>65</v>
      </c>
      <c r="R1151" s="13">
        <v>0</v>
      </c>
      <c r="S1151" s="13">
        <v>0</v>
      </c>
      <c r="T1151" s="23">
        <v>46247.617303240739</v>
      </c>
      <c r="U1151" s="55">
        <f t="shared" si="51"/>
        <v>1.3333333333333333</v>
      </c>
      <c r="V1151" s="55">
        <f t="shared" si="52"/>
        <v>0</v>
      </c>
      <c r="W1151" s="56">
        <f t="shared" si="53"/>
        <v>1280.6666666666667</v>
      </c>
    </row>
    <row r="1152" spans="1:23" x14ac:dyDescent="0.3">
      <c r="A1152" s="13" t="str" cm="1">
        <f t="array" ref="A1152:B1152">INDEX(BenchmarkResults!$B$1:$D$35,SUMPRODUCT((T1152&gt;=BenchmarkResults!$F$3:$F$35)*(mongodb_hardware_log!T1152&lt;BenchmarkResults!$G$3:$G$35)*ROW(BenchmarkResults!$F$3:$F$35)),{1,3})</f>
        <v>q2_avg_order_city</v>
      </c>
      <c r="B1152">
        <v>3</v>
      </c>
      <c r="C1152" s="13">
        <v>1</v>
      </c>
      <c r="D1152" s="13">
        <v>0</v>
      </c>
      <c r="E1152" s="13">
        <v>133376</v>
      </c>
      <c r="F1152" s="13">
        <v>454556</v>
      </c>
      <c r="G1152" s="13">
        <v>4184</v>
      </c>
      <c r="H1152" s="13">
        <v>1952108</v>
      </c>
      <c r="I1152" s="13">
        <v>0</v>
      </c>
      <c r="J1152" s="13">
        <v>0</v>
      </c>
      <c r="K1152" s="13">
        <v>1151</v>
      </c>
      <c r="L1152" s="13">
        <v>40</v>
      </c>
      <c r="M1152" s="13">
        <v>740</v>
      </c>
      <c r="N1152" s="13">
        <v>248</v>
      </c>
      <c r="O1152" s="13">
        <v>34</v>
      </c>
      <c r="P1152" s="13">
        <v>1</v>
      </c>
      <c r="Q1152" s="13">
        <v>64</v>
      </c>
      <c r="R1152" s="13">
        <v>0</v>
      </c>
      <c r="S1152" s="13">
        <v>0</v>
      </c>
      <c r="T1152" s="23">
        <v>46247.617418981485</v>
      </c>
      <c r="U1152" s="55">
        <f t="shared" si="51"/>
        <v>1.1666666666666667</v>
      </c>
      <c r="V1152" s="55">
        <f t="shared" si="52"/>
        <v>0</v>
      </c>
      <c r="W1152" s="56">
        <f t="shared" si="53"/>
        <v>1225.1666666666667</v>
      </c>
    </row>
    <row r="1153" spans="1:23" x14ac:dyDescent="0.3">
      <c r="A1153" s="13" t="str" cm="1">
        <f t="array" ref="A1153:B1153">INDEX(BenchmarkResults!$B$1:$D$35,SUMPRODUCT((T1153&gt;=BenchmarkResults!$F$3:$F$35)*(mongodb_hardware_log!T1153&lt;BenchmarkResults!$G$3:$G$35)*ROW(BenchmarkResults!$F$3:$F$35)),{1,3})</f>
        <v>q2_avg_order_city</v>
      </c>
      <c r="B1153">
        <v>3</v>
      </c>
      <c r="C1153" s="13">
        <v>1</v>
      </c>
      <c r="D1153" s="13">
        <v>0</v>
      </c>
      <c r="E1153" s="13">
        <v>133376</v>
      </c>
      <c r="F1153" s="13">
        <v>452036</v>
      </c>
      <c r="G1153" s="13">
        <v>4232</v>
      </c>
      <c r="H1153" s="13">
        <v>1963148</v>
      </c>
      <c r="I1153" s="13">
        <v>0</v>
      </c>
      <c r="J1153" s="13">
        <v>0</v>
      </c>
      <c r="K1153" s="13">
        <v>1098</v>
      </c>
      <c r="L1153" s="13">
        <v>33</v>
      </c>
      <c r="M1153" s="13">
        <v>806</v>
      </c>
      <c r="N1153" s="13">
        <v>313</v>
      </c>
      <c r="O1153" s="13">
        <v>33</v>
      </c>
      <c r="P1153" s="13">
        <v>1</v>
      </c>
      <c r="Q1153" s="13">
        <v>65</v>
      </c>
      <c r="R1153" s="13">
        <v>1</v>
      </c>
      <c r="S1153" s="13">
        <v>0</v>
      </c>
      <c r="T1153" s="23">
        <v>46247.617534722223</v>
      </c>
      <c r="U1153" s="55">
        <f t="shared" si="51"/>
        <v>1.1666666666666667</v>
      </c>
      <c r="V1153" s="55">
        <f t="shared" si="52"/>
        <v>0</v>
      </c>
      <c r="W1153" s="56">
        <f t="shared" si="53"/>
        <v>1209</v>
      </c>
    </row>
    <row r="1154" spans="1:23" x14ac:dyDescent="0.3">
      <c r="A1154" s="13" t="str" cm="1">
        <f t="array" ref="A1154:B1154">INDEX(BenchmarkResults!$B$1:$D$35,SUMPRODUCT((T1154&gt;=BenchmarkResults!$F$3:$F$35)*(mongodb_hardware_log!T1154&lt;BenchmarkResults!$G$3:$G$35)*ROW(BenchmarkResults!$F$3:$F$35)),{1,3})</f>
        <v>q2_avg_order_city</v>
      </c>
      <c r="B1154">
        <v>3</v>
      </c>
      <c r="C1154" s="13">
        <v>1</v>
      </c>
      <c r="D1154" s="13">
        <v>0</v>
      </c>
      <c r="E1154" s="13">
        <v>133376</v>
      </c>
      <c r="F1154" s="13">
        <v>436664</v>
      </c>
      <c r="G1154" s="13">
        <v>4240</v>
      </c>
      <c r="H1154" s="13">
        <v>1975280</v>
      </c>
      <c r="I1154" s="13">
        <v>0</v>
      </c>
      <c r="J1154" s="13">
        <v>0</v>
      </c>
      <c r="K1154" s="13">
        <v>1213</v>
      </c>
      <c r="L1154" s="13">
        <v>15</v>
      </c>
      <c r="M1154" s="13">
        <v>724</v>
      </c>
      <c r="N1154" s="13">
        <v>227</v>
      </c>
      <c r="O1154" s="13">
        <v>33</v>
      </c>
      <c r="P1154" s="13">
        <v>1</v>
      </c>
      <c r="Q1154" s="13">
        <v>65</v>
      </c>
      <c r="R1154" s="13">
        <v>1</v>
      </c>
      <c r="S1154" s="13">
        <v>0</v>
      </c>
      <c r="T1154" s="23">
        <v>46247.617650462962</v>
      </c>
      <c r="U1154" s="55">
        <f t="shared" si="51"/>
        <v>1.1666666666666667</v>
      </c>
      <c r="V1154" s="55">
        <f t="shared" si="52"/>
        <v>0</v>
      </c>
      <c r="W1154" s="56">
        <f t="shared" si="53"/>
        <v>1210.6666666666667</v>
      </c>
    </row>
    <row r="1155" spans="1:23" x14ac:dyDescent="0.3">
      <c r="A1155" s="13" t="str" cm="1">
        <f t="array" ref="A1155:B1155">INDEX(BenchmarkResults!$B$1:$D$35,SUMPRODUCT((T1155&gt;=BenchmarkResults!$F$3:$F$35)*(mongodb_hardware_log!T1155&lt;BenchmarkResults!$G$3:$G$35)*ROW(BenchmarkResults!$F$3:$F$35)),{1,3})</f>
        <v>q2_avg_order_city</v>
      </c>
      <c r="B1155">
        <v>3</v>
      </c>
      <c r="C1155" s="13">
        <v>1</v>
      </c>
      <c r="D1155" s="13">
        <v>0</v>
      </c>
      <c r="E1155" s="13">
        <v>133376</v>
      </c>
      <c r="F1155" s="13">
        <v>420536</v>
      </c>
      <c r="G1155" s="13">
        <v>4248</v>
      </c>
      <c r="H1155" s="13">
        <v>1989832</v>
      </c>
      <c r="I1155" s="13">
        <v>0</v>
      </c>
      <c r="J1155" s="13">
        <v>0</v>
      </c>
      <c r="K1155" s="13">
        <v>1462</v>
      </c>
      <c r="L1155" s="13">
        <v>15</v>
      </c>
      <c r="M1155" s="13">
        <v>702</v>
      </c>
      <c r="N1155" s="13">
        <v>198</v>
      </c>
      <c r="O1155" s="13">
        <v>33</v>
      </c>
      <c r="P1155" s="13">
        <v>1</v>
      </c>
      <c r="Q1155" s="13">
        <v>65</v>
      </c>
      <c r="R1155" s="13">
        <v>0</v>
      </c>
      <c r="S1155" s="13">
        <v>0</v>
      </c>
      <c r="T1155" s="23">
        <v>46247.617766203701</v>
      </c>
      <c r="U1155" s="55">
        <f t="shared" si="51"/>
        <v>1.1666666666666667</v>
      </c>
      <c r="V1155" s="55">
        <f t="shared" si="52"/>
        <v>0</v>
      </c>
      <c r="W1155" s="56">
        <f t="shared" si="53"/>
        <v>1261.3333333333333</v>
      </c>
    </row>
    <row r="1156" spans="1:23" x14ac:dyDescent="0.3">
      <c r="A1156" s="13" t="str" cm="1">
        <f t="array" ref="A1156:B1156">INDEX(BenchmarkResults!$B$1:$D$35,SUMPRODUCT((T1156&gt;=BenchmarkResults!$F$3:$F$35)*(mongodb_hardware_log!T1156&lt;BenchmarkResults!$G$3:$G$35)*ROW(BenchmarkResults!$F$3:$F$35)),{1,3})</f>
        <v>q2_avg_order_city</v>
      </c>
      <c r="B1156">
        <v>3</v>
      </c>
      <c r="C1156" s="13">
        <v>1</v>
      </c>
      <c r="D1156" s="13">
        <v>0</v>
      </c>
      <c r="E1156" s="13">
        <v>133376</v>
      </c>
      <c r="F1156" s="13">
        <v>410960</v>
      </c>
      <c r="G1156" s="13">
        <v>4256</v>
      </c>
      <c r="H1156" s="13">
        <v>2001356</v>
      </c>
      <c r="I1156" s="13">
        <v>0</v>
      </c>
      <c r="J1156" s="13">
        <v>0</v>
      </c>
      <c r="K1156" s="13">
        <v>1145</v>
      </c>
      <c r="L1156" s="13">
        <v>9</v>
      </c>
      <c r="M1156" s="13">
        <v>706</v>
      </c>
      <c r="N1156" s="13">
        <v>200</v>
      </c>
      <c r="O1156" s="13">
        <v>33</v>
      </c>
      <c r="P1156" s="13">
        <v>1</v>
      </c>
      <c r="Q1156" s="13">
        <v>65</v>
      </c>
      <c r="R1156" s="13">
        <v>0</v>
      </c>
      <c r="S1156" s="13">
        <v>0</v>
      </c>
      <c r="T1156" s="23">
        <v>46247.617881944447</v>
      </c>
      <c r="U1156" s="55">
        <f t="shared" si="51"/>
        <v>1.1666666666666667</v>
      </c>
      <c r="V1156" s="55">
        <f t="shared" si="52"/>
        <v>0</v>
      </c>
      <c r="W1156" s="56">
        <f t="shared" si="53"/>
        <v>1224.5</v>
      </c>
    </row>
    <row r="1157" spans="1:23" x14ac:dyDescent="0.3">
      <c r="A1157" s="13" t="str" cm="1">
        <f t="array" ref="A1157:B1157">INDEX(BenchmarkResults!$B$1:$D$35,SUMPRODUCT((T1157&gt;=BenchmarkResults!$F$3:$F$35)*(mongodb_hardware_log!T1157&lt;BenchmarkResults!$G$3:$G$35)*ROW(BenchmarkResults!$F$3:$F$35)),{1,3})</f>
        <v>q2_avg_order_city</v>
      </c>
      <c r="B1157">
        <v>3</v>
      </c>
      <c r="C1157" s="13">
        <v>1</v>
      </c>
      <c r="D1157" s="13">
        <v>0</v>
      </c>
      <c r="E1157" s="13">
        <v>133376</v>
      </c>
      <c r="F1157" s="13">
        <v>400124</v>
      </c>
      <c r="G1157" s="13">
        <v>4264</v>
      </c>
      <c r="H1157" s="13">
        <v>2013068</v>
      </c>
      <c r="I1157" s="13">
        <v>0</v>
      </c>
      <c r="J1157" s="13">
        <v>0</v>
      </c>
      <c r="K1157" s="13">
        <v>1172</v>
      </c>
      <c r="L1157" s="13">
        <v>9</v>
      </c>
      <c r="M1157" s="13">
        <v>722</v>
      </c>
      <c r="N1157" s="13">
        <v>220</v>
      </c>
      <c r="O1157" s="13">
        <v>33</v>
      </c>
      <c r="P1157" s="13">
        <v>1</v>
      </c>
      <c r="Q1157" s="13">
        <v>65</v>
      </c>
      <c r="R1157" s="13">
        <v>0</v>
      </c>
      <c r="S1157" s="13">
        <v>0</v>
      </c>
      <c r="T1157" s="23">
        <v>46247.617997685185</v>
      </c>
      <c r="U1157" s="55">
        <f t="shared" si="51"/>
        <v>1</v>
      </c>
      <c r="V1157" s="55">
        <f t="shared" si="52"/>
        <v>0</v>
      </c>
      <c r="W1157" s="56">
        <f t="shared" si="53"/>
        <v>1206.8333333333333</v>
      </c>
    </row>
    <row r="1158" spans="1:23" x14ac:dyDescent="0.3">
      <c r="A1158" s="13" t="str" cm="1">
        <f t="array" ref="A1158:B1158">INDEX(BenchmarkResults!$B$1:$D$35,SUMPRODUCT((T1158&gt;=BenchmarkResults!$F$3:$F$35)*(mongodb_hardware_log!T1158&lt;BenchmarkResults!$G$3:$G$35)*ROW(BenchmarkResults!$F$3:$F$35)),{1,3})</f>
        <v>q2_avg_order_city</v>
      </c>
      <c r="B1158">
        <v>3</v>
      </c>
      <c r="C1158" s="13">
        <v>1</v>
      </c>
      <c r="D1158" s="13">
        <v>0</v>
      </c>
      <c r="E1158" s="13">
        <v>133376</v>
      </c>
      <c r="F1158" s="13">
        <v>387020</v>
      </c>
      <c r="G1158" s="13">
        <v>4272</v>
      </c>
      <c r="H1158" s="13">
        <v>2024420</v>
      </c>
      <c r="I1158" s="13">
        <v>0</v>
      </c>
      <c r="J1158" s="13">
        <v>0</v>
      </c>
      <c r="K1158" s="13">
        <v>1132</v>
      </c>
      <c r="L1158" s="13">
        <v>10</v>
      </c>
      <c r="M1158" s="13">
        <v>721</v>
      </c>
      <c r="N1158" s="13">
        <v>218</v>
      </c>
      <c r="O1158" s="13">
        <v>33</v>
      </c>
      <c r="P1158" s="13">
        <v>1</v>
      </c>
      <c r="Q1158" s="13">
        <v>65</v>
      </c>
      <c r="R1158" s="13">
        <v>0</v>
      </c>
      <c r="S1158" s="13">
        <v>0</v>
      </c>
      <c r="T1158" s="23">
        <v>46247.618113425924</v>
      </c>
      <c r="U1158" s="55">
        <f t="shared" si="51"/>
        <v>1</v>
      </c>
      <c r="V1158" s="55">
        <f t="shared" si="52"/>
        <v>0</v>
      </c>
      <c r="W1158" s="56">
        <f t="shared" si="53"/>
        <v>1203.6666666666667</v>
      </c>
    </row>
    <row r="1159" spans="1:23" x14ac:dyDescent="0.3">
      <c r="A1159" s="13" t="str" cm="1">
        <f t="array" ref="A1159:B1159">INDEX(BenchmarkResults!$B$1:$D$35,SUMPRODUCT((T1159&gt;=BenchmarkResults!$F$3:$F$35)*(mongodb_hardware_log!T1159&lt;BenchmarkResults!$G$3:$G$35)*ROW(BenchmarkResults!$F$3:$F$35)),{1,3})</f>
        <v>q2_avg_order_city</v>
      </c>
      <c r="B1159">
        <v>3</v>
      </c>
      <c r="C1159" s="13">
        <v>1</v>
      </c>
      <c r="D1159" s="13">
        <v>0</v>
      </c>
      <c r="E1159" s="13">
        <v>133376</v>
      </c>
      <c r="F1159" s="13">
        <v>375176</v>
      </c>
      <c r="G1159" s="13">
        <v>4296</v>
      </c>
      <c r="H1159" s="13">
        <v>2036172</v>
      </c>
      <c r="I1159" s="13">
        <v>0</v>
      </c>
      <c r="J1159" s="13">
        <v>0</v>
      </c>
      <c r="K1159" s="13">
        <v>1176</v>
      </c>
      <c r="L1159" s="13">
        <v>27</v>
      </c>
      <c r="M1159" s="13">
        <v>709</v>
      </c>
      <c r="N1159" s="13">
        <v>212</v>
      </c>
      <c r="O1159" s="13">
        <v>33</v>
      </c>
      <c r="P1159" s="13">
        <v>1</v>
      </c>
      <c r="Q1159" s="13">
        <v>65</v>
      </c>
      <c r="R1159" s="13">
        <v>0</v>
      </c>
      <c r="S1159" s="13">
        <v>0</v>
      </c>
      <c r="T1159" s="23">
        <v>46247.61822916667</v>
      </c>
      <c r="U1159" s="55">
        <f t="shared" si="51"/>
        <v>1</v>
      </c>
      <c r="V1159" s="55">
        <f t="shared" si="52"/>
        <v>0</v>
      </c>
      <c r="W1159" s="56">
        <f t="shared" si="53"/>
        <v>1216.6666666666667</v>
      </c>
    </row>
    <row r="1160" spans="1:23" x14ac:dyDescent="0.3">
      <c r="A1160" s="13" t="str" cm="1">
        <f t="array" ref="A1160:B1160">INDEX(BenchmarkResults!$B$1:$D$35,SUMPRODUCT((T1160&gt;=BenchmarkResults!$F$3:$F$35)*(mongodb_hardware_log!T1160&lt;BenchmarkResults!$G$3:$G$35)*ROW(BenchmarkResults!$F$3:$F$35)),{1,3})</f>
        <v>q2_avg_order_city</v>
      </c>
      <c r="B1160">
        <v>3</v>
      </c>
      <c r="C1160" s="13">
        <v>1</v>
      </c>
      <c r="D1160" s="13">
        <v>0</v>
      </c>
      <c r="E1160" s="13">
        <v>133376</v>
      </c>
      <c r="F1160" s="13">
        <v>359048</v>
      </c>
      <c r="G1160" s="13">
        <v>4304</v>
      </c>
      <c r="H1160" s="13">
        <v>2051476</v>
      </c>
      <c r="I1160" s="13">
        <v>0</v>
      </c>
      <c r="J1160" s="13">
        <v>0</v>
      </c>
      <c r="K1160" s="13">
        <v>1536</v>
      </c>
      <c r="L1160" s="13">
        <v>6</v>
      </c>
      <c r="M1160" s="13">
        <v>713</v>
      </c>
      <c r="N1160" s="13">
        <v>206</v>
      </c>
      <c r="O1160" s="13">
        <v>33</v>
      </c>
      <c r="P1160" s="13">
        <v>1</v>
      </c>
      <c r="Q1160" s="13">
        <v>65</v>
      </c>
      <c r="R1160" s="13">
        <v>0</v>
      </c>
      <c r="S1160" s="13">
        <v>0</v>
      </c>
      <c r="T1160" s="23">
        <v>46247.618344907409</v>
      </c>
      <c r="U1160" s="55">
        <f t="shared" si="51"/>
        <v>1</v>
      </c>
      <c r="V1160" s="55">
        <f t="shared" si="52"/>
        <v>0</v>
      </c>
      <c r="W1160" s="56">
        <f t="shared" si="53"/>
        <v>1270.5</v>
      </c>
    </row>
    <row r="1161" spans="1:23" x14ac:dyDescent="0.3">
      <c r="A1161" s="13" t="str" cm="1">
        <f t="array" ref="A1161:B1161">INDEX(BenchmarkResults!$B$1:$D$35,SUMPRODUCT((T1161&gt;=BenchmarkResults!$F$3:$F$35)*(mongodb_hardware_log!T1161&lt;BenchmarkResults!$G$3:$G$35)*ROW(BenchmarkResults!$F$3:$F$35)),{1,3})</f>
        <v>q2_avg_order_city</v>
      </c>
      <c r="B1161">
        <v>3</v>
      </c>
      <c r="C1161" s="13">
        <v>1</v>
      </c>
      <c r="D1161" s="13">
        <v>0</v>
      </c>
      <c r="E1161" s="13">
        <v>133376</v>
      </c>
      <c r="F1161" s="13">
        <v>352384</v>
      </c>
      <c r="G1161" s="13">
        <v>4320</v>
      </c>
      <c r="H1161" s="13">
        <v>2063000</v>
      </c>
      <c r="I1161" s="13">
        <v>0</v>
      </c>
      <c r="J1161" s="13">
        <v>0</v>
      </c>
      <c r="K1161" s="13">
        <v>1146</v>
      </c>
      <c r="L1161" s="13">
        <v>19</v>
      </c>
      <c r="M1161" s="13">
        <v>713</v>
      </c>
      <c r="N1161" s="13">
        <v>215</v>
      </c>
      <c r="O1161" s="13">
        <v>34</v>
      </c>
      <c r="P1161" s="13">
        <v>1</v>
      </c>
      <c r="Q1161" s="13">
        <v>65</v>
      </c>
      <c r="R1161" s="13">
        <v>0</v>
      </c>
      <c r="S1161" s="13">
        <v>0</v>
      </c>
      <c r="T1161" s="23">
        <v>46247.618460648147</v>
      </c>
      <c r="U1161" s="55">
        <f t="shared" ref="U1161:U1224" si="54">AVERAGE(C1156:C1161)</f>
        <v>1</v>
      </c>
      <c r="V1161" s="55">
        <f t="shared" ref="V1161:V1224" si="55">AVERAGE(D1156:D1161)</f>
        <v>0</v>
      </c>
      <c r="W1161" s="56">
        <f t="shared" ref="W1161:W1224" si="56">AVERAGE(K1156:K1161)</f>
        <v>1217.8333333333333</v>
      </c>
    </row>
    <row r="1162" spans="1:23" x14ac:dyDescent="0.3">
      <c r="A1162" s="13" t="str" cm="1">
        <f t="array" ref="A1162:B1162">INDEX(BenchmarkResults!$B$1:$D$35,SUMPRODUCT((T1162&gt;=BenchmarkResults!$F$3:$F$35)*(mongodb_hardware_log!T1162&lt;BenchmarkResults!$G$3:$G$35)*ROW(BenchmarkResults!$F$3:$F$35)),{1,3})</f>
        <v>q2_avg_order_city</v>
      </c>
      <c r="B1162">
        <v>3</v>
      </c>
      <c r="C1162" s="13">
        <v>1</v>
      </c>
      <c r="D1162" s="13">
        <v>0</v>
      </c>
      <c r="E1162" s="13">
        <v>133376</v>
      </c>
      <c r="F1162" s="13">
        <v>336860</v>
      </c>
      <c r="G1162" s="13">
        <v>4328</v>
      </c>
      <c r="H1162" s="13">
        <v>2075044</v>
      </c>
      <c r="I1162" s="13">
        <v>0</v>
      </c>
      <c r="J1162" s="13">
        <v>0</v>
      </c>
      <c r="K1162" s="13">
        <v>1202</v>
      </c>
      <c r="L1162" s="13">
        <v>11</v>
      </c>
      <c r="M1162" s="13">
        <v>723</v>
      </c>
      <c r="N1162" s="13">
        <v>224</v>
      </c>
      <c r="O1162" s="13">
        <v>33</v>
      </c>
      <c r="P1162" s="13">
        <v>1</v>
      </c>
      <c r="Q1162" s="13">
        <v>65</v>
      </c>
      <c r="R1162" s="13">
        <v>1</v>
      </c>
      <c r="S1162" s="13">
        <v>0</v>
      </c>
      <c r="T1162" s="23">
        <v>46247.618576388886</v>
      </c>
      <c r="U1162" s="55">
        <f t="shared" si="54"/>
        <v>1</v>
      </c>
      <c r="V1162" s="55">
        <f t="shared" si="55"/>
        <v>0</v>
      </c>
      <c r="W1162" s="56">
        <f t="shared" si="56"/>
        <v>1227.3333333333333</v>
      </c>
    </row>
    <row r="1163" spans="1:23" x14ac:dyDescent="0.3">
      <c r="A1163" s="13" t="str" cm="1">
        <f t="array" ref="A1163:B1163">INDEX(BenchmarkResults!$B$1:$D$35,SUMPRODUCT((T1163&gt;=BenchmarkResults!$F$3:$F$35)*(mongodb_hardware_log!T1163&lt;BenchmarkResults!$G$3:$G$35)*ROW(BenchmarkResults!$F$3:$F$35)),{1,3})</f>
        <v>q2_avg_order_city</v>
      </c>
      <c r="B1163">
        <v>3</v>
      </c>
      <c r="C1163" s="13">
        <v>1</v>
      </c>
      <c r="D1163" s="13">
        <v>0</v>
      </c>
      <c r="E1163" s="13">
        <v>133376</v>
      </c>
      <c r="F1163" s="13">
        <v>328072</v>
      </c>
      <c r="G1163" s="13">
        <v>4336</v>
      </c>
      <c r="H1163" s="13">
        <v>2086544</v>
      </c>
      <c r="I1163" s="13">
        <v>1</v>
      </c>
      <c r="J1163" s="13">
        <v>0</v>
      </c>
      <c r="K1163" s="13">
        <v>1177</v>
      </c>
      <c r="L1163" s="13">
        <v>10</v>
      </c>
      <c r="M1163" s="13">
        <v>723</v>
      </c>
      <c r="N1163" s="13">
        <v>229</v>
      </c>
      <c r="O1163" s="13">
        <v>33</v>
      </c>
      <c r="P1163" s="13">
        <v>1</v>
      </c>
      <c r="Q1163" s="13">
        <v>65</v>
      </c>
      <c r="R1163" s="13">
        <v>1</v>
      </c>
      <c r="S1163" s="13">
        <v>0</v>
      </c>
      <c r="T1163" s="23">
        <v>46247.618692129632</v>
      </c>
      <c r="U1163" s="55">
        <f t="shared" si="54"/>
        <v>1</v>
      </c>
      <c r="V1163" s="55">
        <f t="shared" si="55"/>
        <v>0</v>
      </c>
      <c r="W1163" s="56">
        <f t="shared" si="56"/>
        <v>1228.1666666666667</v>
      </c>
    </row>
    <row r="1164" spans="1:23" x14ac:dyDescent="0.3">
      <c r="A1164" s="13" t="str" cm="1">
        <f t="array" ref="A1164:B1164">INDEX(BenchmarkResults!$B$1:$D$35,SUMPRODUCT((T1164&gt;=BenchmarkResults!$F$3:$F$35)*(mongodb_hardware_log!T1164&lt;BenchmarkResults!$G$3:$G$35)*ROW(BenchmarkResults!$F$3:$F$35)),{1,3})</f>
        <v>q2_avg_order_city</v>
      </c>
      <c r="B1164">
        <v>3</v>
      </c>
      <c r="C1164" s="13">
        <v>1</v>
      </c>
      <c r="D1164" s="13">
        <v>0</v>
      </c>
      <c r="E1164" s="13">
        <v>133376</v>
      </c>
      <c r="F1164" s="13">
        <v>319756</v>
      </c>
      <c r="G1164" s="13">
        <v>4344</v>
      </c>
      <c r="H1164" s="13">
        <v>2097056</v>
      </c>
      <c r="I1164" s="13">
        <v>0</v>
      </c>
      <c r="J1164" s="13">
        <v>0</v>
      </c>
      <c r="K1164" s="13">
        <v>1051</v>
      </c>
      <c r="L1164" s="13">
        <v>33</v>
      </c>
      <c r="M1164" s="13">
        <v>710</v>
      </c>
      <c r="N1164" s="13">
        <v>210</v>
      </c>
      <c r="O1164" s="13">
        <v>33</v>
      </c>
      <c r="P1164" s="13">
        <v>1</v>
      </c>
      <c r="Q1164" s="13">
        <v>65</v>
      </c>
      <c r="R1164" s="13">
        <v>0</v>
      </c>
      <c r="S1164" s="13">
        <v>0</v>
      </c>
      <c r="T1164" s="23">
        <v>46247.618807870371</v>
      </c>
      <c r="U1164" s="55">
        <f t="shared" si="54"/>
        <v>1</v>
      </c>
      <c r="V1164" s="55">
        <f t="shared" si="55"/>
        <v>0</v>
      </c>
      <c r="W1164" s="56">
        <f t="shared" si="56"/>
        <v>1214.6666666666667</v>
      </c>
    </row>
    <row r="1165" spans="1:23" x14ac:dyDescent="0.3">
      <c r="A1165" s="13" t="str" cm="1">
        <f t="array" ref="A1165:B1165">INDEX(BenchmarkResults!$B$1:$D$35,SUMPRODUCT((T1165&gt;=BenchmarkResults!$F$3:$F$35)*(mongodb_hardware_log!T1165&lt;BenchmarkResults!$G$3:$G$35)*ROW(BenchmarkResults!$F$3:$F$35)),{1,3})</f>
        <v>q2_avg_order_city</v>
      </c>
      <c r="B1165">
        <v>3</v>
      </c>
      <c r="C1165" s="13">
        <v>1</v>
      </c>
      <c r="D1165" s="13">
        <v>0</v>
      </c>
      <c r="E1165" s="13">
        <v>133376</v>
      </c>
      <c r="F1165" s="13">
        <v>300100</v>
      </c>
      <c r="G1165" s="13">
        <v>4376</v>
      </c>
      <c r="H1165" s="13">
        <v>2112292</v>
      </c>
      <c r="I1165" s="13">
        <v>0</v>
      </c>
      <c r="J1165" s="13">
        <v>0</v>
      </c>
      <c r="K1165" s="13">
        <v>1525</v>
      </c>
      <c r="L1165" s="13">
        <v>28</v>
      </c>
      <c r="M1165" s="13">
        <v>714</v>
      </c>
      <c r="N1165" s="13">
        <v>223</v>
      </c>
      <c r="O1165" s="13">
        <v>33</v>
      </c>
      <c r="P1165" s="13">
        <v>1</v>
      </c>
      <c r="Q1165" s="13">
        <v>65</v>
      </c>
      <c r="R1165" s="13">
        <v>0</v>
      </c>
      <c r="S1165" s="13">
        <v>0</v>
      </c>
      <c r="T1165" s="23">
        <v>46247.618923611109</v>
      </c>
      <c r="U1165" s="55">
        <f t="shared" si="54"/>
        <v>1</v>
      </c>
      <c r="V1165" s="55">
        <f t="shared" si="55"/>
        <v>0</v>
      </c>
      <c r="W1165" s="56">
        <f t="shared" si="56"/>
        <v>1272.8333333333333</v>
      </c>
    </row>
    <row r="1166" spans="1:23" x14ac:dyDescent="0.3">
      <c r="A1166" s="13" t="str" cm="1">
        <f t="array" ref="A1166:B1166">INDEX(BenchmarkResults!$B$1:$D$35,SUMPRODUCT((T1166&gt;=BenchmarkResults!$F$3:$F$35)*(mongodb_hardware_log!T1166&lt;BenchmarkResults!$G$3:$G$35)*ROW(BenchmarkResults!$F$3:$F$35)),{1,3})</f>
        <v>q2_avg_order_city</v>
      </c>
      <c r="B1166">
        <v>3</v>
      </c>
      <c r="C1166" s="13">
        <v>1</v>
      </c>
      <c r="D1166" s="13">
        <v>0</v>
      </c>
      <c r="E1166" s="13">
        <v>133376</v>
      </c>
      <c r="F1166" s="13">
        <v>289044</v>
      </c>
      <c r="G1166" s="13">
        <v>4384</v>
      </c>
      <c r="H1166" s="13">
        <v>2123360</v>
      </c>
      <c r="I1166" s="13">
        <v>0</v>
      </c>
      <c r="J1166" s="13">
        <v>0</v>
      </c>
      <c r="K1166" s="13">
        <v>1107</v>
      </c>
      <c r="L1166" s="13">
        <v>10</v>
      </c>
      <c r="M1166" s="13">
        <v>719</v>
      </c>
      <c r="N1166" s="13">
        <v>215</v>
      </c>
      <c r="O1166" s="13">
        <v>33</v>
      </c>
      <c r="P1166" s="13">
        <v>1</v>
      </c>
      <c r="Q1166" s="13">
        <v>65</v>
      </c>
      <c r="R1166" s="13">
        <v>0</v>
      </c>
      <c r="S1166" s="13">
        <v>0</v>
      </c>
      <c r="T1166" s="23">
        <v>46247.619039351855</v>
      </c>
      <c r="U1166" s="55">
        <f t="shared" si="54"/>
        <v>1</v>
      </c>
      <c r="V1166" s="55">
        <f t="shared" si="55"/>
        <v>0</v>
      </c>
      <c r="W1166" s="56">
        <f t="shared" si="56"/>
        <v>1201.3333333333333</v>
      </c>
    </row>
    <row r="1167" spans="1:23" x14ac:dyDescent="0.3">
      <c r="A1167" s="13" t="str" cm="1">
        <f t="array" ref="A1167:B1167">INDEX(BenchmarkResults!$B$1:$D$35,SUMPRODUCT((T1167&gt;=BenchmarkResults!$F$3:$F$35)*(mongodb_hardware_log!T1167&lt;BenchmarkResults!$G$3:$G$35)*ROW(BenchmarkResults!$F$3:$F$35)),{1,3})</f>
        <v>q2_avg_order_city</v>
      </c>
      <c r="B1167">
        <v>3</v>
      </c>
      <c r="C1167" s="13">
        <v>1</v>
      </c>
      <c r="D1167" s="13">
        <v>0</v>
      </c>
      <c r="E1167" s="13">
        <v>133376</v>
      </c>
      <c r="F1167" s="13">
        <v>281036</v>
      </c>
      <c r="G1167" s="13">
        <v>4392</v>
      </c>
      <c r="H1167" s="13">
        <v>2135272</v>
      </c>
      <c r="I1167" s="13">
        <v>0</v>
      </c>
      <c r="J1167" s="13">
        <v>0</v>
      </c>
      <c r="K1167" s="13">
        <v>1191</v>
      </c>
      <c r="L1167" s="13">
        <v>27</v>
      </c>
      <c r="M1167" s="13">
        <v>704</v>
      </c>
      <c r="N1167" s="13">
        <v>207</v>
      </c>
      <c r="O1167" s="13">
        <v>34</v>
      </c>
      <c r="P1167" s="13">
        <v>1</v>
      </c>
      <c r="Q1167" s="13">
        <v>65</v>
      </c>
      <c r="R1167" s="13">
        <v>0</v>
      </c>
      <c r="S1167" s="13">
        <v>0</v>
      </c>
      <c r="T1167" s="23">
        <v>46247.619155092594</v>
      </c>
      <c r="U1167" s="55">
        <f t="shared" si="54"/>
        <v>1</v>
      </c>
      <c r="V1167" s="55">
        <f t="shared" si="55"/>
        <v>0</v>
      </c>
      <c r="W1167" s="56">
        <f t="shared" si="56"/>
        <v>1208.8333333333333</v>
      </c>
    </row>
    <row r="1168" spans="1:23" x14ac:dyDescent="0.3">
      <c r="A1168" s="13" t="str" cm="1">
        <f t="array" ref="A1168:B1168">INDEX(BenchmarkResults!$B$1:$D$35,SUMPRODUCT((T1168&gt;=BenchmarkResults!$F$3:$F$35)*(mongodb_hardware_log!T1168&lt;BenchmarkResults!$G$3:$G$35)*ROW(BenchmarkResults!$F$3:$F$35)),{1,3})</f>
        <v>q2_avg_order_city</v>
      </c>
      <c r="B1168">
        <v>3</v>
      </c>
      <c r="C1168" s="13">
        <v>1</v>
      </c>
      <c r="D1168" s="13">
        <v>0</v>
      </c>
      <c r="E1168" s="13">
        <v>133376</v>
      </c>
      <c r="F1168" s="13">
        <v>268940</v>
      </c>
      <c r="G1168" s="13">
        <v>4400</v>
      </c>
      <c r="H1168" s="13">
        <v>2146908</v>
      </c>
      <c r="I1168" s="13">
        <v>0</v>
      </c>
      <c r="J1168" s="13">
        <v>0</v>
      </c>
      <c r="K1168" s="13">
        <v>1164</v>
      </c>
      <c r="L1168" s="13">
        <v>17</v>
      </c>
      <c r="M1168" s="13">
        <v>690</v>
      </c>
      <c r="N1168" s="13">
        <v>191</v>
      </c>
      <c r="O1168" s="13">
        <v>33</v>
      </c>
      <c r="P1168" s="13">
        <v>1</v>
      </c>
      <c r="Q1168" s="13">
        <v>66</v>
      </c>
      <c r="R1168" s="13">
        <v>0</v>
      </c>
      <c r="S1168" s="13">
        <v>0</v>
      </c>
      <c r="T1168" s="23">
        <v>46247.619270833333</v>
      </c>
      <c r="U1168" s="55">
        <f t="shared" si="54"/>
        <v>1</v>
      </c>
      <c r="V1168" s="55">
        <f t="shared" si="55"/>
        <v>0</v>
      </c>
      <c r="W1168" s="56">
        <f t="shared" si="56"/>
        <v>1202.5</v>
      </c>
    </row>
    <row r="1169" spans="1:23" x14ac:dyDescent="0.3">
      <c r="A1169" s="13" t="str" cm="1">
        <f t="array" ref="A1169:B1169">INDEX(BenchmarkResults!$B$1:$D$35,SUMPRODUCT((T1169&gt;=BenchmarkResults!$F$3:$F$35)*(mongodb_hardware_log!T1169&lt;BenchmarkResults!$G$3:$G$35)*ROW(BenchmarkResults!$F$3:$F$35)),{1,3})</f>
        <v>q2_avg_order_city</v>
      </c>
      <c r="B1169">
        <v>3</v>
      </c>
      <c r="C1169" s="13">
        <v>1</v>
      </c>
      <c r="D1169" s="13">
        <v>0</v>
      </c>
      <c r="E1169" s="13">
        <v>133376</v>
      </c>
      <c r="F1169" s="13">
        <v>254324</v>
      </c>
      <c r="G1169" s="13">
        <v>4408</v>
      </c>
      <c r="H1169" s="13">
        <v>2159256</v>
      </c>
      <c r="I1169" s="13">
        <v>0</v>
      </c>
      <c r="J1169" s="13">
        <v>0</v>
      </c>
      <c r="K1169" s="13">
        <v>1235</v>
      </c>
      <c r="L1169" s="13">
        <v>10</v>
      </c>
      <c r="M1169" s="13">
        <v>704</v>
      </c>
      <c r="N1169" s="13">
        <v>207</v>
      </c>
      <c r="O1169" s="13">
        <v>33</v>
      </c>
      <c r="P1169" s="13">
        <v>1</v>
      </c>
      <c r="Q1169" s="13">
        <v>65</v>
      </c>
      <c r="R1169" s="13">
        <v>0</v>
      </c>
      <c r="S1169" s="13">
        <v>0</v>
      </c>
      <c r="T1169" s="23">
        <v>46247.619386574072</v>
      </c>
      <c r="U1169" s="55">
        <f t="shared" si="54"/>
        <v>1</v>
      </c>
      <c r="V1169" s="55">
        <f t="shared" si="55"/>
        <v>0</v>
      </c>
      <c r="W1169" s="56">
        <f t="shared" si="56"/>
        <v>1212.1666666666667</v>
      </c>
    </row>
    <row r="1170" spans="1:23" x14ac:dyDescent="0.3">
      <c r="A1170" s="13" t="str" cm="1">
        <f t="array" ref="A1170:B1170">INDEX(BenchmarkResults!$B$1:$D$35,SUMPRODUCT((T1170&gt;=BenchmarkResults!$F$3:$F$35)*(mongodb_hardware_log!T1170&lt;BenchmarkResults!$G$3:$G$35)*ROW(BenchmarkResults!$F$3:$F$35)),{1,3})</f>
        <v>q2_avg_order_city</v>
      </c>
      <c r="B1170">
        <v>3</v>
      </c>
      <c r="C1170" s="13">
        <v>1</v>
      </c>
      <c r="D1170" s="13">
        <v>0</v>
      </c>
      <c r="E1170" s="13">
        <v>133376</v>
      </c>
      <c r="F1170" s="13">
        <v>242480</v>
      </c>
      <c r="G1170" s="13">
        <v>4416</v>
      </c>
      <c r="H1170" s="13">
        <v>2173948</v>
      </c>
      <c r="I1170" s="13">
        <v>0</v>
      </c>
      <c r="J1170" s="13">
        <v>0</v>
      </c>
      <c r="K1170" s="13">
        <v>1466</v>
      </c>
      <c r="L1170" s="13">
        <v>10</v>
      </c>
      <c r="M1170" s="13">
        <v>713</v>
      </c>
      <c r="N1170" s="13">
        <v>200</v>
      </c>
      <c r="O1170" s="13">
        <v>33</v>
      </c>
      <c r="P1170" s="13">
        <v>1</v>
      </c>
      <c r="Q1170" s="13">
        <v>65</v>
      </c>
      <c r="R1170" s="13">
        <v>0</v>
      </c>
      <c r="S1170" s="13">
        <v>0</v>
      </c>
      <c r="T1170" s="23">
        <v>46247.619502314818</v>
      </c>
      <c r="U1170" s="55">
        <f t="shared" si="54"/>
        <v>1</v>
      </c>
      <c r="V1170" s="55">
        <f t="shared" si="55"/>
        <v>0</v>
      </c>
      <c r="W1170" s="56">
        <f t="shared" si="56"/>
        <v>1281.3333333333333</v>
      </c>
    </row>
    <row r="1171" spans="1:23" x14ac:dyDescent="0.3">
      <c r="A1171" s="13" t="str" cm="1">
        <f t="array" ref="A1171:B1171">INDEX(BenchmarkResults!$B$1:$D$35,SUMPRODUCT((T1171&gt;=BenchmarkResults!$F$3:$F$35)*(mongodb_hardware_log!T1171&lt;BenchmarkResults!$G$3:$G$35)*ROW(BenchmarkResults!$F$3:$F$35)),{1,3})</f>
        <v>q2_avg_order_city</v>
      </c>
      <c r="B1171">
        <v>3</v>
      </c>
      <c r="C1171" s="13">
        <v>1</v>
      </c>
      <c r="D1171" s="13">
        <v>0</v>
      </c>
      <c r="E1171" s="13">
        <v>133376</v>
      </c>
      <c r="F1171" s="13">
        <v>230636</v>
      </c>
      <c r="G1171" s="13">
        <v>4448</v>
      </c>
      <c r="H1171" s="13">
        <v>2185408</v>
      </c>
      <c r="I1171" s="13">
        <v>0</v>
      </c>
      <c r="J1171" s="13">
        <v>0</v>
      </c>
      <c r="K1171" s="13">
        <v>1148</v>
      </c>
      <c r="L1171" s="13">
        <v>28</v>
      </c>
      <c r="M1171" s="13">
        <v>705</v>
      </c>
      <c r="N1171" s="13">
        <v>215</v>
      </c>
      <c r="O1171" s="13">
        <v>33</v>
      </c>
      <c r="P1171" s="13">
        <v>1</v>
      </c>
      <c r="Q1171" s="13">
        <v>65</v>
      </c>
      <c r="R1171" s="13">
        <v>0</v>
      </c>
      <c r="S1171" s="13">
        <v>0</v>
      </c>
      <c r="T1171" s="23">
        <v>46247.619618055556</v>
      </c>
      <c r="U1171" s="55">
        <f t="shared" si="54"/>
        <v>1</v>
      </c>
      <c r="V1171" s="55">
        <f t="shared" si="55"/>
        <v>0</v>
      </c>
      <c r="W1171" s="56">
        <f t="shared" si="56"/>
        <v>1218.5</v>
      </c>
    </row>
    <row r="1172" spans="1:23" x14ac:dyDescent="0.3">
      <c r="A1172" s="13" t="str" cm="1">
        <f t="array" ref="A1172:B1172">INDEX(BenchmarkResults!$B$1:$D$35,SUMPRODUCT((T1172&gt;=BenchmarkResults!$F$3:$F$35)*(mongodb_hardware_log!T1172&lt;BenchmarkResults!$G$3:$G$35)*ROW(BenchmarkResults!$F$3:$F$35)),{1,3})</f>
        <v>q2_avg_order_city</v>
      </c>
      <c r="B1172">
        <v>3</v>
      </c>
      <c r="C1172" s="13">
        <v>2</v>
      </c>
      <c r="D1172" s="13">
        <v>0</v>
      </c>
      <c r="E1172" s="13">
        <v>133376</v>
      </c>
      <c r="F1172" s="13">
        <v>212744</v>
      </c>
      <c r="G1172" s="13">
        <v>4456</v>
      </c>
      <c r="H1172" s="13">
        <v>2200132</v>
      </c>
      <c r="I1172" s="13">
        <v>0</v>
      </c>
      <c r="J1172" s="13">
        <v>0</v>
      </c>
      <c r="K1172" s="13">
        <v>1472</v>
      </c>
      <c r="L1172" s="13">
        <v>16</v>
      </c>
      <c r="M1172" s="13">
        <v>707</v>
      </c>
      <c r="N1172" s="13">
        <v>206</v>
      </c>
      <c r="O1172" s="13">
        <v>34</v>
      </c>
      <c r="P1172" s="13">
        <v>1</v>
      </c>
      <c r="Q1172" s="13">
        <v>65</v>
      </c>
      <c r="R1172" s="13">
        <v>0</v>
      </c>
      <c r="S1172" s="13">
        <v>0</v>
      </c>
      <c r="T1172" s="23">
        <v>46247.619733796295</v>
      </c>
      <c r="U1172" s="55">
        <f t="shared" si="54"/>
        <v>1.1666666666666667</v>
      </c>
      <c r="V1172" s="55">
        <f t="shared" si="55"/>
        <v>0</v>
      </c>
      <c r="W1172" s="56">
        <f t="shared" si="56"/>
        <v>1279.3333333333333</v>
      </c>
    </row>
    <row r="1173" spans="1:23" x14ac:dyDescent="0.3">
      <c r="A1173" s="13" t="str" cm="1">
        <f t="array" ref="A1173:B1173">INDEX(BenchmarkResults!$B$1:$D$35,SUMPRODUCT((T1173&gt;=BenchmarkResults!$F$3:$F$35)*(mongodb_hardware_log!T1173&lt;BenchmarkResults!$G$3:$G$35)*ROW(BenchmarkResults!$F$3:$F$35)),{1,3})</f>
        <v>q2_avg_order_city</v>
      </c>
      <c r="B1173">
        <v>3</v>
      </c>
      <c r="C1173" s="13">
        <v>1</v>
      </c>
      <c r="D1173" s="13">
        <v>0</v>
      </c>
      <c r="E1173" s="13">
        <v>133376</v>
      </c>
      <c r="F1173" s="13">
        <v>203420</v>
      </c>
      <c r="G1173" s="13">
        <v>4464</v>
      </c>
      <c r="H1173" s="13">
        <v>2209952</v>
      </c>
      <c r="I1173" s="13">
        <v>0</v>
      </c>
      <c r="J1173" s="13">
        <v>0</v>
      </c>
      <c r="K1173" s="13">
        <v>982</v>
      </c>
      <c r="L1173" s="13">
        <v>11</v>
      </c>
      <c r="M1173" s="13">
        <v>709</v>
      </c>
      <c r="N1173" s="13">
        <v>208</v>
      </c>
      <c r="O1173" s="13">
        <v>33</v>
      </c>
      <c r="P1173" s="13">
        <v>1</v>
      </c>
      <c r="Q1173" s="13">
        <v>65</v>
      </c>
      <c r="R1173" s="13">
        <v>0</v>
      </c>
      <c r="S1173" s="13">
        <v>0</v>
      </c>
      <c r="T1173" s="23">
        <v>46247.619849537034</v>
      </c>
      <c r="U1173" s="55">
        <f t="shared" si="54"/>
        <v>1.1666666666666667</v>
      </c>
      <c r="V1173" s="55">
        <f t="shared" si="55"/>
        <v>0</v>
      </c>
      <c r="W1173" s="56">
        <f t="shared" si="56"/>
        <v>1244.5</v>
      </c>
    </row>
    <row r="1174" spans="1:23" x14ac:dyDescent="0.3">
      <c r="A1174" s="13" t="str" cm="1">
        <f t="array" ref="A1174:B1174">INDEX(BenchmarkResults!$B$1:$D$35,SUMPRODUCT((T1174&gt;=BenchmarkResults!$F$3:$F$35)*(mongodb_hardware_log!T1174&lt;BenchmarkResults!$G$3:$G$35)*ROW(BenchmarkResults!$F$3:$F$35)),{1,3})</f>
        <v>q2_avg_order_city</v>
      </c>
      <c r="B1174">
        <v>3</v>
      </c>
      <c r="C1174" s="13">
        <v>1</v>
      </c>
      <c r="D1174" s="13">
        <v>0</v>
      </c>
      <c r="E1174" s="13">
        <v>133376</v>
      </c>
      <c r="F1174" s="13">
        <v>190316</v>
      </c>
      <c r="G1174" s="13">
        <v>4472</v>
      </c>
      <c r="H1174" s="13">
        <v>2221684</v>
      </c>
      <c r="I1174" s="13">
        <v>0</v>
      </c>
      <c r="J1174" s="13">
        <v>0</v>
      </c>
      <c r="K1174" s="13">
        <v>1170</v>
      </c>
      <c r="L1174" s="13">
        <v>14</v>
      </c>
      <c r="M1174" s="13">
        <v>699</v>
      </c>
      <c r="N1174" s="13">
        <v>203</v>
      </c>
      <c r="O1174" s="13">
        <v>33</v>
      </c>
      <c r="P1174" s="13">
        <v>1</v>
      </c>
      <c r="Q1174" s="13">
        <v>65</v>
      </c>
      <c r="R1174" s="13">
        <v>0</v>
      </c>
      <c r="S1174" s="13">
        <v>0</v>
      </c>
      <c r="T1174" s="23">
        <v>46247.61996527778</v>
      </c>
      <c r="U1174" s="55">
        <f t="shared" si="54"/>
        <v>1.1666666666666667</v>
      </c>
      <c r="V1174" s="55">
        <f t="shared" si="55"/>
        <v>0</v>
      </c>
      <c r="W1174" s="56">
        <f t="shared" si="56"/>
        <v>1245.5</v>
      </c>
    </row>
    <row r="1175" spans="1:23" x14ac:dyDescent="0.3">
      <c r="A1175" s="13" t="str" cm="1">
        <f t="array" ref="A1175:B1175">INDEX(BenchmarkResults!$B$1:$D$35,SUMPRODUCT((T1175&gt;=BenchmarkResults!$F$3:$F$35)*(mongodb_hardware_log!T1175&lt;BenchmarkResults!$G$3:$G$35)*ROW(BenchmarkResults!$F$3:$F$35)),{1,3})</f>
        <v>q2_avg_order_city</v>
      </c>
      <c r="B1175">
        <v>3</v>
      </c>
      <c r="C1175" s="13">
        <v>1</v>
      </c>
      <c r="D1175" s="13">
        <v>0</v>
      </c>
      <c r="E1175" s="13">
        <v>133376</v>
      </c>
      <c r="F1175" s="13">
        <v>178472</v>
      </c>
      <c r="G1175" s="13">
        <v>4480</v>
      </c>
      <c r="H1175" s="13">
        <v>2237352</v>
      </c>
      <c r="I1175" s="13">
        <v>0</v>
      </c>
      <c r="J1175" s="13">
        <v>0</v>
      </c>
      <c r="K1175" s="13">
        <v>1567</v>
      </c>
      <c r="L1175" s="13">
        <v>10</v>
      </c>
      <c r="M1175" s="13">
        <v>727</v>
      </c>
      <c r="N1175" s="13">
        <v>224</v>
      </c>
      <c r="O1175" s="13">
        <v>33</v>
      </c>
      <c r="P1175" s="13">
        <v>1</v>
      </c>
      <c r="Q1175" s="13">
        <v>65</v>
      </c>
      <c r="R1175" s="13">
        <v>1</v>
      </c>
      <c r="S1175" s="13">
        <v>0</v>
      </c>
      <c r="T1175" s="23">
        <v>46247.620081018518</v>
      </c>
      <c r="U1175" s="55">
        <f t="shared" si="54"/>
        <v>1.1666666666666667</v>
      </c>
      <c r="V1175" s="55">
        <f t="shared" si="55"/>
        <v>0</v>
      </c>
      <c r="W1175" s="56">
        <f t="shared" si="56"/>
        <v>1300.8333333333333</v>
      </c>
    </row>
    <row r="1176" spans="1:23" x14ac:dyDescent="0.3">
      <c r="A1176" s="13" t="str" cm="1">
        <f t="array" ref="A1176:B1176">INDEX(BenchmarkResults!$B$1:$D$35,SUMPRODUCT((T1176&gt;=BenchmarkResults!$F$3:$F$35)*(mongodb_hardware_log!T1176&lt;BenchmarkResults!$G$3:$G$35)*ROW(BenchmarkResults!$F$3:$F$35)),{1,3})</f>
        <v>q2_avg_order_city</v>
      </c>
      <c r="B1176">
        <v>3</v>
      </c>
      <c r="C1176" s="13">
        <v>1</v>
      </c>
      <c r="D1176" s="13">
        <v>0</v>
      </c>
      <c r="E1176" s="13">
        <v>133376</v>
      </c>
      <c r="F1176" s="13">
        <v>161084</v>
      </c>
      <c r="G1176" s="13">
        <v>4488</v>
      </c>
      <c r="H1176" s="13">
        <v>2248240</v>
      </c>
      <c r="I1176" s="13">
        <v>0</v>
      </c>
      <c r="J1176" s="13">
        <v>0</v>
      </c>
      <c r="K1176" s="13">
        <v>1091</v>
      </c>
      <c r="L1176" s="13">
        <v>11</v>
      </c>
      <c r="M1176" s="13">
        <v>711</v>
      </c>
      <c r="N1176" s="13">
        <v>210</v>
      </c>
      <c r="O1176" s="13">
        <v>34</v>
      </c>
      <c r="P1176" s="13">
        <v>1</v>
      </c>
      <c r="Q1176" s="13">
        <v>65</v>
      </c>
      <c r="R1176" s="13">
        <v>0</v>
      </c>
      <c r="S1176" s="13">
        <v>0</v>
      </c>
      <c r="T1176" s="23">
        <v>46247.620196759257</v>
      </c>
      <c r="U1176" s="55">
        <f t="shared" si="54"/>
        <v>1.1666666666666667</v>
      </c>
      <c r="V1176" s="55">
        <f t="shared" si="55"/>
        <v>0</v>
      </c>
      <c r="W1176" s="56">
        <f t="shared" si="56"/>
        <v>1238.3333333333333</v>
      </c>
    </row>
    <row r="1177" spans="1:23" x14ac:dyDescent="0.3">
      <c r="A1177" s="13" t="str" cm="1">
        <f t="array" ref="A1177:B1177">INDEX(BenchmarkResults!$B$1:$D$35,SUMPRODUCT((T1177&gt;=BenchmarkResults!$F$3:$F$35)*(mongodb_hardware_log!T1177&lt;BenchmarkResults!$G$3:$G$35)*ROW(BenchmarkResults!$F$3:$F$35)),{1,3})</f>
        <v>q2_avg_order_city</v>
      </c>
      <c r="B1177">
        <v>3</v>
      </c>
      <c r="C1177" s="13">
        <v>1</v>
      </c>
      <c r="D1177" s="13">
        <v>0</v>
      </c>
      <c r="E1177" s="13">
        <v>133376</v>
      </c>
      <c r="F1177" s="13">
        <v>155036</v>
      </c>
      <c r="G1177" s="13">
        <v>4520</v>
      </c>
      <c r="H1177" s="13">
        <v>2260272</v>
      </c>
      <c r="I1177" s="13">
        <v>0</v>
      </c>
      <c r="J1177" s="13">
        <v>0</v>
      </c>
      <c r="K1177" s="13">
        <v>1203</v>
      </c>
      <c r="L1177" s="13">
        <v>38</v>
      </c>
      <c r="M1177" s="13">
        <v>711</v>
      </c>
      <c r="N1177" s="13">
        <v>212</v>
      </c>
      <c r="O1177" s="13">
        <v>33</v>
      </c>
      <c r="P1177" s="13">
        <v>1</v>
      </c>
      <c r="Q1177" s="13">
        <v>65</v>
      </c>
      <c r="R1177" s="13">
        <v>0</v>
      </c>
      <c r="S1177" s="13">
        <v>0</v>
      </c>
      <c r="T1177" s="23">
        <v>46247.620312500003</v>
      </c>
      <c r="U1177" s="55">
        <f t="shared" si="54"/>
        <v>1.1666666666666667</v>
      </c>
      <c r="V1177" s="55">
        <f t="shared" si="55"/>
        <v>0</v>
      </c>
      <c r="W1177" s="56">
        <f t="shared" si="56"/>
        <v>1247.5</v>
      </c>
    </row>
    <row r="1178" spans="1:23" x14ac:dyDescent="0.3">
      <c r="A1178" s="13" t="str" cm="1">
        <f t="array" ref="A1178:B1178">INDEX(BenchmarkResults!$B$1:$D$35,SUMPRODUCT((T1178&gt;=BenchmarkResults!$F$3:$F$35)*(mongodb_hardware_log!T1178&lt;BenchmarkResults!$G$3:$G$35)*ROW(BenchmarkResults!$F$3:$F$35)),{1,3})</f>
        <v>q2_avg_order_city</v>
      </c>
      <c r="B1178">
        <v>3</v>
      </c>
      <c r="C1178" s="13">
        <v>1</v>
      </c>
      <c r="D1178" s="13">
        <v>0</v>
      </c>
      <c r="E1178" s="13">
        <v>133376</v>
      </c>
      <c r="F1178" s="13">
        <v>140924</v>
      </c>
      <c r="G1178" s="13">
        <v>4528</v>
      </c>
      <c r="H1178" s="13">
        <v>2273440</v>
      </c>
      <c r="I1178" s="13">
        <v>0</v>
      </c>
      <c r="J1178" s="13">
        <v>0</v>
      </c>
      <c r="K1178" s="13">
        <v>1317</v>
      </c>
      <c r="L1178" s="13">
        <v>12</v>
      </c>
      <c r="M1178" s="13">
        <v>707</v>
      </c>
      <c r="N1178" s="13">
        <v>212</v>
      </c>
      <c r="O1178" s="13">
        <v>33</v>
      </c>
      <c r="P1178" s="13">
        <v>1</v>
      </c>
      <c r="Q1178" s="13">
        <v>65</v>
      </c>
      <c r="R1178" s="13">
        <v>1</v>
      </c>
      <c r="S1178" s="13">
        <v>0</v>
      </c>
      <c r="T1178" s="23">
        <v>46247.620428240742</v>
      </c>
      <c r="U1178" s="55">
        <f t="shared" si="54"/>
        <v>1</v>
      </c>
      <c r="V1178" s="55">
        <f t="shared" si="55"/>
        <v>0</v>
      </c>
      <c r="W1178" s="56">
        <f t="shared" si="56"/>
        <v>1221.6666666666667</v>
      </c>
    </row>
    <row r="1179" spans="1:23" x14ac:dyDescent="0.3">
      <c r="A1179" s="13" t="str" cm="1">
        <f t="array" ref="A1179:B1179">INDEX(BenchmarkResults!$B$1:$D$35,SUMPRODUCT((T1179&gt;=BenchmarkResults!$F$3:$F$35)*(mongodb_hardware_log!T1179&lt;BenchmarkResults!$G$3:$G$35)*ROW(BenchmarkResults!$F$3:$F$35)),{1,3})</f>
        <v>q2_avg_order_city</v>
      </c>
      <c r="B1179">
        <v>3</v>
      </c>
      <c r="C1179" s="13">
        <v>1</v>
      </c>
      <c r="D1179" s="13">
        <v>0</v>
      </c>
      <c r="E1179" s="13">
        <v>133376</v>
      </c>
      <c r="F1179" s="13">
        <v>137456</v>
      </c>
      <c r="G1179" s="13">
        <v>4544</v>
      </c>
      <c r="H1179" s="13">
        <v>2283192</v>
      </c>
      <c r="I1179" s="13">
        <v>0</v>
      </c>
      <c r="J1179" s="13">
        <v>0</v>
      </c>
      <c r="K1179" s="13">
        <v>975</v>
      </c>
      <c r="L1179" s="13">
        <v>18</v>
      </c>
      <c r="M1179" s="13">
        <v>713</v>
      </c>
      <c r="N1179" s="13">
        <v>219</v>
      </c>
      <c r="O1179" s="13">
        <v>34</v>
      </c>
      <c r="P1179" s="13">
        <v>1</v>
      </c>
      <c r="Q1179" s="13">
        <v>65</v>
      </c>
      <c r="R1179" s="13">
        <v>0</v>
      </c>
      <c r="S1179" s="13">
        <v>0</v>
      </c>
      <c r="T1179" s="23">
        <v>46247.62054398148</v>
      </c>
      <c r="U1179" s="55">
        <f t="shared" si="54"/>
        <v>1</v>
      </c>
      <c r="V1179" s="55">
        <f t="shared" si="55"/>
        <v>0</v>
      </c>
      <c r="W1179" s="56">
        <f t="shared" si="56"/>
        <v>1220.5</v>
      </c>
    </row>
    <row r="1180" spans="1:23" x14ac:dyDescent="0.3">
      <c r="A1180" s="13" t="str" cm="1">
        <f t="array" ref="A1180:B1180">INDEX(BenchmarkResults!$B$1:$D$35,SUMPRODUCT((T1180&gt;=BenchmarkResults!$F$3:$F$35)*(mongodb_hardware_log!T1180&lt;BenchmarkResults!$G$3:$G$35)*ROW(BenchmarkResults!$F$3:$F$35)),{1,3})</f>
        <v>q2_avg_order_city</v>
      </c>
      <c r="B1180">
        <v>3</v>
      </c>
      <c r="C1180" s="13">
        <v>1</v>
      </c>
      <c r="D1180" s="13">
        <v>0</v>
      </c>
      <c r="E1180" s="13">
        <v>133376</v>
      </c>
      <c r="F1180" s="13">
        <v>129832</v>
      </c>
      <c r="G1180" s="13">
        <v>4552</v>
      </c>
      <c r="H1180" s="13">
        <v>2298780</v>
      </c>
      <c r="I1180" s="13">
        <v>0</v>
      </c>
      <c r="J1180" s="13">
        <v>0</v>
      </c>
      <c r="K1180" s="13">
        <v>1557</v>
      </c>
      <c r="L1180" s="13">
        <v>26</v>
      </c>
      <c r="M1180" s="13">
        <v>716</v>
      </c>
      <c r="N1180" s="13">
        <v>216</v>
      </c>
      <c r="O1180" s="13">
        <v>34</v>
      </c>
      <c r="P1180" s="13">
        <v>1</v>
      </c>
      <c r="Q1180" s="13">
        <v>65</v>
      </c>
      <c r="R1180" s="13">
        <v>0</v>
      </c>
      <c r="S1180" s="13">
        <v>0</v>
      </c>
      <c r="T1180" s="23">
        <v>46247.620659722219</v>
      </c>
      <c r="U1180" s="55">
        <f t="shared" si="54"/>
        <v>1</v>
      </c>
      <c r="V1180" s="55">
        <f t="shared" si="55"/>
        <v>0</v>
      </c>
      <c r="W1180" s="56">
        <f t="shared" si="56"/>
        <v>1285</v>
      </c>
    </row>
    <row r="1181" spans="1:23" x14ac:dyDescent="0.3">
      <c r="A1181" s="13" t="str" cm="1">
        <f t="array" ref="A1181:B1181">INDEX(BenchmarkResults!$B$1:$D$35,SUMPRODUCT((T1181&gt;=BenchmarkResults!$F$3:$F$35)*(mongodb_hardware_log!T1181&lt;BenchmarkResults!$G$3:$G$35)*ROW(BenchmarkResults!$F$3:$F$35)),{1,3})</f>
        <v>q2_avg_order_city</v>
      </c>
      <c r="B1181">
        <v>3</v>
      </c>
      <c r="C1181" s="13">
        <v>1</v>
      </c>
      <c r="D1181" s="13">
        <v>0</v>
      </c>
      <c r="E1181" s="13">
        <v>133376</v>
      </c>
      <c r="F1181" s="13">
        <v>115720</v>
      </c>
      <c r="G1181" s="13">
        <v>4560</v>
      </c>
      <c r="H1181" s="13">
        <v>2310404</v>
      </c>
      <c r="I1181" s="13">
        <v>0</v>
      </c>
      <c r="J1181" s="13">
        <v>0</v>
      </c>
      <c r="K1181" s="13">
        <v>1164</v>
      </c>
      <c r="L1181" s="13">
        <v>12</v>
      </c>
      <c r="M1181" s="13">
        <v>702</v>
      </c>
      <c r="N1181" s="13">
        <v>205</v>
      </c>
      <c r="O1181" s="13">
        <v>34</v>
      </c>
      <c r="P1181" s="13">
        <v>1</v>
      </c>
      <c r="Q1181" s="13">
        <v>65</v>
      </c>
      <c r="R1181" s="13">
        <v>0</v>
      </c>
      <c r="S1181" s="13">
        <v>0</v>
      </c>
      <c r="T1181" s="23">
        <v>46247.620775462965</v>
      </c>
      <c r="U1181" s="55">
        <f t="shared" si="54"/>
        <v>1</v>
      </c>
      <c r="V1181" s="55">
        <f t="shared" si="55"/>
        <v>0</v>
      </c>
      <c r="W1181" s="56">
        <f t="shared" si="56"/>
        <v>1217.8333333333333</v>
      </c>
    </row>
    <row r="1182" spans="1:23" x14ac:dyDescent="0.3">
      <c r="A1182" s="13" t="str" cm="1">
        <f t="array" ref="A1182:B1182">INDEX(BenchmarkResults!$B$1:$D$35,SUMPRODUCT((T1182&gt;=BenchmarkResults!$F$3:$F$35)*(mongodb_hardware_log!T1182&lt;BenchmarkResults!$G$3:$G$35)*ROW(BenchmarkResults!$F$3:$F$35)),{1,3})</f>
        <v>q2_avg_order_city</v>
      </c>
      <c r="B1182">
        <v>3</v>
      </c>
      <c r="C1182" s="13">
        <v>1</v>
      </c>
      <c r="D1182" s="13">
        <v>0</v>
      </c>
      <c r="E1182" s="13">
        <v>133376</v>
      </c>
      <c r="F1182" s="13">
        <v>144184</v>
      </c>
      <c r="G1182" s="13">
        <v>4576</v>
      </c>
      <c r="H1182" s="13">
        <v>2274264</v>
      </c>
      <c r="I1182" s="13">
        <v>0</v>
      </c>
      <c r="J1182" s="13">
        <v>0</v>
      </c>
      <c r="K1182" s="13">
        <v>1249</v>
      </c>
      <c r="L1182" s="13">
        <v>13</v>
      </c>
      <c r="M1182" s="13">
        <v>747</v>
      </c>
      <c r="N1182" s="13">
        <v>234</v>
      </c>
      <c r="O1182" s="13">
        <v>34</v>
      </c>
      <c r="P1182" s="13">
        <v>1</v>
      </c>
      <c r="Q1182" s="13">
        <v>64</v>
      </c>
      <c r="R1182" s="13">
        <v>1</v>
      </c>
      <c r="S1182" s="13">
        <v>0</v>
      </c>
      <c r="T1182" s="23">
        <v>46247.620891203704</v>
      </c>
      <c r="U1182" s="55">
        <f t="shared" si="54"/>
        <v>1</v>
      </c>
      <c r="V1182" s="55">
        <f t="shared" si="55"/>
        <v>0</v>
      </c>
      <c r="W1182" s="56">
        <f t="shared" si="56"/>
        <v>1244.1666666666667</v>
      </c>
    </row>
    <row r="1183" spans="1:23" x14ac:dyDescent="0.3">
      <c r="A1183" s="13" t="str" cm="1">
        <f t="array" ref="A1183:B1183">INDEX(BenchmarkResults!$B$1:$D$35,SUMPRODUCT((T1183&gt;=BenchmarkResults!$F$3:$F$35)*(mongodb_hardware_log!T1183&lt;BenchmarkResults!$G$3:$G$35)*ROW(BenchmarkResults!$F$3:$F$35)),{1,3})</f>
        <v>q2_avg_order_city</v>
      </c>
      <c r="B1183">
        <v>3</v>
      </c>
      <c r="C1183" s="13">
        <v>1</v>
      </c>
      <c r="D1183" s="13">
        <v>0</v>
      </c>
      <c r="E1183" s="13">
        <v>133376</v>
      </c>
      <c r="F1183" s="13">
        <v>127692</v>
      </c>
      <c r="G1183" s="13">
        <v>4600</v>
      </c>
      <c r="H1183" s="13">
        <v>2287080</v>
      </c>
      <c r="I1183" s="13">
        <v>0</v>
      </c>
      <c r="J1183" s="13">
        <v>0</v>
      </c>
      <c r="K1183" s="13">
        <v>1274</v>
      </c>
      <c r="L1183" s="13">
        <v>52</v>
      </c>
      <c r="M1183" s="13">
        <v>738</v>
      </c>
      <c r="N1183" s="13">
        <v>249</v>
      </c>
      <c r="O1183" s="13">
        <v>34</v>
      </c>
      <c r="P1183" s="13">
        <v>1</v>
      </c>
      <c r="Q1183" s="13">
        <v>65</v>
      </c>
      <c r="R1183" s="13">
        <v>0</v>
      </c>
      <c r="S1183" s="13">
        <v>0</v>
      </c>
      <c r="T1183" s="23">
        <v>46247.621006944442</v>
      </c>
      <c r="U1183" s="55">
        <f t="shared" si="54"/>
        <v>1</v>
      </c>
      <c r="V1183" s="55">
        <f t="shared" si="55"/>
        <v>0</v>
      </c>
      <c r="W1183" s="56">
        <f t="shared" si="56"/>
        <v>1256</v>
      </c>
    </row>
    <row r="1184" spans="1:23" x14ac:dyDescent="0.3">
      <c r="A1184" s="13" t="str" cm="1">
        <f t="array" ref="A1184:B1184">INDEX(BenchmarkResults!$B$1:$D$35,SUMPRODUCT((T1184&gt;=BenchmarkResults!$F$3:$F$35)*(mongodb_hardware_log!T1184&lt;BenchmarkResults!$G$3:$G$35)*ROW(BenchmarkResults!$F$3:$F$35)),{1,3})</f>
        <v>q2_avg_order_city</v>
      </c>
      <c r="B1184">
        <v>3</v>
      </c>
      <c r="C1184" s="13">
        <v>1</v>
      </c>
      <c r="D1184" s="13">
        <v>0</v>
      </c>
      <c r="E1184" s="13">
        <v>133376</v>
      </c>
      <c r="F1184" s="13">
        <v>112348</v>
      </c>
      <c r="G1184" s="13">
        <v>4608</v>
      </c>
      <c r="H1184" s="13">
        <v>2302384</v>
      </c>
      <c r="I1184" s="13">
        <v>0</v>
      </c>
      <c r="J1184" s="13">
        <v>0</v>
      </c>
      <c r="K1184" s="13">
        <v>1530</v>
      </c>
      <c r="L1184" s="13">
        <v>7</v>
      </c>
      <c r="M1184" s="13">
        <v>758</v>
      </c>
      <c r="N1184" s="13">
        <v>263</v>
      </c>
      <c r="O1184" s="13">
        <v>33</v>
      </c>
      <c r="P1184" s="13">
        <v>1</v>
      </c>
      <c r="Q1184" s="13">
        <v>64</v>
      </c>
      <c r="R1184" s="13">
        <v>1</v>
      </c>
      <c r="S1184" s="13">
        <v>0</v>
      </c>
      <c r="T1184" s="23">
        <v>46247.621122685188</v>
      </c>
      <c r="U1184" s="55">
        <f t="shared" si="54"/>
        <v>1</v>
      </c>
      <c r="V1184" s="55">
        <f t="shared" si="55"/>
        <v>0</v>
      </c>
      <c r="W1184" s="56">
        <f t="shared" si="56"/>
        <v>1291.5</v>
      </c>
    </row>
    <row r="1185" spans="1:23" x14ac:dyDescent="0.3">
      <c r="A1185" s="13" t="str" cm="1">
        <f t="array" ref="A1185:B1185">INDEX(BenchmarkResults!$B$1:$D$35,SUMPRODUCT((T1185&gt;=BenchmarkResults!$F$3:$F$35)*(mongodb_hardware_log!T1185&lt;BenchmarkResults!$G$3:$G$35)*ROW(BenchmarkResults!$F$3:$F$35)),{1,3})</f>
        <v>q2_avg_order_city</v>
      </c>
      <c r="B1185">
        <v>3</v>
      </c>
      <c r="C1185" s="13">
        <v>1</v>
      </c>
      <c r="D1185" s="13">
        <v>0</v>
      </c>
      <c r="E1185" s="13">
        <v>133376</v>
      </c>
      <c r="F1185" s="13">
        <v>100756</v>
      </c>
      <c r="G1185" s="13">
        <v>4624</v>
      </c>
      <c r="H1185" s="13">
        <v>2312192</v>
      </c>
      <c r="I1185" s="13">
        <v>0</v>
      </c>
      <c r="J1185" s="13">
        <v>0</v>
      </c>
      <c r="K1185" s="13">
        <v>983</v>
      </c>
      <c r="L1185" s="13">
        <v>35</v>
      </c>
      <c r="M1185" s="13">
        <v>699</v>
      </c>
      <c r="N1185" s="13">
        <v>204</v>
      </c>
      <c r="O1185" s="13">
        <v>33</v>
      </c>
      <c r="P1185" s="13">
        <v>1</v>
      </c>
      <c r="Q1185" s="13">
        <v>65</v>
      </c>
      <c r="R1185" s="13">
        <v>0</v>
      </c>
      <c r="S1185" s="13">
        <v>0</v>
      </c>
      <c r="T1185" s="23">
        <v>46247.621238425927</v>
      </c>
      <c r="U1185" s="55">
        <f t="shared" si="54"/>
        <v>1</v>
      </c>
      <c r="V1185" s="55">
        <f t="shared" si="55"/>
        <v>0</v>
      </c>
      <c r="W1185" s="56">
        <f t="shared" si="56"/>
        <v>1292.8333333333333</v>
      </c>
    </row>
    <row r="1186" spans="1:23" x14ac:dyDescent="0.3">
      <c r="A1186" s="13" t="str" cm="1">
        <f t="array" ref="A1186:B1186">INDEX(BenchmarkResults!$B$1:$D$35,SUMPRODUCT((T1186&gt;=BenchmarkResults!$F$3:$F$35)*(mongodb_hardware_log!T1186&lt;BenchmarkResults!$G$3:$G$35)*ROW(BenchmarkResults!$F$3:$F$35)),{1,3})</f>
        <v>q2_avg_order_city</v>
      </c>
      <c r="B1186">
        <v>3</v>
      </c>
      <c r="C1186" s="13">
        <v>1</v>
      </c>
      <c r="D1186" s="13">
        <v>0</v>
      </c>
      <c r="E1186" s="13">
        <v>133376</v>
      </c>
      <c r="F1186" s="13">
        <v>146096</v>
      </c>
      <c r="G1186" s="13">
        <v>4632</v>
      </c>
      <c r="H1186" s="13">
        <v>2275252</v>
      </c>
      <c r="I1186" s="13">
        <v>0</v>
      </c>
      <c r="J1186" s="13">
        <v>0</v>
      </c>
      <c r="K1186" s="13">
        <v>1193</v>
      </c>
      <c r="L1186" s="13">
        <v>5</v>
      </c>
      <c r="M1186" s="13">
        <v>702</v>
      </c>
      <c r="N1186" s="13">
        <v>203</v>
      </c>
      <c r="O1186" s="13">
        <v>34</v>
      </c>
      <c r="P1186" s="13">
        <v>1</v>
      </c>
      <c r="Q1186" s="13">
        <v>65</v>
      </c>
      <c r="R1186" s="13">
        <v>0</v>
      </c>
      <c r="S1186" s="13">
        <v>0</v>
      </c>
      <c r="T1186" s="23">
        <v>46247.621354166666</v>
      </c>
      <c r="U1186" s="55">
        <f t="shared" si="54"/>
        <v>1</v>
      </c>
      <c r="V1186" s="55">
        <f t="shared" si="55"/>
        <v>0</v>
      </c>
      <c r="W1186" s="56">
        <f t="shared" si="56"/>
        <v>1232.1666666666667</v>
      </c>
    </row>
    <row r="1187" spans="1:23" x14ac:dyDescent="0.3">
      <c r="A1187" s="13" t="str" cm="1">
        <f t="array" ref="A1187:B1187">INDEX(BenchmarkResults!$B$1:$D$35,SUMPRODUCT((T1187&gt;=BenchmarkResults!$F$3:$F$35)*(mongodb_hardware_log!T1187&lt;BenchmarkResults!$G$3:$G$35)*ROW(BenchmarkResults!$F$3:$F$35)),{1,3})</f>
        <v>q2_avg_order_city</v>
      </c>
      <c r="B1187">
        <v>3</v>
      </c>
      <c r="C1187" s="13">
        <v>2</v>
      </c>
      <c r="D1187" s="13">
        <v>0</v>
      </c>
      <c r="E1187" s="13">
        <v>133376</v>
      </c>
      <c r="F1187" s="13">
        <v>737152</v>
      </c>
      <c r="G1187" s="13">
        <v>4640</v>
      </c>
      <c r="H1187" s="13">
        <v>1645092</v>
      </c>
      <c r="I1187" s="13">
        <v>0</v>
      </c>
      <c r="J1187" s="13">
        <v>0</v>
      </c>
      <c r="K1187" s="13">
        <v>702</v>
      </c>
      <c r="L1187" s="13">
        <v>8</v>
      </c>
      <c r="M1187" s="13">
        <v>981</v>
      </c>
      <c r="N1187" s="13">
        <v>450</v>
      </c>
      <c r="O1187" s="13">
        <v>37</v>
      </c>
      <c r="P1187" s="13">
        <v>8</v>
      </c>
      <c r="Q1187" s="13">
        <v>55</v>
      </c>
      <c r="R1187" s="13">
        <v>0</v>
      </c>
      <c r="S1187" s="13">
        <v>0</v>
      </c>
      <c r="T1187" s="23">
        <v>46247.621469907404</v>
      </c>
      <c r="U1187" s="55">
        <f t="shared" si="54"/>
        <v>1.1666666666666667</v>
      </c>
      <c r="V1187" s="55">
        <f t="shared" si="55"/>
        <v>0</v>
      </c>
      <c r="W1187" s="56">
        <f t="shared" si="56"/>
        <v>1155.1666666666667</v>
      </c>
    </row>
    <row r="1188" spans="1:23" x14ac:dyDescent="0.3">
      <c r="A1188" s="13" t="str" cm="1">
        <f t="array" ref="A1188:B1188">INDEX(BenchmarkResults!$B$1:$D$35,SUMPRODUCT((T1188&gt;=BenchmarkResults!$F$3:$F$35)*(mongodb_hardware_log!T1188&lt;BenchmarkResults!$G$3:$G$35)*ROW(BenchmarkResults!$F$3:$F$35)),{1,3})</f>
        <v>q2_avg_order_city</v>
      </c>
      <c r="B1188">
        <v>3</v>
      </c>
      <c r="C1188" s="13">
        <v>1</v>
      </c>
      <c r="D1188" s="13">
        <v>0</v>
      </c>
      <c r="E1188" s="13">
        <v>133376</v>
      </c>
      <c r="F1188" s="13">
        <v>745960</v>
      </c>
      <c r="G1188" s="13">
        <v>4648</v>
      </c>
      <c r="H1188" s="13">
        <v>1660952</v>
      </c>
      <c r="I1188" s="13">
        <v>0</v>
      </c>
      <c r="J1188" s="13">
        <v>0</v>
      </c>
      <c r="K1188" s="13">
        <v>1583</v>
      </c>
      <c r="L1188" s="13">
        <v>9</v>
      </c>
      <c r="M1188" s="13">
        <v>760</v>
      </c>
      <c r="N1188" s="13">
        <v>221</v>
      </c>
      <c r="O1188" s="13">
        <v>34</v>
      </c>
      <c r="P1188" s="13">
        <v>4</v>
      </c>
      <c r="Q1188" s="13">
        <v>62</v>
      </c>
      <c r="R1188" s="13">
        <v>0</v>
      </c>
      <c r="S1188" s="13">
        <v>0</v>
      </c>
      <c r="T1188" s="23">
        <v>46247.62158564815</v>
      </c>
      <c r="U1188" s="55">
        <f t="shared" si="54"/>
        <v>1.1666666666666667</v>
      </c>
      <c r="V1188" s="55">
        <f t="shared" si="55"/>
        <v>0</v>
      </c>
      <c r="W1188" s="56">
        <f t="shared" si="56"/>
        <v>1210.8333333333333</v>
      </c>
    </row>
    <row r="1189" spans="1:23" x14ac:dyDescent="0.3">
      <c r="A1189" s="13" t="str" cm="1">
        <f t="array" ref="A1189:B1189">INDEX(BenchmarkResults!$B$1:$D$35,SUMPRODUCT((T1189&gt;=BenchmarkResults!$F$3:$F$35)*(mongodb_hardware_log!T1189&lt;BenchmarkResults!$G$3:$G$35)*ROW(BenchmarkResults!$F$3:$F$35)),{1,3})</f>
        <v>q2_avg_order_city</v>
      </c>
      <c r="B1189">
        <v>3</v>
      </c>
      <c r="C1189" s="13">
        <v>1</v>
      </c>
      <c r="D1189" s="13">
        <v>0</v>
      </c>
      <c r="E1189" s="13">
        <v>133376</v>
      </c>
      <c r="F1189" s="13">
        <v>732604</v>
      </c>
      <c r="G1189" s="13">
        <v>4688</v>
      </c>
      <c r="H1189" s="13">
        <v>1672096</v>
      </c>
      <c r="I1189" s="13">
        <v>0</v>
      </c>
      <c r="J1189" s="13">
        <v>0</v>
      </c>
      <c r="K1189" s="13">
        <v>1115</v>
      </c>
      <c r="L1189" s="13">
        <v>30</v>
      </c>
      <c r="M1189" s="13">
        <v>704</v>
      </c>
      <c r="N1189" s="13">
        <v>212</v>
      </c>
      <c r="O1189" s="13">
        <v>34</v>
      </c>
      <c r="P1189" s="13">
        <v>1</v>
      </c>
      <c r="Q1189" s="13">
        <v>65</v>
      </c>
      <c r="R1189" s="13">
        <v>0</v>
      </c>
      <c r="S1189" s="13">
        <v>0</v>
      </c>
      <c r="T1189" s="23">
        <v>46247.621701388889</v>
      </c>
      <c r="U1189" s="55">
        <f t="shared" si="54"/>
        <v>1.1666666666666667</v>
      </c>
      <c r="V1189" s="55">
        <f t="shared" si="55"/>
        <v>0</v>
      </c>
      <c r="W1189" s="56">
        <f t="shared" si="56"/>
        <v>1184.3333333333333</v>
      </c>
    </row>
    <row r="1190" spans="1:23" x14ac:dyDescent="0.3">
      <c r="A1190" s="13" t="str" cm="1">
        <f t="array" ref="A1190:B1190">INDEX(BenchmarkResults!$B$1:$D$35,SUMPRODUCT((T1190&gt;=BenchmarkResults!$F$3:$F$35)*(mongodb_hardware_log!T1190&lt;BenchmarkResults!$G$3:$G$35)*ROW(BenchmarkResults!$F$3:$F$35)),{1,3})</f>
        <v>q2_avg_order_city</v>
      </c>
      <c r="B1190">
        <v>3</v>
      </c>
      <c r="C1190" s="13">
        <v>1</v>
      </c>
      <c r="D1190" s="13">
        <v>0</v>
      </c>
      <c r="E1190" s="13">
        <v>133376</v>
      </c>
      <c r="F1190" s="13">
        <v>720508</v>
      </c>
      <c r="G1190" s="13">
        <v>4696</v>
      </c>
      <c r="H1190" s="13">
        <v>1684688</v>
      </c>
      <c r="I1190" s="13">
        <v>0</v>
      </c>
      <c r="J1190" s="13">
        <v>0</v>
      </c>
      <c r="K1190" s="13">
        <v>1259</v>
      </c>
      <c r="L1190" s="13">
        <v>9</v>
      </c>
      <c r="M1190" s="13">
        <v>703</v>
      </c>
      <c r="N1190" s="13">
        <v>207</v>
      </c>
      <c r="O1190" s="13">
        <v>33</v>
      </c>
      <c r="P1190" s="13">
        <v>1</v>
      </c>
      <c r="Q1190" s="13">
        <v>65</v>
      </c>
      <c r="R1190" s="13">
        <v>0</v>
      </c>
      <c r="S1190" s="13">
        <v>0</v>
      </c>
      <c r="T1190" s="23">
        <v>46247.621817129628</v>
      </c>
      <c r="U1190" s="55">
        <f t="shared" si="54"/>
        <v>1.1666666666666667</v>
      </c>
      <c r="V1190" s="55">
        <f t="shared" si="55"/>
        <v>0</v>
      </c>
      <c r="W1190" s="56">
        <f t="shared" si="56"/>
        <v>1139.1666666666667</v>
      </c>
    </row>
    <row r="1191" spans="1:23" x14ac:dyDescent="0.3">
      <c r="A1191" s="13" t="str" cm="1">
        <f t="array" ref="A1191:B1191">INDEX(BenchmarkResults!$B$1:$D$35,SUMPRODUCT((T1191&gt;=BenchmarkResults!$F$3:$F$35)*(mongodb_hardware_log!T1191&lt;BenchmarkResults!$G$3:$G$35)*ROW(BenchmarkResults!$F$3:$F$35)),{1,3})</f>
        <v>q2_avg_order_city</v>
      </c>
      <c r="B1191">
        <v>3</v>
      </c>
      <c r="C1191" s="13">
        <v>1</v>
      </c>
      <c r="D1191" s="13">
        <v>0</v>
      </c>
      <c r="E1191" s="13">
        <v>133376</v>
      </c>
      <c r="F1191" s="13">
        <v>706396</v>
      </c>
      <c r="G1191" s="13">
        <v>4704</v>
      </c>
      <c r="H1191" s="13">
        <v>1696396</v>
      </c>
      <c r="I1191" s="13">
        <v>0</v>
      </c>
      <c r="J1191" s="13">
        <v>0</v>
      </c>
      <c r="K1191" s="13">
        <v>1177</v>
      </c>
      <c r="L1191" s="13">
        <v>11</v>
      </c>
      <c r="M1191" s="13">
        <v>696</v>
      </c>
      <c r="N1191" s="13">
        <v>202</v>
      </c>
      <c r="O1191" s="13">
        <v>33</v>
      </c>
      <c r="P1191" s="13">
        <v>1</v>
      </c>
      <c r="Q1191" s="13">
        <v>65</v>
      </c>
      <c r="R1191" s="13">
        <v>0</v>
      </c>
      <c r="S1191" s="13">
        <v>0</v>
      </c>
      <c r="T1191" s="23">
        <v>46247.621932870374</v>
      </c>
      <c r="U1191" s="55">
        <f t="shared" si="54"/>
        <v>1.1666666666666667</v>
      </c>
      <c r="V1191" s="55">
        <f t="shared" si="55"/>
        <v>0</v>
      </c>
      <c r="W1191" s="56">
        <f t="shared" si="56"/>
        <v>1171.5</v>
      </c>
    </row>
    <row r="1192" spans="1:23" x14ac:dyDescent="0.3">
      <c r="A1192" s="13" t="str" cm="1">
        <f t="array" ref="A1192:B1192">INDEX(BenchmarkResults!$B$1:$D$35,SUMPRODUCT((T1192&gt;=BenchmarkResults!$F$3:$F$35)*(mongodb_hardware_log!T1192&lt;BenchmarkResults!$G$3:$G$35)*ROW(BenchmarkResults!$F$3:$F$35)),{1,3})</f>
        <v>q2_avg_order_city</v>
      </c>
      <c r="B1192">
        <v>3</v>
      </c>
      <c r="C1192" s="13">
        <v>1</v>
      </c>
      <c r="D1192" s="13">
        <v>0</v>
      </c>
      <c r="E1192" s="13">
        <v>133376</v>
      </c>
      <c r="F1192" s="13">
        <v>697576</v>
      </c>
      <c r="G1192" s="13">
        <v>4712</v>
      </c>
      <c r="H1192" s="13">
        <v>1708104</v>
      </c>
      <c r="I1192" s="13">
        <v>0</v>
      </c>
      <c r="J1192" s="13">
        <v>0</v>
      </c>
      <c r="K1192" s="13">
        <v>1167</v>
      </c>
      <c r="L1192" s="13">
        <v>10</v>
      </c>
      <c r="M1192" s="13">
        <v>710</v>
      </c>
      <c r="N1192" s="13">
        <v>211</v>
      </c>
      <c r="O1192" s="13">
        <v>33</v>
      </c>
      <c r="P1192" s="13">
        <v>1</v>
      </c>
      <c r="Q1192" s="13">
        <v>65</v>
      </c>
      <c r="R1192" s="13">
        <v>0</v>
      </c>
      <c r="S1192" s="13">
        <v>0</v>
      </c>
      <c r="T1192" s="23">
        <v>46247.622048611112</v>
      </c>
      <c r="U1192" s="55">
        <f t="shared" si="54"/>
        <v>1.1666666666666667</v>
      </c>
      <c r="V1192" s="55">
        <f t="shared" si="55"/>
        <v>0</v>
      </c>
      <c r="W1192" s="56">
        <f t="shared" si="56"/>
        <v>1167.1666666666667</v>
      </c>
    </row>
    <row r="1193" spans="1:23" x14ac:dyDescent="0.3">
      <c r="A1193" s="13" t="str" cm="1">
        <f t="array" ref="A1193:B1193">INDEX(BenchmarkResults!$B$1:$D$35,SUMPRODUCT((T1193&gt;=BenchmarkResults!$F$3:$F$35)*(mongodb_hardware_log!T1193&lt;BenchmarkResults!$G$3:$G$35)*ROW(BenchmarkResults!$F$3:$F$35)),{1,3})</f>
        <v>q2_avg_order_city</v>
      </c>
      <c r="B1193">
        <v>3</v>
      </c>
      <c r="C1193" s="13">
        <v>1</v>
      </c>
      <c r="D1193" s="13">
        <v>0</v>
      </c>
      <c r="E1193" s="13">
        <v>133376</v>
      </c>
      <c r="F1193" s="13">
        <v>677668</v>
      </c>
      <c r="G1193" s="13">
        <v>4720</v>
      </c>
      <c r="H1193" s="13">
        <v>1722196</v>
      </c>
      <c r="I1193" s="13">
        <v>0</v>
      </c>
      <c r="J1193" s="13">
        <v>0</v>
      </c>
      <c r="K1193" s="13">
        <v>1413</v>
      </c>
      <c r="L1193" s="13">
        <v>10</v>
      </c>
      <c r="M1193" s="13">
        <v>711</v>
      </c>
      <c r="N1193" s="13">
        <v>209</v>
      </c>
      <c r="O1193" s="13">
        <v>33</v>
      </c>
      <c r="P1193" s="13">
        <v>1</v>
      </c>
      <c r="Q1193" s="13">
        <v>65</v>
      </c>
      <c r="R1193" s="13">
        <v>0</v>
      </c>
      <c r="S1193" s="13">
        <v>0</v>
      </c>
      <c r="T1193" s="23">
        <v>46247.622164351851</v>
      </c>
      <c r="U1193" s="55">
        <f t="shared" si="54"/>
        <v>1</v>
      </c>
      <c r="V1193" s="55">
        <f t="shared" si="55"/>
        <v>0</v>
      </c>
      <c r="W1193" s="56">
        <f t="shared" si="56"/>
        <v>1285.6666666666667</v>
      </c>
    </row>
    <row r="1194" spans="1:23" x14ac:dyDescent="0.3">
      <c r="A1194" s="13" t="str" cm="1">
        <f t="array" ref="A1194:B1194">INDEX(BenchmarkResults!$B$1:$D$35,SUMPRODUCT((T1194&gt;=BenchmarkResults!$F$3:$F$35)*(mongodb_hardware_log!T1194&lt;BenchmarkResults!$G$3:$G$35)*ROW(BenchmarkResults!$F$3:$F$35)),{1,3})</f>
        <v>q2_avg_order_city</v>
      </c>
      <c r="B1194">
        <v>3</v>
      </c>
      <c r="C1194" s="13">
        <v>1</v>
      </c>
      <c r="D1194" s="13">
        <v>0</v>
      </c>
      <c r="E1194" s="13">
        <v>133376</v>
      </c>
      <c r="F1194" s="13">
        <v>669856</v>
      </c>
      <c r="G1194" s="13">
        <v>4728</v>
      </c>
      <c r="H1194" s="13">
        <v>1733672</v>
      </c>
      <c r="I1194" s="13">
        <v>0</v>
      </c>
      <c r="J1194" s="13">
        <v>0</v>
      </c>
      <c r="K1194" s="13">
        <v>1141</v>
      </c>
      <c r="L1194" s="13">
        <v>11</v>
      </c>
      <c r="M1194" s="13">
        <v>717</v>
      </c>
      <c r="N1194" s="13">
        <v>216</v>
      </c>
      <c r="O1194" s="13">
        <v>34</v>
      </c>
      <c r="P1194" s="13">
        <v>1</v>
      </c>
      <c r="Q1194" s="13">
        <v>65</v>
      </c>
      <c r="R1194" s="13">
        <v>0</v>
      </c>
      <c r="S1194" s="13">
        <v>0</v>
      </c>
      <c r="T1194" s="23">
        <v>46247.62228009259</v>
      </c>
      <c r="U1194" s="55">
        <f t="shared" si="54"/>
        <v>1</v>
      </c>
      <c r="V1194" s="55">
        <f t="shared" si="55"/>
        <v>0</v>
      </c>
      <c r="W1194" s="56">
        <f t="shared" si="56"/>
        <v>1212</v>
      </c>
    </row>
    <row r="1195" spans="1:23" x14ac:dyDescent="0.3">
      <c r="A1195" s="13" t="str" cm="1">
        <f t="array" ref="A1195:B1195">INDEX(BenchmarkResults!$B$1:$D$35,SUMPRODUCT((T1195&gt;=BenchmarkResults!$F$3:$F$35)*(mongodb_hardware_log!T1195&lt;BenchmarkResults!$G$3:$G$35)*ROW(BenchmarkResults!$F$3:$F$35)),{1,3})</f>
        <v>q2_avg_order_city</v>
      </c>
      <c r="B1195">
        <v>3</v>
      </c>
      <c r="C1195" s="13">
        <v>1</v>
      </c>
      <c r="D1195" s="13">
        <v>0</v>
      </c>
      <c r="E1195" s="13">
        <v>133376</v>
      </c>
      <c r="F1195" s="13">
        <v>661932</v>
      </c>
      <c r="G1195" s="13">
        <v>4752</v>
      </c>
      <c r="H1195" s="13">
        <v>1744708</v>
      </c>
      <c r="I1195" s="13">
        <v>0</v>
      </c>
      <c r="J1195" s="13">
        <v>0</v>
      </c>
      <c r="K1195" s="13">
        <v>1100</v>
      </c>
      <c r="L1195" s="13">
        <v>30</v>
      </c>
      <c r="M1195" s="13">
        <v>727</v>
      </c>
      <c r="N1195" s="13">
        <v>229</v>
      </c>
      <c r="O1195" s="13">
        <v>34</v>
      </c>
      <c r="P1195" s="13">
        <v>1</v>
      </c>
      <c r="Q1195" s="13">
        <v>63</v>
      </c>
      <c r="R1195" s="13">
        <v>1</v>
      </c>
      <c r="S1195" s="13">
        <v>0</v>
      </c>
      <c r="T1195" s="23">
        <v>46247.622395833336</v>
      </c>
      <c r="U1195" s="55">
        <f t="shared" si="54"/>
        <v>1</v>
      </c>
      <c r="V1195" s="55">
        <f t="shared" si="55"/>
        <v>0</v>
      </c>
      <c r="W1195" s="56">
        <f t="shared" si="56"/>
        <v>1209.5</v>
      </c>
    </row>
    <row r="1196" spans="1:23" x14ac:dyDescent="0.3">
      <c r="A1196" s="13" t="str" cm="1">
        <f t="array" ref="A1196:B1196">INDEX(BenchmarkResults!$B$1:$D$35,SUMPRODUCT((T1196&gt;=BenchmarkResults!$F$3:$F$35)*(mongodb_hardware_log!T1196&lt;BenchmarkResults!$G$3:$G$35)*ROW(BenchmarkResults!$F$3:$F$35)),{1,3})</f>
        <v>q2_avg_order_city</v>
      </c>
      <c r="B1196">
        <v>3</v>
      </c>
      <c r="C1196" s="13">
        <v>1</v>
      </c>
      <c r="D1196" s="13">
        <v>0</v>
      </c>
      <c r="E1196" s="13">
        <v>133376</v>
      </c>
      <c r="F1196" s="13">
        <v>653112</v>
      </c>
      <c r="G1196" s="13">
        <v>4760</v>
      </c>
      <c r="H1196" s="13">
        <v>1758500</v>
      </c>
      <c r="I1196" s="13">
        <v>0</v>
      </c>
      <c r="J1196" s="13">
        <v>0</v>
      </c>
      <c r="K1196" s="13">
        <v>1379</v>
      </c>
      <c r="L1196" s="13">
        <v>15</v>
      </c>
      <c r="M1196" s="13">
        <v>710</v>
      </c>
      <c r="N1196" s="13">
        <v>208</v>
      </c>
      <c r="O1196" s="13">
        <v>33</v>
      </c>
      <c r="P1196" s="13">
        <v>1</v>
      </c>
      <c r="Q1196" s="13">
        <v>65</v>
      </c>
      <c r="R1196" s="13">
        <v>0</v>
      </c>
      <c r="S1196" s="13">
        <v>0</v>
      </c>
      <c r="T1196" s="23">
        <v>46247.622511574074</v>
      </c>
      <c r="U1196" s="55">
        <f t="shared" si="54"/>
        <v>1</v>
      </c>
      <c r="V1196" s="55">
        <f t="shared" si="55"/>
        <v>0</v>
      </c>
      <c r="W1196" s="56">
        <f t="shared" si="56"/>
        <v>1229.5</v>
      </c>
    </row>
    <row r="1197" spans="1:23" x14ac:dyDescent="0.3">
      <c r="A1197" s="13" t="str" cm="1">
        <f t="array" ref="A1197:B1197">INDEX(BenchmarkResults!$B$1:$D$35,SUMPRODUCT((T1197&gt;=BenchmarkResults!$F$3:$F$35)*(mongodb_hardware_log!T1197&lt;BenchmarkResults!$G$3:$G$35)*ROW(BenchmarkResults!$F$3:$F$35)),{1,3})</f>
        <v>q2_avg_order_city</v>
      </c>
      <c r="B1197">
        <v>3</v>
      </c>
      <c r="C1197" s="13">
        <v>1</v>
      </c>
      <c r="D1197" s="13">
        <v>0</v>
      </c>
      <c r="E1197" s="13">
        <v>133376</v>
      </c>
      <c r="F1197" s="13">
        <v>640452</v>
      </c>
      <c r="G1197" s="13">
        <v>4776</v>
      </c>
      <c r="H1197" s="13">
        <v>1773088</v>
      </c>
      <c r="I1197" s="13">
        <v>0</v>
      </c>
      <c r="J1197" s="13">
        <v>0</v>
      </c>
      <c r="K1197" s="13">
        <v>1456</v>
      </c>
      <c r="L1197" s="13">
        <v>13</v>
      </c>
      <c r="M1197" s="13">
        <v>716</v>
      </c>
      <c r="N1197" s="13">
        <v>212</v>
      </c>
      <c r="O1197" s="13">
        <v>33</v>
      </c>
      <c r="P1197" s="13">
        <v>1</v>
      </c>
      <c r="Q1197" s="13">
        <v>65</v>
      </c>
      <c r="R1197" s="13">
        <v>0</v>
      </c>
      <c r="S1197" s="13">
        <v>0</v>
      </c>
      <c r="T1197" s="23">
        <v>46247.622627314813</v>
      </c>
      <c r="U1197" s="55">
        <f t="shared" si="54"/>
        <v>1</v>
      </c>
      <c r="V1197" s="55">
        <f t="shared" si="55"/>
        <v>0</v>
      </c>
      <c r="W1197" s="56">
        <f t="shared" si="56"/>
        <v>1276</v>
      </c>
    </row>
    <row r="1198" spans="1:23" x14ac:dyDescent="0.3">
      <c r="A1198" s="13" t="str" cm="1">
        <f t="array" ref="A1198:B1198">INDEX(BenchmarkResults!$B$1:$D$35,SUMPRODUCT((T1198&gt;=BenchmarkResults!$F$3:$F$35)*(mongodb_hardware_log!T1198&lt;BenchmarkResults!$G$3:$G$35)*ROW(BenchmarkResults!$F$3:$F$35)),{1,3})</f>
        <v>q2_avg_order_city</v>
      </c>
      <c r="B1198">
        <v>3</v>
      </c>
      <c r="C1198" s="13">
        <v>1</v>
      </c>
      <c r="D1198" s="13">
        <v>0</v>
      </c>
      <c r="E1198" s="13">
        <v>133376</v>
      </c>
      <c r="F1198" s="13">
        <v>622560</v>
      </c>
      <c r="G1198" s="13">
        <v>4784</v>
      </c>
      <c r="H1198" s="13">
        <v>1783956</v>
      </c>
      <c r="I1198" s="13">
        <v>0</v>
      </c>
      <c r="J1198" s="13">
        <v>0</v>
      </c>
      <c r="K1198" s="13">
        <v>1090</v>
      </c>
      <c r="L1198" s="13">
        <v>23</v>
      </c>
      <c r="M1198" s="13">
        <v>705</v>
      </c>
      <c r="N1198" s="13">
        <v>205</v>
      </c>
      <c r="O1198" s="13">
        <v>33</v>
      </c>
      <c r="P1198" s="13">
        <v>1</v>
      </c>
      <c r="Q1198" s="13">
        <v>65</v>
      </c>
      <c r="R1198" s="13">
        <v>0</v>
      </c>
      <c r="S1198" s="13">
        <v>0</v>
      </c>
      <c r="T1198" s="23">
        <v>46247.622743055559</v>
      </c>
      <c r="U1198" s="55">
        <f t="shared" si="54"/>
        <v>1</v>
      </c>
      <c r="V1198" s="55">
        <f t="shared" si="55"/>
        <v>0</v>
      </c>
      <c r="W1198" s="56">
        <f t="shared" si="56"/>
        <v>1263.1666666666667</v>
      </c>
    </row>
    <row r="1199" spans="1:23" x14ac:dyDescent="0.3">
      <c r="A1199" s="13" t="str" cm="1">
        <f t="array" ref="A1199:B1199">INDEX(BenchmarkResults!$B$1:$D$35,SUMPRODUCT((T1199&gt;=BenchmarkResults!$F$3:$F$35)*(mongodb_hardware_log!T1199&lt;BenchmarkResults!$G$3:$G$35)*ROW(BenchmarkResults!$F$3:$F$35)),{1,3})</f>
        <v>q2_avg_order_city</v>
      </c>
      <c r="B1199">
        <v>3</v>
      </c>
      <c r="C1199" s="13">
        <v>1</v>
      </c>
      <c r="D1199" s="13">
        <v>0</v>
      </c>
      <c r="E1199" s="13">
        <v>133376</v>
      </c>
      <c r="F1199" s="13">
        <v>619076</v>
      </c>
      <c r="G1199" s="13">
        <v>4800</v>
      </c>
      <c r="H1199" s="13">
        <v>1796356</v>
      </c>
      <c r="I1199" s="13">
        <v>0</v>
      </c>
      <c r="J1199" s="13">
        <v>0</v>
      </c>
      <c r="K1199" s="13">
        <v>1240</v>
      </c>
      <c r="L1199" s="13">
        <v>31</v>
      </c>
      <c r="M1199" s="13">
        <v>728</v>
      </c>
      <c r="N1199" s="13">
        <v>237</v>
      </c>
      <c r="O1199" s="13">
        <v>34</v>
      </c>
      <c r="P1199" s="13">
        <v>1</v>
      </c>
      <c r="Q1199" s="13">
        <v>65</v>
      </c>
      <c r="R1199" s="13">
        <v>0</v>
      </c>
      <c r="S1199" s="13">
        <v>0</v>
      </c>
      <c r="T1199" s="23">
        <v>46247.622858796298</v>
      </c>
      <c r="U1199" s="55">
        <f t="shared" si="54"/>
        <v>1</v>
      </c>
      <c r="V1199" s="55">
        <f t="shared" si="55"/>
        <v>0</v>
      </c>
      <c r="W1199" s="56">
        <f t="shared" si="56"/>
        <v>1234.3333333333333</v>
      </c>
    </row>
    <row r="1200" spans="1:23" x14ac:dyDescent="0.3">
      <c r="A1200" s="13" t="str" cm="1">
        <f t="array" ref="A1200:B1200">INDEX(BenchmarkResults!$B$1:$D$35,SUMPRODUCT((T1200&gt;=BenchmarkResults!$F$3:$F$35)*(mongodb_hardware_log!T1200&lt;BenchmarkResults!$G$3:$G$35)*ROW(BenchmarkResults!$F$3:$F$35)),{1,3})</f>
        <v>q2_avg_order_city</v>
      </c>
      <c r="B1200">
        <v>3</v>
      </c>
      <c r="C1200" s="13">
        <v>1</v>
      </c>
      <c r="D1200" s="13">
        <v>0</v>
      </c>
      <c r="E1200" s="13">
        <v>133376</v>
      </c>
      <c r="F1200" s="13">
        <v>604712</v>
      </c>
      <c r="G1200" s="13">
        <v>4808</v>
      </c>
      <c r="H1200" s="13">
        <v>1807068</v>
      </c>
      <c r="I1200" s="13">
        <v>0</v>
      </c>
      <c r="J1200" s="13">
        <v>0</v>
      </c>
      <c r="K1200" s="13">
        <v>1071</v>
      </c>
      <c r="L1200" s="13">
        <v>7</v>
      </c>
      <c r="M1200" s="13">
        <v>728</v>
      </c>
      <c r="N1200" s="13">
        <v>224</v>
      </c>
      <c r="O1200" s="13">
        <v>33</v>
      </c>
      <c r="P1200" s="13">
        <v>1</v>
      </c>
      <c r="Q1200" s="13">
        <v>65</v>
      </c>
      <c r="R1200" s="13">
        <v>0</v>
      </c>
      <c r="S1200" s="13">
        <v>0</v>
      </c>
      <c r="T1200" s="23">
        <v>46247.622974537036</v>
      </c>
      <c r="U1200" s="55">
        <f t="shared" si="54"/>
        <v>1</v>
      </c>
      <c r="V1200" s="55">
        <f t="shared" si="55"/>
        <v>0</v>
      </c>
      <c r="W1200" s="56">
        <f t="shared" si="56"/>
        <v>1222.6666666666667</v>
      </c>
    </row>
    <row r="1201" spans="1:23" x14ac:dyDescent="0.3">
      <c r="A1201" s="13" t="str" cm="1">
        <f t="array" ref="A1201:B1201">INDEX(BenchmarkResults!$B$1:$D$35,SUMPRODUCT((T1201&gt;=BenchmarkResults!$F$3:$F$35)*(mongodb_hardware_log!T1201&lt;BenchmarkResults!$G$3:$G$35)*ROW(BenchmarkResults!$F$3:$F$35)),{1,3})</f>
        <v>q2_avg_order_city</v>
      </c>
      <c r="B1201">
        <v>3</v>
      </c>
      <c r="C1201" s="13">
        <v>1</v>
      </c>
      <c r="D1201" s="13">
        <v>0</v>
      </c>
      <c r="E1201" s="13">
        <v>133376</v>
      </c>
      <c r="F1201" s="13">
        <v>588836</v>
      </c>
      <c r="G1201" s="13">
        <v>4832</v>
      </c>
      <c r="H1201" s="13">
        <v>1818824</v>
      </c>
      <c r="I1201" s="13">
        <v>0</v>
      </c>
      <c r="J1201" s="13">
        <v>0</v>
      </c>
      <c r="K1201" s="13">
        <v>1176</v>
      </c>
      <c r="L1201" s="13">
        <v>24</v>
      </c>
      <c r="M1201" s="13">
        <v>712</v>
      </c>
      <c r="N1201" s="13">
        <v>217</v>
      </c>
      <c r="O1201" s="13">
        <v>33</v>
      </c>
      <c r="P1201" s="13">
        <v>1</v>
      </c>
      <c r="Q1201" s="13">
        <v>65</v>
      </c>
      <c r="R1201" s="13">
        <v>0</v>
      </c>
      <c r="S1201" s="13">
        <v>0</v>
      </c>
      <c r="T1201" s="23">
        <v>46247.623090277775</v>
      </c>
      <c r="U1201" s="55">
        <f t="shared" si="54"/>
        <v>1</v>
      </c>
      <c r="V1201" s="55">
        <f t="shared" si="55"/>
        <v>0</v>
      </c>
      <c r="W1201" s="56">
        <f t="shared" si="56"/>
        <v>1235.3333333333333</v>
      </c>
    </row>
    <row r="1202" spans="1:23" x14ac:dyDescent="0.3">
      <c r="A1202" s="13" t="str" cm="1">
        <f t="array" ref="A1202:B1202">INDEX(BenchmarkResults!$B$1:$D$35,SUMPRODUCT((T1202&gt;=BenchmarkResults!$F$3:$F$35)*(mongodb_hardware_log!T1202&lt;BenchmarkResults!$G$3:$G$35)*ROW(BenchmarkResults!$F$3:$F$35)),{1,3})</f>
        <v>q2_avg_order_city</v>
      </c>
      <c r="B1202">
        <v>3</v>
      </c>
      <c r="C1202" s="13">
        <v>1</v>
      </c>
      <c r="D1202" s="13">
        <v>0</v>
      </c>
      <c r="E1202" s="13">
        <v>133376</v>
      </c>
      <c r="F1202" s="13">
        <v>589772</v>
      </c>
      <c r="G1202" s="13">
        <v>4840</v>
      </c>
      <c r="H1202" s="13">
        <v>1833596</v>
      </c>
      <c r="I1202" s="13">
        <v>0</v>
      </c>
      <c r="J1202" s="13">
        <v>0</v>
      </c>
      <c r="K1202" s="13">
        <v>1477</v>
      </c>
      <c r="L1202" s="13">
        <v>18</v>
      </c>
      <c r="M1202" s="13">
        <v>719</v>
      </c>
      <c r="N1202" s="13">
        <v>220</v>
      </c>
      <c r="O1202" s="13">
        <v>34</v>
      </c>
      <c r="P1202" s="13">
        <v>1</v>
      </c>
      <c r="Q1202" s="13">
        <v>65</v>
      </c>
      <c r="R1202" s="13">
        <v>0</v>
      </c>
      <c r="S1202" s="13">
        <v>0</v>
      </c>
      <c r="T1202" s="23">
        <v>46247.623206018521</v>
      </c>
      <c r="U1202" s="55">
        <f t="shared" si="54"/>
        <v>1</v>
      </c>
      <c r="V1202" s="55">
        <f t="shared" si="55"/>
        <v>0</v>
      </c>
      <c r="W1202" s="56">
        <f t="shared" si="56"/>
        <v>1251.6666666666667</v>
      </c>
    </row>
    <row r="1203" spans="1:23" x14ac:dyDescent="0.3">
      <c r="A1203" s="13" t="str" cm="1">
        <f t="array" ref="A1203:B1203">INDEX(BenchmarkResults!$B$1:$D$35,SUMPRODUCT((T1203&gt;=BenchmarkResults!$F$3:$F$35)*(mongodb_hardware_log!T1203&lt;BenchmarkResults!$G$3:$G$35)*ROW(BenchmarkResults!$F$3:$F$35)),{1,3})</f>
        <v>q2_avg_order_city</v>
      </c>
      <c r="B1203">
        <v>3</v>
      </c>
      <c r="C1203" s="13">
        <v>1</v>
      </c>
      <c r="D1203" s="13">
        <v>0</v>
      </c>
      <c r="E1203" s="13">
        <v>133376</v>
      </c>
      <c r="F1203" s="13">
        <v>573896</v>
      </c>
      <c r="G1203" s="13">
        <v>4856</v>
      </c>
      <c r="H1203" s="13">
        <v>1845000</v>
      </c>
      <c r="I1203" s="13">
        <v>0</v>
      </c>
      <c r="J1203" s="13">
        <v>0</v>
      </c>
      <c r="K1203" s="13">
        <v>1143</v>
      </c>
      <c r="L1203" s="13">
        <v>31</v>
      </c>
      <c r="M1203" s="13">
        <v>713</v>
      </c>
      <c r="N1203" s="13">
        <v>220</v>
      </c>
      <c r="O1203" s="13">
        <v>34</v>
      </c>
      <c r="P1203" s="13">
        <v>1</v>
      </c>
      <c r="Q1203" s="13">
        <v>65</v>
      </c>
      <c r="R1203" s="13">
        <v>1</v>
      </c>
      <c r="S1203" s="13">
        <v>0</v>
      </c>
      <c r="T1203" s="23">
        <v>46247.62332175926</v>
      </c>
      <c r="U1203" s="55">
        <f t="shared" si="54"/>
        <v>1</v>
      </c>
      <c r="V1203" s="55">
        <f t="shared" si="55"/>
        <v>0</v>
      </c>
      <c r="W1203" s="56">
        <f t="shared" si="56"/>
        <v>1199.5</v>
      </c>
    </row>
    <row r="1204" spans="1:23" x14ac:dyDescent="0.3">
      <c r="A1204" s="13" t="str" cm="1">
        <f t="array" ref="A1204:B1204">INDEX(BenchmarkResults!$B$1:$D$35,SUMPRODUCT((T1204&gt;=BenchmarkResults!$F$3:$F$35)*(mongodb_hardware_log!T1204&lt;BenchmarkResults!$G$3:$G$35)*ROW(BenchmarkResults!$F$3:$F$35)),{1,3})</f>
        <v>q2_avg_order_city</v>
      </c>
      <c r="B1204">
        <v>3</v>
      </c>
      <c r="C1204" s="13">
        <v>1</v>
      </c>
      <c r="D1204" s="13">
        <v>0</v>
      </c>
      <c r="E1204" s="13">
        <v>133376</v>
      </c>
      <c r="F1204" s="13">
        <v>565832</v>
      </c>
      <c r="G1204" s="13">
        <v>4864</v>
      </c>
      <c r="H1204" s="13">
        <v>1857688</v>
      </c>
      <c r="I1204" s="13">
        <v>0</v>
      </c>
      <c r="J1204" s="13">
        <v>0</v>
      </c>
      <c r="K1204" s="13">
        <v>1266</v>
      </c>
      <c r="L1204" s="13">
        <v>7</v>
      </c>
      <c r="M1204" s="13">
        <v>723</v>
      </c>
      <c r="N1204" s="13">
        <v>218</v>
      </c>
      <c r="O1204" s="13">
        <v>33</v>
      </c>
      <c r="P1204" s="13">
        <v>1</v>
      </c>
      <c r="Q1204" s="13">
        <v>65</v>
      </c>
      <c r="R1204" s="13">
        <v>0</v>
      </c>
      <c r="S1204" s="13">
        <v>0</v>
      </c>
      <c r="T1204" s="23">
        <v>46247.623437499999</v>
      </c>
      <c r="U1204" s="55">
        <f t="shared" si="54"/>
        <v>1</v>
      </c>
      <c r="V1204" s="55">
        <f t="shared" si="55"/>
        <v>0</v>
      </c>
      <c r="W1204" s="56">
        <f t="shared" si="56"/>
        <v>1228.8333333333333</v>
      </c>
    </row>
    <row r="1205" spans="1:23" x14ac:dyDescent="0.3">
      <c r="A1205" s="13" t="str" cm="1">
        <f t="array" ref="A1205:B1205">INDEX(BenchmarkResults!$B$1:$D$35,SUMPRODUCT((T1205&gt;=BenchmarkResults!$F$3:$F$35)*(mongodb_hardware_log!T1205&lt;BenchmarkResults!$G$3:$G$35)*ROW(BenchmarkResults!$F$3:$F$35)),{1,3})</f>
        <v>q2_avg_order_city</v>
      </c>
      <c r="B1205">
        <v>3</v>
      </c>
      <c r="C1205" s="13">
        <v>1</v>
      </c>
      <c r="D1205" s="13">
        <v>0</v>
      </c>
      <c r="E1205" s="13">
        <v>133376</v>
      </c>
      <c r="F1205" s="13">
        <v>554492</v>
      </c>
      <c r="G1205" s="13">
        <v>4872</v>
      </c>
      <c r="H1205" s="13">
        <v>1868464</v>
      </c>
      <c r="I1205" s="13">
        <v>0</v>
      </c>
      <c r="J1205" s="13">
        <v>0</v>
      </c>
      <c r="K1205" s="13">
        <v>1078</v>
      </c>
      <c r="L1205" s="13">
        <v>11</v>
      </c>
      <c r="M1205" s="13">
        <v>704</v>
      </c>
      <c r="N1205" s="13">
        <v>206</v>
      </c>
      <c r="O1205" s="13">
        <v>33</v>
      </c>
      <c r="P1205" s="13">
        <v>1</v>
      </c>
      <c r="Q1205" s="13">
        <v>65</v>
      </c>
      <c r="R1205" s="13">
        <v>0</v>
      </c>
      <c r="S1205" s="13">
        <v>0</v>
      </c>
      <c r="T1205" s="23">
        <v>46247.623553240737</v>
      </c>
      <c r="U1205" s="55">
        <f t="shared" si="54"/>
        <v>1</v>
      </c>
      <c r="V1205" s="55">
        <f t="shared" si="55"/>
        <v>0</v>
      </c>
      <c r="W1205" s="56">
        <f t="shared" si="56"/>
        <v>1201.8333333333333</v>
      </c>
    </row>
    <row r="1206" spans="1:23" x14ac:dyDescent="0.3">
      <c r="A1206" s="13" t="str" cm="1">
        <f t="array" ref="A1206:B1206">INDEX(BenchmarkResults!$B$1:$D$35,SUMPRODUCT((T1206&gt;=BenchmarkResults!$F$3:$F$35)*(mongodb_hardware_log!T1206&lt;BenchmarkResults!$G$3:$G$35)*ROW(BenchmarkResults!$F$3:$F$35)),{1,3})</f>
        <v>q2_avg_order_city</v>
      </c>
      <c r="B1206">
        <v>3</v>
      </c>
      <c r="C1206" s="13">
        <v>1</v>
      </c>
      <c r="D1206" s="13">
        <v>0</v>
      </c>
      <c r="E1206" s="13">
        <v>133376</v>
      </c>
      <c r="F1206" s="13">
        <v>546404</v>
      </c>
      <c r="G1206" s="13">
        <v>4888</v>
      </c>
      <c r="H1206" s="13">
        <v>1880352</v>
      </c>
      <c r="I1206" s="13">
        <v>0</v>
      </c>
      <c r="J1206" s="13">
        <v>0</v>
      </c>
      <c r="K1206" s="13">
        <v>1188</v>
      </c>
      <c r="L1206" s="13">
        <v>33</v>
      </c>
      <c r="M1206" s="13">
        <v>725</v>
      </c>
      <c r="N1206" s="13">
        <v>218</v>
      </c>
      <c r="O1206" s="13">
        <v>34</v>
      </c>
      <c r="P1206" s="13">
        <v>1</v>
      </c>
      <c r="Q1206" s="13">
        <v>65</v>
      </c>
      <c r="R1206" s="13">
        <v>0</v>
      </c>
      <c r="S1206" s="13">
        <v>0</v>
      </c>
      <c r="T1206" s="23">
        <v>46247.623668981483</v>
      </c>
      <c r="U1206" s="55">
        <f t="shared" si="54"/>
        <v>1</v>
      </c>
      <c r="V1206" s="55">
        <f t="shared" si="55"/>
        <v>0</v>
      </c>
      <c r="W1206" s="56">
        <f t="shared" si="56"/>
        <v>1221.3333333333333</v>
      </c>
    </row>
    <row r="1207" spans="1:23" x14ac:dyDescent="0.3">
      <c r="A1207" s="13" t="str" cm="1">
        <f t="array" ref="A1207:B1207">INDEX(BenchmarkResults!$B$1:$D$35,SUMPRODUCT((T1207&gt;=BenchmarkResults!$F$3:$F$35)*(mongodb_hardware_log!T1207&lt;BenchmarkResults!$G$3:$G$35)*ROW(BenchmarkResults!$F$3:$F$35)),{1,3})</f>
        <v>q2_avg_order_city</v>
      </c>
      <c r="B1207">
        <v>3</v>
      </c>
      <c r="C1207" s="13">
        <v>1</v>
      </c>
      <c r="D1207" s="13">
        <v>0</v>
      </c>
      <c r="E1207" s="13">
        <v>133376</v>
      </c>
      <c r="F1207" s="13">
        <v>527504</v>
      </c>
      <c r="G1207" s="13">
        <v>4912</v>
      </c>
      <c r="H1207" s="13">
        <v>1895168</v>
      </c>
      <c r="I1207" s="13">
        <v>0</v>
      </c>
      <c r="J1207" s="13">
        <v>0</v>
      </c>
      <c r="K1207" s="13">
        <v>1480</v>
      </c>
      <c r="L1207" s="13">
        <v>25</v>
      </c>
      <c r="M1207" s="13">
        <v>722</v>
      </c>
      <c r="N1207" s="13">
        <v>231</v>
      </c>
      <c r="O1207" s="13">
        <v>33</v>
      </c>
      <c r="P1207" s="13">
        <v>1</v>
      </c>
      <c r="Q1207" s="13">
        <v>65</v>
      </c>
      <c r="R1207" s="13">
        <v>0</v>
      </c>
      <c r="S1207" s="13">
        <v>0</v>
      </c>
      <c r="T1207" s="23">
        <v>46247.623784722222</v>
      </c>
      <c r="U1207" s="55">
        <f t="shared" si="54"/>
        <v>1</v>
      </c>
      <c r="V1207" s="55">
        <f t="shared" si="55"/>
        <v>0</v>
      </c>
      <c r="W1207" s="56">
        <f t="shared" si="56"/>
        <v>1272</v>
      </c>
    </row>
    <row r="1208" spans="1:23" x14ac:dyDescent="0.3">
      <c r="A1208" s="13" t="str" cm="1">
        <f t="array" ref="A1208:B1208">INDEX(BenchmarkResults!$B$1:$D$35,SUMPRODUCT((T1208&gt;=BenchmarkResults!$F$3:$F$35)*(mongodb_hardware_log!T1208&lt;BenchmarkResults!$G$3:$G$35)*ROW(BenchmarkResults!$F$3:$F$35)),{1,3})</f>
        <v>q2_avg_order_city</v>
      </c>
      <c r="B1208">
        <v>3</v>
      </c>
      <c r="C1208" s="13">
        <v>1</v>
      </c>
      <c r="D1208" s="13">
        <v>0</v>
      </c>
      <c r="E1208" s="13">
        <v>133376</v>
      </c>
      <c r="F1208" s="13">
        <v>515408</v>
      </c>
      <c r="G1208" s="13">
        <v>4920</v>
      </c>
      <c r="H1208" s="13">
        <v>1906948</v>
      </c>
      <c r="I1208" s="13">
        <v>0</v>
      </c>
      <c r="J1208" s="13">
        <v>0</v>
      </c>
      <c r="K1208" s="13">
        <v>1181</v>
      </c>
      <c r="L1208" s="13">
        <v>7</v>
      </c>
      <c r="M1208" s="13">
        <v>706</v>
      </c>
      <c r="N1208" s="13">
        <v>199</v>
      </c>
      <c r="O1208" s="13">
        <v>33</v>
      </c>
      <c r="P1208" s="13">
        <v>1</v>
      </c>
      <c r="Q1208" s="13">
        <v>65</v>
      </c>
      <c r="R1208" s="13">
        <v>0</v>
      </c>
      <c r="S1208" s="13">
        <v>1</v>
      </c>
      <c r="T1208" s="23">
        <v>46247.623900462961</v>
      </c>
      <c r="U1208" s="55">
        <f t="shared" si="54"/>
        <v>1</v>
      </c>
      <c r="V1208" s="55">
        <f t="shared" si="55"/>
        <v>0</v>
      </c>
      <c r="W1208" s="56">
        <f t="shared" si="56"/>
        <v>1222.6666666666667</v>
      </c>
    </row>
    <row r="1209" spans="1:23" x14ac:dyDescent="0.3">
      <c r="A1209" s="13" t="str" cm="1">
        <f t="array" ref="A1209:B1209">INDEX(BenchmarkResults!$B$1:$D$35,SUMPRODUCT((T1209&gt;=BenchmarkResults!$F$3:$F$35)*(mongodb_hardware_log!T1209&lt;BenchmarkResults!$G$3:$G$35)*ROW(BenchmarkResults!$F$3:$F$35)),{1,3})</f>
        <v>q2_avg_order_city</v>
      </c>
      <c r="B1209">
        <v>3</v>
      </c>
      <c r="C1209" s="13">
        <v>1</v>
      </c>
      <c r="D1209" s="13">
        <v>0</v>
      </c>
      <c r="E1209" s="13">
        <v>133376</v>
      </c>
      <c r="F1209" s="13">
        <v>506616</v>
      </c>
      <c r="G1209" s="13">
        <v>4936</v>
      </c>
      <c r="H1209" s="13">
        <v>1918952</v>
      </c>
      <c r="I1209" s="13">
        <v>0</v>
      </c>
      <c r="J1209" s="13">
        <v>0</v>
      </c>
      <c r="K1209" s="13">
        <v>1197</v>
      </c>
      <c r="L1209" s="13">
        <v>17</v>
      </c>
      <c r="M1209" s="13">
        <v>704</v>
      </c>
      <c r="N1209" s="13">
        <v>203</v>
      </c>
      <c r="O1209" s="13">
        <v>33</v>
      </c>
      <c r="P1209" s="13">
        <v>1</v>
      </c>
      <c r="Q1209" s="13">
        <v>65</v>
      </c>
      <c r="R1209" s="13">
        <v>0</v>
      </c>
      <c r="S1209" s="13">
        <v>0</v>
      </c>
      <c r="T1209" s="23">
        <v>46247.624016203707</v>
      </c>
      <c r="U1209" s="55">
        <f t="shared" si="54"/>
        <v>1</v>
      </c>
      <c r="V1209" s="55">
        <f t="shared" si="55"/>
        <v>0</v>
      </c>
      <c r="W1209" s="56">
        <f t="shared" si="56"/>
        <v>1231.6666666666667</v>
      </c>
    </row>
    <row r="1210" spans="1:23" x14ac:dyDescent="0.3">
      <c r="A1210" s="13" t="str" cm="1">
        <f t="array" ref="A1210:B1210">INDEX(BenchmarkResults!$B$1:$D$35,SUMPRODUCT((T1210&gt;=BenchmarkResults!$F$3:$F$35)*(mongodb_hardware_log!T1210&lt;BenchmarkResults!$G$3:$G$35)*ROW(BenchmarkResults!$F$3:$F$35)),{1,3})</f>
        <v>q2_avg_order_city</v>
      </c>
      <c r="B1210">
        <v>3</v>
      </c>
      <c r="C1210" s="13">
        <v>1</v>
      </c>
      <c r="D1210" s="13">
        <v>0</v>
      </c>
      <c r="E1210" s="13">
        <v>133376</v>
      </c>
      <c r="F1210" s="13">
        <v>495292</v>
      </c>
      <c r="G1210" s="13">
        <v>4952</v>
      </c>
      <c r="H1210" s="13">
        <v>1932844</v>
      </c>
      <c r="I1210" s="13">
        <v>0</v>
      </c>
      <c r="J1210" s="13">
        <v>0</v>
      </c>
      <c r="K1210" s="13">
        <v>1395</v>
      </c>
      <c r="L1210" s="13">
        <v>35</v>
      </c>
      <c r="M1210" s="13">
        <v>714</v>
      </c>
      <c r="N1210" s="13">
        <v>215</v>
      </c>
      <c r="O1210" s="13">
        <v>33</v>
      </c>
      <c r="P1210" s="13">
        <v>1</v>
      </c>
      <c r="Q1210" s="13">
        <v>65</v>
      </c>
      <c r="R1210" s="13">
        <v>0</v>
      </c>
      <c r="S1210" s="13">
        <v>0</v>
      </c>
      <c r="T1210" s="23">
        <v>46247.624131944445</v>
      </c>
      <c r="U1210" s="55">
        <f t="shared" si="54"/>
        <v>1</v>
      </c>
      <c r="V1210" s="55">
        <f t="shared" si="55"/>
        <v>0</v>
      </c>
      <c r="W1210" s="56">
        <f t="shared" si="56"/>
        <v>1253.1666666666667</v>
      </c>
    </row>
    <row r="1211" spans="1:23" x14ac:dyDescent="0.3">
      <c r="A1211" s="13" t="str" cm="1">
        <f t="array" ref="A1211:B1211">INDEX(BenchmarkResults!$B$1:$D$35,SUMPRODUCT((T1211&gt;=BenchmarkResults!$F$3:$F$35)*(mongodb_hardware_log!T1211&lt;BenchmarkResults!$G$3:$G$35)*ROW(BenchmarkResults!$F$3:$F$35)),{1,3})</f>
        <v>q2_avg_order_city</v>
      </c>
      <c r="B1211">
        <v>3</v>
      </c>
      <c r="C1211" s="13">
        <v>2</v>
      </c>
      <c r="D1211" s="13">
        <v>0</v>
      </c>
      <c r="E1211" s="13">
        <v>133376</v>
      </c>
      <c r="F1211" s="13">
        <v>478660</v>
      </c>
      <c r="G1211" s="13">
        <v>4960</v>
      </c>
      <c r="H1211" s="13">
        <v>1944584</v>
      </c>
      <c r="I1211" s="13">
        <v>0</v>
      </c>
      <c r="J1211" s="13">
        <v>0</v>
      </c>
      <c r="K1211" s="13">
        <v>1169</v>
      </c>
      <c r="L1211" s="13">
        <v>10</v>
      </c>
      <c r="M1211" s="13">
        <v>697</v>
      </c>
      <c r="N1211" s="13">
        <v>200</v>
      </c>
      <c r="O1211" s="13">
        <v>33</v>
      </c>
      <c r="P1211" s="13">
        <v>1</v>
      </c>
      <c r="Q1211" s="13">
        <v>65</v>
      </c>
      <c r="R1211" s="13">
        <v>0</v>
      </c>
      <c r="S1211" s="13">
        <v>0</v>
      </c>
      <c r="T1211" s="23">
        <v>46247.624247685184</v>
      </c>
      <c r="U1211" s="55">
        <f t="shared" si="54"/>
        <v>1.1666666666666667</v>
      </c>
      <c r="V1211" s="55">
        <f t="shared" si="55"/>
        <v>0</v>
      </c>
      <c r="W1211" s="56">
        <f t="shared" si="56"/>
        <v>1268.3333333333333</v>
      </c>
    </row>
    <row r="1212" spans="1:23" x14ac:dyDescent="0.3">
      <c r="A1212" s="13" t="str" cm="1">
        <f t="array" ref="A1212:B1212">INDEX(BenchmarkResults!$B$1:$D$35,SUMPRODUCT((T1212&gt;=BenchmarkResults!$F$3:$F$35)*(mongodb_hardware_log!T1212&lt;BenchmarkResults!$G$3:$G$35)*ROW(BenchmarkResults!$F$3:$F$35)),{1,3})</f>
        <v>q2_avg_order_city</v>
      </c>
      <c r="B1212">
        <v>3</v>
      </c>
      <c r="C1212" s="13">
        <v>1</v>
      </c>
      <c r="D1212" s="13">
        <v>0</v>
      </c>
      <c r="E1212" s="13">
        <v>133376</v>
      </c>
      <c r="F1212" s="13">
        <v>470344</v>
      </c>
      <c r="G1212" s="13">
        <v>4968</v>
      </c>
      <c r="H1212" s="13">
        <v>1955472</v>
      </c>
      <c r="I1212" s="13">
        <v>0</v>
      </c>
      <c r="J1212" s="13">
        <v>0</v>
      </c>
      <c r="K1212" s="13">
        <v>1090</v>
      </c>
      <c r="L1212" s="13">
        <v>6</v>
      </c>
      <c r="M1212" s="13">
        <v>712</v>
      </c>
      <c r="N1212" s="13">
        <v>208</v>
      </c>
      <c r="O1212" s="13">
        <v>33</v>
      </c>
      <c r="P1212" s="13">
        <v>1</v>
      </c>
      <c r="Q1212" s="13">
        <v>65</v>
      </c>
      <c r="R1212" s="13">
        <v>0</v>
      </c>
      <c r="S1212" s="13">
        <v>0</v>
      </c>
      <c r="T1212" s="23">
        <v>46247.624363425923</v>
      </c>
      <c r="U1212" s="55">
        <f t="shared" si="54"/>
        <v>1.1666666666666667</v>
      </c>
      <c r="V1212" s="55">
        <f t="shared" si="55"/>
        <v>0</v>
      </c>
      <c r="W1212" s="56">
        <f t="shared" si="56"/>
        <v>1252</v>
      </c>
    </row>
    <row r="1213" spans="1:23" x14ac:dyDescent="0.3">
      <c r="A1213" s="13" t="str" cm="1">
        <f t="array" ref="A1213:B1213">INDEX(BenchmarkResults!$B$1:$D$35,SUMPRODUCT((T1213&gt;=BenchmarkResults!$F$3:$F$35)*(mongodb_hardware_log!T1213&lt;BenchmarkResults!$G$3:$G$35)*ROW(BenchmarkResults!$F$3:$F$35)),{1,3})</f>
        <v>q2_avg_order_city</v>
      </c>
      <c r="B1213">
        <v>3</v>
      </c>
      <c r="C1213" s="13">
        <v>1</v>
      </c>
      <c r="D1213" s="13">
        <v>0</v>
      </c>
      <c r="E1213" s="13">
        <v>133376</v>
      </c>
      <c r="F1213" s="13">
        <v>454216</v>
      </c>
      <c r="G1213" s="13">
        <v>5032</v>
      </c>
      <c r="H1213" s="13">
        <v>1972372</v>
      </c>
      <c r="I1213" s="13">
        <v>0</v>
      </c>
      <c r="J1213" s="13">
        <v>0</v>
      </c>
      <c r="K1213" s="13">
        <v>1688</v>
      </c>
      <c r="L1213" s="13">
        <v>45</v>
      </c>
      <c r="M1213" s="13">
        <v>722</v>
      </c>
      <c r="N1213" s="13">
        <v>227</v>
      </c>
      <c r="O1213" s="13">
        <v>33</v>
      </c>
      <c r="P1213" s="13">
        <v>1</v>
      </c>
      <c r="Q1213" s="13">
        <v>65</v>
      </c>
      <c r="R1213" s="13">
        <v>0</v>
      </c>
      <c r="S1213" s="13">
        <v>0</v>
      </c>
      <c r="T1213" s="23">
        <v>46247.624479166669</v>
      </c>
      <c r="U1213" s="55">
        <f t="shared" si="54"/>
        <v>1.1666666666666667</v>
      </c>
      <c r="V1213" s="55">
        <f t="shared" si="55"/>
        <v>0</v>
      </c>
      <c r="W1213" s="56">
        <f t="shared" si="56"/>
        <v>1286.6666666666667</v>
      </c>
    </row>
    <row r="1214" spans="1:23" x14ac:dyDescent="0.3">
      <c r="A1214" s="13" t="str" cm="1">
        <f t="array" ref="A1214:B1214">INDEX(BenchmarkResults!$B$1:$D$35,SUMPRODUCT((T1214&gt;=BenchmarkResults!$F$3:$F$35)*(mongodb_hardware_log!T1214&lt;BenchmarkResults!$G$3:$G$35)*ROW(BenchmarkResults!$F$3:$F$35)),{1,3})</f>
        <v>q2_avg_order_city</v>
      </c>
      <c r="B1214">
        <v>3</v>
      </c>
      <c r="C1214" s="13">
        <v>1</v>
      </c>
      <c r="D1214" s="13">
        <v>0</v>
      </c>
      <c r="E1214" s="13">
        <v>133376</v>
      </c>
      <c r="F1214" s="13">
        <v>445900</v>
      </c>
      <c r="G1214" s="13">
        <v>5040</v>
      </c>
      <c r="H1214" s="13">
        <v>1982304</v>
      </c>
      <c r="I1214" s="13">
        <v>0</v>
      </c>
      <c r="J1214" s="13">
        <v>0</v>
      </c>
      <c r="K1214" s="13">
        <v>990</v>
      </c>
      <c r="L1214" s="13">
        <v>17</v>
      </c>
      <c r="M1214" s="13">
        <v>807</v>
      </c>
      <c r="N1214" s="13">
        <v>325</v>
      </c>
      <c r="O1214" s="13">
        <v>33</v>
      </c>
      <c r="P1214" s="13">
        <v>1</v>
      </c>
      <c r="Q1214" s="13">
        <v>65</v>
      </c>
      <c r="R1214" s="13">
        <v>0</v>
      </c>
      <c r="S1214" s="13">
        <v>0</v>
      </c>
      <c r="T1214" s="23">
        <v>46247.624594907407</v>
      </c>
      <c r="U1214" s="55">
        <f t="shared" si="54"/>
        <v>1.1666666666666667</v>
      </c>
      <c r="V1214" s="55">
        <f t="shared" si="55"/>
        <v>0</v>
      </c>
      <c r="W1214" s="56">
        <f t="shared" si="56"/>
        <v>1254.8333333333333</v>
      </c>
    </row>
    <row r="1215" spans="1:23" x14ac:dyDescent="0.3">
      <c r="A1215" s="13" t="str" cm="1">
        <f t="array" ref="A1215:B1215">INDEX(BenchmarkResults!$B$1:$D$35,SUMPRODUCT((T1215&gt;=BenchmarkResults!$F$3:$F$35)*(mongodb_hardware_log!T1215&lt;BenchmarkResults!$G$3:$G$35)*ROW(BenchmarkResults!$F$3:$F$35)),{1,3})</f>
        <v>q2_avg_order_city</v>
      </c>
      <c r="B1215">
        <v>3</v>
      </c>
      <c r="C1215" s="13">
        <v>1</v>
      </c>
      <c r="D1215" s="13">
        <v>0</v>
      </c>
      <c r="E1215" s="13">
        <v>133376</v>
      </c>
      <c r="F1215" s="13">
        <v>431032</v>
      </c>
      <c r="G1215" s="13">
        <v>5048</v>
      </c>
      <c r="H1215" s="13">
        <v>1993780</v>
      </c>
      <c r="I1215" s="13">
        <v>0</v>
      </c>
      <c r="J1215" s="13">
        <v>0</v>
      </c>
      <c r="K1215" s="13">
        <v>1147</v>
      </c>
      <c r="L1215" s="13">
        <v>9</v>
      </c>
      <c r="M1215" s="13">
        <v>706</v>
      </c>
      <c r="N1215" s="13">
        <v>205</v>
      </c>
      <c r="O1215" s="13">
        <v>34</v>
      </c>
      <c r="P1215" s="13">
        <v>1</v>
      </c>
      <c r="Q1215" s="13">
        <v>65</v>
      </c>
      <c r="R1215" s="13">
        <v>0</v>
      </c>
      <c r="S1215" s="13">
        <v>0</v>
      </c>
      <c r="T1215" s="23">
        <v>46247.624710648146</v>
      </c>
      <c r="U1215" s="55">
        <f t="shared" si="54"/>
        <v>1.1666666666666667</v>
      </c>
      <c r="V1215" s="55">
        <f t="shared" si="55"/>
        <v>0</v>
      </c>
      <c r="W1215" s="56">
        <f t="shared" si="56"/>
        <v>1246.5</v>
      </c>
    </row>
    <row r="1216" spans="1:23" x14ac:dyDescent="0.3">
      <c r="A1216" s="13" t="str" cm="1">
        <f t="array" ref="A1216:B1216">INDEX(BenchmarkResults!$B$1:$D$35,SUMPRODUCT((T1216&gt;=BenchmarkResults!$F$3:$F$35)*(mongodb_hardware_log!T1216&lt;BenchmarkResults!$G$3:$G$35)*ROW(BenchmarkResults!$F$3:$F$35)),{1,3})</f>
        <v>q2_avg_order_city</v>
      </c>
      <c r="B1216">
        <v>3</v>
      </c>
      <c r="C1216" s="13">
        <v>1</v>
      </c>
      <c r="D1216" s="13">
        <v>0</v>
      </c>
      <c r="E1216" s="13">
        <v>133376</v>
      </c>
      <c r="F1216" s="13">
        <v>422840</v>
      </c>
      <c r="G1216" s="13">
        <v>5056</v>
      </c>
      <c r="H1216" s="13">
        <v>2006148</v>
      </c>
      <c r="I1216" s="13">
        <v>0</v>
      </c>
      <c r="J1216" s="13">
        <v>0</v>
      </c>
      <c r="K1216" s="13">
        <v>1240</v>
      </c>
      <c r="L1216" s="13">
        <v>11</v>
      </c>
      <c r="M1216" s="13">
        <v>734</v>
      </c>
      <c r="N1216" s="13">
        <v>248</v>
      </c>
      <c r="O1216" s="13">
        <v>34</v>
      </c>
      <c r="P1216" s="13">
        <v>2</v>
      </c>
      <c r="Q1216" s="13">
        <v>65</v>
      </c>
      <c r="R1216" s="13">
        <v>0</v>
      </c>
      <c r="S1216" s="13">
        <v>0</v>
      </c>
      <c r="T1216" s="23">
        <v>46247.624826388892</v>
      </c>
      <c r="U1216" s="55">
        <f t="shared" si="54"/>
        <v>1.1666666666666667</v>
      </c>
      <c r="V1216" s="55">
        <f t="shared" si="55"/>
        <v>0</v>
      </c>
      <c r="W1216" s="56">
        <f t="shared" si="56"/>
        <v>1220.6666666666667</v>
      </c>
    </row>
    <row r="1217" spans="1:23" x14ac:dyDescent="0.3">
      <c r="A1217" s="13" t="str" cm="1">
        <f t="array" ref="A1217:B1217">INDEX(BenchmarkResults!$B$1:$D$35,SUMPRODUCT((T1217&gt;=BenchmarkResults!$F$3:$F$35)*(mongodb_hardware_log!T1217&lt;BenchmarkResults!$G$3:$G$35)*ROW(BenchmarkResults!$F$3:$F$35)),{1,3})</f>
        <v>q2_avg_order_city</v>
      </c>
      <c r="B1217">
        <v>3</v>
      </c>
      <c r="C1217" s="13">
        <v>1</v>
      </c>
      <c r="D1217" s="13">
        <v>0</v>
      </c>
      <c r="E1217" s="13">
        <v>133376</v>
      </c>
      <c r="F1217" s="13">
        <v>409232</v>
      </c>
      <c r="G1217" s="13">
        <v>5064</v>
      </c>
      <c r="H1217" s="13">
        <v>2017392</v>
      </c>
      <c r="I1217" s="13">
        <v>0</v>
      </c>
      <c r="J1217" s="13">
        <v>0</v>
      </c>
      <c r="K1217" s="13">
        <v>1122</v>
      </c>
      <c r="L1217" s="13">
        <v>14</v>
      </c>
      <c r="M1217" s="13">
        <v>704</v>
      </c>
      <c r="N1217" s="13">
        <v>206</v>
      </c>
      <c r="O1217" s="13">
        <v>34</v>
      </c>
      <c r="P1217" s="13">
        <v>1</v>
      </c>
      <c r="Q1217" s="13">
        <v>65</v>
      </c>
      <c r="R1217" s="13">
        <v>0</v>
      </c>
      <c r="S1217" s="13">
        <v>0</v>
      </c>
      <c r="T1217" s="23">
        <v>46247.624942129631</v>
      </c>
      <c r="U1217" s="55">
        <f t="shared" si="54"/>
        <v>1</v>
      </c>
      <c r="V1217" s="55">
        <f t="shared" si="55"/>
        <v>0</v>
      </c>
      <c r="W1217" s="56">
        <f t="shared" si="56"/>
        <v>1212.8333333333333</v>
      </c>
    </row>
    <row r="1218" spans="1:23" x14ac:dyDescent="0.3">
      <c r="A1218" s="13" t="str" cm="1">
        <f t="array" ref="A1218:B1218">INDEX(BenchmarkResults!$B$1:$D$35,SUMPRODUCT((T1218&gt;=BenchmarkResults!$F$3:$F$35)*(mongodb_hardware_log!T1218&lt;BenchmarkResults!$G$3:$G$35)*ROW(BenchmarkResults!$F$3:$F$35)),{1,3})</f>
        <v>q2_avg_order_city</v>
      </c>
      <c r="B1218">
        <v>3</v>
      </c>
      <c r="C1218" s="13">
        <v>1</v>
      </c>
      <c r="D1218" s="13">
        <v>0</v>
      </c>
      <c r="E1218" s="13">
        <v>133376</v>
      </c>
      <c r="F1218" s="13">
        <v>401168</v>
      </c>
      <c r="G1218" s="13">
        <v>5072</v>
      </c>
      <c r="H1218" s="13">
        <v>2027760</v>
      </c>
      <c r="I1218" s="13">
        <v>0</v>
      </c>
      <c r="J1218" s="13">
        <v>0</v>
      </c>
      <c r="K1218" s="13">
        <v>1036</v>
      </c>
      <c r="L1218" s="13">
        <v>10</v>
      </c>
      <c r="M1218" s="13">
        <v>725</v>
      </c>
      <c r="N1218" s="13">
        <v>212</v>
      </c>
      <c r="O1218" s="13">
        <v>33</v>
      </c>
      <c r="P1218" s="13">
        <v>1</v>
      </c>
      <c r="Q1218" s="13">
        <v>65</v>
      </c>
      <c r="R1218" s="13">
        <v>1</v>
      </c>
      <c r="S1218" s="13">
        <v>1</v>
      </c>
      <c r="T1218" s="23">
        <v>46247.625057870369</v>
      </c>
      <c r="U1218" s="55">
        <f t="shared" si="54"/>
        <v>1</v>
      </c>
      <c r="V1218" s="55">
        <f t="shared" si="55"/>
        <v>0</v>
      </c>
      <c r="W1218" s="56">
        <f t="shared" si="56"/>
        <v>1203.8333333333333</v>
      </c>
    </row>
    <row r="1219" spans="1:23" x14ac:dyDescent="0.3">
      <c r="A1219" s="13" t="str" cm="1">
        <f t="array" ref="A1219:B1219">INDEX(BenchmarkResults!$B$1:$D$35,SUMPRODUCT((T1219&gt;=BenchmarkResults!$F$3:$F$35)*(mongodb_hardware_log!T1219&lt;BenchmarkResults!$G$3:$G$35)*ROW(BenchmarkResults!$F$3:$F$35)),{1,3})</f>
        <v>q2_avg_order_city</v>
      </c>
      <c r="B1219">
        <v>3</v>
      </c>
      <c r="C1219" s="13">
        <v>1</v>
      </c>
      <c r="D1219" s="13">
        <v>0</v>
      </c>
      <c r="E1219" s="13">
        <v>133376</v>
      </c>
      <c r="F1219" s="13">
        <v>385544</v>
      </c>
      <c r="G1219" s="13">
        <v>5096</v>
      </c>
      <c r="H1219" s="13">
        <v>2040356</v>
      </c>
      <c r="I1219" s="13">
        <v>0</v>
      </c>
      <c r="J1219" s="13">
        <v>0</v>
      </c>
      <c r="K1219" s="13">
        <v>1259</v>
      </c>
      <c r="L1219" s="13">
        <v>52</v>
      </c>
      <c r="M1219" s="13">
        <v>711</v>
      </c>
      <c r="N1219" s="13">
        <v>207</v>
      </c>
      <c r="O1219" s="13">
        <v>33</v>
      </c>
      <c r="P1219" s="13">
        <v>1</v>
      </c>
      <c r="Q1219" s="13">
        <v>65</v>
      </c>
      <c r="R1219" s="13">
        <v>0</v>
      </c>
      <c r="S1219" s="13">
        <v>1</v>
      </c>
      <c r="T1219" s="23">
        <v>46247.625173611108</v>
      </c>
      <c r="U1219" s="55">
        <f t="shared" si="54"/>
        <v>1</v>
      </c>
      <c r="V1219" s="55">
        <f t="shared" si="55"/>
        <v>0</v>
      </c>
      <c r="W1219" s="56">
        <f t="shared" si="56"/>
        <v>1132.3333333333333</v>
      </c>
    </row>
    <row r="1220" spans="1:23" x14ac:dyDescent="0.3">
      <c r="A1220" s="13" t="str" cm="1">
        <f t="array" ref="A1220:B1220">INDEX(BenchmarkResults!$B$1:$D$35,SUMPRODUCT((T1220&gt;=BenchmarkResults!$F$3:$F$35)*(mongodb_hardware_log!T1220&lt;BenchmarkResults!$G$3:$G$35)*ROW(BenchmarkResults!$F$3:$F$35)),{1,3})</f>
        <v>q2_avg_order_city</v>
      </c>
      <c r="B1220">
        <v>3</v>
      </c>
      <c r="C1220" s="13">
        <v>1</v>
      </c>
      <c r="D1220" s="13">
        <v>0</v>
      </c>
      <c r="E1220" s="13">
        <v>133376</v>
      </c>
      <c r="F1220" s="13">
        <v>369920</v>
      </c>
      <c r="G1220" s="13">
        <v>5104</v>
      </c>
      <c r="H1220" s="13">
        <v>2055532</v>
      </c>
      <c r="I1220" s="13">
        <v>0</v>
      </c>
      <c r="J1220" s="13">
        <v>0</v>
      </c>
      <c r="K1220" s="13">
        <v>1519</v>
      </c>
      <c r="L1220" s="13">
        <v>14</v>
      </c>
      <c r="M1220" s="13">
        <v>698</v>
      </c>
      <c r="N1220" s="13">
        <v>196</v>
      </c>
      <c r="O1220" s="13">
        <v>33</v>
      </c>
      <c r="P1220" s="13">
        <v>1</v>
      </c>
      <c r="Q1220" s="13">
        <v>65</v>
      </c>
      <c r="R1220" s="13">
        <v>0</v>
      </c>
      <c r="S1220" s="13">
        <v>0</v>
      </c>
      <c r="T1220" s="23">
        <v>46247.625289351854</v>
      </c>
      <c r="U1220" s="55">
        <f t="shared" si="54"/>
        <v>1</v>
      </c>
      <c r="V1220" s="55">
        <f t="shared" si="55"/>
        <v>0</v>
      </c>
      <c r="W1220" s="56">
        <f t="shared" si="56"/>
        <v>1220.5</v>
      </c>
    </row>
    <row r="1221" spans="1:23" x14ac:dyDescent="0.3">
      <c r="A1221" s="13" t="str" cm="1">
        <f t="array" ref="A1221:B1221">INDEX(BenchmarkResults!$B$1:$D$35,SUMPRODUCT((T1221&gt;=BenchmarkResults!$F$3:$F$35)*(mongodb_hardware_log!T1221&lt;BenchmarkResults!$G$3:$G$35)*ROW(BenchmarkResults!$F$3:$F$35)),{1,3})</f>
        <v>q2_avg_order_city</v>
      </c>
      <c r="B1221">
        <v>3</v>
      </c>
      <c r="C1221" s="13">
        <v>1</v>
      </c>
      <c r="D1221" s="13">
        <v>0</v>
      </c>
      <c r="E1221" s="13">
        <v>133376</v>
      </c>
      <c r="F1221" s="13">
        <v>354800</v>
      </c>
      <c r="G1221" s="13">
        <v>5112</v>
      </c>
      <c r="H1221" s="13">
        <v>2066560</v>
      </c>
      <c r="I1221" s="13">
        <v>0</v>
      </c>
      <c r="J1221" s="13">
        <v>0</v>
      </c>
      <c r="K1221" s="13">
        <v>1098</v>
      </c>
      <c r="L1221" s="13">
        <v>13</v>
      </c>
      <c r="M1221" s="13">
        <v>705</v>
      </c>
      <c r="N1221" s="13">
        <v>208</v>
      </c>
      <c r="O1221" s="13">
        <v>33</v>
      </c>
      <c r="P1221" s="13">
        <v>1</v>
      </c>
      <c r="Q1221" s="13">
        <v>65</v>
      </c>
      <c r="R1221" s="13">
        <v>0</v>
      </c>
      <c r="S1221" s="13">
        <v>0</v>
      </c>
      <c r="T1221" s="23">
        <v>46247.625405092593</v>
      </c>
      <c r="U1221" s="55">
        <f t="shared" si="54"/>
        <v>1</v>
      </c>
      <c r="V1221" s="55">
        <f t="shared" si="55"/>
        <v>0</v>
      </c>
      <c r="W1221" s="56">
        <f t="shared" si="56"/>
        <v>1212.3333333333333</v>
      </c>
    </row>
    <row r="1222" spans="1:23" x14ac:dyDescent="0.3">
      <c r="A1222" s="13" t="str" cm="1">
        <f t="array" ref="A1222:B1222">INDEX(BenchmarkResults!$B$1:$D$35,SUMPRODUCT((T1222&gt;=BenchmarkResults!$F$3:$F$35)*(mongodb_hardware_log!T1222&lt;BenchmarkResults!$G$3:$G$35)*ROW(BenchmarkResults!$F$3:$F$35)),{1,3})</f>
        <v>q2_avg_order_city</v>
      </c>
      <c r="B1222">
        <v>3</v>
      </c>
      <c r="C1222" s="13">
        <v>1</v>
      </c>
      <c r="D1222" s="13">
        <v>0</v>
      </c>
      <c r="E1222" s="13">
        <v>133376</v>
      </c>
      <c r="F1222" s="13">
        <v>347240</v>
      </c>
      <c r="G1222" s="13">
        <v>5120</v>
      </c>
      <c r="H1222" s="13">
        <v>2079420</v>
      </c>
      <c r="I1222" s="13">
        <v>0</v>
      </c>
      <c r="J1222" s="13">
        <v>0</v>
      </c>
      <c r="K1222" s="13">
        <v>1289</v>
      </c>
      <c r="L1222" s="13">
        <v>9</v>
      </c>
      <c r="M1222" s="13">
        <v>710</v>
      </c>
      <c r="N1222" s="13">
        <v>208</v>
      </c>
      <c r="O1222" s="13">
        <v>33</v>
      </c>
      <c r="P1222" s="13">
        <v>1</v>
      </c>
      <c r="Q1222" s="13">
        <v>65</v>
      </c>
      <c r="R1222" s="13">
        <v>0</v>
      </c>
      <c r="S1222" s="13">
        <v>0</v>
      </c>
      <c r="T1222" s="23">
        <v>46247.625520833331</v>
      </c>
      <c r="U1222" s="55">
        <f t="shared" si="54"/>
        <v>1</v>
      </c>
      <c r="V1222" s="55">
        <f t="shared" si="55"/>
        <v>0</v>
      </c>
      <c r="W1222" s="56">
        <f t="shared" si="56"/>
        <v>1220.5</v>
      </c>
    </row>
    <row r="1223" spans="1:23" x14ac:dyDescent="0.3">
      <c r="A1223" s="13" t="str" cm="1">
        <f t="array" ref="A1223:B1223">INDEX(BenchmarkResults!$B$1:$D$35,SUMPRODUCT((T1223&gt;=BenchmarkResults!$F$3:$F$35)*(mongodb_hardware_log!T1223&lt;BenchmarkResults!$G$3:$G$35)*ROW(BenchmarkResults!$F$3:$F$35)),{1,3})</f>
        <v>q2_avg_order_city</v>
      </c>
      <c r="B1223">
        <v>3</v>
      </c>
      <c r="C1223" s="13">
        <v>1</v>
      </c>
      <c r="D1223" s="13">
        <v>0</v>
      </c>
      <c r="E1223" s="13">
        <v>133376</v>
      </c>
      <c r="F1223" s="13">
        <v>332740</v>
      </c>
      <c r="G1223" s="13">
        <v>5128</v>
      </c>
      <c r="H1223" s="13">
        <v>2089272</v>
      </c>
      <c r="I1223" s="13">
        <v>1</v>
      </c>
      <c r="J1223" s="13">
        <v>0</v>
      </c>
      <c r="K1223" s="13">
        <v>988</v>
      </c>
      <c r="L1223" s="13">
        <v>8</v>
      </c>
      <c r="M1223" s="13">
        <v>716</v>
      </c>
      <c r="N1223" s="13">
        <v>222</v>
      </c>
      <c r="O1223" s="13">
        <v>34</v>
      </c>
      <c r="P1223" s="13">
        <v>1</v>
      </c>
      <c r="Q1223" s="13">
        <v>65</v>
      </c>
      <c r="R1223" s="13">
        <v>0</v>
      </c>
      <c r="S1223" s="13">
        <v>0</v>
      </c>
      <c r="T1223" s="23">
        <v>46247.625636574077</v>
      </c>
      <c r="U1223" s="55">
        <f t="shared" si="54"/>
        <v>1</v>
      </c>
      <c r="V1223" s="55">
        <f t="shared" si="55"/>
        <v>0</v>
      </c>
      <c r="W1223" s="56">
        <f t="shared" si="56"/>
        <v>1198.1666666666667</v>
      </c>
    </row>
    <row r="1224" spans="1:23" x14ac:dyDescent="0.3">
      <c r="A1224" s="13" t="str" cm="1">
        <f t="array" ref="A1224:B1224">INDEX(BenchmarkResults!$B$1:$D$35,SUMPRODUCT((T1224&gt;=BenchmarkResults!$F$3:$F$35)*(mongodb_hardware_log!T1224&lt;BenchmarkResults!$G$3:$G$35)*ROW(BenchmarkResults!$F$3:$F$35)),{1,3})</f>
        <v>q2_avg_order_city</v>
      </c>
      <c r="B1224">
        <v>3</v>
      </c>
      <c r="C1224" s="13">
        <v>1</v>
      </c>
      <c r="D1224" s="13">
        <v>0</v>
      </c>
      <c r="E1224" s="13">
        <v>133376</v>
      </c>
      <c r="F1224" s="13">
        <v>327980</v>
      </c>
      <c r="G1224" s="13">
        <v>5136</v>
      </c>
      <c r="H1224" s="13">
        <v>2100428</v>
      </c>
      <c r="I1224" s="13">
        <v>0</v>
      </c>
      <c r="J1224" s="13">
        <v>0</v>
      </c>
      <c r="K1224" s="13">
        <v>1114</v>
      </c>
      <c r="L1224" s="13">
        <v>11</v>
      </c>
      <c r="M1224" s="13">
        <v>710</v>
      </c>
      <c r="N1224" s="13">
        <v>208</v>
      </c>
      <c r="O1224" s="13">
        <v>33</v>
      </c>
      <c r="P1224" s="13">
        <v>1</v>
      </c>
      <c r="Q1224" s="13">
        <v>65</v>
      </c>
      <c r="R1224" s="13">
        <v>0</v>
      </c>
      <c r="S1224" s="13">
        <v>0</v>
      </c>
      <c r="T1224" s="23">
        <v>46247.625752314816</v>
      </c>
      <c r="U1224" s="55">
        <f t="shared" si="54"/>
        <v>1</v>
      </c>
      <c r="V1224" s="55">
        <f t="shared" si="55"/>
        <v>0</v>
      </c>
      <c r="W1224" s="56">
        <f t="shared" si="56"/>
        <v>1211.1666666666667</v>
      </c>
    </row>
    <row r="1225" spans="1:23" x14ac:dyDescent="0.3">
      <c r="A1225" s="13" t="str" cm="1">
        <f t="array" ref="A1225:B1225">INDEX(BenchmarkResults!$B$1:$D$35,SUMPRODUCT((T1225&gt;=BenchmarkResults!$F$3:$F$35)*(mongodb_hardware_log!T1225&lt;BenchmarkResults!$G$3:$G$35)*ROW(BenchmarkResults!$F$3:$F$35)),{1,3})</f>
        <v>q2_avg_order_city</v>
      </c>
      <c r="B1225">
        <v>3</v>
      </c>
      <c r="C1225" s="13">
        <v>1</v>
      </c>
      <c r="D1225" s="13">
        <v>0</v>
      </c>
      <c r="E1225" s="13">
        <v>133376</v>
      </c>
      <c r="F1225" s="13">
        <v>315128</v>
      </c>
      <c r="G1225" s="13">
        <v>5168</v>
      </c>
      <c r="H1225" s="13">
        <v>2112376</v>
      </c>
      <c r="I1225" s="13">
        <v>0</v>
      </c>
      <c r="J1225" s="13">
        <v>0</v>
      </c>
      <c r="K1225" s="13">
        <v>1196</v>
      </c>
      <c r="L1225" s="13">
        <v>36</v>
      </c>
      <c r="M1225" s="13">
        <v>701</v>
      </c>
      <c r="N1225" s="13">
        <v>210</v>
      </c>
      <c r="O1225" s="13">
        <v>33</v>
      </c>
      <c r="P1225" s="13">
        <v>1</v>
      </c>
      <c r="Q1225" s="13">
        <v>65</v>
      </c>
      <c r="R1225" s="13">
        <v>0</v>
      </c>
      <c r="S1225" s="13">
        <v>0</v>
      </c>
      <c r="T1225" s="23">
        <v>46247.625868055555</v>
      </c>
      <c r="U1225" s="55">
        <f t="shared" ref="U1225:U1288" si="57">AVERAGE(C1220:C1225)</f>
        <v>1</v>
      </c>
      <c r="V1225" s="55">
        <f t="shared" ref="V1225:V1288" si="58">AVERAGE(D1220:D1225)</f>
        <v>0</v>
      </c>
      <c r="W1225" s="56">
        <f t="shared" ref="W1225:W1288" si="59">AVERAGE(K1220:K1225)</f>
        <v>1200.6666666666667</v>
      </c>
    </row>
    <row r="1226" spans="1:23" x14ac:dyDescent="0.3">
      <c r="A1226" s="13" t="str" cm="1">
        <f t="array" ref="A1226:B1226">INDEX(BenchmarkResults!$B$1:$D$35,SUMPRODUCT((T1226&gt;=BenchmarkResults!$F$3:$F$35)*(mongodb_hardware_log!T1226&lt;BenchmarkResults!$G$3:$G$35)*ROW(BenchmarkResults!$F$3:$F$35)),{1,3})</f>
        <v>q2_avg_order_city</v>
      </c>
      <c r="B1226">
        <v>3</v>
      </c>
      <c r="C1226" s="13">
        <v>1</v>
      </c>
      <c r="D1226" s="13">
        <v>0</v>
      </c>
      <c r="E1226" s="13">
        <v>133376</v>
      </c>
      <c r="F1226" s="13">
        <v>301520</v>
      </c>
      <c r="G1226" s="13">
        <v>5176</v>
      </c>
      <c r="H1226" s="13">
        <v>2127428</v>
      </c>
      <c r="I1226" s="13">
        <v>0</v>
      </c>
      <c r="J1226" s="13">
        <v>0</v>
      </c>
      <c r="K1226" s="13">
        <v>1505</v>
      </c>
      <c r="L1226" s="13">
        <v>20</v>
      </c>
      <c r="M1226" s="13">
        <v>696</v>
      </c>
      <c r="N1226" s="13">
        <v>199</v>
      </c>
      <c r="O1226" s="13">
        <v>34</v>
      </c>
      <c r="P1226" s="13">
        <v>1</v>
      </c>
      <c r="Q1226" s="13">
        <v>65</v>
      </c>
      <c r="R1226" s="13">
        <v>0</v>
      </c>
      <c r="S1226" s="13">
        <v>0</v>
      </c>
      <c r="T1226" s="23">
        <v>46247.625983796293</v>
      </c>
      <c r="U1226" s="55">
        <f t="shared" si="57"/>
        <v>1</v>
      </c>
      <c r="V1226" s="55">
        <f t="shared" si="58"/>
        <v>0</v>
      </c>
      <c r="W1226" s="56">
        <f t="shared" si="59"/>
        <v>1198.3333333333333</v>
      </c>
    </row>
    <row r="1227" spans="1:23" x14ac:dyDescent="0.3">
      <c r="A1227" s="13" t="str" cm="1">
        <f t="array" ref="A1227:B1227">INDEX(BenchmarkResults!$B$1:$D$35,SUMPRODUCT((T1227&gt;=BenchmarkResults!$F$3:$F$35)*(mongodb_hardware_log!T1227&lt;BenchmarkResults!$G$3:$G$35)*ROW(BenchmarkResults!$F$3:$F$35)),{1,3})</f>
        <v>q2_avg_order_city</v>
      </c>
      <c r="B1227">
        <v>3</v>
      </c>
      <c r="C1227" s="13">
        <v>1</v>
      </c>
      <c r="D1227" s="13">
        <v>0</v>
      </c>
      <c r="E1227" s="13">
        <v>133376</v>
      </c>
      <c r="F1227" s="13">
        <v>283372</v>
      </c>
      <c r="G1227" s="13">
        <v>5184</v>
      </c>
      <c r="H1227" s="13">
        <v>2140360</v>
      </c>
      <c r="I1227" s="13">
        <v>0</v>
      </c>
      <c r="J1227" s="13">
        <v>0</v>
      </c>
      <c r="K1227" s="13">
        <v>1280</v>
      </c>
      <c r="L1227" s="13">
        <v>11</v>
      </c>
      <c r="M1227" s="13">
        <v>717</v>
      </c>
      <c r="N1227" s="13">
        <v>218</v>
      </c>
      <c r="O1227" s="13">
        <v>33</v>
      </c>
      <c r="P1227" s="13">
        <v>1</v>
      </c>
      <c r="Q1227" s="13">
        <v>65</v>
      </c>
      <c r="R1227" s="13">
        <v>0</v>
      </c>
      <c r="S1227" s="13">
        <v>0</v>
      </c>
      <c r="T1227" s="23">
        <v>46247.626099537039</v>
      </c>
      <c r="U1227" s="55">
        <f t="shared" si="57"/>
        <v>1</v>
      </c>
      <c r="V1227" s="55">
        <f t="shared" si="58"/>
        <v>0</v>
      </c>
      <c r="W1227" s="56">
        <f t="shared" si="59"/>
        <v>1228.6666666666667</v>
      </c>
    </row>
    <row r="1228" spans="1:23" x14ac:dyDescent="0.3">
      <c r="A1228" s="13" t="str" cm="1">
        <f t="array" ref="A1228:B1228">INDEX(BenchmarkResults!$B$1:$D$35,SUMPRODUCT((T1228&gt;=BenchmarkResults!$F$3:$F$35)*(mongodb_hardware_log!T1228&lt;BenchmarkResults!$G$3:$G$35)*ROW(BenchmarkResults!$F$3:$F$35)),{1,3})</f>
        <v>q2_avg_order_city</v>
      </c>
      <c r="B1228">
        <v>3</v>
      </c>
      <c r="C1228" s="13">
        <v>1</v>
      </c>
      <c r="D1228" s="13">
        <v>0</v>
      </c>
      <c r="E1228" s="13">
        <v>133376</v>
      </c>
      <c r="F1228" s="13">
        <v>276316</v>
      </c>
      <c r="G1228" s="13">
        <v>5192</v>
      </c>
      <c r="H1228" s="13">
        <v>2151892</v>
      </c>
      <c r="I1228" s="13">
        <v>0</v>
      </c>
      <c r="J1228" s="13">
        <v>0</v>
      </c>
      <c r="K1228" s="13">
        <v>1156</v>
      </c>
      <c r="L1228" s="13">
        <v>12</v>
      </c>
      <c r="M1228" s="13">
        <v>701</v>
      </c>
      <c r="N1228" s="13">
        <v>204</v>
      </c>
      <c r="O1228" s="13">
        <v>33</v>
      </c>
      <c r="P1228" s="13">
        <v>1</v>
      </c>
      <c r="Q1228" s="13">
        <v>65</v>
      </c>
      <c r="R1228" s="13">
        <v>0</v>
      </c>
      <c r="S1228" s="13">
        <v>0</v>
      </c>
      <c r="T1228" s="23">
        <v>46247.626215277778</v>
      </c>
      <c r="U1228" s="55">
        <f t="shared" si="57"/>
        <v>1</v>
      </c>
      <c r="V1228" s="55">
        <f t="shared" si="58"/>
        <v>0</v>
      </c>
      <c r="W1228" s="56">
        <f t="shared" si="59"/>
        <v>1206.5</v>
      </c>
    </row>
    <row r="1229" spans="1:23" x14ac:dyDescent="0.3">
      <c r="A1229" s="13" t="str" cm="1">
        <f t="array" ref="A1229:B1229">INDEX(BenchmarkResults!$B$1:$D$35,SUMPRODUCT((T1229&gt;=BenchmarkResults!$F$3:$F$35)*(mongodb_hardware_log!T1229&lt;BenchmarkResults!$G$3:$G$35)*ROW(BenchmarkResults!$F$3:$F$35)),{1,3})</f>
        <v>q2_avg_order_city</v>
      </c>
      <c r="B1229">
        <v>3</v>
      </c>
      <c r="C1229" s="13">
        <v>1</v>
      </c>
      <c r="D1229" s="13">
        <v>0</v>
      </c>
      <c r="E1229" s="13">
        <v>133376</v>
      </c>
      <c r="F1229" s="13">
        <v>262960</v>
      </c>
      <c r="G1229" s="13">
        <v>5200</v>
      </c>
      <c r="H1229" s="13">
        <v>2163760</v>
      </c>
      <c r="I1229" s="13">
        <v>0</v>
      </c>
      <c r="J1229" s="13">
        <v>0</v>
      </c>
      <c r="K1229" s="13">
        <v>1181</v>
      </c>
      <c r="L1229" s="13">
        <v>10</v>
      </c>
      <c r="M1229" s="13">
        <v>698</v>
      </c>
      <c r="N1229" s="13">
        <v>202</v>
      </c>
      <c r="O1229" s="13">
        <v>34</v>
      </c>
      <c r="P1229" s="13">
        <v>1</v>
      </c>
      <c r="Q1229" s="13">
        <v>64</v>
      </c>
      <c r="R1229" s="13">
        <v>1</v>
      </c>
      <c r="S1229" s="13">
        <v>0</v>
      </c>
      <c r="T1229" s="23">
        <v>46247.626331018517</v>
      </c>
      <c r="U1229" s="55">
        <f t="shared" si="57"/>
        <v>1</v>
      </c>
      <c r="V1229" s="55">
        <f t="shared" si="58"/>
        <v>0</v>
      </c>
      <c r="W1229" s="56">
        <f t="shared" si="59"/>
        <v>1238.6666666666667</v>
      </c>
    </row>
    <row r="1230" spans="1:23" x14ac:dyDescent="0.3">
      <c r="A1230" s="13" t="str" cm="1">
        <f t="array" ref="A1230:B1230">INDEX(BenchmarkResults!$B$1:$D$35,SUMPRODUCT((T1230&gt;=BenchmarkResults!$F$3:$F$35)*(mongodb_hardware_log!T1230&lt;BenchmarkResults!$G$3:$G$35)*ROW(BenchmarkResults!$F$3:$F$35)),{1,3})</f>
        <v>q2_avg_order_city</v>
      </c>
      <c r="B1230">
        <v>3</v>
      </c>
      <c r="C1230" s="13">
        <v>2</v>
      </c>
      <c r="D1230" s="13">
        <v>0</v>
      </c>
      <c r="E1230" s="13">
        <v>133376</v>
      </c>
      <c r="F1230" s="13">
        <v>252880</v>
      </c>
      <c r="G1230" s="13">
        <v>5216</v>
      </c>
      <c r="H1230" s="13">
        <v>2175404</v>
      </c>
      <c r="I1230" s="13">
        <v>0</v>
      </c>
      <c r="J1230" s="13">
        <v>0</v>
      </c>
      <c r="K1230" s="13">
        <v>1164</v>
      </c>
      <c r="L1230" s="13">
        <v>30</v>
      </c>
      <c r="M1230" s="13">
        <v>708</v>
      </c>
      <c r="N1230" s="13">
        <v>201</v>
      </c>
      <c r="O1230" s="13">
        <v>33</v>
      </c>
      <c r="P1230" s="13">
        <v>1</v>
      </c>
      <c r="Q1230" s="13">
        <v>65</v>
      </c>
      <c r="R1230" s="13">
        <v>0</v>
      </c>
      <c r="S1230" s="13">
        <v>0</v>
      </c>
      <c r="T1230" s="23">
        <v>46247.626446759263</v>
      </c>
      <c r="U1230" s="55">
        <f t="shared" si="57"/>
        <v>1.1666666666666667</v>
      </c>
      <c r="V1230" s="55">
        <f t="shared" si="58"/>
        <v>0</v>
      </c>
      <c r="W1230" s="56">
        <f t="shared" si="59"/>
        <v>1247</v>
      </c>
    </row>
    <row r="1231" spans="1:23" x14ac:dyDescent="0.3">
      <c r="A1231" s="13" t="str" cm="1">
        <f t="array" ref="A1231:B1231">INDEX(BenchmarkResults!$B$1:$D$35,SUMPRODUCT((T1231&gt;=BenchmarkResults!$F$3:$F$35)*(mongodb_hardware_log!T1231&lt;BenchmarkResults!$G$3:$G$35)*ROW(BenchmarkResults!$F$3:$F$35)),{1,3})</f>
        <v>q2_avg_order_city</v>
      </c>
      <c r="B1231">
        <v>3</v>
      </c>
      <c r="C1231" s="13">
        <v>1</v>
      </c>
      <c r="D1231" s="13">
        <v>0</v>
      </c>
      <c r="E1231" s="13">
        <v>133376</v>
      </c>
      <c r="F1231" s="13">
        <v>238768</v>
      </c>
      <c r="G1231" s="13">
        <v>5240</v>
      </c>
      <c r="H1231" s="13">
        <v>2186640</v>
      </c>
      <c r="I1231" s="13">
        <v>0</v>
      </c>
      <c r="J1231" s="13">
        <v>0</v>
      </c>
      <c r="K1231" s="13">
        <v>1126</v>
      </c>
      <c r="L1231" s="13">
        <v>23</v>
      </c>
      <c r="M1231" s="13">
        <v>706</v>
      </c>
      <c r="N1231" s="13">
        <v>213</v>
      </c>
      <c r="O1231" s="13">
        <v>33</v>
      </c>
      <c r="P1231" s="13">
        <v>1</v>
      </c>
      <c r="Q1231" s="13">
        <v>65</v>
      </c>
      <c r="R1231" s="13">
        <v>0</v>
      </c>
      <c r="S1231" s="13">
        <v>0</v>
      </c>
      <c r="T1231" s="23">
        <v>46247.626562500001</v>
      </c>
      <c r="U1231" s="55">
        <f t="shared" si="57"/>
        <v>1.1666666666666667</v>
      </c>
      <c r="V1231" s="55">
        <f t="shared" si="58"/>
        <v>0</v>
      </c>
      <c r="W1231" s="56">
        <f t="shared" si="59"/>
        <v>1235.3333333333333</v>
      </c>
    </row>
    <row r="1232" spans="1:23" x14ac:dyDescent="0.3">
      <c r="A1232" s="13" t="str" cm="1">
        <f t="array" ref="A1232:B1232">INDEX(BenchmarkResults!$B$1:$D$35,SUMPRODUCT((T1232&gt;=BenchmarkResults!$F$3:$F$35)*(mongodb_hardware_log!T1232&lt;BenchmarkResults!$G$3:$G$35)*ROW(BenchmarkResults!$F$3:$F$35)),{1,3})</f>
        <v>q2_avg_order_city</v>
      </c>
      <c r="B1232">
        <v>3</v>
      </c>
      <c r="C1232" s="13">
        <v>1</v>
      </c>
      <c r="D1232" s="13">
        <v>0</v>
      </c>
      <c r="E1232" s="13">
        <v>133376</v>
      </c>
      <c r="F1232" s="13">
        <v>227908</v>
      </c>
      <c r="G1232" s="13">
        <v>5248</v>
      </c>
      <c r="H1232" s="13">
        <v>2201140</v>
      </c>
      <c r="I1232" s="13">
        <v>0</v>
      </c>
      <c r="J1232" s="13">
        <v>0</v>
      </c>
      <c r="K1232" s="13">
        <v>1447</v>
      </c>
      <c r="L1232" s="13">
        <v>18</v>
      </c>
      <c r="M1232" s="13">
        <v>745</v>
      </c>
      <c r="N1232" s="13">
        <v>242</v>
      </c>
      <c r="O1232" s="13">
        <v>33</v>
      </c>
      <c r="P1232" s="13">
        <v>1</v>
      </c>
      <c r="Q1232" s="13">
        <v>65</v>
      </c>
      <c r="R1232" s="13">
        <v>1</v>
      </c>
      <c r="S1232" s="13">
        <v>0</v>
      </c>
      <c r="T1232" s="23">
        <v>46247.62667824074</v>
      </c>
      <c r="U1232" s="55">
        <f t="shared" si="57"/>
        <v>1.1666666666666667</v>
      </c>
      <c r="V1232" s="55">
        <f t="shared" si="58"/>
        <v>0</v>
      </c>
      <c r="W1232" s="56">
        <f t="shared" si="59"/>
        <v>1225.6666666666667</v>
      </c>
    </row>
    <row r="1233" spans="1:23" x14ac:dyDescent="0.3">
      <c r="A1233" s="13" t="str" cm="1">
        <f t="array" ref="A1233:B1233">INDEX(BenchmarkResults!$B$1:$D$35,SUMPRODUCT((T1233&gt;=BenchmarkResults!$F$3:$F$35)*(mongodb_hardware_log!T1233&lt;BenchmarkResults!$G$3:$G$35)*ROW(BenchmarkResults!$F$3:$F$35)),{1,3})</f>
        <v>q2_avg_order_city</v>
      </c>
      <c r="B1233">
        <v>3</v>
      </c>
      <c r="C1233" s="13">
        <v>1</v>
      </c>
      <c r="D1233" s="13">
        <v>0</v>
      </c>
      <c r="E1233" s="13">
        <v>133376</v>
      </c>
      <c r="F1233" s="13">
        <v>208000</v>
      </c>
      <c r="G1233" s="13">
        <v>5264</v>
      </c>
      <c r="H1233" s="13">
        <v>2212532</v>
      </c>
      <c r="I1233" s="13">
        <v>0</v>
      </c>
      <c r="J1233" s="13">
        <v>0</v>
      </c>
      <c r="K1233" s="13">
        <v>1142</v>
      </c>
      <c r="L1233" s="13">
        <v>28</v>
      </c>
      <c r="M1233" s="13">
        <v>710</v>
      </c>
      <c r="N1233" s="13">
        <v>209</v>
      </c>
      <c r="O1233" s="13">
        <v>33</v>
      </c>
      <c r="P1233" s="13">
        <v>1</v>
      </c>
      <c r="Q1233" s="13">
        <v>65</v>
      </c>
      <c r="R1233" s="13">
        <v>0</v>
      </c>
      <c r="S1233" s="13">
        <v>0</v>
      </c>
      <c r="T1233" s="23">
        <v>46247.626793981479</v>
      </c>
      <c r="U1233" s="55">
        <f t="shared" si="57"/>
        <v>1.1666666666666667</v>
      </c>
      <c r="V1233" s="55">
        <f t="shared" si="58"/>
        <v>0</v>
      </c>
      <c r="W1233" s="56">
        <f t="shared" si="59"/>
        <v>1202.6666666666667</v>
      </c>
    </row>
    <row r="1234" spans="1:23" x14ac:dyDescent="0.3">
      <c r="A1234" s="13" t="str" cm="1">
        <f t="array" ref="A1234:B1234">INDEX(BenchmarkResults!$B$1:$D$35,SUMPRODUCT((T1234&gt;=BenchmarkResults!$F$3:$F$35)*(mongodb_hardware_log!T1234&lt;BenchmarkResults!$G$3:$G$35)*ROW(BenchmarkResults!$F$3:$F$35)),{1,3})</f>
        <v>q2_avg_order_city</v>
      </c>
      <c r="B1234">
        <v>3</v>
      </c>
      <c r="C1234" s="13">
        <v>1</v>
      </c>
      <c r="D1234" s="13">
        <v>0</v>
      </c>
      <c r="E1234" s="13">
        <v>133376</v>
      </c>
      <c r="F1234" s="13">
        <v>192880</v>
      </c>
      <c r="G1234" s="13">
        <v>5272</v>
      </c>
      <c r="H1234" s="13">
        <v>2225264</v>
      </c>
      <c r="I1234" s="13">
        <v>0</v>
      </c>
      <c r="J1234" s="13">
        <v>0</v>
      </c>
      <c r="K1234" s="13">
        <v>1273</v>
      </c>
      <c r="L1234" s="13">
        <v>11</v>
      </c>
      <c r="M1234" s="13">
        <v>702</v>
      </c>
      <c r="N1234" s="13">
        <v>204</v>
      </c>
      <c r="O1234" s="13">
        <v>33</v>
      </c>
      <c r="P1234" s="13">
        <v>1</v>
      </c>
      <c r="Q1234" s="13">
        <v>65</v>
      </c>
      <c r="R1234" s="13">
        <v>0</v>
      </c>
      <c r="S1234" s="13">
        <v>0</v>
      </c>
      <c r="T1234" s="23">
        <v>46247.626909722225</v>
      </c>
      <c r="U1234" s="55">
        <f t="shared" si="57"/>
        <v>1.1666666666666667</v>
      </c>
      <c r="V1234" s="55">
        <f t="shared" si="58"/>
        <v>0</v>
      </c>
      <c r="W1234" s="56">
        <f t="shared" si="59"/>
        <v>1222.1666666666667</v>
      </c>
    </row>
    <row r="1235" spans="1:23" x14ac:dyDescent="0.3">
      <c r="A1235" s="13" t="str" cm="1">
        <f t="array" ref="A1235:B1235">INDEX(BenchmarkResults!$B$1:$D$35,SUMPRODUCT((T1235&gt;=BenchmarkResults!$F$3:$F$35)*(mongodb_hardware_log!T1235&lt;BenchmarkResults!$G$3:$G$35)*ROW(BenchmarkResults!$F$3:$F$35)),{1,3})</f>
        <v>q2_avg_order_city</v>
      </c>
      <c r="B1235">
        <v>3</v>
      </c>
      <c r="C1235" s="13">
        <v>1</v>
      </c>
      <c r="D1235" s="13">
        <v>0</v>
      </c>
      <c r="E1235" s="13">
        <v>133376</v>
      </c>
      <c r="F1235" s="13">
        <v>185320</v>
      </c>
      <c r="G1235" s="13">
        <v>5280</v>
      </c>
      <c r="H1235" s="13">
        <v>2237628</v>
      </c>
      <c r="I1235" s="13">
        <v>0</v>
      </c>
      <c r="J1235" s="13">
        <v>0</v>
      </c>
      <c r="K1235" s="13">
        <v>1236</v>
      </c>
      <c r="L1235" s="13">
        <v>11</v>
      </c>
      <c r="M1235" s="13">
        <v>700</v>
      </c>
      <c r="N1235" s="13">
        <v>202</v>
      </c>
      <c r="O1235" s="13">
        <v>34</v>
      </c>
      <c r="P1235" s="13">
        <v>1</v>
      </c>
      <c r="Q1235" s="13">
        <v>65</v>
      </c>
      <c r="R1235" s="13">
        <v>0</v>
      </c>
      <c r="S1235" s="13">
        <v>0</v>
      </c>
      <c r="T1235" s="23">
        <v>46247.627025462964</v>
      </c>
      <c r="U1235" s="55">
        <f t="shared" si="57"/>
        <v>1.1666666666666667</v>
      </c>
      <c r="V1235" s="55">
        <f t="shared" si="58"/>
        <v>0</v>
      </c>
      <c r="W1235" s="56">
        <f t="shared" si="59"/>
        <v>1231.3333333333333</v>
      </c>
    </row>
    <row r="1236" spans="1:23" x14ac:dyDescent="0.3">
      <c r="A1236" s="13" t="str" cm="1">
        <f t="array" ref="A1236:B1236">INDEX(BenchmarkResults!$B$1:$D$35,SUMPRODUCT((T1236&gt;=BenchmarkResults!$F$3:$F$35)*(mongodb_hardware_log!T1236&lt;BenchmarkResults!$G$3:$G$35)*ROW(BenchmarkResults!$F$3:$F$35)),{1,3})</f>
        <v>q2_avg_order_city</v>
      </c>
      <c r="B1236">
        <v>3</v>
      </c>
      <c r="C1236" s="13">
        <v>1</v>
      </c>
      <c r="D1236" s="13">
        <v>0</v>
      </c>
      <c r="E1236" s="13">
        <v>133376</v>
      </c>
      <c r="F1236" s="13">
        <v>169696</v>
      </c>
      <c r="G1236" s="13">
        <v>5288</v>
      </c>
      <c r="H1236" s="13">
        <v>2248816</v>
      </c>
      <c r="I1236" s="13">
        <v>0</v>
      </c>
      <c r="J1236" s="13">
        <v>0</v>
      </c>
      <c r="K1236" s="13">
        <v>1118</v>
      </c>
      <c r="L1236" s="13">
        <v>12</v>
      </c>
      <c r="M1236" s="13">
        <v>709</v>
      </c>
      <c r="N1236" s="13">
        <v>203</v>
      </c>
      <c r="O1236" s="13">
        <v>34</v>
      </c>
      <c r="P1236" s="13">
        <v>1</v>
      </c>
      <c r="Q1236" s="13">
        <v>65</v>
      </c>
      <c r="R1236" s="13">
        <v>0</v>
      </c>
      <c r="S1236" s="13">
        <v>0</v>
      </c>
      <c r="T1236" s="23">
        <v>46247.627141203702</v>
      </c>
      <c r="U1236" s="55">
        <f t="shared" si="57"/>
        <v>1</v>
      </c>
      <c r="V1236" s="55">
        <f t="shared" si="58"/>
        <v>0</v>
      </c>
      <c r="W1236" s="56">
        <f t="shared" si="59"/>
        <v>1223.6666666666667</v>
      </c>
    </row>
    <row r="1237" spans="1:23" x14ac:dyDescent="0.3">
      <c r="A1237" s="13" t="str" cm="1">
        <f t="array" ref="A1237:B1237">INDEX(BenchmarkResults!$B$1:$D$35,SUMPRODUCT((T1237&gt;=BenchmarkResults!$F$3:$F$35)*(mongodb_hardware_log!T1237&lt;BenchmarkResults!$G$3:$G$35)*ROW(BenchmarkResults!$F$3:$F$35)),{1,3})</f>
        <v>q2_avg_order_city</v>
      </c>
      <c r="B1237">
        <v>3</v>
      </c>
      <c r="C1237" s="13">
        <v>1</v>
      </c>
      <c r="D1237" s="13">
        <v>0</v>
      </c>
      <c r="E1237" s="13">
        <v>133376</v>
      </c>
      <c r="F1237" s="13">
        <v>155124</v>
      </c>
      <c r="G1237" s="13">
        <v>5312</v>
      </c>
      <c r="H1237" s="13">
        <v>2264140</v>
      </c>
      <c r="I1237" s="13">
        <v>0</v>
      </c>
      <c r="J1237" s="13">
        <v>0</v>
      </c>
      <c r="K1237" s="13">
        <v>1532</v>
      </c>
      <c r="L1237" s="13">
        <v>31</v>
      </c>
      <c r="M1237" s="13">
        <v>718</v>
      </c>
      <c r="N1237" s="13">
        <v>224</v>
      </c>
      <c r="O1237" s="13">
        <v>33</v>
      </c>
      <c r="P1237" s="13">
        <v>1</v>
      </c>
      <c r="Q1237" s="13">
        <v>65</v>
      </c>
      <c r="R1237" s="13">
        <v>0</v>
      </c>
      <c r="S1237" s="13">
        <v>0</v>
      </c>
      <c r="T1237" s="23">
        <v>46247.627256944441</v>
      </c>
      <c r="U1237" s="55">
        <f t="shared" si="57"/>
        <v>1</v>
      </c>
      <c r="V1237" s="55">
        <f t="shared" si="58"/>
        <v>0</v>
      </c>
      <c r="W1237" s="56">
        <f t="shared" si="59"/>
        <v>1291.3333333333333</v>
      </c>
    </row>
    <row r="1238" spans="1:23" x14ac:dyDescent="0.3">
      <c r="A1238" s="13" t="str" cm="1">
        <f t="array" ref="A1238:B1238">INDEX(BenchmarkResults!$B$1:$D$35,SUMPRODUCT((T1238&gt;=BenchmarkResults!$F$3:$F$35)*(mongodb_hardware_log!T1238&lt;BenchmarkResults!$G$3:$G$35)*ROW(BenchmarkResults!$F$3:$F$35)),{1,3})</f>
        <v>q2_avg_order_city</v>
      </c>
      <c r="B1238">
        <v>3</v>
      </c>
      <c r="C1238" s="13">
        <v>1</v>
      </c>
      <c r="D1238" s="13">
        <v>0</v>
      </c>
      <c r="E1238" s="13">
        <v>133376</v>
      </c>
      <c r="F1238" s="13">
        <v>144540</v>
      </c>
      <c r="G1238" s="13">
        <v>5328</v>
      </c>
      <c r="H1238" s="13">
        <v>2275204</v>
      </c>
      <c r="I1238" s="13">
        <v>0</v>
      </c>
      <c r="J1238" s="13">
        <v>0</v>
      </c>
      <c r="K1238" s="13">
        <v>1107</v>
      </c>
      <c r="L1238" s="13">
        <v>16</v>
      </c>
      <c r="M1238" s="13">
        <v>705</v>
      </c>
      <c r="N1238" s="13">
        <v>204</v>
      </c>
      <c r="O1238" s="13">
        <v>33</v>
      </c>
      <c r="P1238" s="13">
        <v>1</v>
      </c>
      <c r="Q1238" s="13">
        <v>65</v>
      </c>
      <c r="R1238" s="13">
        <v>0</v>
      </c>
      <c r="S1238" s="13">
        <v>1</v>
      </c>
      <c r="T1238" s="23">
        <v>46247.627372685187</v>
      </c>
      <c r="U1238" s="55">
        <f t="shared" si="57"/>
        <v>1</v>
      </c>
      <c r="V1238" s="55">
        <f t="shared" si="58"/>
        <v>0</v>
      </c>
      <c r="W1238" s="56">
        <f t="shared" si="59"/>
        <v>1234.6666666666667</v>
      </c>
    </row>
    <row r="1239" spans="1:23" x14ac:dyDescent="0.3">
      <c r="A1239" s="13" t="str" cm="1">
        <f t="array" ref="A1239:B1239">INDEX(BenchmarkResults!$B$1:$D$35,SUMPRODUCT((T1239&gt;=BenchmarkResults!$F$3:$F$35)*(mongodb_hardware_log!T1239&lt;BenchmarkResults!$G$3:$G$35)*ROW(BenchmarkResults!$F$3:$F$35)),{1,3})</f>
        <v>q2_avg_order_city</v>
      </c>
      <c r="B1239">
        <v>3</v>
      </c>
      <c r="C1239" s="13">
        <v>1</v>
      </c>
      <c r="D1239" s="13">
        <v>0</v>
      </c>
      <c r="E1239" s="13">
        <v>133376</v>
      </c>
      <c r="F1239" s="13">
        <v>132192</v>
      </c>
      <c r="G1239" s="13">
        <v>5336</v>
      </c>
      <c r="H1239" s="13">
        <v>2288752</v>
      </c>
      <c r="I1239" s="13">
        <v>0</v>
      </c>
      <c r="J1239" s="13">
        <v>0</v>
      </c>
      <c r="K1239" s="13">
        <v>1355</v>
      </c>
      <c r="L1239" s="13">
        <v>12</v>
      </c>
      <c r="M1239" s="13">
        <v>706</v>
      </c>
      <c r="N1239" s="13">
        <v>206</v>
      </c>
      <c r="O1239" s="13">
        <v>34</v>
      </c>
      <c r="P1239" s="13">
        <v>1</v>
      </c>
      <c r="Q1239" s="13">
        <v>65</v>
      </c>
      <c r="R1239" s="13">
        <v>0</v>
      </c>
      <c r="S1239" s="13">
        <v>0</v>
      </c>
      <c r="T1239" s="23">
        <v>46247.627488425926</v>
      </c>
      <c r="U1239" s="55">
        <f t="shared" si="57"/>
        <v>1</v>
      </c>
      <c r="V1239" s="55">
        <f t="shared" si="58"/>
        <v>0</v>
      </c>
      <c r="W1239" s="56">
        <f t="shared" si="59"/>
        <v>1270.1666666666667</v>
      </c>
    </row>
    <row r="1240" spans="1:23" x14ac:dyDescent="0.3">
      <c r="A1240" s="13" t="str" cm="1">
        <f t="array" ref="A1240:B1240">INDEX(BenchmarkResults!$B$1:$D$35,SUMPRODUCT((T1240&gt;=BenchmarkResults!$F$3:$F$35)*(mongodb_hardware_log!T1240&lt;BenchmarkResults!$G$3:$G$35)*ROW(BenchmarkResults!$F$3:$F$35)),{1,3})</f>
        <v>q2_avg_order_city</v>
      </c>
      <c r="B1240">
        <v>3</v>
      </c>
      <c r="C1240" s="13">
        <v>1</v>
      </c>
      <c r="D1240" s="13">
        <v>0</v>
      </c>
      <c r="E1240" s="13">
        <v>133376</v>
      </c>
      <c r="F1240" s="13">
        <v>120348</v>
      </c>
      <c r="G1240" s="13">
        <v>5352</v>
      </c>
      <c r="H1240" s="13">
        <v>2299292</v>
      </c>
      <c r="I1240" s="13">
        <v>0</v>
      </c>
      <c r="J1240" s="13">
        <v>0</v>
      </c>
      <c r="K1240" s="13">
        <v>1054</v>
      </c>
      <c r="L1240" s="13">
        <v>21</v>
      </c>
      <c r="M1240" s="13">
        <v>719</v>
      </c>
      <c r="N1240" s="13">
        <v>221</v>
      </c>
      <c r="O1240" s="13">
        <v>33</v>
      </c>
      <c r="P1240" s="13">
        <v>1</v>
      </c>
      <c r="Q1240" s="13">
        <v>65</v>
      </c>
      <c r="R1240" s="13">
        <v>1</v>
      </c>
      <c r="S1240" s="13">
        <v>0</v>
      </c>
      <c r="T1240" s="23">
        <v>46247.627604166664</v>
      </c>
      <c r="U1240" s="55">
        <f t="shared" si="57"/>
        <v>1</v>
      </c>
      <c r="V1240" s="55">
        <f t="shared" si="58"/>
        <v>0</v>
      </c>
      <c r="W1240" s="56">
        <f t="shared" si="59"/>
        <v>1233.6666666666667</v>
      </c>
    </row>
    <row r="1241" spans="1:23" x14ac:dyDescent="0.3">
      <c r="A1241" s="13" t="str" cm="1">
        <f t="array" ref="A1241:B1241">INDEX(BenchmarkResults!$B$1:$D$35,SUMPRODUCT((T1241&gt;=BenchmarkResults!$F$3:$F$35)*(mongodb_hardware_log!T1241&lt;BenchmarkResults!$G$3:$G$35)*ROW(BenchmarkResults!$F$3:$F$35)),{1,3})</f>
        <v>q2_avg_order_city</v>
      </c>
      <c r="B1241">
        <v>3</v>
      </c>
      <c r="C1241" s="13">
        <v>1</v>
      </c>
      <c r="D1241" s="13">
        <v>0</v>
      </c>
      <c r="E1241" s="13">
        <v>133376</v>
      </c>
      <c r="F1241" s="13">
        <v>104472</v>
      </c>
      <c r="G1241" s="13">
        <v>5360</v>
      </c>
      <c r="H1241" s="13">
        <v>2310672</v>
      </c>
      <c r="I1241" s="13">
        <v>0</v>
      </c>
      <c r="J1241" s="13">
        <v>0</v>
      </c>
      <c r="K1241" s="13">
        <v>1138</v>
      </c>
      <c r="L1241" s="13">
        <v>7</v>
      </c>
      <c r="M1241" s="13">
        <v>714</v>
      </c>
      <c r="N1241" s="13">
        <v>210</v>
      </c>
      <c r="O1241" s="13">
        <v>33</v>
      </c>
      <c r="P1241" s="13">
        <v>1</v>
      </c>
      <c r="Q1241" s="13">
        <v>65</v>
      </c>
      <c r="R1241" s="13">
        <v>0</v>
      </c>
      <c r="S1241" s="13">
        <v>0</v>
      </c>
      <c r="T1241" s="23">
        <v>46247.62771990741</v>
      </c>
      <c r="U1241" s="55">
        <f t="shared" si="57"/>
        <v>1</v>
      </c>
      <c r="V1241" s="55">
        <f t="shared" si="58"/>
        <v>0</v>
      </c>
      <c r="W1241" s="56">
        <f t="shared" si="59"/>
        <v>1217.3333333333333</v>
      </c>
    </row>
    <row r="1242" spans="1:23" x14ac:dyDescent="0.3">
      <c r="A1242" s="13" t="str" cm="1">
        <f t="array" ref="A1242:B1242">INDEX(BenchmarkResults!$B$1:$D$35,SUMPRODUCT((T1242&gt;=BenchmarkResults!$F$3:$F$35)*(mongodb_hardware_log!T1242&lt;BenchmarkResults!$G$3:$G$35)*ROW(BenchmarkResults!$F$3:$F$35)),{1,3})</f>
        <v>q2_avg_order_city</v>
      </c>
      <c r="B1242">
        <v>3</v>
      </c>
      <c r="C1242" s="13">
        <v>1</v>
      </c>
      <c r="D1242" s="13">
        <v>0</v>
      </c>
      <c r="E1242" s="13">
        <v>133376</v>
      </c>
      <c r="F1242" s="13">
        <v>142268</v>
      </c>
      <c r="G1242" s="13">
        <v>5376</v>
      </c>
      <c r="H1242" s="13">
        <v>2274016</v>
      </c>
      <c r="I1242" s="13">
        <v>0</v>
      </c>
      <c r="J1242" s="13">
        <v>0</v>
      </c>
      <c r="K1242" s="13">
        <v>1328</v>
      </c>
      <c r="L1242" s="13">
        <v>23</v>
      </c>
      <c r="M1242" s="13">
        <v>749</v>
      </c>
      <c r="N1242" s="13">
        <v>240</v>
      </c>
      <c r="O1242" s="13">
        <v>34</v>
      </c>
      <c r="P1242" s="13">
        <v>1</v>
      </c>
      <c r="Q1242" s="13">
        <v>64</v>
      </c>
      <c r="R1242" s="13">
        <v>1</v>
      </c>
      <c r="S1242" s="13">
        <v>0</v>
      </c>
      <c r="T1242" s="23">
        <v>46247.627835648149</v>
      </c>
      <c r="U1242" s="55">
        <f t="shared" si="57"/>
        <v>1</v>
      </c>
      <c r="V1242" s="55">
        <f t="shared" si="58"/>
        <v>0</v>
      </c>
      <c r="W1242" s="56">
        <f t="shared" si="59"/>
        <v>1252.3333333333333</v>
      </c>
    </row>
    <row r="1243" spans="1:23" x14ac:dyDescent="0.3">
      <c r="A1243" s="13" t="str" cm="1">
        <f t="array" ref="A1243:B1243">INDEX(BenchmarkResults!$B$1:$D$35,SUMPRODUCT((T1243&gt;=BenchmarkResults!$F$3:$F$35)*(mongodb_hardware_log!T1243&lt;BenchmarkResults!$G$3:$G$35)*ROW(BenchmarkResults!$F$3:$F$35)),{1,3})</f>
        <v>q2_avg_order_city</v>
      </c>
      <c r="B1243">
        <v>3</v>
      </c>
      <c r="C1243" s="13">
        <v>1</v>
      </c>
      <c r="D1243" s="13">
        <v>0</v>
      </c>
      <c r="E1243" s="13">
        <v>133376</v>
      </c>
      <c r="F1243" s="13">
        <v>130424</v>
      </c>
      <c r="G1243" s="13">
        <v>5396</v>
      </c>
      <c r="H1243" s="13">
        <v>2284164</v>
      </c>
      <c r="I1243" s="13">
        <v>0</v>
      </c>
      <c r="J1243" s="13">
        <v>0</v>
      </c>
      <c r="K1243" s="13">
        <v>1011</v>
      </c>
      <c r="L1243" s="13">
        <v>49</v>
      </c>
      <c r="M1243" s="13">
        <v>789</v>
      </c>
      <c r="N1243" s="13">
        <v>304</v>
      </c>
      <c r="O1243" s="13">
        <v>34</v>
      </c>
      <c r="P1243" s="13">
        <v>1</v>
      </c>
      <c r="Q1243" s="13">
        <v>65</v>
      </c>
      <c r="R1243" s="13">
        <v>0</v>
      </c>
      <c r="S1243" s="13">
        <v>0</v>
      </c>
      <c r="T1243" s="23">
        <v>46247.627951388888</v>
      </c>
      <c r="U1243" s="55">
        <f t="shared" si="57"/>
        <v>1</v>
      </c>
      <c r="V1243" s="55">
        <f t="shared" si="58"/>
        <v>0</v>
      </c>
      <c r="W1243" s="56">
        <f t="shared" si="59"/>
        <v>1165.5</v>
      </c>
    </row>
    <row r="1244" spans="1:23" x14ac:dyDescent="0.3">
      <c r="A1244" s="13" t="str" cm="1">
        <f t="array" ref="A1244:B1244">INDEX(BenchmarkResults!$B$1:$D$35,SUMPRODUCT((T1244&gt;=BenchmarkResults!$F$3:$F$35)*(mongodb_hardware_log!T1244&lt;BenchmarkResults!$G$3:$G$35)*ROW(BenchmarkResults!$F$3:$F$35)),{1,3})</f>
        <v>q2_avg_order_city</v>
      </c>
      <c r="B1244">
        <v>3</v>
      </c>
      <c r="C1244" s="13">
        <v>1</v>
      </c>
      <c r="D1244" s="13">
        <v>0</v>
      </c>
      <c r="E1244" s="13">
        <v>133376</v>
      </c>
      <c r="F1244" s="13">
        <v>122692</v>
      </c>
      <c r="G1244" s="13">
        <v>5404</v>
      </c>
      <c r="H1244" s="13">
        <v>2294540</v>
      </c>
      <c r="I1244" s="13">
        <v>0</v>
      </c>
      <c r="J1244" s="13">
        <v>0</v>
      </c>
      <c r="K1244" s="13">
        <v>1038</v>
      </c>
      <c r="L1244" s="13">
        <v>7</v>
      </c>
      <c r="M1244" s="13">
        <v>711</v>
      </c>
      <c r="N1244" s="13">
        <v>214</v>
      </c>
      <c r="O1244" s="13">
        <v>34</v>
      </c>
      <c r="P1244" s="13">
        <v>1</v>
      </c>
      <c r="Q1244" s="13">
        <v>64</v>
      </c>
      <c r="R1244" s="13">
        <v>0</v>
      </c>
      <c r="S1244" s="13">
        <v>0</v>
      </c>
      <c r="T1244" s="23">
        <v>46247.628067129626</v>
      </c>
      <c r="U1244" s="55">
        <f t="shared" si="57"/>
        <v>1</v>
      </c>
      <c r="V1244" s="55">
        <f t="shared" si="58"/>
        <v>0</v>
      </c>
      <c r="W1244" s="56">
        <f t="shared" si="59"/>
        <v>1154</v>
      </c>
    </row>
    <row r="1245" spans="1:23" x14ac:dyDescent="0.3">
      <c r="A1245" s="13" t="str" cm="1">
        <f t="array" ref="A1245:B1245">INDEX(BenchmarkResults!$B$1:$D$35,SUMPRODUCT((T1245&gt;=BenchmarkResults!$F$3:$F$35)*(mongodb_hardware_log!T1245&lt;BenchmarkResults!$G$3:$G$35)*ROW(BenchmarkResults!$F$3:$F$35)),{1,3})</f>
        <v>q2_avg_order_city</v>
      </c>
      <c r="B1245">
        <v>3</v>
      </c>
      <c r="C1245" s="13">
        <v>1</v>
      </c>
      <c r="D1245" s="13">
        <v>0</v>
      </c>
      <c r="E1245" s="13">
        <v>133376</v>
      </c>
      <c r="F1245" s="13">
        <v>107824</v>
      </c>
      <c r="G1245" s="13">
        <v>5408</v>
      </c>
      <c r="H1245" s="13">
        <v>2305824</v>
      </c>
      <c r="I1245" s="13">
        <v>0</v>
      </c>
      <c r="J1245" s="13">
        <v>0</v>
      </c>
      <c r="K1245" s="13">
        <v>1125</v>
      </c>
      <c r="L1245" s="13">
        <v>22</v>
      </c>
      <c r="M1245" s="13">
        <v>712</v>
      </c>
      <c r="N1245" s="13">
        <v>213</v>
      </c>
      <c r="O1245" s="13">
        <v>34</v>
      </c>
      <c r="P1245" s="13">
        <v>1</v>
      </c>
      <c r="Q1245" s="13">
        <v>65</v>
      </c>
      <c r="R1245" s="13">
        <v>0</v>
      </c>
      <c r="S1245" s="13">
        <v>1</v>
      </c>
      <c r="T1245" s="23">
        <v>46247.628182870372</v>
      </c>
      <c r="U1245" s="55">
        <f t="shared" si="57"/>
        <v>1</v>
      </c>
      <c r="V1245" s="55">
        <f t="shared" si="58"/>
        <v>0</v>
      </c>
      <c r="W1245" s="56">
        <f t="shared" si="59"/>
        <v>1115.6666666666667</v>
      </c>
    </row>
    <row r="1246" spans="1:23" x14ac:dyDescent="0.3">
      <c r="A1246" s="13" t="str" cm="1">
        <f t="array" ref="A1246:B1246">INDEX(BenchmarkResults!$B$1:$D$35,SUMPRODUCT((T1246&gt;=BenchmarkResults!$F$3:$F$35)*(mongodb_hardware_log!T1246&lt;BenchmarkResults!$G$3:$G$35)*ROW(BenchmarkResults!$F$3:$F$35)),{1,3})</f>
        <v>q2_avg_order_city</v>
      </c>
      <c r="B1246">
        <v>3</v>
      </c>
      <c r="C1246" s="13">
        <v>1</v>
      </c>
      <c r="D1246" s="13">
        <v>0</v>
      </c>
      <c r="E1246" s="13">
        <v>133376</v>
      </c>
      <c r="F1246" s="13">
        <v>151156</v>
      </c>
      <c r="G1246" s="13">
        <v>5416</v>
      </c>
      <c r="H1246" s="13">
        <v>2267924</v>
      </c>
      <c r="I1246" s="13">
        <v>0</v>
      </c>
      <c r="J1246" s="13">
        <v>0</v>
      </c>
      <c r="K1246" s="13">
        <v>1182</v>
      </c>
      <c r="L1246" s="13">
        <v>9</v>
      </c>
      <c r="M1246" s="13">
        <v>728</v>
      </c>
      <c r="N1246" s="13">
        <v>226</v>
      </c>
      <c r="O1246" s="13">
        <v>34</v>
      </c>
      <c r="P1246" s="13">
        <v>1</v>
      </c>
      <c r="Q1246" s="13">
        <v>65</v>
      </c>
      <c r="R1246" s="13">
        <v>0</v>
      </c>
      <c r="S1246" s="13">
        <v>0</v>
      </c>
      <c r="T1246" s="23">
        <v>46247.628298611111</v>
      </c>
      <c r="U1246" s="55">
        <f t="shared" si="57"/>
        <v>1</v>
      </c>
      <c r="V1246" s="55">
        <f t="shared" si="58"/>
        <v>0</v>
      </c>
      <c r="W1246" s="56">
        <f t="shared" si="59"/>
        <v>1137</v>
      </c>
    </row>
    <row r="1247" spans="1:23" x14ac:dyDescent="0.3">
      <c r="A1247" s="13" t="str" cm="1">
        <f t="array" ref="A1247:B1247">INDEX(BenchmarkResults!$B$1:$D$35,SUMPRODUCT((T1247&gt;=BenchmarkResults!$F$3:$F$35)*(mongodb_hardware_log!T1247&lt;BenchmarkResults!$G$3:$G$35)*ROW(BenchmarkResults!$F$3:$F$35)),{1,3})</f>
        <v>q2_avg_order_city</v>
      </c>
      <c r="B1247">
        <v>3</v>
      </c>
      <c r="C1247" s="13">
        <v>1</v>
      </c>
      <c r="D1247" s="13">
        <v>0</v>
      </c>
      <c r="E1247" s="13">
        <v>133376</v>
      </c>
      <c r="F1247" s="13">
        <v>126964</v>
      </c>
      <c r="G1247" s="13">
        <v>5424</v>
      </c>
      <c r="H1247" s="13">
        <v>2282424</v>
      </c>
      <c r="I1247" s="13">
        <v>0</v>
      </c>
      <c r="J1247" s="13">
        <v>0</v>
      </c>
      <c r="K1247" s="13">
        <v>1444</v>
      </c>
      <c r="L1247" s="13">
        <v>14</v>
      </c>
      <c r="M1247" s="13">
        <v>714</v>
      </c>
      <c r="N1247" s="13">
        <v>212</v>
      </c>
      <c r="O1247" s="13">
        <v>33</v>
      </c>
      <c r="P1247" s="13">
        <v>1</v>
      </c>
      <c r="Q1247" s="13">
        <v>65</v>
      </c>
      <c r="R1247" s="13">
        <v>0</v>
      </c>
      <c r="S1247" s="13">
        <v>1</v>
      </c>
      <c r="T1247" s="23">
        <v>46247.62841435185</v>
      </c>
      <c r="U1247" s="55">
        <f t="shared" si="57"/>
        <v>1</v>
      </c>
      <c r="V1247" s="55">
        <f t="shared" si="58"/>
        <v>0</v>
      </c>
      <c r="W1247" s="56">
        <f t="shared" si="59"/>
        <v>1188</v>
      </c>
    </row>
    <row r="1248" spans="1:23" x14ac:dyDescent="0.3">
      <c r="A1248" s="13" t="str" cm="1">
        <f t="array" ref="A1248:B1248">INDEX(BenchmarkResults!$B$1:$D$35,SUMPRODUCT((T1248&gt;=BenchmarkResults!$F$3:$F$35)*(mongodb_hardware_log!T1248&lt;BenchmarkResults!$G$3:$G$35)*ROW(BenchmarkResults!$F$3:$F$35)),{1,3})</f>
        <v>q2_avg_order_city</v>
      </c>
      <c r="B1248">
        <v>3</v>
      </c>
      <c r="C1248" s="13">
        <v>2</v>
      </c>
      <c r="D1248" s="13">
        <v>0</v>
      </c>
      <c r="E1248" s="13">
        <v>133376</v>
      </c>
      <c r="F1248" s="13">
        <v>385224</v>
      </c>
      <c r="G1248" s="13">
        <v>5476</v>
      </c>
      <c r="H1248" s="13">
        <v>1655312</v>
      </c>
      <c r="I1248" s="13">
        <v>0</v>
      </c>
      <c r="J1248" s="13">
        <v>0</v>
      </c>
      <c r="K1248" s="13">
        <v>1800</v>
      </c>
      <c r="L1248" s="13">
        <v>14</v>
      </c>
      <c r="M1248" s="13">
        <v>1042</v>
      </c>
      <c r="N1248" s="13">
        <v>477</v>
      </c>
      <c r="O1248" s="13">
        <v>37</v>
      </c>
      <c r="P1248" s="13">
        <v>8</v>
      </c>
      <c r="Q1248" s="13">
        <v>52</v>
      </c>
      <c r="R1248" s="13">
        <v>1</v>
      </c>
      <c r="S1248" s="13">
        <v>2</v>
      </c>
      <c r="T1248" s="23">
        <v>46247.628530092596</v>
      </c>
      <c r="U1248" s="55">
        <f t="shared" si="57"/>
        <v>1.1666666666666667</v>
      </c>
      <c r="V1248" s="55">
        <f t="shared" si="58"/>
        <v>0</v>
      </c>
      <c r="W1248" s="56">
        <f t="shared" si="59"/>
        <v>1266.6666666666667</v>
      </c>
    </row>
    <row r="1249" spans="1:23" x14ac:dyDescent="0.3">
      <c r="A1249" s="13" t="str" cm="1">
        <f t="array" ref="A1249:B1249">INDEX(BenchmarkResults!$B$1:$D$35,SUMPRODUCT((T1249&gt;=BenchmarkResults!$F$3:$F$35)*(mongodb_hardware_log!T1249&lt;BenchmarkResults!$G$3:$G$35)*ROW(BenchmarkResults!$F$3:$F$35)),{1,3})</f>
        <v>q2_avg_order_city</v>
      </c>
      <c r="B1249">
        <v>3</v>
      </c>
      <c r="C1249" s="13">
        <v>1</v>
      </c>
      <c r="D1249" s="13">
        <v>0</v>
      </c>
      <c r="E1249" s="13">
        <v>133376</v>
      </c>
      <c r="F1249" s="13">
        <v>722596</v>
      </c>
      <c r="G1249" s="13">
        <v>5508</v>
      </c>
      <c r="H1249" s="13">
        <v>1666008</v>
      </c>
      <c r="I1249" s="13">
        <v>0</v>
      </c>
      <c r="J1249" s="13">
        <v>0</v>
      </c>
      <c r="K1249" s="13">
        <v>1072</v>
      </c>
      <c r="L1249" s="13">
        <v>67</v>
      </c>
      <c r="M1249" s="13">
        <v>800</v>
      </c>
      <c r="N1249" s="13">
        <v>271</v>
      </c>
      <c r="O1249" s="13">
        <v>34</v>
      </c>
      <c r="P1249" s="13">
        <v>5</v>
      </c>
      <c r="Q1249" s="13">
        <v>58</v>
      </c>
      <c r="R1249" s="13">
        <v>1</v>
      </c>
      <c r="S1249" s="13">
        <v>1</v>
      </c>
      <c r="T1249" s="23">
        <v>46247.628645833334</v>
      </c>
      <c r="U1249" s="55">
        <f t="shared" si="57"/>
        <v>1.1666666666666667</v>
      </c>
      <c r="V1249" s="55">
        <f t="shared" si="58"/>
        <v>0</v>
      </c>
      <c r="W1249" s="56">
        <f t="shared" si="59"/>
        <v>1276.8333333333333</v>
      </c>
    </row>
    <row r="1250" spans="1:23" x14ac:dyDescent="0.3">
      <c r="A1250" s="13" t="str" cm="1">
        <f t="array" ref="A1250:B1250">INDEX(BenchmarkResults!$B$1:$D$35,SUMPRODUCT((T1250&gt;=BenchmarkResults!$F$3:$F$35)*(mongodb_hardware_log!T1250&lt;BenchmarkResults!$G$3:$G$35)*ROW(BenchmarkResults!$F$3:$F$35)),{1,3})</f>
        <v>q2_avg_order_city</v>
      </c>
      <c r="B1250">
        <v>3</v>
      </c>
      <c r="C1250" s="13">
        <v>2</v>
      </c>
      <c r="D1250" s="13">
        <v>0</v>
      </c>
      <c r="E1250" s="13">
        <v>133376</v>
      </c>
      <c r="F1250" s="13">
        <v>710500</v>
      </c>
      <c r="G1250" s="13">
        <v>5516</v>
      </c>
      <c r="H1250" s="13">
        <v>1673408</v>
      </c>
      <c r="I1250" s="13">
        <v>0</v>
      </c>
      <c r="J1250" s="13">
        <v>0</v>
      </c>
      <c r="K1250" s="13">
        <v>739</v>
      </c>
      <c r="L1250" s="13">
        <v>5</v>
      </c>
      <c r="M1250" s="13">
        <v>698</v>
      </c>
      <c r="N1250" s="13">
        <v>198</v>
      </c>
      <c r="O1250" s="13">
        <v>33</v>
      </c>
      <c r="P1250" s="13">
        <v>1</v>
      </c>
      <c r="Q1250" s="13">
        <v>65</v>
      </c>
      <c r="R1250" s="13">
        <v>0</v>
      </c>
      <c r="S1250" s="13">
        <v>1</v>
      </c>
      <c r="T1250" s="23">
        <v>46247.628761574073</v>
      </c>
      <c r="U1250" s="55">
        <f t="shared" si="57"/>
        <v>1.3333333333333333</v>
      </c>
      <c r="V1250" s="55">
        <f t="shared" si="58"/>
        <v>0</v>
      </c>
      <c r="W1250" s="56">
        <f t="shared" si="59"/>
        <v>1227</v>
      </c>
    </row>
    <row r="1251" spans="1:23" x14ac:dyDescent="0.3">
      <c r="A1251" s="13" t="str" cm="1">
        <f t="array" ref="A1251:B1251">INDEX(BenchmarkResults!$B$1:$D$35,SUMPRODUCT((T1251&gt;=BenchmarkResults!$F$3:$F$35)*(mongodb_hardware_log!T1251&lt;BenchmarkResults!$G$3:$G$35)*ROW(BenchmarkResults!$F$3:$F$35)),{1,3})</f>
        <v>q2_avg_order_city</v>
      </c>
      <c r="B1251">
        <v>3</v>
      </c>
      <c r="C1251" s="13">
        <v>1</v>
      </c>
      <c r="D1251" s="13">
        <v>0</v>
      </c>
      <c r="E1251" s="13">
        <v>133376</v>
      </c>
      <c r="F1251" s="13">
        <v>702940</v>
      </c>
      <c r="G1251" s="13">
        <v>5524</v>
      </c>
      <c r="H1251" s="13">
        <v>1685016</v>
      </c>
      <c r="I1251" s="13">
        <v>0</v>
      </c>
      <c r="J1251" s="13">
        <v>0</v>
      </c>
      <c r="K1251" s="13">
        <v>1158</v>
      </c>
      <c r="L1251" s="13">
        <v>9</v>
      </c>
      <c r="M1251" s="13">
        <v>705</v>
      </c>
      <c r="N1251" s="13">
        <v>200</v>
      </c>
      <c r="O1251" s="13">
        <v>33</v>
      </c>
      <c r="P1251" s="13">
        <v>1</v>
      </c>
      <c r="Q1251" s="13">
        <v>65</v>
      </c>
      <c r="R1251" s="13">
        <v>0</v>
      </c>
      <c r="S1251" s="13">
        <v>1</v>
      </c>
      <c r="T1251" s="23">
        <v>46247.628877314812</v>
      </c>
      <c r="U1251" s="55">
        <f t="shared" si="57"/>
        <v>1.3333333333333333</v>
      </c>
      <c r="V1251" s="55">
        <f t="shared" si="58"/>
        <v>0</v>
      </c>
      <c r="W1251" s="56">
        <f t="shared" si="59"/>
        <v>1232.5</v>
      </c>
    </row>
    <row r="1252" spans="1:23" x14ac:dyDescent="0.3">
      <c r="A1252" s="13" t="str" cm="1">
        <f t="array" ref="A1252:B1252">INDEX(BenchmarkResults!$B$1:$D$35,SUMPRODUCT((T1252&gt;=BenchmarkResults!$F$3:$F$35)*(mongodb_hardware_log!T1252&lt;BenchmarkResults!$G$3:$G$35)*ROW(BenchmarkResults!$F$3:$F$35)),{1,3})</f>
        <v>q2_avg_order_city</v>
      </c>
      <c r="B1252">
        <v>3</v>
      </c>
      <c r="C1252" s="13">
        <v>1</v>
      </c>
      <c r="D1252" s="13">
        <v>0</v>
      </c>
      <c r="E1252" s="13">
        <v>133376</v>
      </c>
      <c r="F1252" s="13">
        <v>693868</v>
      </c>
      <c r="G1252" s="13">
        <v>5532</v>
      </c>
      <c r="H1252" s="13">
        <v>1695964</v>
      </c>
      <c r="I1252" s="13">
        <v>0</v>
      </c>
      <c r="J1252" s="13">
        <v>0</v>
      </c>
      <c r="K1252" s="13">
        <v>1095</v>
      </c>
      <c r="L1252" s="13">
        <v>20</v>
      </c>
      <c r="M1252" s="13">
        <v>710</v>
      </c>
      <c r="N1252" s="13">
        <v>207</v>
      </c>
      <c r="O1252" s="13">
        <v>33</v>
      </c>
      <c r="P1252" s="13">
        <v>1</v>
      </c>
      <c r="Q1252" s="13">
        <v>65</v>
      </c>
      <c r="R1252" s="13">
        <v>0</v>
      </c>
      <c r="S1252" s="13">
        <v>1</v>
      </c>
      <c r="T1252" s="23">
        <v>46247.628993055558</v>
      </c>
      <c r="U1252" s="55">
        <f t="shared" si="57"/>
        <v>1.3333333333333333</v>
      </c>
      <c r="V1252" s="55">
        <f t="shared" si="58"/>
        <v>0</v>
      </c>
      <c r="W1252" s="56">
        <f t="shared" si="59"/>
        <v>1218</v>
      </c>
    </row>
    <row r="1253" spans="1:23" x14ac:dyDescent="0.3">
      <c r="A1253" s="13" t="str" cm="1">
        <f t="array" ref="A1253:B1253">INDEX(BenchmarkResults!$B$1:$D$35,SUMPRODUCT((T1253&gt;=BenchmarkResults!$F$3:$F$35)*(mongodb_hardware_log!T1253&lt;BenchmarkResults!$G$3:$G$35)*ROW(BenchmarkResults!$F$3:$F$35)),{1,3})</f>
        <v>q2_avg_order_city</v>
      </c>
      <c r="B1253">
        <v>3</v>
      </c>
      <c r="C1253" s="13">
        <v>1</v>
      </c>
      <c r="D1253" s="13">
        <v>0</v>
      </c>
      <c r="E1253" s="13">
        <v>133376</v>
      </c>
      <c r="F1253" s="13">
        <v>691348</v>
      </c>
      <c r="G1253" s="13">
        <v>5540</v>
      </c>
      <c r="H1253" s="13">
        <v>1707292</v>
      </c>
      <c r="I1253" s="13">
        <v>0</v>
      </c>
      <c r="J1253" s="13">
        <v>0</v>
      </c>
      <c r="K1253" s="13">
        <v>1133</v>
      </c>
      <c r="L1253" s="13">
        <v>13</v>
      </c>
      <c r="M1253" s="13">
        <v>708</v>
      </c>
      <c r="N1253" s="13">
        <v>207</v>
      </c>
      <c r="O1253" s="13">
        <v>33</v>
      </c>
      <c r="P1253" s="13">
        <v>1</v>
      </c>
      <c r="Q1253" s="13">
        <v>65</v>
      </c>
      <c r="R1253" s="13">
        <v>1</v>
      </c>
      <c r="S1253" s="13">
        <v>1</v>
      </c>
      <c r="T1253" s="23">
        <v>46247.629108796296</v>
      </c>
      <c r="U1253" s="55">
        <f t="shared" si="57"/>
        <v>1.3333333333333333</v>
      </c>
      <c r="V1253" s="55">
        <f t="shared" si="58"/>
        <v>0</v>
      </c>
      <c r="W1253" s="56">
        <f t="shared" si="59"/>
        <v>1166.1666666666667</v>
      </c>
    </row>
    <row r="1254" spans="1:23" x14ac:dyDescent="0.3">
      <c r="A1254" s="13" t="str" cm="1">
        <f t="array" ref="A1254:B1254">INDEX(BenchmarkResults!$B$1:$D$35,SUMPRODUCT((T1254&gt;=BenchmarkResults!$F$3:$F$35)*(mongodb_hardware_log!T1254&lt;BenchmarkResults!$G$3:$G$35)*ROW(BenchmarkResults!$F$3:$F$35)),{1,3})</f>
        <v>q2_avg_order_city</v>
      </c>
      <c r="B1254">
        <v>3</v>
      </c>
      <c r="C1254" s="13">
        <v>1</v>
      </c>
      <c r="D1254" s="13">
        <v>0</v>
      </c>
      <c r="E1254" s="13">
        <v>133376</v>
      </c>
      <c r="F1254" s="13">
        <v>679252</v>
      </c>
      <c r="G1254" s="13">
        <v>5548</v>
      </c>
      <c r="H1254" s="13">
        <v>1718648</v>
      </c>
      <c r="I1254" s="13">
        <v>0</v>
      </c>
      <c r="J1254" s="13">
        <v>0</v>
      </c>
      <c r="K1254" s="13">
        <v>1138</v>
      </c>
      <c r="L1254" s="13">
        <v>10</v>
      </c>
      <c r="M1254" s="13">
        <v>720</v>
      </c>
      <c r="N1254" s="13">
        <v>215</v>
      </c>
      <c r="O1254" s="13">
        <v>33</v>
      </c>
      <c r="P1254" s="13">
        <v>1</v>
      </c>
      <c r="Q1254" s="13">
        <v>65</v>
      </c>
      <c r="R1254" s="13">
        <v>0</v>
      </c>
      <c r="S1254" s="13">
        <v>0</v>
      </c>
      <c r="T1254" s="23">
        <v>46247.629224537035</v>
      </c>
      <c r="U1254" s="55">
        <f t="shared" si="57"/>
        <v>1.1666666666666667</v>
      </c>
      <c r="V1254" s="55">
        <f t="shared" si="58"/>
        <v>0</v>
      </c>
      <c r="W1254" s="56">
        <f t="shared" si="59"/>
        <v>1055.8333333333333</v>
      </c>
    </row>
    <row r="1255" spans="1:23" x14ac:dyDescent="0.3">
      <c r="A1255" s="13" t="str" cm="1">
        <f t="array" ref="A1255:B1255">INDEX(BenchmarkResults!$B$1:$D$35,SUMPRODUCT((T1255&gt;=BenchmarkResults!$F$3:$F$35)*(mongodb_hardware_log!T1255&lt;BenchmarkResults!$G$3:$G$35)*ROW(BenchmarkResults!$F$3:$F$35)),{1,3})</f>
        <v>q2_avg_order_city</v>
      </c>
      <c r="B1255">
        <v>3</v>
      </c>
      <c r="C1255" s="13">
        <v>1</v>
      </c>
      <c r="D1255" s="13">
        <v>0</v>
      </c>
      <c r="E1255" s="13">
        <v>133376</v>
      </c>
      <c r="F1255" s="13">
        <v>665932</v>
      </c>
      <c r="G1255" s="13">
        <v>5580</v>
      </c>
      <c r="H1255" s="13">
        <v>1733960</v>
      </c>
      <c r="I1255" s="13">
        <v>0</v>
      </c>
      <c r="J1255" s="13">
        <v>0</v>
      </c>
      <c r="K1255" s="13">
        <v>1522</v>
      </c>
      <c r="L1255" s="13">
        <v>34</v>
      </c>
      <c r="M1255" s="13">
        <v>714</v>
      </c>
      <c r="N1255" s="13">
        <v>220</v>
      </c>
      <c r="O1255" s="13">
        <v>33</v>
      </c>
      <c r="P1255" s="13">
        <v>1</v>
      </c>
      <c r="Q1255" s="13">
        <v>65</v>
      </c>
      <c r="R1255" s="13">
        <v>0</v>
      </c>
      <c r="S1255" s="13">
        <v>0</v>
      </c>
      <c r="T1255" s="23">
        <v>46247.629340277781</v>
      </c>
      <c r="U1255" s="55">
        <f t="shared" si="57"/>
        <v>1.1666666666666667</v>
      </c>
      <c r="V1255" s="55">
        <f t="shared" si="58"/>
        <v>0</v>
      </c>
      <c r="W1255" s="56">
        <f t="shared" si="59"/>
        <v>1130.8333333333333</v>
      </c>
    </row>
    <row r="1256" spans="1:23" x14ac:dyDescent="0.3">
      <c r="A1256" s="13" t="str" cm="1">
        <f t="array" ref="A1256:B1256">INDEX(BenchmarkResults!$B$1:$D$35,SUMPRODUCT((T1256&gt;=BenchmarkResults!$F$3:$F$35)*(mongodb_hardware_log!T1256&lt;BenchmarkResults!$G$3:$G$35)*ROW(BenchmarkResults!$F$3:$F$35)),{1,3})</f>
        <v>q2_avg_order_city</v>
      </c>
      <c r="B1256">
        <v>3</v>
      </c>
      <c r="C1256" s="13">
        <v>1</v>
      </c>
      <c r="D1256" s="13">
        <v>0</v>
      </c>
      <c r="E1256" s="13">
        <v>133376</v>
      </c>
      <c r="F1256" s="13">
        <v>655096</v>
      </c>
      <c r="G1256" s="13">
        <v>5588</v>
      </c>
      <c r="H1256" s="13">
        <v>1744480</v>
      </c>
      <c r="I1256" s="13">
        <v>0</v>
      </c>
      <c r="J1256" s="13">
        <v>0</v>
      </c>
      <c r="K1256" s="13">
        <v>1055</v>
      </c>
      <c r="L1256" s="13">
        <v>12</v>
      </c>
      <c r="M1256" s="13">
        <v>718</v>
      </c>
      <c r="N1256" s="13">
        <v>215</v>
      </c>
      <c r="O1256" s="13">
        <v>33</v>
      </c>
      <c r="P1256" s="13">
        <v>1</v>
      </c>
      <c r="Q1256" s="13">
        <v>65</v>
      </c>
      <c r="R1256" s="13">
        <v>0</v>
      </c>
      <c r="S1256" s="13">
        <v>0</v>
      </c>
      <c r="T1256" s="23">
        <v>46247.62945601852</v>
      </c>
      <c r="U1256" s="55">
        <f t="shared" si="57"/>
        <v>1</v>
      </c>
      <c r="V1256" s="55">
        <f t="shared" si="58"/>
        <v>0</v>
      </c>
      <c r="W1256" s="56">
        <f t="shared" si="59"/>
        <v>1183.5</v>
      </c>
    </row>
    <row r="1257" spans="1:23" x14ac:dyDescent="0.3">
      <c r="A1257" s="13" t="str" cm="1">
        <f t="array" ref="A1257:B1257">INDEX(BenchmarkResults!$B$1:$D$35,SUMPRODUCT((T1257&gt;=BenchmarkResults!$F$3:$F$35)*(mongodb_hardware_log!T1257&lt;BenchmarkResults!$G$3:$G$35)*ROW(BenchmarkResults!$F$3:$F$35)),{1,3})</f>
        <v>q2_avg_order_city</v>
      </c>
      <c r="B1257">
        <v>3</v>
      </c>
      <c r="C1257" s="13">
        <v>1</v>
      </c>
      <c r="D1257" s="13">
        <v>0</v>
      </c>
      <c r="E1257" s="13">
        <v>133376</v>
      </c>
      <c r="F1257" s="13">
        <v>644008</v>
      </c>
      <c r="G1257" s="13">
        <v>5596</v>
      </c>
      <c r="H1257" s="13">
        <v>1757184</v>
      </c>
      <c r="I1257" s="13">
        <v>0</v>
      </c>
      <c r="J1257" s="13">
        <v>0</v>
      </c>
      <c r="K1257" s="13">
        <v>1267</v>
      </c>
      <c r="L1257" s="13">
        <v>12</v>
      </c>
      <c r="M1257" s="13">
        <v>726</v>
      </c>
      <c r="N1257" s="13">
        <v>222</v>
      </c>
      <c r="O1257" s="13">
        <v>33</v>
      </c>
      <c r="P1257" s="13">
        <v>1</v>
      </c>
      <c r="Q1257" s="13">
        <v>65</v>
      </c>
      <c r="R1257" s="13">
        <v>1</v>
      </c>
      <c r="S1257" s="13">
        <v>0</v>
      </c>
      <c r="T1257" s="23">
        <v>46247.629571759258</v>
      </c>
      <c r="U1257" s="55">
        <f t="shared" si="57"/>
        <v>1</v>
      </c>
      <c r="V1257" s="55">
        <f t="shared" si="58"/>
        <v>0</v>
      </c>
      <c r="W1257" s="56">
        <f t="shared" si="59"/>
        <v>1201.6666666666667</v>
      </c>
    </row>
    <row r="1258" spans="1:23" x14ac:dyDescent="0.3">
      <c r="A1258" s="13" t="str" cm="1">
        <f t="array" ref="A1258:B1258">INDEX(BenchmarkResults!$B$1:$D$35,SUMPRODUCT((T1258&gt;=BenchmarkResults!$F$3:$F$35)*(mongodb_hardware_log!T1258&lt;BenchmarkResults!$G$3:$G$35)*ROW(BenchmarkResults!$F$3:$F$35)),{1,3})</f>
        <v>q2_avg_order_city</v>
      </c>
      <c r="B1258">
        <v>3</v>
      </c>
      <c r="C1258" s="13">
        <v>1</v>
      </c>
      <c r="D1258" s="13">
        <v>0</v>
      </c>
      <c r="E1258" s="13">
        <v>133376</v>
      </c>
      <c r="F1258" s="13">
        <v>628888</v>
      </c>
      <c r="G1258" s="13">
        <v>5612</v>
      </c>
      <c r="H1258" s="13">
        <v>1766904</v>
      </c>
      <c r="I1258" s="13">
        <v>0</v>
      </c>
      <c r="J1258" s="13">
        <v>0</v>
      </c>
      <c r="K1258" s="13">
        <v>978</v>
      </c>
      <c r="L1258" s="13">
        <v>24</v>
      </c>
      <c r="M1258" s="13">
        <v>689</v>
      </c>
      <c r="N1258" s="13">
        <v>198</v>
      </c>
      <c r="O1258" s="13">
        <v>34</v>
      </c>
      <c r="P1258" s="13">
        <v>1</v>
      </c>
      <c r="Q1258" s="13">
        <v>65</v>
      </c>
      <c r="R1258" s="13">
        <v>0</v>
      </c>
      <c r="S1258" s="13">
        <v>0</v>
      </c>
      <c r="T1258" s="23">
        <v>46247.629687499997</v>
      </c>
      <c r="U1258" s="55">
        <f t="shared" si="57"/>
        <v>1</v>
      </c>
      <c r="V1258" s="55">
        <f t="shared" si="58"/>
        <v>0</v>
      </c>
      <c r="W1258" s="56">
        <f t="shared" si="59"/>
        <v>1182.1666666666667</v>
      </c>
    </row>
    <row r="1259" spans="1:23" x14ac:dyDescent="0.3">
      <c r="A1259" s="13" t="str" cm="1">
        <f t="array" ref="A1259:B1259">INDEX(BenchmarkResults!$B$1:$D$35,SUMPRODUCT((T1259&gt;=BenchmarkResults!$F$3:$F$35)*(mongodb_hardware_log!T1259&lt;BenchmarkResults!$G$3:$G$35)*ROW(BenchmarkResults!$F$3:$F$35)),{1,3})</f>
        <v>q2_avg_order_city</v>
      </c>
      <c r="B1259">
        <v>3</v>
      </c>
      <c r="C1259" s="13">
        <v>1</v>
      </c>
      <c r="D1259" s="13">
        <v>0</v>
      </c>
      <c r="E1259" s="13">
        <v>133376</v>
      </c>
      <c r="F1259" s="13">
        <v>621248</v>
      </c>
      <c r="G1259" s="13">
        <v>5620</v>
      </c>
      <c r="H1259" s="13">
        <v>1779528</v>
      </c>
      <c r="I1259" s="13">
        <v>0</v>
      </c>
      <c r="J1259" s="13">
        <v>0</v>
      </c>
      <c r="K1259" s="13">
        <v>1260</v>
      </c>
      <c r="L1259" s="13">
        <v>11</v>
      </c>
      <c r="M1259" s="13">
        <v>709</v>
      </c>
      <c r="N1259" s="13">
        <v>215</v>
      </c>
      <c r="O1259" s="13">
        <v>34</v>
      </c>
      <c r="P1259" s="13">
        <v>1</v>
      </c>
      <c r="Q1259" s="13">
        <v>65</v>
      </c>
      <c r="R1259" s="13">
        <v>0</v>
      </c>
      <c r="S1259" s="13">
        <v>0</v>
      </c>
      <c r="T1259" s="23">
        <v>46247.629803240743</v>
      </c>
      <c r="U1259" s="55">
        <f t="shared" si="57"/>
        <v>1</v>
      </c>
      <c r="V1259" s="55">
        <f t="shared" si="58"/>
        <v>0</v>
      </c>
      <c r="W1259" s="56">
        <f t="shared" si="59"/>
        <v>1203.3333333333333</v>
      </c>
    </row>
    <row r="1260" spans="1:23" x14ac:dyDescent="0.3">
      <c r="A1260" s="13" t="str" cm="1">
        <f t="array" ref="A1260:B1260">INDEX(BenchmarkResults!$B$1:$D$35,SUMPRODUCT((T1260&gt;=BenchmarkResults!$F$3:$F$35)*(mongodb_hardware_log!T1260&lt;BenchmarkResults!$G$3:$G$35)*ROW(BenchmarkResults!$F$3:$F$35)),{1,3})</f>
        <v>q2_avg_order_city</v>
      </c>
      <c r="B1260">
        <v>3</v>
      </c>
      <c r="C1260" s="13">
        <v>1</v>
      </c>
      <c r="D1260" s="13">
        <v>0</v>
      </c>
      <c r="E1260" s="13">
        <v>133376</v>
      </c>
      <c r="F1260" s="13">
        <v>598820</v>
      </c>
      <c r="G1260" s="13">
        <v>5628</v>
      </c>
      <c r="H1260" s="13">
        <v>1795472</v>
      </c>
      <c r="I1260" s="13">
        <v>0</v>
      </c>
      <c r="J1260" s="13">
        <v>0</v>
      </c>
      <c r="K1260" s="13">
        <v>1600</v>
      </c>
      <c r="L1260" s="13">
        <v>11</v>
      </c>
      <c r="M1260" s="13">
        <v>725</v>
      </c>
      <c r="N1260" s="13">
        <v>213</v>
      </c>
      <c r="O1260" s="13">
        <v>34</v>
      </c>
      <c r="P1260" s="13">
        <v>1</v>
      </c>
      <c r="Q1260" s="13">
        <v>65</v>
      </c>
      <c r="R1260" s="13">
        <v>0</v>
      </c>
      <c r="S1260" s="13">
        <v>0</v>
      </c>
      <c r="T1260" s="23">
        <v>46247.629918981482</v>
      </c>
      <c r="U1260" s="55">
        <f t="shared" si="57"/>
        <v>1</v>
      </c>
      <c r="V1260" s="55">
        <f t="shared" si="58"/>
        <v>0</v>
      </c>
      <c r="W1260" s="56">
        <f t="shared" si="59"/>
        <v>1280.3333333333333</v>
      </c>
    </row>
    <row r="1261" spans="1:23" x14ac:dyDescent="0.3">
      <c r="A1261" s="13" t="str" cm="1">
        <f t="array" ref="A1261:B1261">INDEX(BenchmarkResults!$B$1:$D$35,SUMPRODUCT((T1261&gt;=BenchmarkResults!$F$3:$F$35)*(mongodb_hardware_log!T1261&lt;BenchmarkResults!$G$3:$G$35)*ROW(BenchmarkResults!$F$3:$F$35)),{1,3})</f>
        <v>q2_avg_order_city</v>
      </c>
      <c r="B1261">
        <v>3</v>
      </c>
      <c r="C1261" s="13">
        <v>1</v>
      </c>
      <c r="D1261" s="13">
        <v>0</v>
      </c>
      <c r="E1261" s="13">
        <v>133376</v>
      </c>
      <c r="F1261" s="13">
        <v>593276</v>
      </c>
      <c r="G1261" s="13">
        <v>5668</v>
      </c>
      <c r="H1261" s="13">
        <v>1807604</v>
      </c>
      <c r="I1261" s="13">
        <v>0</v>
      </c>
      <c r="J1261" s="13">
        <v>0</v>
      </c>
      <c r="K1261" s="13">
        <v>1206</v>
      </c>
      <c r="L1261" s="13">
        <v>34</v>
      </c>
      <c r="M1261" s="13">
        <v>709</v>
      </c>
      <c r="N1261" s="13">
        <v>220</v>
      </c>
      <c r="O1261" s="13">
        <v>33</v>
      </c>
      <c r="P1261" s="13">
        <v>1</v>
      </c>
      <c r="Q1261" s="13">
        <v>65</v>
      </c>
      <c r="R1261" s="13">
        <v>0</v>
      </c>
      <c r="S1261" s="13">
        <v>0</v>
      </c>
      <c r="T1261" s="23">
        <v>46247.63003472222</v>
      </c>
      <c r="U1261" s="55">
        <f t="shared" si="57"/>
        <v>1</v>
      </c>
      <c r="V1261" s="55">
        <f t="shared" si="58"/>
        <v>0</v>
      </c>
      <c r="W1261" s="56">
        <f t="shared" si="59"/>
        <v>1227.6666666666667</v>
      </c>
    </row>
    <row r="1262" spans="1:23" x14ac:dyDescent="0.3">
      <c r="A1262" s="13" t="str" cm="1">
        <f t="array" ref="A1262:B1262">INDEX(BenchmarkResults!$B$1:$D$35,SUMPRODUCT((T1262&gt;=BenchmarkResults!$F$3:$F$35)*(mongodb_hardware_log!T1262&lt;BenchmarkResults!$G$3:$G$35)*ROW(BenchmarkResults!$F$3:$F$35)),{1,3})</f>
        <v>q2_avg_order_city</v>
      </c>
      <c r="B1262">
        <v>3</v>
      </c>
      <c r="C1262" s="13">
        <v>1</v>
      </c>
      <c r="D1262" s="13">
        <v>0</v>
      </c>
      <c r="E1262" s="13">
        <v>133376</v>
      </c>
      <c r="F1262" s="13">
        <v>579164</v>
      </c>
      <c r="G1262" s="13">
        <v>5676</v>
      </c>
      <c r="H1262" s="13">
        <v>1818132</v>
      </c>
      <c r="I1262" s="13">
        <v>0</v>
      </c>
      <c r="J1262" s="13">
        <v>0</v>
      </c>
      <c r="K1262" s="13">
        <v>1053</v>
      </c>
      <c r="L1262" s="13">
        <v>19</v>
      </c>
      <c r="M1262" s="13">
        <v>706</v>
      </c>
      <c r="N1262" s="13">
        <v>207</v>
      </c>
      <c r="O1262" s="13">
        <v>33</v>
      </c>
      <c r="P1262" s="13">
        <v>1</v>
      </c>
      <c r="Q1262" s="13">
        <v>65</v>
      </c>
      <c r="R1262" s="13">
        <v>0</v>
      </c>
      <c r="S1262" s="13">
        <v>0</v>
      </c>
      <c r="T1262" s="23">
        <v>46247.630150462966</v>
      </c>
      <c r="U1262" s="55">
        <f t="shared" si="57"/>
        <v>1</v>
      </c>
      <c r="V1262" s="55">
        <f t="shared" si="58"/>
        <v>0</v>
      </c>
      <c r="W1262" s="56">
        <f t="shared" si="59"/>
        <v>1227.3333333333333</v>
      </c>
    </row>
    <row r="1263" spans="1:23" x14ac:dyDescent="0.3">
      <c r="A1263" s="13" t="str" cm="1">
        <f t="array" ref="A1263:B1263">INDEX(BenchmarkResults!$B$1:$D$35,SUMPRODUCT((T1263&gt;=BenchmarkResults!$F$3:$F$35)*(mongodb_hardware_log!T1263&lt;BenchmarkResults!$G$3:$G$35)*ROW(BenchmarkResults!$F$3:$F$35)),{1,3})</f>
        <v>q2_avg_order_city</v>
      </c>
      <c r="B1263">
        <v>3</v>
      </c>
      <c r="C1263" s="13">
        <v>1</v>
      </c>
      <c r="D1263" s="13">
        <v>0</v>
      </c>
      <c r="E1263" s="13">
        <v>133376</v>
      </c>
      <c r="F1263" s="13">
        <v>564044</v>
      </c>
      <c r="G1263" s="13">
        <v>5684</v>
      </c>
      <c r="H1263" s="13">
        <v>1830000</v>
      </c>
      <c r="I1263" s="13">
        <v>0</v>
      </c>
      <c r="J1263" s="13">
        <v>0</v>
      </c>
      <c r="K1263" s="13">
        <v>1186</v>
      </c>
      <c r="L1263" s="13">
        <v>10</v>
      </c>
      <c r="M1263" s="13">
        <v>707</v>
      </c>
      <c r="N1263" s="13">
        <v>209</v>
      </c>
      <c r="O1263" s="13">
        <v>33</v>
      </c>
      <c r="P1263" s="13">
        <v>1</v>
      </c>
      <c r="Q1263" s="13">
        <v>65</v>
      </c>
      <c r="R1263" s="13">
        <v>0</v>
      </c>
      <c r="S1263" s="13">
        <v>0</v>
      </c>
      <c r="T1263" s="23">
        <v>46247.630266203705</v>
      </c>
      <c r="U1263" s="55">
        <f t="shared" si="57"/>
        <v>1</v>
      </c>
      <c r="V1263" s="55">
        <f t="shared" si="58"/>
        <v>0</v>
      </c>
      <c r="W1263" s="56">
        <f t="shared" si="59"/>
        <v>1213.8333333333333</v>
      </c>
    </row>
    <row r="1264" spans="1:23" x14ac:dyDescent="0.3">
      <c r="A1264" s="13" t="str" cm="1">
        <f t="array" ref="A1264:B1264">INDEX(BenchmarkResults!$B$1:$D$35,SUMPRODUCT((T1264&gt;=BenchmarkResults!$F$3:$F$35)*(mongodb_hardware_log!T1264&lt;BenchmarkResults!$G$3:$G$35)*ROW(BenchmarkResults!$F$3:$F$35)),{1,3})</f>
        <v>q2_avg_order_city</v>
      </c>
      <c r="B1264">
        <v>3</v>
      </c>
      <c r="C1264" s="13">
        <v>1</v>
      </c>
      <c r="D1264" s="13">
        <v>0</v>
      </c>
      <c r="E1264" s="13">
        <v>133376</v>
      </c>
      <c r="F1264" s="13">
        <v>567748</v>
      </c>
      <c r="G1264" s="13">
        <v>5692</v>
      </c>
      <c r="H1264" s="13">
        <v>1841804</v>
      </c>
      <c r="I1264" s="13">
        <v>0</v>
      </c>
      <c r="J1264" s="13">
        <v>0</v>
      </c>
      <c r="K1264" s="13">
        <v>1178</v>
      </c>
      <c r="L1264" s="13">
        <v>12</v>
      </c>
      <c r="M1264" s="13">
        <v>713</v>
      </c>
      <c r="N1264" s="13">
        <v>216</v>
      </c>
      <c r="O1264" s="13">
        <v>34</v>
      </c>
      <c r="P1264" s="13">
        <v>1</v>
      </c>
      <c r="Q1264" s="13">
        <v>65</v>
      </c>
      <c r="R1264" s="13">
        <v>0</v>
      </c>
      <c r="S1264" s="13">
        <v>0</v>
      </c>
      <c r="T1264" s="23">
        <v>46247.630381944444</v>
      </c>
      <c r="U1264" s="55">
        <f t="shared" si="57"/>
        <v>1</v>
      </c>
      <c r="V1264" s="55">
        <f t="shared" si="58"/>
        <v>0</v>
      </c>
      <c r="W1264" s="56">
        <f t="shared" si="59"/>
        <v>1247.1666666666667</v>
      </c>
    </row>
    <row r="1265" spans="1:23" x14ac:dyDescent="0.3">
      <c r="A1265" s="13" t="str" cm="1">
        <f t="array" ref="A1265:B1265">INDEX(BenchmarkResults!$B$1:$D$35,SUMPRODUCT((T1265&gt;=BenchmarkResults!$F$3:$F$35)*(mongodb_hardware_log!T1265&lt;BenchmarkResults!$G$3:$G$35)*ROW(BenchmarkResults!$F$3:$F$35)),{1,3})</f>
        <v>q2_avg_order_city</v>
      </c>
      <c r="B1265">
        <v>3</v>
      </c>
      <c r="C1265" s="13">
        <v>1</v>
      </c>
      <c r="D1265" s="13">
        <v>0</v>
      </c>
      <c r="E1265" s="13">
        <v>133376</v>
      </c>
      <c r="F1265" s="13">
        <v>548344</v>
      </c>
      <c r="G1265" s="13">
        <v>5708</v>
      </c>
      <c r="H1265" s="13">
        <v>1855612</v>
      </c>
      <c r="I1265" s="13">
        <v>0</v>
      </c>
      <c r="J1265" s="13">
        <v>0</v>
      </c>
      <c r="K1265" s="13">
        <v>1389</v>
      </c>
      <c r="L1265" s="13">
        <v>25</v>
      </c>
      <c r="M1265" s="13">
        <v>714</v>
      </c>
      <c r="N1265" s="13">
        <v>212</v>
      </c>
      <c r="O1265" s="13">
        <v>33</v>
      </c>
      <c r="P1265" s="13">
        <v>1</v>
      </c>
      <c r="Q1265" s="13">
        <v>65</v>
      </c>
      <c r="R1265" s="13">
        <v>1</v>
      </c>
      <c r="S1265" s="13">
        <v>0</v>
      </c>
      <c r="T1265" s="23">
        <v>46247.630497685182</v>
      </c>
      <c r="U1265" s="55">
        <f t="shared" si="57"/>
        <v>1</v>
      </c>
      <c r="V1265" s="55">
        <f t="shared" si="58"/>
        <v>0</v>
      </c>
      <c r="W1265" s="56">
        <f t="shared" si="59"/>
        <v>1268.6666666666667</v>
      </c>
    </row>
    <row r="1266" spans="1:23" x14ac:dyDescent="0.3">
      <c r="A1266" s="13" t="str" cm="1">
        <f t="array" ref="A1266:B1266">INDEX(BenchmarkResults!$B$1:$D$35,SUMPRODUCT((T1266&gt;=BenchmarkResults!$F$3:$F$35)*(mongodb_hardware_log!T1266&lt;BenchmarkResults!$G$3:$G$35)*ROW(BenchmarkResults!$F$3:$F$35)),{1,3})</f>
        <v>q2_avg_order_city</v>
      </c>
      <c r="B1266">
        <v>3</v>
      </c>
      <c r="C1266" s="13">
        <v>1</v>
      </c>
      <c r="D1266" s="13">
        <v>0</v>
      </c>
      <c r="E1266" s="13">
        <v>133376</v>
      </c>
      <c r="F1266" s="13">
        <v>536780</v>
      </c>
      <c r="G1266" s="13">
        <v>5716</v>
      </c>
      <c r="H1266" s="13">
        <v>1870064</v>
      </c>
      <c r="I1266" s="13">
        <v>0</v>
      </c>
      <c r="J1266" s="13">
        <v>0</v>
      </c>
      <c r="K1266" s="13">
        <v>1438</v>
      </c>
      <c r="L1266" s="13">
        <v>10</v>
      </c>
      <c r="M1266" s="13">
        <v>733</v>
      </c>
      <c r="N1266" s="13">
        <v>226</v>
      </c>
      <c r="O1266" s="13">
        <v>33</v>
      </c>
      <c r="P1266" s="13">
        <v>1</v>
      </c>
      <c r="Q1266" s="13">
        <v>65</v>
      </c>
      <c r="R1266" s="13">
        <v>0</v>
      </c>
      <c r="S1266" s="13">
        <v>0</v>
      </c>
      <c r="T1266" s="23">
        <v>46247.630613425928</v>
      </c>
      <c r="U1266" s="55">
        <f t="shared" si="57"/>
        <v>1</v>
      </c>
      <c r="V1266" s="55">
        <f t="shared" si="58"/>
        <v>0</v>
      </c>
      <c r="W1266" s="56">
        <f t="shared" si="59"/>
        <v>1241.6666666666667</v>
      </c>
    </row>
    <row r="1267" spans="1:23" x14ac:dyDescent="0.3">
      <c r="A1267" s="13" t="str" cm="1">
        <f t="array" ref="A1267:B1267">INDEX(BenchmarkResults!$B$1:$D$35,SUMPRODUCT((T1267&gt;=BenchmarkResults!$F$3:$F$35)*(mongodb_hardware_log!T1267&lt;BenchmarkResults!$G$3:$G$35)*ROW(BenchmarkResults!$F$3:$F$35)),{1,3})</f>
        <v>q2_avg_order_city</v>
      </c>
      <c r="B1267">
        <v>3</v>
      </c>
      <c r="C1267" s="13">
        <v>1</v>
      </c>
      <c r="D1267" s="13">
        <v>0</v>
      </c>
      <c r="E1267" s="13">
        <v>133376</v>
      </c>
      <c r="F1267" s="13">
        <v>527960</v>
      </c>
      <c r="G1267" s="13">
        <v>5748</v>
      </c>
      <c r="H1267" s="13">
        <v>1881016</v>
      </c>
      <c r="I1267" s="13">
        <v>0</v>
      </c>
      <c r="J1267" s="13">
        <v>0</v>
      </c>
      <c r="K1267" s="13">
        <v>1102</v>
      </c>
      <c r="L1267" s="13">
        <v>40</v>
      </c>
      <c r="M1267" s="13">
        <v>706</v>
      </c>
      <c r="N1267" s="13">
        <v>212</v>
      </c>
      <c r="O1267" s="13">
        <v>33</v>
      </c>
      <c r="P1267" s="13">
        <v>1</v>
      </c>
      <c r="Q1267" s="13">
        <v>65</v>
      </c>
      <c r="R1267" s="13">
        <v>1</v>
      </c>
      <c r="S1267" s="13">
        <v>0</v>
      </c>
      <c r="T1267" s="23">
        <v>46247.630729166667</v>
      </c>
      <c r="U1267" s="55">
        <f t="shared" si="57"/>
        <v>1</v>
      </c>
      <c r="V1267" s="55">
        <f t="shared" si="58"/>
        <v>0</v>
      </c>
      <c r="W1267" s="56">
        <f t="shared" si="59"/>
        <v>1224.3333333333333</v>
      </c>
    </row>
    <row r="1268" spans="1:23" x14ac:dyDescent="0.3">
      <c r="A1268" s="13" t="str" cm="1">
        <f t="array" ref="A1268:B1268">INDEX(BenchmarkResults!$B$1:$D$35,SUMPRODUCT((T1268&gt;=BenchmarkResults!$F$3:$F$35)*(mongodb_hardware_log!T1268&lt;BenchmarkResults!$G$3:$G$35)*ROW(BenchmarkResults!$F$3:$F$35)),{1,3})</f>
        <v>q2_avg_order_city</v>
      </c>
      <c r="B1268">
        <v>3</v>
      </c>
      <c r="C1268" s="13">
        <v>1</v>
      </c>
      <c r="D1268" s="13">
        <v>0</v>
      </c>
      <c r="E1268" s="13">
        <v>133376</v>
      </c>
      <c r="F1268" s="13">
        <v>527708</v>
      </c>
      <c r="G1268" s="13">
        <v>5756</v>
      </c>
      <c r="H1268" s="13">
        <v>1890912</v>
      </c>
      <c r="I1268" s="13">
        <v>0</v>
      </c>
      <c r="J1268" s="13">
        <v>0</v>
      </c>
      <c r="K1268" s="13">
        <v>984</v>
      </c>
      <c r="L1268" s="13">
        <v>8</v>
      </c>
      <c r="M1268" s="13">
        <v>715</v>
      </c>
      <c r="N1268" s="13">
        <v>212</v>
      </c>
      <c r="O1268" s="13">
        <v>33</v>
      </c>
      <c r="P1268" s="13">
        <v>1</v>
      </c>
      <c r="Q1268" s="13">
        <v>65</v>
      </c>
      <c r="R1268" s="13">
        <v>1</v>
      </c>
      <c r="S1268" s="13">
        <v>0</v>
      </c>
      <c r="T1268" s="23">
        <v>46247.630844907406</v>
      </c>
      <c r="U1268" s="55">
        <f t="shared" si="57"/>
        <v>1</v>
      </c>
      <c r="V1268" s="55">
        <f t="shared" si="58"/>
        <v>0</v>
      </c>
      <c r="W1268" s="56">
        <f t="shared" si="59"/>
        <v>1212.8333333333333</v>
      </c>
    </row>
    <row r="1269" spans="1:23" x14ac:dyDescent="0.3">
      <c r="A1269" s="13" t="str" cm="1">
        <f t="array" ref="A1269:B1269">INDEX(BenchmarkResults!$B$1:$D$35,SUMPRODUCT((T1269&gt;=BenchmarkResults!$F$3:$F$35)*(mongodb_hardware_log!T1269&lt;BenchmarkResults!$G$3:$G$35)*ROW(BenchmarkResults!$F$3:$F$35)),{1,3})</f>
        <v>q2_avg_order_city</v>
      </c>
      <c r="B1269">
        <v>3</v>
      </c>
      <c r="C1269" s="13">
        <v>1</v>
      </c>
      <c r="D1269" s="13">
        <v>0</v>
      </c>
      <c r="E1269" s="13">
        <v>133376</v>
      </c>
      <c r="F1269" s="13">
        <v>511832</v>
      </c>
      <c r="G1269" s="13">
        <v>5764</v>
      </c>
      <c r="H1269" s="13">
        <v>1904976</v>
      </c>
      <c r="I1269" s="13">
        <v>0</v>
      </c>
      <c r="J1269" s="13">
        <v>0</v>
      </c>
      <c r="K1269" s="13">
        <v>1406</v>
      </c>
      <c r="L1269" s="13">
        <v>11</v>
      </c>
      <c r="M1269" s="13">
        <v>724</v>
      </c>
      <c r="N1269" s="13">
        <v>216</v>
      </c>
      <c r="O1269" s="13">
        <v>33</v>
      </c>
      <c r="P1269" s="13">
        <v>1</v>
      </c>
      <c r="Q1269" s="13">
        <v>65</v>
      </c>
      <c r="R1269" s="13">
        <v>1</v>
      </c>
      <c r="S1269" s="13">
        <v>0</v>
      </c>
      <c r="T1269" s="23">
        <v>46247.630960648145</v>
      </c>
      <c r="U1269" s="55">
        <f t="shared" si="57"/>
        <v>1</v>
      </c>
      <c r="V1269" s="55">
        <f t="shared" si="58"/>
        <v>0</v>
      </c>
      <c r="W1269" s="56">
        <f t="shared" si="59"/>
        <v>1249.5</v>
      </c>
    </row>
    <row r="1270" spans="1:23" x14ac:dyDescent="0.3">
      <c r="A1270" s="13" t="str" cm="1">
        <f t="array" ref="A1270:B1270">INDEX(BenchmarkResults!$B$1:$D$35,SUMPRODUCT((T1270&gt;=BenchmarkResults!$F$3:$F$35)*(mongodb_hardware_log!T1270&lt;BenchmarkResults!$G$3:$G$35)*ROW(BenchmarkResults!$F$3:$F$35)),{1,3})</f>
        <v>q2_avg_order_city</v>
      </c>
      <c r="B1270">
        <v>3</v>
      </c>
      <c r="C1270" s="13">
        <v>1</v>
      </c>
      <c r="D1270" s="13">
        <v>0</v>
      </c>
      <c r="E1270" s="13">
        <v>133376</v>
      </c>
      <c r="F1270" s="13">
        <v>500996</v>
      </c>
      <c r="G1270" s="13">
        <v>5772</v>
      </c>
      <c r="H1270" s="13">
        <v>1914424</v>
      </c>
      <c r="I1270" s="13">
        <v>0</v>
      </c>
      <c r="J1270" s="13">
        <v>0</v>
      </c>
      <c r="K1270" s="13">
        <v>944</v>
      </c>
      <c r="L1270" s="13">
        <v>13</v>
      </c>
      <c r="M1270" s="13">
        <v>702</v>
      </c>
      <c r="N1270" s="13">
        <v>200</v>
      </c>
      <c r="O1270" s="13">
        <v>33</v>
      </c>
      <c r="P1270" s="13">
        <v>1</v>
      </c>
      <c r="Q1270" s="13">
        <v>65</v>
      </c>
      <c r="R1270" s="13">
        <v>0</v>
      </c>
      <c r="S1270" s="13">
        <v>0</v>
      </c>
      <c r="T1270" s="23">
        <v>46247.631076388891</v>
      </c>
      <c r="U1270" s="55">
        <f t="shared" si="57"/>
        <v>1</v>
      </c>
      <c r="V1270" s="55">
        <f t="shared" si="58"/>
        <v>0</v>
      </c>
      <c r="W1270" s="56">
        <f t="shared" si="59"/>
        <v>1210.5</v>
      </c>
    </row>
    <row r="1271" spans="1:23" x14ac:dyDescent="0.3">
      <c r="A1271" s="13" t="str" cm="1">
        <f t="array" ref="A1271:B1271">INDEX(BenchmarkResults!$B$1:$D$35,SUMPRODUCT((T1271&gt;=BenchmarkResults!$F$3:$F$35)*(mongodb_hardware_log!T1271&lt;BenchmarkResults!$G$3:$G$35)*ROW(BenchmarkResults!$F$3:$F$35)),{1,3})</f>
        <v>q2_avg_order_city</v>
      </c>
      <c r="B1271">
        <v>3</v>
      </c>
      <c r="C1271" s="13">
        <v>1</v>
      </c>
      <c r="D1271" s="13">
        <v>0</v>
      </c>
      <c r="E1271" s="13">
        <v>133376</v>
      </c>
      <c r="F1271" s="13">
        <v>487136</v>
      </c>
      <c r="G1271" s="13">
        <v>5788</v>
      </c>
      <c r="H1271" s="13">
        <v>1930060</v>
      </c>
      <c r="I1271" s="13">
        <v>0</v>
      </c>
      <c r="J1271" s="13">
        <v>0</v>
      </c>
      <c r="K1271" s="13">
        <v>1568</v>
      </c>
      <c r="L1271" s="13">
        <v>18</v>
      </c>
      <c r="M1271" s="13">
        <v>708</v>
      </c>
      <c r="N1271" s="13">
        <v>205</v>
      </c>
      <c r="O1271" s="13">
        <v>33</v>
      </c>
      <c r="P1271" s="13">
        <v>1</v>
      </c>
      <c r="Q1271" s="13">
        <v>65</v>
      </c>
      <c r="R1271" s="13">
        <v>1</v>
      </c>
      <c r="S1271" s="13">
        <v>0</v>
      </c>
      <c r="T1271" s="23">
        <v>46247.631192129629</v>
      </c>
      <c r="U1271" s="55">
        <f t="shared" si="57"/>
        <v>1</v>
      </c>
      <c r="V1271" s="55">
        <f t="shared" si="58"/>
        <v>0</v>
      </c>
      <c r="W1271" s="56">
        <f t="shared" si="59"/>
        <v>1240.3333333333333</v>
      </c>
    </row>
    <row r="1272" spans="1:23" x14ac:dyDescent="0.3">
      <c r="A1272" s="13" t="str" cm="1">
        <f t="array" ref="A1272:B1272">INDEX(BenchmarkResults!$B$1:$D$35,SUMPRODUCT((T1272&gt;=BenchmarkResults!$F$3:$F$35)*(mongodb_hardware_log!T1272&lt;BenchmarkResults!$G$3:$G$35)*ROW(BenchmarkResults!$F$3:$F$35)),{1,3})</f>
        <v>q2_avg_order_city</v>
      </c>
      <c r="B1272">
        <v>3</v>
      </c>
      <c r="C1272" s="13">
        <v>1</v>
      </c>
      <c r="D1272" s="13">
        <v>0</v>
      </c>
      <c r="E1272" s="13">
        <v>133376</v>
      </c>
      <c r="F1272" s="13">
        <v>473532</v>
      </c>
      <c r="G1272" s="13">
        <v>5812</v>
      </c>
      <c r="H1272" s="13">
        <v>1941896</v>
      </c>
      <c r="I1272" s="13">
        <v>0</v>
      </c>
      <c r="J1272" s="13">
        <v>0</v>
      </c>
      <c r="K1272" s="13">
        <v>1180</v>
      </c>
      <c r="L1272" s="13">
        <v>9</v>
      </c>
      <c r="M1272" s="13">
        <v>730</v>
      </c>
      <c r="N1272" s="13">
        <v>224</v>
      </c>
      <c r="O1272" s="13">
        <v>33</v>
      </c>
      <c r="P1272" s="13">
        <v>1</v>
      </c>
      <c r="Q1272" s="13">
        <v>65</v>
      </c>
      <c r="R1272" s="13">
        <v>0</v>
      </c>
      <c r="S1272" s="13">
        <v>0</v>
      </c>
      <c r="T1272" s="23">
        <v>46247.631307870368</v>
      </c>
      <c r="U1272" s="55">
        <f t="shared" si="57"/>
        <v>1</v>
      </c>
      <c r="V1272" s="55">
        <f t="shared" si="58"/>
        <v>0</v>
      </c>
      <c r="W1272" s="56">
        <f t="shared" si="59"/>
        <v>1197.3333333333333</v>
      </c>
    </row>
    <row r="1273" spans="1:23" x14ac:dyDescent="0.3">
      <c r="A1273" s="13" t="str" cm="1">
        <f t="array" ref="A1273:B1273">INDEX(BenchmarkResults!$B$1:$D$35,SUMPRODUCT((T1273&gt;=BenchmarkResults!$F$3:$F$35)*(mongodb_hardware_log!T1273&lt;BenchmarkResults!$G$3:$G$35)*ROW(BenchmarkResults!$F$3:$F$35)),{1,3})</f>
        <v>q2_avg_order_city</v>
      </c>
      <c r="B1273">
        <v>3</v>
      </c>
      <c r="C1273" s="13">
        <v>1</v>
      </c>
      <c r="D1273" s="13">
        <v>0</v>
      </c>
      <c r="E1273" s="13">
        <v>133376</v>
      </c>
      <c r="F1273" s="13">
        <v>457656</v>
      </c>
      <c r="G1273" s="13">
        <v>5860</v>
      </c>
      <c r="H1273" s="13">
        <v>1953680</v>
      </c>
      <c r="I1273" s="13">
        <v>0</v>
      </c>
      <c r="J1273" s="13">
        <v>0</v>
      </c>
      <c r="K1273" s="13">
        <v>1172</v>
      </c>
      <c r="L1273" s="13">
        <v>44</v>
      </c>
      <c r="M1273" s="13">
        <v>733</v>
      </c>
      <c r="N1273" s="13">
        <v>240</v>
      </c>
      <c r="O1273" s="13">
        <v>33</v>
      </c>
      <c r="P1273" s="13">
        <v>1</v>
      </c>
      <c r="Q1273" s="13">
        <v>65</v>
      </c>
      <c r="R1273" s="13">
        <v>0</v>
      </c>
      <c r="S1273" s="13">
        <v>0</v>
      </c>
      <c r="T1273" s="23">
        <v>46247.631423611114</v>
      </c>
      <c r="U1273" s="55">
        <f t="shared" si="57"/>
        <v>1</v>
      </c>
      <c r="V1273" s="55">
        <f t="shared" si="58"/>
        <v>0</v>
      </c>
      <c r="W1273" s="56">
        <f t="shared" si="59"/>
        <v>1209</v>
      </c>
    </row>
    <row r="1274" spans="1:23" x14ac:dyDescent="0.3">
      <c r="A1274" s="13" t="str" cm="1">
        <f t="array" ref="A1274:B1274">INDEX(BenchmarkResults!$B$1:$D$35,SUMPRODUCT((T1274&gt;=BenchmarkResults!$F$3:$F$35)*(mongodb_hardware_log!T1274&lt;BenchmarkResults!$G$3:$G$35)*ROW(BenchmarkResults!$F$3:$F$35)),{1,3})</f>
        <v>q2_avg_order_city</v>
      </c>
      <c r="B1274">
        <v>3</v>
      </c>
      <c r="C1274" s="13">
        <v>1</v>
      </c>
      <c r="D1274" s="13">
        <v>0</v>
      </c>
      <c r="E1274" s="13">
        <v>133376</v>
      </c>
      <c r="F1274" s="13">
        <v>442536</v>
      </c>
      <c r="G1274" s="13">
        <v>5868</v>
      </c>
      <c r="H1274" s="13">
        <v>1965280</v>
      </c>
      <c r="I1274" s="13">
        <v>0</v>
      </c>
      <c r="J1274" s="13">
        <v>0</v>
      </c>
      <c r="K1274" s="13">
        <v>1160</v>
      </c>
      <c r="L1274" s="13">
        <v>12</v>
      </c>
      <c r="M1274" s="13">
        <v>703</v>
      </c>
      <c r="N1274" s="13">
        <v>203</v>
      </c>
      <c r="O1274" s="13">
        <v>33</v>
      </c>
      <c r="P1274" s="13">
        <v>1</v>
      </c>
      <c r="Q1274" s="13">
        <v>65</v>
      </c>
      <c r="R1274" s="13">
        <v>0</v>
      </c>
      <c r="S1274" s="13">
        <v>0</v>
      </c>
      <c r="T1274" s="23">
        <v>46247.631539351853</v>
      </c>
      <c r="U1274" s="55">
        <f t="shared" si="57"/>
        <v>1</v>
      </c>
      <c r="V1274" s="55">
        <f t="shared" si="58"/>
        <v>0</v>
      </c>
      <c r="W1274" s="56">
        <f t="shared" si="59"/>
        <v>1238.3333333333333</v>
      </c>
    </row>
    <row r="1275" spans="1:23" x14ac:dyDescent="0.3">
      <c r="A1275" s="13" t="str" cm="1">
        <f t="array" ref="A1275:B1275">INDEX(BenchmarkResults!$B$1:$D$35,SUMPRODUCT((T1275&gt;=BenchmarkResults!$F$3:$F$35)*(mongodb_hardware_log!T1275&lt;BenchmarkResults!$G$3:$G$35)*ROW(BenchmarkResults!$F$3:$F$35)),{1,3})</f>
        <v>q2_avg_order_city</v>
      </c>
      <c r="B1275">
        <v>3</v>
      </c>
      <c r="C1275" s="13">
        <v>1</v>
      </c>
      <c r="D1275" s="13">
        <v>0</v>
      </c>
      <c r="E1275" s="13">
        <v>133376</v>
      </c>
      <c r="F1275" s="13">
        <v>437808</v>
      </c>
      <c r="G1275" s="13">
        <v>5884</v>
      </c>
      <c r="H1275" s="13">
        <v>1977916</v>
      </c>
      <c r="I1275" s="13">
        <v>0</v>
      </c>
      <c r="J1275" s="13">
        <v>0</v>
      </c>
      <c r="K1275" s="13">
        <v>1263</v>
      </c>
      <c r="L1275" s="13">
        <v>38</v>
      </c>
      <c r="M1275" s="13">
        <v>730</v>
      </c>
      <c r="N1275" s="13">
        <v>229</v>
      </c>
      <c r="O1275" s="13">
        <v>33</v>
      </c>
      <c r="P1275" s="13">
        <v>1</v>
      </c>
      <c r="Q1275" s="13">
        <v>65</v>
      </c>
      <c r="R1275" s="13">
        <v>1</v>
      </c>
      <c r="S1275" s="13">
        <v>0</v>
      </c>
      <c r="T1275" s="23">
        <v>46247.631655092591</v>
      </c>
      <c r="U1275" s="55">
        <f t="shared" si="57"/>
        <v>1</v>
      </c>
      <c r="V1275" s="55">
        <f t="shared" si="58"/>
        <v>0</v>
      </c>
      <c r="W1275" s="56">
        <f t="shared" si="59"/>
        <v>1214.5</v>
      </c>
    </row>
    <row r="1276" spans="1:23" x14ac:dyDescent="0.3">
      <c r="A1276" s="13" t="str" cm="1">
        <f t="array" ref="A1276:B1276">INDEX(BenchmarkResults!$B$1:$D$35,SUMPRODUCT((T1276&gt;=BenchmarkResults!$F$3:$F$35)*(mongodb_hardware_log!T1276&lt;BenchmarkResults!$G$3:$G$35)*ROW(BenchmarkResults!$F$3:$F$35)),{1,3})</f>
        <v>q2_avg_order_city</v>
      </c>
      <c r="B1276">
        <v>3</v>
      </c>
      <c r="C1276" s="13">
        <v>1</v>
      </c>
      <c r="D1276" s="13">
        <v>0</v>
      </c>
      <c r="E1276" s="13">
        <v>133376</v>
      </c>
      <c r="F1276" s="13">
        <v>422216</v>
      </c>
      <c r="G1276" s="13">
        <v>5892</v>
      </c>
      <c r="H1276" s="13">
        <v>1989264</v>
      </c>
      <c r="I1276" s="13">
        <v>0</v>
      </c>
      <c r="J1276" s="13">
        <v>0</v>
      </c>
      <c r="K1276" s="13">
        <v>1135</v>
      </c>
      <c r="L1276" s="13">
        <v>8</v>
      </c>
      <c r="M1276" s="13">
        <v>740</v>
      </c>
      <c r="N1276" s="13">
        <v>256</v>
      </c>
      <c r="O1276" s="13">
        <v>33</v>
      </c>
      <c r="P1276" s="13">
        <v>1</v>
      </c>
      <c r="Q1276" s="13">
        <v>65</v>
      </c>
      <c r="R1276" s="13">
        <v>1</v>
      </c>
      <c r="S1276" s="13">
        <v>0</v>
      </c>
      <c r="T1276" s="23">
        <v>46247.63177083333</v>
      </c>
      <c r="U1276" s="55">
        <f t="shared" si="57"/>
        <v>1</v>
      </c>
      <c r="V1276" s="55">
        <f t="shared" si="58"/>
        <v>0</v>
      </c>
      <c r="W1276" s="56">
        <f t="shared" si="59"/>
        <v>1246.3333333333333</v>
      </c>
    </row>
    <row r="1277" spans="1:23" x14ac:dyDescent="0.3">
      <c r="A1277" s="13" t="str" cm="1">
        <f t="array" ref="A1277:B1277">INDEX(BenchmarkResults!$B$1:$D$35,SUMPRODUCT((T1277&gt;=BenchmarkResults!$F$3:$F$35)*(mongodb_hardware_log!T1277&lt;BenchmarkResults!$G$3:$G$35)*ROW(BenchmarkResults!$F$3:$F$35)),{1,3})</f>
        <v>q2_avg_order_city</v>
      </c>
      <c r="B1277">
        <v>3</v>
      </c>
      <c r="C1277" s="13">
        <v>1</v>
      </c>
      <c r="D1277" s="13">
        <v>0</v>
      </c>
      <c r="E1277" s="13">
        <v>133376</v>
      </c>
      <c r="F1277" s="13">
        <v>417088</v>
      </c>
      <c r="G1277" s="13">
        <v>5900</v>
      </c>
      <c r="H1277" s="13">
        <v>1999744</v>
      </c>
      <c r="I1277" s="13">
        <v>0</v>
      </c>
      <c r="J1277" s="13">
        <v>0</v>
      </c>
      <c r="K1277" s="13">
        <v>1048</v>
      </c>
      <c r="L1277" s="13">
        <v>15</v>
      </c>
      <c r="M1277" s="13">
        <v>708</v>
      </c>
      <c r="N1277" s="13">
        <v>207</v>
      </c>
      <c r="O1277" s="13">
        <v>33</v>
      </c>
      <c r="P1277" s="13">
        <v>1</v>
      </c>
      <c r="Q1277" s="13">
        <v>65</v>
      </c>
      <c r="R1277" s="13">
        <v>0</v>
      </c>
      <c r="S1277" s="13">
        <v>0</v>
      </c>
      <c r="T1277" s="23">
        <v>46247.631886574076</v>
      </c>
      <c r="U1277" s="55">
        <f t="shared" si="57"/>
        <v>1</v>
      </c>
      <c r="V1277" s="55">
        <f t="shared" si="58"/>
        <v>0</v>
      </c>
      <c r="W1277" s="56">
        <f t="shared" si="59"/>
        <v>1159.6666666666667</v>
      </c>
    </row>
    <row r="1278" spans="1:23" x14ac:dyDescent="0.3">
      <c r="A1278" s="13" t="str" cm="1">
        <f t="array" ref="A1278:B1278">INDEX(BenchmarkResults!$B$1:$D$35,SUMPRODUCT((T1278&gt;=BenchmarkResults!$F$3:$F$35)*(mongodb_hardware_log!T1278&lt;BenchmarkResults!$G$3:$G$35)*ROW(BenchmarkResults!$F$3:$F$35)),{1,3})</f>
        <v>q2_avg_order_city</v>
      </c>
      <c r="B1278">
        <v>3</v>
      </c>
      <c r="C1278" s="13">
        <v>1</v>
      </c>
      <c r="D1278" s="13">
        <v>0</v>
      </c>
      <c r="E1278" s="13">
        <v>133376</v>
      </c>
      <c r="F1278" s="13">
        <v>402976</v>
      </c>
      <c r="G1278" s="13">
        <v>5908</v>
      </c>
      <c r="H1278" s="13">
        <v>2013740</v>
      </c>
      <c r="I1278" s="13">
        <v>0</v>
      </c>
      <c r="J1278" s="13">
        <v>0</v>
      </c>
      <c r="K1278" s="13">
        <v>1399</v>
      </c>
      <c r="L1278" s="13">
        <v>13</v>
      </c>
      <c r="M1278" s="13">
        <v>741</v>
      </c>
      <c r="N1278" s="13">
        <v>231</v>
      </c>
      <c r="O1278" s="13">
        <v>33</v>
      </c>
      <c r="P1278" s="13">
        <v>1</v>
      </c>
      <c r="Q1278" s="13">
        <v>65</v>
      </c>
      <c r="R1278" s="13">
        <v>1</v>
      </c>
      <c r="S1278" s="13">
        <v>0</v>
      </c>
      <c r="T1278" s="23">
        <v>46247.632002314815</v>
      </c>
      <c r="U1278" s="55">
        <f t="shared" si="57"/>
        <v>1</v>
      </c>
      <c r="V1278" s="55">
        <f t="shared" si="58"/>
        <v>0</v>
      </c>
      <c r="W1278" s="56">
        <f t="shared" si="59"/>
        <v>1196.1666666666667</v>
      </c>
    </row>
    <row r="1279" spans="1:23" x14ac:dyDescent="0.3">
      <c r="A1279" s="13" t="str" cm="1">
        <f t="array" ref="A1279:B1279">INDEX(BenchmarkResults!$B$1:$D$35,SUMPRODUCT((T1279&gt;=BenchmarkResults!$F$3:$F$35)*(mongodb_hardware_log!T1279&lt;BenchmarkResults!$G$3:$G$35)*ROW(BenchmarkResults!$F$3:$F$35)),{1,3})</f>
        <v>q2_avg_order_city</v>
      </c>
      <c r="B1279">
        <v>3</v>
      </c>
      <c r="C1279" s="13">
        <v>1</v>
      </c>
      <c r="D1279" s="13">
        <v>0</v>
      </c>
      <c r="E1279" s="13">
        <v>133376</v>
      </c>
      <c r="F1279" s="13">
        <v>386848</v>
      </c>
      <c r="G1279" s="13">
        <v>5940</v>
      </c>
      <c r="H1279" s="13">
        <v>2025216</v>
      </c>
      <c r="I1279" s="13">
        <v>0</v>
      </c>
      <c r="J1279" s="13">
        <v>0</v>
      </c>
      <c r="K1279" s="13">
        <v>1144</v>
      </c>
      <c r="L1279" s="13">
        <v>31</v>
      </c>
      <c r="M1279" s="13">
        <v>711</v>
      </c>
      <c r="N1279" s="13">
        <v>220</v>
      </c>
      <c r="O1279" s="13">
        <v>33</v>
      </c>
      <c r="P1279" s="13">
        <v>1</v>
      </c>
      <c r="Q1279" s="13">
        <v>65</v>
      </c>
      <c r="R1279" s="13">
        <v>0</v>
      </c>
      <c r="S1279" s="13">
        <v>0</v>
      </c>
      <c r="T1279" s="23">
        <v>46247.632118055553</v>
      </c>
      <c r="U1279" s="55">
        <f t="shared" si="57"/>
        <v>1</v>
      </c>
      <c r="V1279" s="55">
        <f t="shared" si="58"/>
        <v>0</v>
      </c>
      <c r="W1279" s="56">
        <f t="shared" si="59"/>
        <v>1191.5</v>
      </c>
    </row>
    <row r="1280" spans="1:23" x14ac:dyDescent="0.3">
      <c r="A1280" s="13" t="str" cm="1">
        <f t="array" ref="A1280:B1280">INDEX(BenchmarkResults!$B$1:$D$35,SUMPRODUCT((T1280&gt;=BenchmarkResults!$F$3:$F$35)*(mongodb_hardware_log!T1280&lt;BenchmarkResults!$G$3:$G$35)*ROW(BenchmarkResults!$F$3:$F$35)),{1,3})</f>
        <v>q2_avg_order_city</v>
      </c>
      <c r="B1280">
        <v>3</v>
      </c>
      <c r="C1280" s="13">
        <v>1</v>
      </c>
      <c r="D1280" s="13">
        <v>0</v>
      </c>
      <c r="E1280" s="13">
        <v>133376</v>
      </c>
      <c r="F1280" s="13">
        <v>379068</v>
      </c>
      <c r="G1280" s="13">
        <v>5956</v>
      </c>
      <c r="H1280" s="13">
        <v>2037260</v>
      </c>
      <c r="I1280" s="13">
        <v>0</v>
      </c>
      <c r="J1280" s="13">
        <v>0</v>
      </c>
      <c r="K1280" s="13">
        <v>1207</v>
      </c>
      <c r="L1280" s="13">
        <v>40</v>
      </c>
      <c r="M1280" s="13">
        <v>726</v>
      </c>
      <c r="N1280" s="13">
        <v>225</v>
      </c>
      <c r="O1280" s="13">
        <v>33</v>
      </c>
      <c r="P1280" s="13">
        <v>1</v>
      </c>
      <c r="Q1280" s="13">
        <v>65</v>
      </c>
      <c r="R1280" s="13">
        <v>0</v>
      </c>
      <c r="S1280" s="13">
        <v>0</v>
      </c>
      <c r="T1280" s="23">
        <v>46247.632233796299</v>
      </c>
      <c r="U1280" s="55">
        <f t="shared" si="57"/>
        <v>1</v>
      </c>
      <c r="V1280" s="55">
        <f t="shared" si="58"/>
        <v>0</v>
      </c>
      <c r="W1280" s="56">
        <f t="shared" si="59"/>
        <v>1199.3333333333333</v>
      </c>
    </row>
    <row r="1281" spans="1:23" x14ac:dyDescent="0.3">
      <c r="A1281" s="13" t="str" cm="1">
        <f t="array" ref="A1281:B1281">INDEX(BenchmarkResults!$B$1:$D$35,SUMPRODUCT((T1281&gt;=BenchmarkResults!$F$3:$F$35)*(mongodb_hardware_log!T1281&lt;BenchmarkResults!$G$3:$G$35)*ROW(BenchmarkResults!$F$3:$F$35)),{1,3})</f>
        <v>q2_avg_order_city</v>
      </c>
      <c r="B1281">
        <v>3</v>
      </c>
      <c r="C1281" s="13">
        <v>1</v>
      </c>
      <c r="D1281" s="13">
        <v>0</v>
      </c>
      <c r="E1281" s="13">
        <v>133376</v>
      </c>
      <c r="F1281" s="13">
        <v>363192</v>
      </c>
      <c r="G1281" s="13">
        <v>5964</v>
      </c>
      <c r="H1281" s="13">
        <v>2049148</v>
      </c>
      <c r="I1281" s="13">
        <v>0</v>
      </c>
      <c r="J1281" s="13">
        <v>0</v>
      </c>
      <c r="K1281" s="13">
        <v>1186</v>
      </c>
      <c r="L1281" s="13">
        <v>10</v>
      </c>
      <c r="M1281" s="13">
        <v>703</v>
      </c>
      <c r="N1281" s="13">
        <v>205</v>
      </c>
      <c r="O1281" s="13">
        <v>33</v>
      </c>
      <c r="P1281" s="13">
        <v>1</v>
      </c>
      <c r="Q1281" s="13">
        <v>65</v>
      </c>
      <c r="R1281" s="13">
        <v>0</v>
      </c>
      <c r="S1281" s="13">
        <v>0</v>
      </c>
      <c r="T1281" s="23">
        <v>46247.632349537038</v>
      </c>
      <c r="U1281" s="55">
        <f t="shared" si="57"/>
        <v>1</v>
      </c>
      <c r="V1281" s="55">
        <f t="shared" si="58"/>
        <v>0</v>
      </c>
      <c r="W1281" s="56">
        <f t="shared" si="59"/>
        <v>1186.5</v>
      </c>
    </row>
    <row r="1282" spans="1:23" x14ac:dyDescent="0.3">
      <c r="A1282" s="13" t="str" cm="1">
        <f t="array" ref="A1282:B1282">INDEX(BenchmarkResults!$B$1:$D$35,SUMPRODUCT((T1282&gt;=BenchmarkResults!$F$3:$F$35)*(mongodb_hardware_log!T1282&lt;BenchmarkResults!$G$3:$G$35)*ROW(BenchmarkResults!$F$3:$F$35)),{1,3})</f>
        <v>q2_avg_order_city</v>
      </c>
      <c r="B1282">
        <v>3</v>
      </c>
      <c r="C1282" s="13">
        <v>1</v>
      </c>
      <c r="D1282" s="13">
        <v>0</v>
      </c>
      <c r="E1282" s="13">
        <v>133376</v>
      </c>
      <c r="F1282" s="13">
        <v>353868</v>
      </c>
      <c r="G1282" s="13">
        <v>5972</v>
      </c>
      <c r="H1282" s="13">
        <v>2060540</v>
      </c>
      <c r="I1282" s="13">
        <v>0</v>
      </c>
      <c r="J1282" s="13">
        <v>0</v>
      </c>
      <c r="K1282" s="13">
        <v>1144</v>
      </c>
      <c r="L1282" s="13">
        <v>9</v>
      </c>
      <c r="M1282" s="13">
        <v>707</v>
      </c>
      <c r="N1282" s="13">
        <v>206</v>
      </c>
      <c r="O1282" s="13">
        <v>33</v>
      </c>
      <c r="P1282" s="13">
        <v>1</v>
      </c>
      <c r="Q1282" s="13">
        <v>65</v>
      </c>
      <c r="R1282" s="13">
        <v>0</v>
      </c>
      <c r="S1282" s="13">
        <v>0</v>
      </c>
      <c r="T1282" s="23">
        <v>46247.632465277777</v>
      </c>
      <c r="U1282" s="55">
        <f t="shared" si="57"/>
        <v>1</v>
      </c>
      <c r="V1282" s="55">
        <f t="shared" si="58"/>
        <v>0</v>
      </c>
      <c r="W1282" s="56">
        <f t="shared" si="59"/>
        <v>1188</v>
      </c>
    </row>
    <row r="1283" spans="1:23" x14ac:dyDescent="0.3">
      <c r="A1283" s="13" t="str" cm="1">
        <f t="array" ref="A1283:B1283">INDEX(BenchmarkResults!$B$1:$D$35,SUMPRODUCT((T1283&gt;=BenchmarkResults!$F$3:$F$35)*(mongodb_hardware_log!T1283&lt;BenchmarkResults!$G$3:$G$35)*ROW(BenchmarkResults!$F$3:$F$35)),{1,3})</f>
        <v>q2_avg_order_city</v>
      </c>
      <c r="B1283">
        <v>3</v>
      </c>
      <c r="C1283" s="13">
        <v>1</v>
      </c>
      <c r="D1283" s="13">
        <v>0</v>
      </c>
      <c r="E1283" s="13">
        <v>133376</v>
      </c>
      <c r="F1283" s="13">
        <v>339000</v>
      </c>
      <c r="G1283" s="13">
        <v>5980</v>
      </c>
      <c r="H1283" s="13">
        <v>2075144</v>
      </c>
      <c r="I1283" s="13">
        <v>0</v>
      </c>
      <c r="J1283" s="13">
        <v>0</v>
      </c>
      <c r="K1283" s="13">
        <v>1459</v>
      </c>
      <c r="L1283" s="13">
        <v>23</v>
      </c>
      <c r="M1283" s="13">
        <v>711</v>
      </c>
      <c r="N1283" s="13">
        <v>215</v>
      </c>
      <c r="O1283" s="13">
        <v>33</v>
      </c>
      <c r="P1283" s="13">
        <v>1</v>
      </c>
      <c r="Q1283" s="13">
        <v>65</v>
      </c>
      <c r="R1283" s="13">
        <v>0</v>
      </c>
      <c r="S1283" s="13">
        <v>0</v>
      </c>
      <c r="T1283" s="23">
        <v>46247.632581018515</v>
      </c>
      <c r="U1283" s="55">
        <f t="shared" si="57"/>
        <v>1</v>
      </c>
      <c r="V1283" s="55">
        <f t="shared" si="58"/>
        <v>0</v>
      </c>
      <c r="W1283" s="56">
        <f t="shared" si="59"/>
        <v>1256.5</v>
      </c>
    </row>
    <row r="1284" spans="1:23" x14ac:dyDescent="0.3">
      <c r="A1284" s="13" t="str" cm="1">
        <f t="array" ref="A1284:B1284">INDEX(BenchmarkResults!$B$1:$D$35,SUMPRODUCT((T1284&gt;=BenchmarkResults!$F$3:$F$35)*(mongodb_hardware_log!T1284&lt;BenchmarkResults!$G$3:$G$35)*ROW(BenchmarkResults!$F$3:$F$35)),{1,3})</f>
        <v>q2_avg_order_city</v>
      </c>
      <c r="B1284">
        <v>3</v>
      </c>
      <c r="C1284" s="13">
        <v>1</v>
      </c>
      <c r="D1284" s="13">
        <v>0</v>
      </c>
      <c r="E1284" s="13">
        <v>133376</v>
      </c>
      <c r="F1284" s="13">
        <v>323124</v>
      </c>
      <c r="G1284" s="13">
        <v>5988</v>
      </c>
      <c r="H1284" s="13">
        <v>2089036</v>
      </c>
      <c r="I1284" s="13">
        <v>0</v>
      </c>
      <c r="J1284" s="13">
        <v>0</v>
      </c>
      <c r="K1284" s="13">
        <v>1392</v>
      </c>
      <c r="L1284" s="13">
        <v>9</v>
      </c>
      <c r="M1284" s="13">
        <v>740</v>
      </c>
      <c r="N1284" s="13">
        <v>229</v>
      </c>
      <c r="O1284" s="13">
        <v>33</v>
      </c>
      <c r="P1284" s="13">
        <v>1</v>
      </c>
      <c r="Q1284" s="13">
        <v>65</v>
      </c>
      <c r="R1284" s="13">
        <v>0</v>
      </c>
      <c r="S1284" s="13">
        <v>0</v>
      </c>
      <c r="T1284" s="23">
        <v>46247.632696759261</v>
      </c>
      <c r="U1284" s="55">
        <f t="shared" si="57"/>
        <v>1</v>
      </c>
      <c r="V1284" s="55">
        <f t="shared" si="58"/>
        <v>0</v>
      </c>
      <c r="W1284" s="56">
        <f t="shared" si="59"/>
        <v>1255.3333333333333</v>
      </c>
    </row>
    <row r="1285" spans="1:23" x14ac:dyDescent="0.3">
      <c r="A1285" s="13" t="str" cm="1">
        <f t="array" ref="A1285:B1285">INDEX(BenchmarkResults!$B$1:$D$35,SUMPRODUCT((T1285&gt;=BenchmarkResults!$F$3:$F$35)*(mongodb_hardware_log!T1285&lt;BenchmarkResults!$G$3:$G$35)*ROW(BenchmarkResults!$F$3:$F$35)),{1,3})</f>
        <v>q2_avg_order_city</v>
      </c>
      <c r="B1285">
        <v>3</v>
      </c>
      <c r="C1285" s="13">
        <v>1</v>
      </c>
      <c r="D1285" s="13">
        <v>0</v>
      </c>
      <c r="E1285" s="13">
        <v>133376</v>
      </c>
      <c r="F1285" s="13">
        <v>315312</v>
      </c>
      <c r="G1285" s="13">
        <v>6028</v>
      </c>
      <c r="H1285" s="13">
        <v>2100692</v>
      </c>
      <c r="I1285" s="13">
        <v>0</v>
      </c>
      <c r="J1285" s="13">
        <v>0</v>
      </c>
      <c r="K1285" s="13">
        <v>1163</v>
      </c>
      <c r="L1285" s="13">
        <v>31</v>
      </c>
      <c r="M1285" s="13">
        <v>726</v>
      </c>
      <c r="N1285" s="13">
        <v>230</v>
      </c>
      <c r="O1285" s="13">
        <v>33</v>
      </c>
      <c r="P1285" s="13">
        <v>1</v>
      </c>
      <c r="Q1285" s="13">
        <v>65</v>
      </c>
      <c r="R1285" s="13">
        <v>1</v>
      </c>
      <c r="S1285" s="13">
        <v>0</v>
      </c>
      <c r="T1285" s="23">
        <v>46247.6328125</v>
      </c>
      <c r="U1285" s="55">
        <f t="shared" si="57"/>
        <v>1</v>
      </c>
      <c r="V1285" s="55">
        <f t="shared" si="58"/>
        <v>0</v>
      </c>
      <c r="W1285" s="56">
        <f t="shared" si="59"/>
        <v>1258.5</v>
      </c>
    </row>
    <row r="1286" spans="1:23" x14ac:dyDescent="0.3">
      <c r="A1286" s="13" t="str" cm="1">
        <f t="array" ref="A1286:B1286">INDEX(BenchmarkResults!$B$1:$D$35,SUMPRODUCT((T1286&gt;=BenchmarkResults!$F$3:$F$35)*(mongodb_hardware_log!T1286&lt;BenchmarkResults!$G$3:$G$35)*ROW(BenchmarkResults!$F$3:$F$35)),{1,3})</f>
        <v>q2_avg_order_city</v>
      </c>
      <c r="B1286">
        <v>3</v>
      </c>
      <c r="C1286" s="13">
        <v>1</v>
      </c>
      <c r="D1286" s="13">
        <v>0</v>
      </c>
      <c r="E1286" s="13">
        <v>133376</v>
      </c>
      <c r="F1286" s="13">
        <v>303972</v>
      </c>
      <c r="G1286" s="13">
        <v>6036</v>
      </c>
      <c r="H1286" s="13">
        <v>2110516</v>
      </c>
      <c r="I1286" s="13">
        <v>0</v>
      </c>
      <c r="J1286" s="13">
        <v>0</v>
      </c>
      <c r="K1286" s="13">
        <v>982</v>
      </c>
      <c r="L1286" s="13">
        <v>11</v>
      </c>
      <c r="M1286" s="13">
        <v>715</v>
      </c>
      <c r="N1286" s="13">
        <v>205</v>
      </c>
      <c r="O1286" s="13">
        <v>34</v>
      </c>
      <c r="P1286" s="13">
        <v>1</v>
      </c>
      <c r="Q1286" s="13">
        <v>65</v>
      </c>
      <c r="R1286" s="13">
        <v>0</v>
      </c>
      <c r="S1286" s="13">
        <v>0</v>
      </c>
      <c r="T1286" s="23">
        <v>46247.632928240739</v>
      </c>
      <c r="U1286" s="55">
        <f t="shared" si="57"/>
        <v>1</v>
      </c>
      <c r="V1286" s="55">
        <f t="shared" si="58"/>
        <v>0</v>
      </c>
      <c r="W1286" s="56">
        <f t="shared" si="59"/>
        <v>1221</v>
      </c>
    </row>
    <row r="1287" spans="1:23" x14ac:dyDescent="0.3">
      <c r="A1287" s="13" t="str" cm="1">
        <f t="array" ref="A1287:B1287">INDEX(BenchmarkResults!$B$1:$D$35,SUMPRODUCT((T1287&gt;=BenchmarkResults!$F$3:$F$35)*(mongodb_hardware_log!T1287&lt;BenchmarkResults!$G$3:$G$35)*ROW(BenchmarkResults!$F$3:$F$35)),{1,3})</f>
        <v>q2_avg_order_city</v>
      </c>
      <c r="B1287">
        <v>3</v>
      </c>
      <c r="C1287" s="13">
        <v>1</v>
      </c>
      <c r="D1287" s="13">
        <v>0</v>
      </c>
      <c r="E1287" s="13">
        <v>133376</v>
      </c>
      <c r="F1287" s="13">
        <v>293892</v>
      </c>
      <c r="G1287" s="13">
        <v>6044</v>
      </c>
      <c r="H1287" s="13">
        <v>2123652</v>
      </c>
      <c r="I1287" s="13">
        <v>0</v>
      </c>
      <c r="J1287" s="13">
        <v>0</v>
      </c>
      <c r="K1287" s="13">
        <v>1313</v>
      </c>
      <c r="L1287" s="13">
        <v>14</v>
      </c>
      <c r="M1287" s="13">
        <v>700</v>
      </c>
      <c r="N1287" s="13">
        <v>201</v>
      </c>
      <c r="O1287" s="13">
        <v>33</v>
      </c>
      <c r="P1287" s="13">
        <v>1</v>
      </c>
      <c r="Q1287" s="13">
        <v>65</v>
      </c>
      <c r="R1287" s="13">
        <v>0</v>
      </c>
      <c r="S1287" s="13">
        <v>0</v>
      </c>
      <c r="T1287" s="23">
        <v>46247.633043981485</v>
      </c>
      <c r="U1287" s="55">
        <f t="shared" si="57"/>
        <v>1</v>
      </c>
      <c r="V1287" s="55">
        <f t="shared" si="58"/>
        <v>0</v>
      </c>
      <c r="W1287" s="56">
        <f t="shared" si="59"/>
        <v>1242.1666666666667</v>
      </c>
    </row>
    <row r="1288" spans="1:23" x14ac:dyDescent="0.3">
      <c r="A1288" s="13" t="str" cm="1">
        <f t="array" ref="A1288:B1288">INDEX(BenchmarkResults!$B$1:$D$35,SUMPRODUCT((T1288&gt;=BenchmarkResults!$F$3:$F$35)*(mongodb_hardware_log!T1288&lt;BenchmarkResults!$G$3:$G$35)*ROW(BenchmarkResults!$F$3:$F$35)),{1,3})</f>
        <v>q2_avg_order_city</v>
      </c>
      <c r="B1288">
        <v>3</v>
      </c>
      <c r="C1288" s="13">
        <v>1</v>
      </c>
      <c r="D1288" s="13">
        <v>0</v>
      </c>
      <c r="E1288" s="13">
        <v>133376</v>
      </c>
      <c r="F1288" s="13">
        <v>275748</v>
      </c>
      <c r="G1288" s="13">
        <v>6052</v>
      </c>
      <c r="H1288" s="13">
        <v>2134780</v>
      </c>
      <c r="I1288" s="13">
        <v>0</v>
      </c>
      <c r="J1288" s="13">
        <v>0</v>
      </c>
      <c r="K1288" s="13">
        <v>1113</v>
      </c>
      <c r="L1288" s="13">
        <v>9</v>
      </c>
      <c r="M1288" s="13">
        <v>703</v>
      </c>
      <c r="N1288" s="13">
        <v>206</v>
      </c>
      <c r="O1288" s="13">
        <v>33</v>
      </c>
      <c r="P1288" s="13">
        <v>1</v>
      </c>
      <c r="Q1288" s="13">
        <v>65</v>
      </c>
      <c r="R1288" s="13">
        <v>1</v>
      </c>
      <c r="S1288" s="13">
        <v>0</v>
      </c>
      <c r="T1288" s="23">
        <v>46247.633159722223</v>
      </c>
      <c r="U1288" s="55">
        <f t="shared" si="57"/>
        <v>1</v>
      </c>
      <c r="V1288" s="55">
        <f t="shared" si="58"/>
        <v>0</v>
      </c>
      <c r="W1288" s="56">
        <f t="shared" si="59"/>
        <v>1237</v>
      </c>
    </row>
    <row r="1289" spans="1:23" x14ac:dyDescent="0.3">
      <c r="A1289" s="13" t="str" cm="1">
        <f t="array" ref="A1289:B1289">INDEX(BenchmarkResults!$B$1:$D$35,SUMPRODUCT((T1289&gt;=BenchmarkResults!$F$3:$F$35)*(mongodb_hardware_log!T1289&lt;BenchmarkResults!$G$3:$G$35)*ROW(BenchmarkResults!$F$3:$F$35)),{1,3})</f>
        <v>q2_avg_order_city</v>
      </c>
      <c r="B1289">
        <v>3</v>
      </c>
      <c r="C1289" s="13">
        <v>1</v>
      </c>
      <c r="D1289" s="13">
        <v>0</v>
      </c>
      <c r="E1289" s="13">
        <v>133376</v>
      </c>
      <c r="F1289" s="13">
        <v>270960</v>
      </c>
      <c r="G1289" s="13">
        <v>6060</v>
      </c>
      <c r="H1289" s="13">
        <v>2144904</v>
      </c>
      <c r="I1289" s="13">
        <v>0</v>
      </c>
      <c r="J1289" s="13">
        <v>0</v>
      </c>
      <c r="K1289" s="13">
        <v>1012</v>
      </c>
      <c r="L1289" s="13">
        <v>10</v>
      </c>
      <c r="M1289" s="13">
        <v>701</v>
      </c>
      <c r="N1289" s="13">
        <v>198</v>
      </c>
      <c r="O1289" s="13">
        <v>34</v>
      </c>
      <c r="P1289" s="13">
        <v>1</v>
      </c>
      <c r="Q1289" s="13">
        <v>65</v>
      </c>
      <c r="R1289" s="13">
        <v>0</v>
      </c>
      <c r="S1289" s="13">
        <v>0</v>
      </c>
      <c r="T1289" s="23">
        <v>46247.633275462962</v>
      </c>
      <c r="U1289" s="55">
        <f t="shared" ref="U1289:U1352" si="60">AVERAGE(C1284:C1289)</f>
        <v>1</v>
      </c>
      <c r="V1289" s="55">
        <f t="shared" ref="V1289:V1352" si="61">AVERAGE(D1284:D1289)</f>
        <v>0</v>
      </c>
      <c r="W1289" s="56">
        <f t="shared" ref="W1289:W1352" si="62">AVERAGE(K1284:K1289)</f>
        <v>1162.5</v>
      </c>
    </row>
    <row r="1290" spans="1:23" x14ac:dyDescent="0.3">
      <c r="A1290" s="13" t="str" cm="1">
        <f t="array" ref="A1290:B1290">INDEX(BenchmarkResults!$B$1:$D$35,SUMPRODUCT((T1290&gt;=BenchmarkResults!$F$3:$F$35)*(mongodb_hardware_log!T1290&lt;BenchmarkResults!$G$3:$G$35)*ROW(BenchmarkResults!$F$3:$F$35)),{1,3})</f>
        <v>q2_avg_order_city</v>
      </c>
      <c r="B1290">
        <v>3</v>
      </c>
      <c r="C1290" s="13">
        <v>1</v>
      </c>
      <c r="D1290" s="13">
        <v>0</v>
      </c>
      <c r="E1290" s="13">
        <v>133376</v>
      </c>
      <c r="F1290" s="13">
        <v>254580</v>
      </c>
      <c r="G1290" s="13">
        <v>6068</v>
      </c>
      <c r="H1290" s="13">
        <v>2160128</v>
      </c>
      <c r="I1290" s="13">
        <v>0</v>
      </c>
      <c r="J1290" s="13">
        <v>0</v>
      </c>
      <c r="K1290" s="13">
        <v>1522</v>
      </c>
      <c r="L1290" s="13">
        <v>10</v>
      </c>
      <c r="M1290" s="13">
        <v>718</v>
      </c>
      <c r="N1290" s="13">
        <v>205</v>
      </c>
      <c r="O1290" s="13">
        <v>33</v>
      </c>
      <c r="P1290" s="13">
        <v>1</v>
      </c>
      <c r="Q1290" s="13">
        <v>65</v>
      </c>
      <c r="R1290" s="13">
        <v>0</v>
      </c>
      <c r="S1290" s="13">
        <v>0</v>
      </c>
      <c r="T1290" s="23">
        <v>46247.633391203701</v>
      </c>
      <c r="U1290" s="55">
        <f t="shared" si="60"/>
        <v>1</v>
      </c>
      <c r="V1290" s="55">
        <f t="shared" si="61"/>
        <v>0</v>
      </c>
      <c r="W1290" s="56">
        <f t="shared" si="62"/>
        <v>1184.1666666666667</v>
      </c>
    </row>
    <row r="1291" spans="1:23" x14ac:dyDescent="0.3">
      <c r="A1291" s="13" t="str" cm="1">
        <f t="array" ref="A1291:B1291">INDEX(BenchmarkResults!$B$1:$D$35,SUMPRODUCT((T1291&gt;=BenchmarkResults!$F$3:$F$35)*(mongodb_hardware_log!T1291&lt;BenchmarkResults!$G$3:$G$35)*ROW(BenchmarkResults!$F$3:$F$35)),{1,3})</f>
        <v>q2_avg_order_city</v>
      </c>
      <c r="B1291">
        <v>3</v>
      </c>
      <c r="C1291" s="13">
        <v>1</v>
      </c>
      <c r="D1291" s="13">
        <v>0</v>
      </c>
      <c r="E1291" s="13">
        <v>133376</v>
      </c>
      <c r="F1291" s="13">
        <v>245668</v>
      </c>
      <c r="G1291" s="13">
        <v>6100</v>
      </c>
      <c r="H1291" s="13">
        <v>2172760</v>
      </c>
      <c r="I1291" s="13">
        <v>0</v>
      </c>
      <c r="J1291" s="13">
        <v>0</v>
      </c>
      <c r="K1291" s="13">
        <v>1262</v>
      </c>
      <c r="L1291" s="13">
        <v>34</v>
      </c>
      <c r="M1291" s="13">
        <v>736</v>
      </c>
      <c r="N1291" s="13">
        <v>244</v>
      </c>
      <c r="O1291" s="13">
        <v>34</v>
      </c>
      <c r="P1291" s="13">
        <v>1</v>
      </c>
      <c r="Q1291" s="13">
        <v>64</v>
      </c>
      <c r="R1291" s="13">
        <v>1</v>
      </c>
      <c r="S1291" s="13">
        <v>0</v>
      </c>
      <c r="T1291" s="23">
        <v>46247.633506944447</v>
      </c>
      <c r="U1291" s="55">
        <f t="shared" si="60"/>
        <v>1</v>
      </c>
      <c r="V1291" s="55">
        <f t="shared" si="61"/>
        <v>0</v>
      </c>
      <c r="W1291" s="56">
        <f t="shared" si="62"/>
        <v>1200.6666666666667</v>
      </c>
    </row>
    <row r="1292" spans="1:23" x14ac:dyDescent="0.3">
      <c r="A1292" s="13" t="str" cm="1">
        <f t="array" ref="A1292:B1292">INDEX(BenchmarkResults!$B$1:$D$35,SUMPRODUCT((T1292&gt;=BenchmarkResults!$F$3:$F$35)*(mongodb_hardware_log!T1292&lt;BenchmarkResults!$G$3:$G$35)*ROW(BenchmarkResults!$F$3:$F$35)),{1,3})</f>
        <v>q2_avg_order_city</v>
      </c>
      <c r="B1292">
        <v>3</v>
      </c>
      <c r="C1292" s="13">
        <v>2</v>
      </c>
      <c r="D1292" s="13">
        <v>0</v>
      </c>
      <c r="E1292" s="13">
        <v>133376</v>
      </c>
      <c r="F1292" s="13">
        <v>233348</v>
      </c>
      <c r="G1292" s="13">
        <v>6116</v>
      </c>
      <c r="H1292" s="13">
        <v>2182112</v>
      </c>
      <c r="I1292" s="13">
        <v>0</v>
      </c>
      <c r="J1292" s="13">
        <v>0</v>
      </c>
      <c r="K1292" s="13">
        <v>940</v>
      </c>
      <c r="L1292" s="13">
        <v>28</v>
      </c>
      <c r="M1292" s="13">
        <v>701</v>
      </c>
      <c r="N1292" s="13">
        <v>201</v>
      </c>
      <c r="O1292" s="13">
        <v>33</v>
      </c>
      <c r="P1292" s="13">
        <v>1</v>
      </c>
      <c r="Q1292" s="13">
        <v>65</v>
      </c>
      <c r="R1292" s="13">
        <v>0</v>
      </c>
      <c r="S1292" s="13">
        <v>0</v>
      </c>
      <c r="T1292" s="23">
        <v>46247.633622685185</v>
      </c>
      <c r="U1292" s="55">
        <f t="shared" si="60"/>
        <v>1.1666666666666667</v>
      </c>
      <c r="V1292" s="55">
        <f t="shared" si="61"/>
        <v>0</v>
      </c>
      <c r="W1292" s="56">
        <f t="shared" si="62"/>
        <v>1193.6666666666667</v>
      </c>
    </row>
    <row r="1293" spans="1:23" x14ac:dyDescent="0.3">
      <c r="A1293" s="13" t="str" cm="1">
        <f t="array" ref="A1293:B1293">INDEX(BenchmarkResults!$B$1:$D$35,SUMPRODUCT((T1293&gt;=BenchmarkResults!$F$3:$F$35)*(mongodb_hardware_log!T1293&lt;BenchmarkResults!$G$3:$G$35)*ROW(BenchmarkResults!$F$3:$F$35)),{1,3})</f>
        <v>q2_avg_order_city</v>
      </c>
      <c r="B1293">
        <v>3</v>
      </c>
      <c r="C1293" s="13">
        <v>1</v>
      </c>
      <c r="D1293" s="13">
        <v>0</v>
      </c>
      <c r="E1293" s="13">
        <v>133376</v>
      </c>
      <c r="F1293" s="13">
        <v>217472</v>
      </c>
      <c r="G1293" s="13">
        <v>6124</v>
      </c>
      <c r="H1293" s="13">
        <v>2194364</v>
      </c>
      <c r="I1293" s="13">
        <v>0</v>
      </c>
      <c r="J1293" s="13">
        <v>0</v>
      </c>
      <c r="K1293" s="13">
        <v>1224</v>
      </c>
      <c r="L1293" s="13">
        <v>6</v>
      </c>
      <c r="M1293" s="13">
        <v>705</v>
      </c>
      <c r="N1293" s="13">
        <v>208</v>
      </c>
      <c r="O1293" s="13">
        <v>33</v>
      </c>
      <c r="P1293" s="13">
        <v>1</v>
      </c>
      <c r="Q1293" s="13">
        <v>65</v>
      </c>
      <c r="R1293" s="13">
        <v>0</v>
      </c>
      <c r="S1293" s="13">
        <v>0</v>
      </c>
      <c r="T1293" s="23">
        <v>46247.633738425924</v>
      </c>
      <c r="U1293" s="55">
        <f t="shared" si="60"/>
        <v>1.1666666666666667</v>
      </c>
      <c r="V1293" s="55">
        <f t="shared" si="61"/>
        <v>0</v>
      </c>
      <c r="W1293" s="56">
        <f t="shared" si="62"/>
        <v>1178.8333333333333</v>
      </c>
    </row>
    <row r="1294" spans="1:23" x14ac:dyDescent="0.3">
      <c r="A1294" s="13" t="str" cm="1">
        <f t="array" ref="A1294:B1294">INDEX(BenchmarkResults!$B$1:$D$35,SUMPRODUCT((T1294&gt;=BenchmarkResults!$F$3:$F$35)*(mongodb_hardware_log!T1294&lt;BenchmarkResults!$G$3:$G$35)*ROW(BenchmarkResults!$F$3:$F$35)),{1,3})</f>
        <v>q2_avg_order_city</v>
      </c>
      <c r="B1294">
        <v>3</v>
      </c>
      <c r="C1294" s="13">
        <v>1</v>
      </c>
      <c r="D1294" s="13">
        <v>0</v>
      </c>
      <c r="E1294" s="13">
        <v>133376</v>
      </c>
      <c r="F1294" s="13">
        <v>213188</v>
      </c>
      <c r="G1294" s="13">
        <v>6132</v>
      </c>
      <c r="H1294" s="13">
        <v>2204512</v>
      </c>
      <c r="I1294" s="13">
        <v>0</v>
      </c>
      <c r="J1294" s="13">
        <v>0</v>
      </c>
      <c r="K1294" s="13">
        <v>1015</v>
      </c>
      <c r="L1294" s="13">
        <v>13</v>
      </c>
      <c r="M1294" s="13">
        <v>773</v>
      </c>
      <c r="N1294" s="13">
        <v>282</v>
      </c>
      <c r="O1294" s="13">
        <v>34</v>
      </c>
      <c r="P1294" s="13">
        <v>1</v>
      </c>
      <c r="Q1294" s="13">
        <v>65</v>
      </c>
      <c r="R1294" s="13">
        <v>0</v>
      </c>
      <c r="S1294" s="13">
        <v>0</v>
      </c>
      <c r="T1294" s="23">
        <v>46247.63385416667</v>
      </c>
      <c r="U1294" s="55">
        <f t="shared" si="60"/>
        <v>1.1666666666666667</v>
      </c>
      <c r="V1294" s="55">
        <f t="shared" si="61"/>
        <v>0</v>
      </c>
      <c r="W1294" s="56">
        <f t="shared" si="62"/>
        <v>1162.5</v>
      </c>
    </row>
    <row r="1295" spans="1:23" x14ac:dyDescent="0.3">
      <c r="A1295" s="13" t="str" cm="1">
        <f t="array" ref="A1295:B1295">INDEX(BenchmarkResults!$B$1:$D$35,SUMPRODUCT((T1295&gt;=BenchmarkResults!$F$3:$F$35)*(mongodb_hardware_log!T1295&lt;BenchmarkResults!$G$3:$G$35)*ROW(BenchmarkResults!$F$3:$F$35)),{1,3})</f>
        <v>q2_avg_order_city</v>
      </c>
      <c r="B1295">
        <v>3</v>
      </c>
      <c r="C1295" s="13">
        <v>1</v>
      </c>
      <c r="D1295" s="13">
        <v>0</v>
      </c>
      <c r="E1295" s="13">
        <v>133376</v>
      </c>
      <c r="F1295" s="13">
        <v>193280</v>
      </c>
      <c r="G1295" s="13">
        <v>6140</v>
      </c>
      <c r="H1295" s="13">
        <v>2216900</v>
      </c>
      <c r="I1295" s="13">
        <v>0</v>
      </c>
      <c r="J1295" s="13">
        <v>0</v>
      </c>
      <c r="K1295" s="13">
        <v>1233</v>
      </c>
      <c r="L1295" s="13">
        <v>10</v>
      </c>
      <c r="M1295" s="13">
        <v>715</v>
      </c>
      <c r="N1295" s="13">
        <v>212</v>
      </c>
      <c r="O1295" s="13">
        <v>33</v>
      </c>
      <c r="P1295" s="13">
        <v>1</v>
      </c>
      <c r="Q1295" s="13">
        <v>65</v>
      </c>
      <c r="R1295" s="13">
        <v>0</v>
      </c>
      <c r="S1295" s="13">
        <v>0</v>
      </c>
      <c r="T1295" s="23">
        <v>46247.633969907409</v>
      </c>
      <c r="U1295" s="55">
        <f t="shared" si="60"/>
        <v>1.1666666666666667</v>
      </c>
      <c r="V1295" s="55">
        <f t="shared" si="61"/>
        <v>0</v>
      </c>
      <c r="W1295" s="56">
        <f t="shared" si="62"/>
        <v>1199.3333333333333</v>
      </c>
    </row>
    <row r="1296" spans="1:23" x14ac:dyDescent="0.3">
      <c r="A1296" s="13" t="str" cm="1">
        <f t="array" ref="A1296:B1296">INDEX(BenchmarkResults!$B$1:$D$35,SUMPRODUCT((T1296&gt;=BenchmarkResults!$F$3:$F$35)*(mongodb_hardware_log!T1296&lt;BenchmarkResults!$G$3:$G$35)*ROW(BenchmarkResults!$F$3:$F$35)),{1,3})</f>
        <v>q2_avg_order_city</v>
      </c>
      <c r="B1296">
        <v>3</v>
      </c>
      <c r="C1296" s="13">
        <v>1</v>
      </c>
      <c r="D1296" s="13">
        <v>0</v>
      </c>
      <c r="E1296" s="13">
        <v>133376</v>
      </c>
      <c r="F1296" s="13">
        <v>185720</v>
      </c>
      <c r="G1296" s="13">
        <v>6148</v>
      </c>
      <c r="H1296" s="13">
        <v>2226804</v>
      </c>
      <c r="I1296" s="13">
        <v>0</v>
      </c>
      <c r="J1296" s="13">
        <v>0</v>
      </c>
      <c r="K1296" s="13">
        <v>991</v>
      </c>
      <c r="L1296" s="13">
        <v>12</v>
      </c>
      <c r="M1296" s="13">
        <v>723</v>
      </c>
      <c r="N1296" s="13">
        <v>213</v>
      </c>
      <c r="O1296" s="13">
        <v>33</v>
      </c>
      <c r="P1296" s="13">
        <v>1</v>
      </c>
      <c r="Q1296" s="13">
        <v>65</v>
      </c>
      <c r="R1296" s="13">
        <v>0</v>
      </c>
      <c r="S1296" s="13">
        <v>0</v>
      </c>
      <c r="T1296" s="23">
        <v>46247.634085648147</v>
      </c>
      <c r="U1296" s="55">
        <f t="shared" si="60"/>
        <v>1.1666666666666667</v>
      </c>
      <c r="V1296" s="55">
        <f t="shared" si="61"/>
        <v>0</v>
      </c>
      <c r="W1296" s="56">
        <f t="shared" si="62"/>
        <v>1110.8333333333333</v>
      </c>
    </row>
    <row r="1297" spans="1:23" x14ac:dyDescent="0.3">
      <c r="A1297" s="13" t="str" cm="1">
        <f t="array" ref="A1297:B1297">INDEX(BenchmarkResults!$B$1:$D$35,SUMPRODUCT((T1297&gt;=BenchmarkResults!$F$3:$F$35)*(mongodb_hardware_log!T1297&lt;BenchmarkResults!$G$3:$G$35)*ROW(BenchmarkResults!$F$3:$F$35)),{1,3})</f>
        <v>q2_avg_order_city</v>
      </c>
      <c r="B1297">
        <v>3</v>
      </c>
      <c r="C1297" s="13">
        <v>1</v>
      </c>
      <c r="D1297" s="13">
        <v>0</v>
      </c>
      <c r="E1297" s="13">
        <v>133376</v>
      </c>
      <c r="F1297" s="13">
        <v>177072</v>
      </c>
      <c r="G1297" s="13">
        <v>6180</v>
      </c>
      <c r="H1297" s="13">
        <v>2238124</v>
      </c>
      <c r="I1297" s="13">
        <v>0</v>
      </c>
      <c r="J1297" s="13">
        <v>0</v>
      </c>
      <c r="K1297" s="13">
        <v>1134</v>
      </c>
      <c r="L1297" s="13">
        <v>45</v>
      </c>
      <c r="M1297" s="13">
        <v>727</v>
      </c>
      <c r="N1297" s="13">
        <v>234</v>
      </c>
      <c r="O1297" s="13">
        <v>34</v>
      </c>
      <c r="P1297" s="13">
        <v>1</v>
      </c>
      <c r="Q1297" s="13">
        <v>64</v>
      </c>
      <c r="R1297" s="13">
        <v>1</v>
      </c>
      <c r="S1297" s="13">
        <v>0</v>
      </c>
      <c r="T1297" s="23">
        <v>46247.634201388886</v>
      </c>
      <c r="U1297" s="55">
        <f t="shared" si="60"/>
        <v>1.1666666666666667</v>
      </c>
      <c r="V1297" s="55">
        <f t="shared" si="61"/>
        <v>0</v>
      </c>
      <c r="W1297" s="56">
        <f t="shared" si="62"/>
        <v>1089.5</v>
      </c>
    </row>
    <row r="1298" spans="1:23" x14ac:dyDescent="0.3">
      <c r="A1298" s="13" t="str" cm="1">
        <f t="array" ref="A1298:B1298">INDEX(BenchmarkResults!$B$1:$D$35,SUMPRODUCT((T1298&gt;=BenchmarkResults!$F$3:$F$35)*(mongodb_hardware_log!T1298&lt;BenchmarkResults!$G$3:$G$35)*ROW(BenchmarkResults!$F$3:$F$35)),{1,3})</f>
        <v>q2_avg_order_city</v>
      </c>
      <c r="B1298">
        <v>3</v>
      </c>
      <c r="C1298" s="13">
        <v>1</v>
      </c>
      <c r="D1298" s="13">
        <v>0</v>
      </c>
      <c r="E1298" s="13">
        <v>133376</v>
      </c>
      <c r="F1298" s="13">
        <v>167244</v>
      </c>
      <c r="G1298" s="13">
        <v>6188</v>
      </c>
      <c r="H1298" s="13">
        <v>2249728</v>
      </c>
      <c r="I1298" s="13">
        <v>0</v>
      </c>
      <c r="J1298" s="13">
        <v>0</v>
      </c>
      <c r="K1298" s="13">
        <v>1160</v>
      </c>
      <c r="L1298" s="13">
        <v>7</v>
      </c>
      <c r="M1298" s="13">
        <v>714</v>
      </c>
      <c r="N1298" s="13">
        <v>215</v>
      </c>
      <c r="O1298" s="13">
        <v>34</v>
      </c>
      <c r="P1298" s="13">
        <v>1</v>
      </c>
      <c r="Q1298" s="13">
        <v>64</v>
      </c>
      <c r="R1298" s="13">
        <v>0</v>
      </c>
      <c r="S1298" s="13">
        <v>0</v>
      </c>
      <c r="T1298" s="23">
        <v>46247.634317129632</v>
      </c>
      <c r="U1298" s="55">
        <f t="shared" si="60"/>
        <v>1</v>
      </c>
      <c r="V1298" s="55">
        <f t="shared" si="61"/>
        <v>0</v>
      </c>
      <c r="W1298" s="56">
        <f t="shared" si="62"/>
        <v>1126.1666666666667</v>
      </c>
    </row>
    <row r="1299" spans="1:23" x14ac:dyDescent="0.3">
      <c r="A1299" s="13" t="str" cm="1">
        <f t="array" ref="A1299:B1299">INDEX(BenchmarkResults!$B$1:$D$35,SUMPRODUCT((T1299&gt;=BenchmarkResults!$F$3:$F$35)*(mongodb_hardware_log!T1299&lt;BenchmarkResults!$G$3:$G$35)*ROW(BenchmarkResults!$F$3:$F$35)),{1,3})</f>
        <v>q2_avg_order_city</v>
      </c>
      <c r="B1299">
        <v>3</v>
      </c>
      <c r="C1299" s="13">
        <v>1</v>
      </c>
      <c r="D1299" s="13">
        <v>0</v>
      </c>
      <c r="E1299" s="13">
        <v>133376</v>
      </c>
      <c r="F1299" s="13">
        <v>154140</v>
      </c>
      <c r="G1299" s="13">
        <v>6196</v>
      </c>
      <c r="H1299" s="13">
        <v>2262696</v>
      </c>
      <c r="I1299" s="13">
        <v>0</v>
      </c>
      <c r="J1299" s="13">
        <v>0</v>
      </c>
      <c r="K1299" s="13">
        <v>1294</v>
      </c>
      <c r="L1299" s="13">
        <v>12</v>
      </c>
      <c r="M1299" s="13">
        <v>718</v>
      </c>
      <c r="N1299" s="13">
        <v>212</v>
      </c>
      <c r="O1299" s="13">
        <v>34</v>
      </c>
      <c r="P1299" s="13">
        <v>1</v>
      </c>
      <c r="Q1299" s="13">
        <v>65</v>
      </c>
      <c r="R1299" s="13">
        <v>1</v>
      </c>
      <c r="S1299" s="13">
        <v>0</v>
      </c>
      <c r="T1299" s="23">
        <v>46247.634432870371</v>
      </c>
      <c r="U1299" s="55">
        <f t="shared" si="60"/>
        <v>1</v>
      </c>
      <c r="V1299" s="55">
        <f t="shared" si="61"/>
        <v>0</v>
      </c>
      <c r="W1299" s="56">
        <f t="shared" si="62"/>
        <v>1137.8333333333333</v>
      </c>
    </row>
    <row r="1300" spans="1:23" x14ac:dyDescent="0.3">
      <c r="A1300" s="13" t="str" cm="1">
        <f t="array" ref="A1300:B1300">INDEX(BenchmarkResults!$B$1:$D$35,SUMPRODUCT((T1300&gt;=BenchmarkResults!$F$3:$F$35)*(mongodb_hardware_log!T1300&lt;BenchmarkResults!$G$3:$G$35)*ROW(BenchmarkResults!$F$3:$F$35)),{1,3})</f>
        <v>q2_avg_order_city</v>
      </c>
      <c r="B1300">
        <v>3</v>
      </c>
      <c r="C1300" s="13">
        <v>1</v>
      </c>
      <c r="D1300" s="13">
        <v>0</v>
      </c>
      <c r="E1300" s="13">
        <v>133376</v>
      </c>
      <c r="F1300" s="13">
        <v>139020</v>
      </c>
      <c r="G1300" s="13">
        <v>6204</v>
      </c>
      <c r="H1300" s="13">
        <v>2272800</v>
      </c>
      <c r="I1300" s="13">
        <v>0</v>
      </c>
      <c r="J1300" s="13">
        <v>0</v>
      </c>
      <c r="K1300" s="13">
        <v>1016</v>
      </c>
      <c r="L1300" s="13">
        <v>16</v>
      </c>
      <c r="M1300" s="13">
        <v>718</v>
      </c>
      <c r="N1300" s="13">
        <v>214</v>
      </c>
      <c r="O1300" s="13">
        <v>33</v>
      </c>
      <c r="P1300" s="13">
        <v>1</v>
      </c>
      <c r="Q1300" s="13">
        <v>65</v>
      </c>
      <c r="R1300" s="13">
        <v>1</v>
      </c>
      <c r="S1300" s="13">
        <v>0</v>
      </c>
      <c r="T1300" s="23">
        <v>46247.634548611109</v>
      </c>
      <c r="U1300" s="55">
        <f t="shared" si="60"/>
        <v>1</v>
      </c>
      <c r="V1300" s="55">
        <f t="shared" si="61"/>
        <v>0</v>
      </c>
      <c r="W1300" s="56">
        <f t="shared" si="62"/>
        <v>1138</v>
      </c>
    </row>
    <row r="1301" spans="1:23" x14ac:dyDescent="0.3">
      <c r="A1301" s="13" t="str" cm="1">
        <f t="array" ref="A1301:B1301">INDEX(BenchmarkResults!$B$1:$D$35,SUMPRODUCT((T1301&gt;=BenchmarkResults!$F$3:$F$35)*(mongodb_hardware_log!T1301&lt;BenchmarkResults!$G$3:$G$35)*ROW(BenchmarkResults!$F$3:$F$35)),{1,3})</f>
        <v>q2_avg_order_city</v>
      </c>
      <c r="B1301">
        <v>3</v>
      </c>
      <c r="C1301" s="13">
        <v>1</v>
      </c>
      <c r="D1301" s="13">
        <v>0</v>
      </c>
      <c r="E1301" s="13">
        <v>133376</v>
      </c>
      <c r="F1301" s="13">
        <v>127932</v>
      </c>
      <c r="G1301" s="13">
        <v>6212</v>
      </c>
      <c r="H1301" s="13">
        <v>2288396</v>
      </c>
      <c r="I1301" s="13">
        <v>0</v>
      </c>
      <c r="J1301" s="13">
        <v>0</v>
      </c>
      <c r="K1301" s="13">
        <v>1557</v>
      </c>
      <c r="L1301" s="13">
        <v>11</v>
      </c>
      <c r="M1301" s="13">
        <v>717</v>
      </c>
      <c r="N1301" s="13">
        <v>211</v>
      </c>
      <c r="O1301" s="13">
        <v>34</v>
      </c>
      <c r="P1301" s="13">
        <v>1</v>
      </c>
      <c r="Q1301" s="13">
        <v>65</v>
      </c>
      <c r="R1301" s="13">
        <v>0</v>
      </c>
      <c r="S1301" s="13">
        <v>0</v>
      </c>
      <c r="T1301" s="23">
        <v>46247.634664351855</v>
      </c>
      <c r="U1301" s="55">
        <f t="shared" si="60"/>
        <v>1</v>
      </c>
      <c r="V1301" s="55">
        <f t="shared" si="61"/>
        <v>0</v>
      </c>
      <c r="W1301" s="56">
        <f t="shared" si="62"/>
        <v>1192</v>
      </c>
    </row>
    <row r="1302" spans="1:23" x14ac:dyDescent="0.3">
      <c r="A1302" s="13" t="str" cm="1">
        <f t="array" ref="A1302:B1302">INDEX(BenchmarkResults!$B$1:$D$35,SUMPRODUCT((T1302&gt;=BenchmarkResults!$F$3:$F$35)*(mongodb_hardware_log!T1302&lt;BenchmarkResults!$G$3:$G$35)*ROW(BenchmarkResults!$F$3:$F$35)),{1,3})</f>
        <v>q2_avg_order_city</v>
      </c>
      <c r="B1302">
        <v>3</v>
      </c>
      <c r="C1302" s="13">
        <v>1</v>
      </c>
      <c r="D1302" s="13">
        <v>0</v>
      </c>
      <c r="E1302" s="13">
        <v>133376</v>
      </c>
      <c r="F1302" s="13">
        <v>115584</v>
      </c>
      <c r="G1302" s="13">
        <v>6228</v>
      </c>
      <c r="H1302" s="13">
        <v>2299960</v>
      </c>
      <c r="I1302" s="13">
        <v>0</v>
      </c>
      <c r="J1302" s="13">
        <v>0</v>
      </c>
      <c r="K1302" s="13">
        <v>1159</v>
      </c>
      <c r="L1302" s="13">
        <v>11</v>
      </c>
      <c r="M1302" s="13">
        <v>723</v>
      </c>
      <c r="N1302" s="13">
        <v>215</v>
      </c>
      <c r="O1302" s="13">
        <v>33</v>
      </c>
      <c r="P1302" s="13">
        <v>1</v>
      </c>
      <c r="Q1302" s="13">
        <v>65</v>
      </c>
      <c r="R1302" s="13">
        <v>0</v>
      </c>
      <c r="S1302" s="13">
        <v>0</v>
      </c>
      <c r="T1302" s="23">
        <v>46247.634780092594</v>
      </c>
      <c r="U1302" s="55">
        <f t="shared" si="60"/>
        <v>1</v>
      </c>
      <c r="V1302" s="55">
        <f t="shared" si="61"/>
        <v>0</v>
      </c>
      <c r="W1302" s="56">
        <f t="shared" si="62"/>
        <v>1220</v>
      </c>
    </row>
    <row r="1303" spans="1:23" x14ac:dyDescent="0.3">
      <c r="A1303" s="13" t="str" cm="1">
        <f t="array" ref="A1303:B1303">INDEX(BenchmarkResults!$B$1:$D$35,SUMPRODUCT((T1303&gt;=BenchmarkResults!$F$3:$F$35)*(mongodb_hardware_log!T1303&lt;BenchmarkResults!$G$3:$G$35)*ROW(BenchmarkResults!$F$3:$F$35)),{1,3})</f>
        <v>q2_avg_order_city</v>
      </c>
      <c r="B1303">
        <v>3</v>
      </c>
      <c r="C1303" s="13">
        <v>1</v>
      </c>
      <c r="D1303" s="13">
        <v>0</v>
      </c>
      <c r="E1303" s="13">
        <v>133376</v>
      </c>
      <c r="F1303" s="13">
        <v>99960</v>
      </c>
      <c r="G1303" s="13">
        <v>6260</v>
      </c>
      <c r="H1303" s="13">
        <v>2312376</v>
      </c>
      <c r="I1303" s="13">
        <v>0</v>
      </c>
      <c r="J1303" s="13">
        <v>0</v>
      </c>
      <c r="K1303" s="13">
        <v>1237</v>
      </c>
      <c r="L1303" s="13">
        <v>41</v>
      </c>
      <c r="M1303" s="13">
        <v>732</v>
      </c>
      <c r="N1303" s="13">
        <v>246</v>
      </c>
      <c r="O1303" s="13">
        <v>33</v>
      </c>
      <c r="P1303" s="13">
        <v>1</v>
      </c>
      <c r="Q1303" s="13">
        <v>65</v>
      </c>
      <c r="R1303" s="13">
        <v>0</v>
      </c>
      <c r="S1303" s="13">
        <v>0</v>
      </c>
      <c r="T1303" s="23">
        <v>46247.634895833333</v>
      </c>
      <c r="U1303" s="55">
        <f t="shared" si="60"/>
        <v>1</v>
      </c>
      <c r="V1303" s="55">
        <f t="shared" si="61"/>
        <v>0</v>
      </c>
      <c r="W1303" s="56">
        <f t="shared" si="62"/>
        <v>1237.1666666666667</v>
      </c>
    </row>
    <row r="1304" spans="1:23" x14ac:dyDescent="0.3">
      <c r="A1304" s="13" t="str" cm="1">
        <f t="array" ref="A1304:B1304">INDEX(BenchmarkResults!$B$1:$D$35,SUMPRODUCT((T1304&gt;=BenchmarkResults!$F$3:$F$35)*(mongodb_hardware_log!T1304&lt;BenchmarkResults!$G$3:$G$35)*ROW(BenchmarkResults!$F$3:$F$35)),{1,3})</f>
        <v>q2_avg_order_city</v>
      </c>
      <c r="B1304">
        <v>3</v>
      </c>
      <c r="C1304" s="13">
        <v>1</v>
      </c>
      <c r="D1304" s="13">
        <v>0</v>
      </c>
      <c r="E1304" s="13">
        <v>133376</v>
      </c>
      <c r="F1304" s="13">
        <v>155056</v>
      </c>
      <c r="G1304" s="13">
        <v>6260</v>
      </c>
      <c r="H1304" s="13">
        <v>2269116</v>
      </c>
      <c r="I1304" s="13">
        <v>0</v>
      </c>
      <c r="J1304" s="13">
        <v>0</v>
      </c>
      <c r="K1304" s="13">
        <v>1100</v>
      </c>
      <c r="L1304" s="13">
        <v>4</v>
      </c>
      <c r="M1304" s="13">
        <v>704</v>
      </c>
      <c r="N1304" s="13">
        <v>208</v>
      </c>
      <c r="O1304" s="13">
        <v>33</v>
      </c>
      <c r="P1304" s="13">
        <v>1</v>
      </c>
      <c r="Q1304" s="13">
        <v>65</v>
      </c>
      <c r="R1304" s="13">
        <v>0</v>
      </c>
      <c r="S1304" s="13">
        <v>0</v>
      </c>
      <c r="T1304" s="23">
        <v>46247.635011574072</v>
      </c>
      <c r="U1304" s="55">
        <f t="shared" si="60"/>
        <v>1</v>
      </c>
      <c r="V1304" s="55">
        <f t="shared" si="61"/>
        <v>0</v>
      </c>
      <c r="W1304" s="56">
        <f t="shared" si="62"/>
        <v>1227.1666666666667</v>
      </c>
    </row>
    <row r="1305" spans="1:23" x14ac:dyDescent="0.3">
      <c r="A1305" s="13" t="str" cm="1">
        <f t="array" ref="A1305:B1305">INDEX(BenchmarkResults!$B$1:$D$35,SUMPRODUCT((T1305&gt;=BenchmarkResults!$F$3:$F$35)*(mongodb_hardware_log!T1305&lt;BenchmarkResults!$G$3:$G$35)*ROW(BenchmarkResults!$F$3:$F$35)),{1,3})</f>
        <v>q2_avg_order_city</v>
      </c>
      <c r="B1305">
        <v>3</v>
      </c>
      <c r="C1305" s="13">
        <v>1</v>
      </c>
      <c r="D1305" s="13">
        <v>0</v>
      </c>
      <c r="E1305" s="13">
        <v>133376</v>
      </c>
      <c r="F1305" s="13">
        <v>138424</v>
      </c>
      <c r="G1305" s="13">
        <v>6268</v>
      </c>
      <c r="H1305" s="13">
        <v>2280124</v>
      </c>
      <c r="I1305" s="13">
        <v>0</v>
      </c>
      <c r="J1305" s="13">
        <v>0</v>
      </c>
      <c r="K1305" s="13">
        <v>1098</v>
      </c>
      <c r="L1305" s="13">
        <v>7</v>
      </c>
      <c r="M1305" s="13">
        <v>765</v>
      </c>
      <c r="N1305" s="13">
        <v>272</v>
      </c>
      <c r="O1305" s="13">
        <v>33</v>
      </c>
      <c r="P1305" s="13">
        <v>1</v>
      </c>
      <c r="Q1305" s="13">
        <v>65</v>
      </c>
      <c r="R1305" s="13">
        <v>0</v>
      </c>
      <c r="S1305" s="13">
        <v>0</v>
      </c>
      <c r="T1305" s="23">
        <v>46247.635127314818</v>
      </c>
      <c r="U1305" s="55">
        <f t="shared" si="60"/>
        <v>1</v>
      </c>
      <c r="V1305" s="55">
        <f t="shared" si="61"/>
        <v>0</v>
      </c>
      <c r="W1305" s="56">
        <f t="shared" si="62"/>
        <v>1194.5</v>
      </c>
    </row>
    <row r="1306" spans="1:23" x14ac:dyDescent="0.3">
      <c r="A1306" s="13" t="str" cm="1">
        <f t="array" ref="A1306:B1306">INDEX(BenchmarkResults!$B$1:$D$35,SUMPRODUCT((T1306&gt;=BenchmarkResults!$F$3:$F$35)*(mongodb_hardware_log!T1306&lt;BenchmarkResults!$G$3:$G$35)*ROW(BenchmarkResults!$F$3:$F$35)),{1,3})</f>
        <v>q2_avg_order_city</v>
      </c>
      <c r="B1306">
        <v>3</v>
      </c>
      <c r="C1306" s="13">
        <v>1</v>
      </c>
      <c r="D1306" s="13">
        <v>0</v>
      </c>
      <c r="E1306" s="13">
        <v>133376</v>
      </c>
      <c r="F1306" s="13">
        <v>122548</v>
      </c>
      <c r="G1306" s="13">
        <v>6276</v>
      </c>
      <c r="H1306" s="13">
        <v>2291936</v>
      </c>
      <c r="I1306" s="13">
        <v>0</v>
      </c>
      <c r="J1306" s="13">
        <v>0</v>
      </c>
      <c r="K1306" s="13">
        <v>1184</v>
      </c>
      <c r="L1306" s="13">
        <v>10</v>
      </c>
      <c r="M1306" s="13">
        <v>704</v>
      </c>
      <c r="N1306" s="13">
        <v>202</v>
      </c>
      <c r="O1306" s="13">
        <v>34</v>
      </c>
      <c r="P1306" s="13">
        <v>1</v>
      </c>
      <c r="Q1306" s="13">
        <v>65</v>
      </c>
      <c r="R1306" s="13">
        <v>0</v>
      </c>
      <c r="S1306" s="13">
        <v>0</v>
      </c>
      <c r="T1306" s="23">
        <v>46247.635243055556</v>
      </c>
      <c r="U1306" s="55">
        <f t="shared" si="60"/>
        <v>1</v>
      </c>
      <c r="V1306" s="55">
        <f t="shared" si="61"/>
        <v>0</v>
      </c>
      <c r="W1306" s="56">
        <f t="shared" si="62"/>
        <v>1222.5</v>
      </c>
    </row>
    <row r="1307" spans="1:23" x14ac:dyDescent="0.3">
      <c r="A1307" s="13" t="str" cm="1">
        <f t="array" ref="A1307:B1307">INDEX(BenchmarkResults!$B$1:$D$35,SUMPRODUCT((T1307&gt;=BenchmarkResults!$F$3:$F$35)*(mongodb_hardware_log!T1307&lt;BenchmarkResults!$G$3:$G$35)*ROW(BenchmarkResults!$F$3:$F$35)),{1,3})</f>
        <v>q2_avg_order_city</v>
      </c>
      <c r="B1307">
        <v>3</v>
      </c>
      <c r="C1307" s="13">
        <v>1</v>
      </c>
      <c r="D1307" s="13">
        <v>0</v>
      </c>
      <c r="E1307" s="13">
        <v>133376</v>
      </c>
      <c r="F1307" s="13">
        <v>120404</v>
      </c>
      <c r="G1307" s="13">
        <v>6300</v>
      </c>
      <c r="H1307" s="13">
        <v>2303512</v>
      </c>
      <c r="I1307" s="13">
        <v>0</v>
      </c>
      <c r="J1307" s="13">
        <v>0</v>
      </c>
      <c r="K1307" s="13">
        <v>1157</v>
      </c>
      <c r="L1307" s="13">
        <v>28</v>
      </c>
      <c r="M1307" s="13">
        <v>710</v>
      </c>
      <c r="N1307" s="13">
        <v>215</v>
      </c>
      <c r="O1307" s="13">
        <v>34</v>
      </c>
      <c r="P1307" s="13">
        <v>1</v>
      </c>
      <c r="Q1307" s="13">
        <v>65</v>
      </c>
      <c r="R1307" s="13">
        <v>0</v>
      </c>
      <c r="S1307" s="13">
        <v>0</v>
      </c>
      <c r="T1307" s="23">
        <v>46247.635358796295</v>
      </c>
      <c r="U1307" s="55">
        <f t="shared" si="60"/>
        <v>1</v>
      </c>
      <c r="V1307" s="55">
        <f t="shared" si="61"/>
        <v>0</v>
      </c>
      <c r="W1307" s="56">
        <f t="shared" si="62"/>
        <v>1155.8333333333333</v>
      </c>
    </row>
    <row r="1308" spans="1:23" x14ac:dyDescent="0.3">
      <c r="A1308" s="13" t="str" cm="1">
        <f t="array" ref="A1308:B1308">INDEX(BenchmarkResults!$B$1:$D$35,SUMPRODUCT((T1308&gt;=BenchmarkResults!$F$3:$F$35)*(mongodb_hardware_log!T1308&lt;BenchmarkResults!$G$3:$G$35)*ROW(BenchmarkResults!$F$3:$F$35)),{1,3})</f>
        <v>q2_avg_order_city</v>
      </c>
      <c r="B1308">
        <v>3</v>
      </c>
      <c r="C1308" s="13">
        <v>1</v>
      </c>
      <c r="D1308" s="13">
        <v>0</v>
      </c>
      <c r="E1308" s="13">
        <v>133376</v>
      </c>
      <c r="F1308" s="13">
        <v>105788</v>
      </c>
      <c r="G1308" s="13">
        <v>6308</v>
      </c>
      <c r="H1308" s="13">
        <v>2319260</v>
      </c>
      <c r="I1308" s="13">
        <v>0</v>
      </c>
      <c r="J1308" s="13">
        <v>0</v>
      </c>
      <c r="K1308" s="13">
        <v>1580</v>
      </c>
      <c r="L1308" s="13">
        <v>5</v>
      </c>
      <c r="M1308" s="13">
        <v>730</v>
      </c>
      <c r="N1308" s="13">
        <v>220</v>
      </c>
      <c r="O1308" s="13">
        <v>33</v>
      </c>
      <c r="P1308" s="13">
        <v>1</v>
      </c>
      <c r="Q1308" s="13">
        <v>65</v>
      </c>
      <c r="R1308" s="13">
        <v>0</v>
      </c>
      <c r="S1308" s="13">
        <v>0</v>
      </c>
      <c r="T1308" s="23">
        <v>46247.635474537034</v>
      </c>
      <c r="U1308" s="55">
        <f t="shared" si="60"/>
        <v>1</v>
      </c>
      <c r="V1308" s="55">
        <f t="shared" si="61"/>
        <v>0</v>
      </c>
      <c r="W1308" s="56">
        <f t="shared" si="62"/>
        <v>1226</v>
      </c>
    </row>
    <row r="1309" spans="1:23" x14ac:dyDescent="0.3">
      <c r="A1309" s="13" t="str" cm="1">
        <f t="array" ref="A1309:B1309">INDEX(BenchmarkResults!$B$1:$D$35,SUMPRODUCT((T1309&gt;=BenchmarkResults!$F$3:$F$35)*(mongodb_hardware_log!T1309&lt;BenchmarkResults!$G$3:$G$35)*ROW(BenchmarkResults!$F$3:$F$35)),{1,3})</f>
        <v>q2_avg_order_city</v>
      </c>
      <c r="B1309">
        <v>3</v>
      </c>
      <c r="C1309" s="13">
        <v>2</v>
      </c>
      <c r="D1309" s="13">
        <v>0</v>
      </c>
      <c r="E1309" s="13">
        <v>133376</v>
      </c>
      <c r="F1309" s="13">
        <v>126336</v>
      </c>
      <c r="G1309" s="13">
        <v>6348</v>
      </c>
      <c r="H1309" s="13">
        <v>1639032</v>
      </c>
      <c r="I1309" s="13">
        <v>0</v>
      </c>
      <c r="J1309" s="13">
        <v>0</v>
      </c>
      <c r="K1309" s="13">
        <v>649</v>
      </c>
      <c r="L1309" s="13">
        <v>29</v>
      </c>
      <c r="M1309" s="13">
        <v>930</v>
      </c>
      <c r="N1309" s="13">
        <v>345</v>
      </c>
      <c r="O1309" s="13">
        <v>37</v>
      </c>
      <c r="P1309" s="13">
        <v>7</v>
      </c>
      <c r="Q1309" s="13">
        <v>55</v>
      </c>
      <c r="R1309" s="13">
        <v>0</v>
      </c>
      <c r="S1309" s="13">
        <v>1</v>
      </c>
      <c r="T1309" s="23">
        <v>46247.63559027778</v>
      </c>
      <c r="U1309" s="55">
        <f t="shared" si="60"/>
        <v>1.1666666666666667</v>
      </c>
      <c r="V1309" s="55">
        <f t="shared" si="61"/>
        <v>0</v>
      </c>
      <c r="W1309" s="56">
        <f t="shared" si="62"/>
        <v>1128</v>
      </c>
    </row>
    <row r="1310" spans="1:23" x14ac:dyDescent="0.3">
      <c r="A1310" s="13" t="str" cm="1">
        <f t="array" ref="A1310:B1310">INDEX(BenchmarkResults!$B$1:$D$35,SUMPRODUCT((T1310&gt;=BenchmarkResults!$F$3:$F$35)*(mongodb_hardware_log!T1310&lt;BenchmarkResults!$G$3:$G$35)*ROW(BenchmarkResults!$F$3:$F$35)),{1,3})</f>
        <v>q2_avg_order_city</v>
      </c>
      <c r="B1310">
        <v>3</v>
      </c>
      <c r="C1310" s="13">
        <v>1</v>
      </c>
      <c r="D1310" s="13">
        <v>0</v>
      </c>
      <c r="E1310" s="13">
        <v>133376</v>
      </c>
      <c r="F1310" s="13">
        <v>714348</v>
      </c>
      <c r="G1310" s="13">
        <v>6356</v>
      </c>
      <c r="H1310" s="13">
        <v>1651156</v>
      </c>
      <c r="I1310" s="13">
        <v>0</v>
      </c>
      <c r="J1310" s="13">
        <v>0</v>
      </c>
      <c r="K1310" s="13">
        <v>1218</v>
      </c>
      <c r="L1310" s="13">
        <v>15</v>
      </c>
      <c r="M1310" s="13">
        <v>839</v>
      </c>
      <c r="N1310" s="13">
        <v>341</v>
      </c>
      <c r="O1310" s="13">
        <v>35</v>
      </c>
      <c r="P1310" s="13">
        <v>6</v>
      </c>
      <c r="Q1310" s="13">
        <v>58</v>
      </c>
      <c r="R1310" s="13">
        <v>0</v>
      </c>
      <c r="S1310" s="13">
        <v>1</v>
      </c>
      <c r="T1310" s="23">
        <v>46247.635706018518</v>
      </c>
      <c r="U1310" s="55">
        <f t="shared" si="60"/>
        <v>1.1666666666666667</v>
      </c>
      <c r="V1310" s="55">
        <f t="shared" si="61"/>
        <v>0</v>
      </c>
      <c r="W1310" s="56">
        <f t="shared" si="62"/>
        <v>1147.6666666666667</v>
      </c>
    </row>
    <row r="1311" spans="1:23" x14ac:dyDescent="0.3">
      <c r="A1311" s="13" t="str" cm="1">
        <f t="array" ref="A1311:B1311">INDEX(BenchmarkResults!$B$1:$D$35,SUMPRODUCT((T1311&gt;=BenchmarkResults!$F$3:$F$35)*(mongodb_hardware_log!T1311&lt;BenchmarkResults!$G$3:$G$35)*ROW(BenchmarkResults!$F$3:$F$35)),{1,3})</f>
        <v>q2_avg_order_city</v>
      </c>
      <c r="B1311">
        <v>3</v>
      </c>
      <c r="C1311" s="13">
        <v>1</v>
      </c>
      <c r="D1311" s="13">
        <v>0</v>
      </c>
      <c r="E1311" s="13">
        <v>133376</v>
      </c>
      <c r="F1311" s="13">
        <v>699004</v>
      </c>
      <c r="G1311" s="13">
        <v>6364</v>
      </c>
      <c r="H1311" s="13">
        <v>1662536</v>
      </c>
      <c r="I1311" s="13">
        <v>0</v>
      </c>
      <c r="J1311" s="13">
        <v>0</v>
      </c>
      <c r="K1311" s="13">
        <v>1132</v>
      </c>
      <c r="L1311" s="13">
        <v>16</v>
      </c>
      <c r="M1311" s="13">
        <v>705</v>
      </c>
      <c r="N1311" s="13">
        <v>206</v>
      </c>
      <c r="O1311" s="13">
        <v>33</v>
      </c>
      <c r="P1311" s="13">
        <v>1</v>
      </c>
      <c r="Q1311" s="13">
        <v>65</v>
      </c>
      <c r="R1311" s="13">
        <v>0</v>
      </c>
      <c r="S1311" s="13">
        <v>0</v>
      </c>
      <c r="T1311" s="23">
        <v>46247.635821759257</v>
      </c>
      <c r="U1311" s="55">
        <f t="shared" si="60"/>
        <v>1.1666666666666667</v>
      </c>
      <c r="V1311" s="55">
        <f t="shared" si="61"/>
        <v>0</v>
      </c>
      <c r="W1311" s="56">
        <f t="shared" si="62"/>
        <v>1153.3333333333333</v>
      </c>
    </row>
    <row r="1312" spans="1:23" x14ac:dyDescent="0.3">
      <c r="A1312" s="13" t="str" cm="1">
        <f t="array" ref="A1312:B1312">INDEX(BenchmarkResults!$B$1:$D$35,SUMPRODUCT((T1312&gt;=BenchmarkResults!$F$3:$F$35)*(mongodb_hardware_log!T1312&lt;BenchmarkResults!$G$3:$G$35)*ROW(BenchmarkResults!$F$3:$F$35)),{1,3})</f>
        <v>q2_avg_order_city</v>
      </c>
      <c r="B1312">
        <v>3</v>
      </c>
      <c r="C1312" s="13">
        <v>1</v>
      </c>
      <c r="D1312" s="13">
        <v>0</v>
      </c>
      <c r="E1312" s="13">
        <v>133376</v>
      </c>
      <c r="F1312" s="13">
        <v>689640</v>
      </c>
      <c r="G1312" s="13">
        <v>6372</v>
      </c>
      <c r="H1312" s="13">
        <v>1673820</v>
      </c>
      <c r="I1312" s="13">
        <v>0</v>
      </c>
      <c r="J1312" s="13">
        <v>0</v>
      </c>
      <c r="K1312" s="13">
        <v>1131</v>
      </c>
      <c r="L1312" s="13">
        <v>10</v>
      </c>
      <c r="M1312" s="13">
        <v>702</v>
      </c>
      <c r="N1312" s="13">
        <v>207</v>
      </c>
      <c r="O1312" s="13">
        <v>34</v>
      </c>
      <c r="P1312" s="13">
        <v>1</v>
      </c>
      <c r="Q1312" s="13">
        <v>65</v>
      </c>
      <c r="R1312" s="13">
        <v>0</v>
      </c>
      <c r="S1312" s="13">
        <v>0</v>
      </c>
      <c r="T1312" s="23">
        <v>46247.635937500003</v>
      </c>
      <c r="U1312" s="55">
        <f t="shared" si="60"/>
        <v>1.1666666666666667</v>
      </c>
      <c r="V1312" s="55">
        <f t="shared" si="61"/>
        <v>0</v>
      </c>
      <c r="W1312" s="56">
        <f t="shared" si="62"/>
        <v>1144.5</v>
      </c>
    </row>
    <row r="1313" spans="1:23" x14ac:dyDescent="0.3">
      <c r="A1313" s="13" t="str" cm="1">
        <f t="array" ref="A1313:B1313">INDEX(BenchmarkResults!$B$1:$D$35,SUMPRODUCT((T1313&gt;=BenchmarkResults!$F$3:$F$35)*(mongodb_hardware_log!T1313&lt;BenchmarkResults!$G$3:$G$35)*ROW(BenchmarkResults!$F$3:$F$35)),{1,3})</f>
        <v>q2_avg_order_city</v>
      </c>
      <c r="B1313">
        <v>3</v>
      </c>
      <c r="C1313" s="13">
        <v>2</v>
      </c>
      <c r="D1313" s="13">
        <v>0</v>
      </c>
      <c r="E1313" s="13">
        <v>133376</v>
      </c>
      <c r="F1313" s="13">
        <v>682308</v>
      </c>
      <c r="G1313" s="13">
        <v>6380</v>
      </c>
      <c r="H1313" s="13">
        <v>1686352</v>
      </c>
      <c r="I1313" s="13">
        <v>0</v>
      </c>
      <c r="J1313" s="13">
        <v>0</v>
      </c>
      <c r="K1313" s="13">
        <v>1250</v>
      </c>
      <c r="L1313" s="13">
        <v>10</v>
      </c>
      <c r="M1313" s="13">
        <v>741</v>
      </c>
      <c r="N1313" s="13">
        <v>237</v>
      </c>
      <c r="O1313" s="13">
        <v>34</v>
      </c>
      <c r="P1313" s="13">
        <v>1</v>
      </c>
      <c r="Q1313" s="13">
        <v>64</v>
      </c>
      <c r="R1313" s="13">
        <v>0</v>
      </c>
      <c r="S1313" s="13">
        <v>0</v>
      </c>
      <c r="T1313" s="23">
        <v>46247.636053240742</v>
      </c>
      <c r="U1313" s="55">
        <f t="shared" si="60"/>
        <v>1.3333333333333333</v>
      </c>
      <c r="V1313" s="55">
        <f t="shared" si="61"/>
        <v>0</v>
      </c>
      <c r="W1313" s="56">
        <f t="shared" si="62"/>
        <v>1160</v>
      </c>
    </row>
    <row r="1314" spans="1:23" x14ac:dyDescent="0.3">
      <c r="A1314" s="13" t="str" cm="1">
        <f t="array" ref="A1314:B1314">INDEX(BenchmarkResults!$B$1:$D$35,SUMPRODUCT((T1314&gt;=BenchmarkResults!$F$3:$F$35)*(mongodb_hardware_log!T1314&lt;BenchmarkResults!$G$3:$G$35)*ROW(BenchmarkResults!$F$3:$F$35)),{1,3})</f>
        <v>q2_avg_order_city</v>
      </c>
      <c r="B1314">
        <v>3</v>
      </c>
      <c r="C1314" s="13">
        <v>1</v>
      </c>
      <c r="D1314" s="13">
        <v>0</v>
      </c>
      <c r="E1314" s="13">
        <v>133376</v>
      </c>
      <c r="F1314" s="13">
        <v>678304</v>
      </c>
      <c r="G1314" s="13">
        <v>6396</v>
      </c>
      <c r="H1314" s="13">
        <v>1695700</v>
      </c>
      <c r="I1314" s="13">
        <v>0</v>
      </c>
      <c r="J1314" s="13">
        <v>0</v>
      </c>
      <c r="K1314" s="13">
        <v>937</v>
      </c>
      <c r="L1314" s="13">
        <v>38</v>
      </c>
      <c r="M1314" s="13">
        <v>719</v>
      </c>
      <c r="N1314" s="13">
        <v>214</v>
      </c>
      <c r="O1314" s="13">
        <v>33</v>
      </c>
      <c r="P1314" s="13">
        <v>1</v>
      </c>
      <c r="Q1314" s="13">
        <v>65</v>
      </c>
      <c r="R1314" s="13">
        <v>0</v>
      </c>
      <c r="S1314" s="13">
        <v>0</v>
      </c>
      <c r="T1314" s="23">
        <v>46247.63616898148</v>
      </c>
      <c r="U1314" s="55">
        <f t="shared" si="60"/>
        <v>1.3333333333333333</v>
      </c>
      <c r="V1314" s="55">
        <f t="shared" si="61"/>
        <v>0</v>
      </c>
      <c r="W1314" s="56">
        <f t="shared" si="62"/>
        <v>1052.8333333333333</v>
      </c>
    </row>
    <row r="1315" spans="1:23" x14ac:dyDescent="0.3">
      <c r="A1315" s="13" t="str" cm="1">
        <f t="array" ref="A1315:B1315">INDEX(BenchmarkResults!$B$1:$D$35,SUMPRODUCT((T1315&gt;=BenchmarkResults!$F$3:$F$35)*(mongodb_hardware_log!T1315&lt;BenchmarkResults!$G$3:$G$35)*ROW(BenchmarkResults!$F$3:$F$35)),{1,3})</f>
        <v>q2_avg_order_city</v>
      </c>
      <c r="B1315">
        <v>3</v>
      </c>
      <c r="C1315" s="13">
        <v>1</v>
      </c>
      <c r="D1315" s="13">
        <v>0</v>
      </c>
      <c r="E1315" s="13">
        <v>133376</v>
      </c>
      <c r="F1315" s="13">
        <v>661420</v>
      </c>
      <c r="G1315" s="13">
        <v>6428</v>
      </c>
      <c r="H1315" s="13">
        <v>1707700</v>
      </c>
      <c r="I1315" s="13">
        <v>0</v>
      </c>
      <c r="J1315" s="13">
        <v>0</v>
      </c>
      <c r="K1315" s="13">
        <v>1194</v>
      </c>
      <c r="L1315" s="13">
        <v>29</v>
      </c>
      <c r="M1315" s="13">
        <v>734</v>
      </c>
      <c r="N1315" s="13">
        <v>237</v>
      </c>
      <c r="O1315" s="13">
        <v>33</v>
      </c>
      <c r="P1315" s="13">
        <v>1</v>
      </c>
      <c r="Q1315" s="13">
        <v>65</v>
      </c>
      <c r="R1315" s="13">
        <v>1</v>
      </c>
      <c r="S1315" s="13">
        <v>0</v>
      </c>
      <c r="T1315" s="23">
        <v>46247.636284722219</v>
      </c>
      <c r="U1315" s="55">
        <f t="shared" si="60"/>
        <v>1.1666666666666667</v>
      </c>
      <c r="V1315" s="55">
        <f t="shared" si="61"/>
        <v>0</v>
      </c>
      <c r="W1315" s="56">
        <f t="shared" si="62"/>
        <v>1143.6666666666667</v>
      </c>
    </row>
    <row r="1316" spans="1:23" x14ac:dyDescent="0.3">
      <c r="A1316" s="13" t="str" cm="1">
        <f t="array" ref="A1316:B1316">INDEX(BenchmarkResults!$B$1:$D$35,SUMPRODUCT((T1316&gt;=BenchmarkResults!$F$3:$F$35)*(mongodb_hardware_log!T1316&lt;BenchmarkResults!$G$3:$G$35)*ROW(BenchmarkResults!$F$3:$F$35)),{1,3})</f>
        <v>q2_avg_order_city</v>
      </c>
      <c r="B1316">
        <v>3</v>
      </c>
      <c r="C1316" s="13">
        <v>1</v>
      </c>
      <c r="D1316" s="13">
        <v>0</v>
      </c>
      <c r="E1316" s="13">
        <v>133376</v>
      </c>
      <c r="F1316" s="13">
        <v>653356</v>
      </c>
      <c r="G1316" s="13">
        <v>6436</v>
      </c>
      <c r="H1316" s="13">
        <v>1717784</v>
      </c>
      <c r="I1316" s="13">
        <v>0</v>
      </c>
      <c r="J1316" s="13">
        <v>0</v>
      </c>
      <c r="K1316" s="13">
        <v>1008</v>
      </c>
      <c r="L1316" s="13">
        <v>7</v>
      </c>
      <c r="M1316" s="13">
        <v>708</v>
      </c>
      <c r="N1316" s="13">
        <v>203</v>
      </c>
      <c r="O1316" s="13">
        <v>33</v>
      </c>
      <c r="P1316" s="13">
        <v>1</v>
      </c>
      <c r="Q1316" s="13">
        <v>65</v>
      </c>
      <c r="R1316" s="13">
        <v>0</v>
      </c>
      <c r="S1316" s="13">
        <v>0</v>
      </c>
      <c r="T1316" s="23">
        <v>46247.636400462965</v>
      </c>
      <c r="U1316" s="55">
        <f t="shared" si="60"/>
        <v>1.1666666666666667</v>
      </c>
      <c r="V1316" s="55">
        <f t="shared" si="61"/>
        <v>0</v>
      </c>
      <c r="W1316" s="56">
        <f t="shared" si="62"/>
        <v>1108.6666666666667</v>
      </c>
    </row>
    <row r="1317" spans="1:23" x14ac:dyDescent="0.3">
      <c r="A1317" s="13" t="str" cm="1">
        <f t="array" ref="A1317:B1317">INDEX(BenchmarkResults!$B$1:$D$35,SUMPRODUCT((T1317&gt;=BenchmarkResults!$F$3:$F$35)*(mongodb_hardware_log!T1317&lt;BenchmarkResults!$G$3:$G$35)*ROW(BenchmarkResults!$F$3:$F$35)),{1,3})</f>
        <v>q2_avg_order_city</v>
      </c>
      <c r="B1317">
        <v>3</v>
      </c>
      <c r="C1317" s="13">
        <v>1</v>
      </c>
      <c r="D1317" s="13">
        <v>0</v>
      </c>
      <c r="E1317" s="13">
        <v>133376</v>
      </c>
      <c r="F1317" s="13">
        <v>640756</v>
      </c>
      <c r="G1317" s="13">
        <v>6452</v>
      </c>
      <c r="H1317" s="13">
        <v>1732968</v>
      </c>
      <c r="I1317" s="13">
        <v>0</v>
      </c>
      <c r="J1317" s="13">
        <v>0</v>
      </c>
      <c r="K1317" s="13">
        <v>1525</v>
      </c>
      <c r="L1317" s="13">
        <v>21</v>
      </c>
      <c r="M1317" s="13">
        <v>702</v>
      </c>
      <c r="N1317" s="13">
        <v>200</v>
      </c>
      <c r="O1317" s="13">
        <v>33</v>
      </c>
      <c r="P1317" s="13">
        <v>1</v>
      </c>
      <c r="Q1317" s="13">
        <v>66</v>
      </c>
      <c r="R1317" s="13">
        <v>0</v>
      </c>
      <c r="S1317" s="13">
        <v>0</v>
      </c>
      <c r="T1317" s="23">
        <v>46247.636516203704</v>
      </c>
      <c r="U1317" s="55">
        <f t="shared" si="60"/>
        <v>1.1666666666666667</v>
      </c>
      <c r="V1317" s="55">
        <f t="shared" si="61"/>
        <v>0</v>
      </c>
      <c r="W1317" s="56">
        <f t="shared" si="62"/>
        <v>1174.1666666666667</v>
      </c>
    </row>
    <row r="1318" spans="1:23" x14ac:dyDescent="0.3">
      <c r="A1318" s="13" t="str" cm="1">
        <f t="array" ref="A1318:B1318">INDEX(BenchmarkResults!$B$1:$D$35,SUMPRODUCT((T1318&gt;=BenchmarkResults!$F$3:$F$35)*(mongodb_hardware_log!T1318&lt;BenchmarkResults!$G$3:$G$35)*ROW(BenchmarkResults!$F$3:$F$35)),{1,3})</f>
        <v>q2_avg_order_city</v>
      </c>
      <c r="B1318">
        <v>3</v>
      </c>
      <c r="C1318" s="13">
        <v>1</v>
      </c>
      <c r="D1318" s="13">
        <v>0</v>
      </c>
      <c r="E1318" s="13">
        <v>133376</v>
      </c>
      <c r="F1318" s="13">
        <v>628436</v>
      </c>
      <c r="G1318" s="13">
        <v>6460</v>
      </c>
      <c r="H1318" s="13">
        <v>1744112</v>
      </c>
      <c r="I1318" s="13">
        <v>0</v>
      </c>
      <c r="J1318" s="13">
        <v>0</v>
      </c>
      <c r="K1318" s="13">
        <v>1110</v>
      </c>
      <c r="L1318" s="13">
        <v>6</v>
      </c>
      <c r="M1318" s="13">
        <v>695</v>
      </c>
      <c r="N1318" s="13">
        <v>200</v>
      </c>
      <c r="O1318" s="13">
        <v>33</v>
      </c>
      <c r="P1318" s="13">
        <v>1</v>
      </c>
      <c r="Q1318" s="13">
        <v>65</v>
      </c>
      <c r="R1318" s="13">
        <v>0</v>
      </c>
      <c r="S1318" s="13">
        <v>0</v>
      </c>
      <c r="T1318" s="23">
        <v>46247.636631944442</v>
      </c>
      <c r="U1318" s="55">
        <f t="shared" si="60"/>
        <v>1.1666666666666667</v>
      </c>
      <c r="V1318" s="55">
        <f t="shared" si="61"/>
        <v>0</v>
      </c>
      <c r="W1318" s="56">
        <f t="shared" si="62"/>
        <v>1170.6666666666667</v>
      </c>
    </row>
    <row r="1319" spans="1:23" x14ac:dyDescent="0.3">
      <c r="A1319" s="13" t="str" cm="1">
        <f t="array" ref="A1319:B1319">INDEX(BenchmarkResults!$B$1:$D$35,SUMPRODUCT((T1319&gt;=BenchmarkResults!$F$3:$F$35)*(mongodb_hardware_log!T1319&lt;BenchmarkResults!$G$3:$G$35)*ROW(BenchmarkResults!$F$3:$F$35)),{1,3})</f>
        <v>q2_avg_order_city</v>
      </c>
      <c r="B1319">
        <v>3</v>
      </c>
      <c r="C1319" s="13">
        <v>1</v>
      </c>
      <c r="D1319" s="13">
        <v>0</v>
      </c>
      <c r="E1319" s="13">
        <v>133376</v>
      </c>
      <c r="F1319" s="13">
        <v>620372</v>
      </c>
      <c r="G1319" s="13">
        <v>6468</v>
      </c>
      <c r="H1319" s="13">
        <v>1755028</v>
      </c>
      <c r="I1319" s="13">
        <v>0</v>
      </c>
      <c r="J1319" s="13">
        <v>0</v>
      </c>
      <c r="K1319" s="13">
        <v>1089</v>
      </c>
      <c r="L1319" s="13">
        <v>9</v>
      </c>
      <c r="M1319" s="13">
        <v>710</v>
      </c>
      <c r="N1319" s="13">
        <v>207</v>
      </c>
      <c r="O1319" s="13">
        <v>33</v>
      </c>
      <c r="P1319" s="13">
        <v>1</v>
      </c>
      <c r="Q1319" s="13">
        <v>65</v>
      </c>
      <c r="R1319" s="13">
        <v>0</v>
      </c>
      <c r="S1319" s="13">
        <v>0</v>
      </c>
      <c r="T1319" s="23">
        <v>46247.636747685188</v>
      </c>
      <c r="U1319" s="55">
        <f t="shared" si="60"/>
        <v>1</v>
      </c>
      <c r="V1319" s="55">
        <f t="shared" si="61"/>
        <v>0</v>
      </c>
      <c r="W1319" s="56">
        <f t="shared" si="62"/>
        <v>1143.8333333333333</v>
      </c>
    </row>
    <row r="1320" spans="1:23" x14ac:dyDescent="0.3">
      <c r="A1320" s="13" t="str" cm="1">
        <f t="array" ref="A1320:B1320">INDEX(BenchmarkResults!$B$1:$D$35,SUMPRODUCT((T1320&gt;=BenchmarkResults!$F$3:$F$35)*(mongodb_hardware_log!T1320&lt;BenchmarkResults!$G$3:$G$35)*ROW(BenchmarkResults!$F$3:$F$35)),{1,3})</f>
        <v>q2_avg_order_city</v>
      </c>
      <c r="B1320">
        <v>3</v>
      </c>
      <c r="C1320" s="13">
        <v>1</v>
      </c>
      <c r="D1320" s="13">
        <v>0</v>
      </c>
      <c r="E1320" s="13">
        <v>133376</v>
      </c>
      <c r="F1320" s="13">
        <v>608532</v>
      </c>
      <c r="G1320" s="13">
        <v>6476</v>
      </c>
      <c r="H1320" s="13">
        <v>1768172</v>
      </c>
      <c r="I1320" s="13">
        <v>0</v>
      </c>
      <c r="J1320" s="13">
        <v>0</v>
      </c>
      <c r="K1320" s="13">
        <v>1314</v>
      </c>
      <c r="L1320" s="13">
        <v>12</v>
      </c>
      <c r="M1320" s="13">
        <v>729</v>
      </c>
      <c r="N1320" s="13">
        <v>227</v>
      </c>
      <c r="O1320" s="13">
        <v>33</v>
      </c>
      <c r="P1320" s="13">
        <v>1</v>
      </c>
      <c r="Q1320" s="13">
        <v>65</v>
      </c>
      <c r="R1320" s="13">
        <v>0</v>
      </c>
      <c r="S1320" s="13">
        <v>0</v>
      </c>
      <c r="T1320" s="23">
        <v>46247.636863425927</v>
      </c>
      <c r="U1320" s="55">
        <f t="shared" si="60"/>
        <v>1</v>
      </c>
      <c r="V1320" s="55">
        <f t="shared" si="61"/>
        <v>0</v>
      </c>
      <c r="W1320" s="56">
        <f t="shared" si="62"/>
        <v>1206.6666666666667</v>
      </c>
    </row>
    <row r="1321" spans="1:23" x14ac:dyDescent="0.3">
      <c r="A1321" s="13" t="str" cm="1">
        <f t="array" ref="A1321:B1321">INDEX(BenchmarkResults!$B$1:$D$35,SUMPRODUCT((T1321&gt;=BenchmarkResults!$F$3:$F$35)*(mongodb_hardware_log!T1321&lt;BenchmarkResults!$G$3:$G$35)*ROW(BenchmarkResults!$F$3:$F$35)),{1,3})</f>
        <v>q2_avg_order_city</v>
      </c>
      <c r="B1321">
        <v>3</v>
      </c>
      <c r="C1321" s="13">
        <v>1</v>
      </c>
      <c r="D1321" s="13">
        <v>0</v>
      </c>
      <c r="E1321" s="13">
        <v>133376</v>
      </c>
      <c r="F1321" s="13">
        <v>597696</v>
      </c>
      <c r="G1321" s="13">
        <v>6508</v>
      </c>
      <c r="H1321" s="13">
        <v>1777844</v>
      </c>
      <c r="I1321" s="13">
        <v>0</v>
      </c>
      <c r="J1321" s="13">
        <v>0</v>
      </c>
      <c r="K1321" s="13">
        <v>966</v>
      </c>
      <c r="L1321" s="13">
        <v>46</v>
      </c>
      <c r="M1321" s="13">
        <v>703</v>
      </c>
      <c r="N1321" s="13">
        <v>212</v>
      </c>
      <c r="O1321" s="13">
        <v>34</v>
      </c>
      <c r="P1321" s="13">
        <v>1</v>
      </c>
      <c r="Q1321" s="13">
        <v>65</v>
      </c>
      <c r="R1321" s="13">
        <v>0</v>
      </c>
      <c r="S1321" s="13">
        <v>0</v>
      </c>
      <c r="T1321" s="23">
        <v>46247.636979166666</v>
      </c>
      <c r="U1321" s="55">
        <f t="shared" si="60"/>
        <v>1</v>
      </c>
      <c r="V1321" s="55">
        <f t="shared" si="61"/>
        <v>0</v>
      </c>
      <c r="W1321" s="56">
        <f t="shared" si="62"/>
        <v>1168.6666666666667</v>
      </c>
    </row>
    <row r="1322" spans="1:23" x14ac:dyDescent="0.3">
      <c r="A1322" s="13" t="str" cm="1">
        <f t="array" ref="A1322:B1322">INDEX(BenchmarkResults!$B$1:$D$35,SUMPRODUCT((T1322&gt;=BenchmarkResults!$F$3:$F$35)*(mongodb_hardware_log!T1322&lt;BenchmarkResults!$G$3:$G$35)*ROW(BenchmarkResults!$F$3:$F$35)),{1,3})</f>
        <v>q2_avg_order_city</v>
      </c>
      <c r="B1322">
        <v>3</v>
      </c>
      <c r="C1322" s="13">
        <v>1</v>
      </c>
      <c r="D1322" s="13">
        <v>0</v>
      </c>
      <c r="E1322" s="13">
        <v>133376</v>
      </c>
      <c r="F1322" s="13">
        <v>589636</v>
      </c>
      <c r="G1322" s="13">
        <v>6516</v>
      </c>
      <c r="H1322" s="13">
        <v>1790188</v>
      </c>
      <c r="I1322" s="13">
        <v>0</v>
      </c>
      <c r="J1322" s="13">
        <v>0</v>
      </c>
      <c r="K1322" s="13">
        <v>1237</v>
      </c>
      <c r="L1322" s="13">
        <v>14</v>
      </c>
      <c r="M1322" s="13">
        <v>734</v>
      </c>
      <c r="N1322" s="13">
        <v>231</v>
      </c>
      <c r="O1322" s="13">
        <v>33</v>
      </c>
      <c r="P1322" s="13">
        <v>1</v>
      </c>
      <c r="Q1322" s="13">
        <v>65</v>
      </c>
      <c r="R1322" s="13">
        <v>1</v>
      </c>
      <c r="S1322" s="13">
        <v>0</v>
      </c>
      <c r="T1322" s="23">
        <v>46247.637094907404</v>
      </c>
      <c r="U1322" s="55">
        <f t="shared" si="60"/>
        <v>1</v>
      </c>
      <c r="V1322" s="55">
        <f t="shared" si="61"/>
        <v>0</v>
      </c>
      <c r="W1322" s="56">
        <f t="shared" si="62"/>
        <v>1206.8333333333333</v>
      </c>
    </row>
    <row r="1323" spans="1:23" x14ac:dyDescent="0.3">
      <c r="A1323" s="13" t="str" cm="1">
        <f t="array" ref="A1323:B1323">INDEX(BenchmarkResults!$B$1:$D$35,SUMPRODUCT((T1323&gt;=BenchmarkResults!$F$3:$F$35)*(mongodb_hardware_log!T1323&lt;BenchmarkResults!$G$3:$G$35)*ROW(BenchmarkResults!$F$3:$F$35)),{1,3})</f>
        <v>q2_avg_order_city</v>
      </c>
      <c r="B1323">
        <v>3</v>
      </c>
      <c r="C1323" s="13">
        <v>1</v>
      </c>
      <c r="D1323" s="13">
        <v>0</v>
      </c>
      <c r="E1323" s="13">
        <v>133376</v>
      </c>
      <c r="F1323" s="13">
        <v>575684</v>
      </c>
      <c r="G1323" s="13">
        <v>6524</v>
      </c>
      <c r="H1323" s="13">
        <v>1806388</v>
      </c>
      <c r="I1323" s="13">
        <v>0</v>
      </c>
      <c r="J1323" s="13">
        <v>0</v>
      </c>
      <c r="K1323" s="13">
        <v>1620</v>
      </c>
      <c r="L1323" s="13">
        <v>26</v>
      </c>
      <c r="M1323" s="13">
        <v>709</v>
      </c>
      <c r="N1323" s="13">
        <v>209</v>
      </c>
      <c r="O1323" s="13">
        <v>33</v>
      </c>
      <c r="P1323" s="13">
        <v>1</v>
      </c>
      <c r="Q1323" s="13">
        <v>65</v>
      </c>
      <c r="R1323" s="13">
        <v>0</v>
      </c>
      <c r="S1323" s="13">
        <v>0</v>
      </c>
      <c r="T1323" s="23">
        <v>46247.63721064815</v>
      </c>
      <c r="U1323" s="55">
        <f t="shared" si="60"/>
        <v>1</v>
      </c>
      <c r="V1323" s="55">
        <f t="shared" si="61"/>
        <v>0</v>
      </c>
      <c r="W1323" s="56">
        <f t="shared" si="62"/>
        <v>1222.6666666666667</v>
      </c>
    </row>
    <row r="1324" spans="1:23" x14ac:dyDescent="0.3">
      <c r="A1324" s="13" t="str" cm="1">
        <f t="array" ref="A1324:B1324">INDEX(BenchmarkResults!$B$1:$D$35,SUMPRODUCT((T1324&gt;=BenchmarkResults!$F$3:$F$35)*(mongodb_hardware_log!T1324&lt;BenchmarkResults!$G$3:$G$35)*ROW(BenchmarkResults!$F$3:$F$35)),{1,3})</f>
        <v>q2_avg_order_city</v>
      </c>
      <c r="B1324">
        <v>3</v>
      </c>
      <c r="C1324" s="13">
        <v>1</v>
      </c>
      <c r="D1324" s="13">
        <v>0</v>
      </c>
      <c r="E1324" s="13">
        <v>133376</v>
      </c>
      <c r="F1324" s="13">
        <v>559052</v>
      </c>
      <c r="G1324" s="13">
        <v>6532</v>
      </c>
      <c r="H1324" s="13">
        <v>1819568</v>
      </c>
      <c r="I1324" s="13">
        <v>0</v>
      </c>
      <c r="J1324" s="13">
        <v>0</v>
      </c>
      <c r="K1324" s="13">
        <v>1315</v>
      </c>
      <c r="L1324" s="13">
        <v>12</v>
      </c>
      <c r="M1324" s="13">
        <v>719</v>
      </c>
      <c r="N1324" s="13">
        <v>214</v>
      </c>
      <c r="O1324" s="13">
        <v>33</v>
      </c>
      <c r="P1324" s="13">
        <v>1</v>
      </c>
      <c r="Q1324" s="13">
        <v>65</v>
      </c>
      <c r="R1324" s="13">
        <v>0</v>
      </c>
      <c r="S1324" s="13">
        <v>0</v>
      </c>
      <c r="T1324" s="23">
        <v>46247.637326388889</v>
      </c>
      <c r="U1324" s="55">
        <f t="shared" si="60"/>
        <v>1</v>
      </c>
      <c r="V1324" s="55">
        <f t="shared" si="61"/>
        <v>0</v>
      </c>
      <c r="W1324" s="56">
        <f t="shared" si="62"/>
        <v>1256.8333333333333</v>
      </c>
    </row>
    <row r="1325" spans="1:23" x14ac:dyDescent="0.3">
      <c r="A1325" s="13" t="str" cm="1">
        <f t="array" ref="A1325:B1325">INDEX(BenchmarkResults!$B$1:$D$35,SUMPRODUCT((T1325&gt;=BenchmarkResults!$F$3:$F$35)*(mongodb_hardware_log!T1325&lt;BenchmarkResults!$G$3:$G$35)*ROW(BenchmarkResults!$F$3:$F$35)),{1,3})</f>
        <v>q2_avg_order_city</v>
      </c>
      <c r="B1325">
        <v>3</v>
      </c>
      <c r="C1325" s="13">
        <v>1</v>
      </c>
      <c r="D1325" s="13">
        <v>0</v>
      </c>
      <c r="E1325" s="13">
        <v>133376</v>
      </c>
      <c r="F1325" s="13">
        <v>550288</v>
      </c>
      <c r="G1325" s="13">
        <v>6540</v>
      </c>
      <c r="H1325" s="13">
        <v>1829724</v>
      </c>
      <c r="I1325" s="13">
        <v>0</v>
      </c>
      <c r="J1325" s="13">
        <v>0</v>
      </c>
      <c r="K1325" s="13">
        <v>1016</v>
      </c>
      <c r="L1325" s="13">
        <v>17</v>
      </c>
      <c r="M1325" s="13">
        <v>703</v>
      </c>
      <c r="N1325" s="13">
        <v>206</v>
      </c>
      <c r="O1325" s="13">
        <v>34</v>
      </c>
      <c r="P1325" s="13">
        <v>1</v>
      </c>
      <c r="Q1325" s="13">
        <v>64</v>
      </c>
      <c r="R1325" s="13">
        <v>1</v>
      </c>
      <c r="S1325" s="13">
        <v>0</v>
      </c>
      <c r="T1325" s="23">
        <v>46247.637442129628</v>
      </c>
      <c r="U1325" s="55">
        <f t="shared" si="60"/>
        <v>1</v>
      </c>
      <c r="V1325" s="55">
        <f t="shared" si="61"/>
        <v>0</v>
      </c>
      <c r="W1325" s="56">
        <f t="shared" si="62"/>
        <v>1244.6666666666667</v>
      </c>
    </row>
    <row r="1326" spans="1:23" x14ac:dyDescent="0.3">
      <c r="A1326" s="13" t="str" cm="1">
        <f t="array" ref="A1326:B1326">INDEX(BenchmarkResults!$B$1:$D$35,SUMPRODUCT((T1326&gt;=BenchmarkResults!$F$3:$F$35)*(mongodb_hardware_log!T1326&lt;BenchmarkResults!$G$3:$G$35)*ROW(BenchmarkResults!$F$3:$F$35)),{1,3})</f>
        <v>q2_avg_order_city</v>
      </c>
      <c r="B1326">
        <v>3</v>
      </c>
      <c r="C1326" s="13">
        <v>1</v>
      </c>
      <c r="D1326" s="13">
        <v>0</v>
      </c>
      <c r="E1326" s="13">
        <v>133376</v>
      </c>
      <c r="F1326" s="13">
        <v>561892</v>
      </c>
      <c r="G1326" s="13">
        <v>6548</v>
      </c>
      <c r="H1326" s="13">
        <v>1839400</v>
      </c>
      <c r="I1326" s="13">
        <v>0</v>
      </c>
      <c r="J1326" s="13">
        <v>0</v>
      </c>
      <c r="K1326" s="13">
        <v>967</v>
      </c>
      <c r="L1326" s="13">
        <v>11</v>
      </c>
      <c r="M1326" s="13">
        <v>715</v>
      </c>
      <c r="N1326" s="13">
        <v>206</v>
      </c>
      <c r="O1326" s="13">
        <v>33</v>
      </c>
      <c r="P1326" s="13">
        <v>1</v>
      </c>
      <c r="Q1326" s="13">
        <v>65</v>
      </c>
      <c r="R1326" s="13">
        <v>0</v>
      </c>
      <c r="S1326" s="13">
        <v>0</v>
      </c>
      <c r="T1326" s="23">
        <v>46247.637557870374</v>
      </c>
      <c r="U1326" s="55">
        <f t="shared" si="60"/>
        <v>1</v>
      </c>
      <c r="V1326" s="55">
        <f t="shared" si="61"/>
        <v>0</v>
      </c>
      <c r="W1326" s="56">
        <f t="shared" si="62"/>
        <v>1186.8333333333333</v>
      </c>
    </row>
    <row r="1327" spans="1:23" x14ac:dyDescent="0.3">
      <c r="A1327" s="13" t="str" cm="1">
        <f t="array" ref="A1327:B1327">INDEX(BenchmarkResults!$B$1:$D$35,SUMPRODUCT((T1327&gt;=BenchmarkResults!$F$3:$F$35)*(mongodb_hardware_log!T1327&lt;BenchmarkResults!$G$3:$G$35)*ROW(BenchmarkResults!$F$3:$F$35)),{1,3})</f>
        <v>q2_avg_order_city</v>
      </c>
      <c r="B1327">
        <v>3</v>
      </c>
      <c r="C1327" s="13">
        <v>1</v>
      </c>
      <c r="D1327" s="13">
        <v>0</v>
      </c>
      <c r="E1327" s="13">
        <v>133376</v>
      </c>
      <c r="F1327" s="13">
        <v>561892</v>
      </c>
      <c r="G1327" s="13">
        <v>6580</v>
      </c>
      <c r="H1327" s="13">
        <v>1851648</v>
      </c>
      <c r="I1327" s="13">
        <v>0</v>
      </c>
      <c r="J1327" s="13">
        <v>0</v>
      </c>
      <c r="K1327" s="13">
        <v>1230</v>
      </c>
      <c r="L1327" s="13">
        <v>30</v>
      </c>
      <c r="M1327" s="13">
        <v>712</v>
      </c>
      <c r="N1327" s="13">
        <v>216</v>
      </c>
      <c r="O1327" s="13">
        <v>33</v>
      </c>
      <c r="P1327" s="13">
        <v>1</v>
      </c>
      <c r="Q1327" s="13">
        <v>65</v>
      </c>
      <c r="R1327" s="13">
        <v>0</v>
      </c>
      <c r="S1327" s="13">
        <v>0</v>
      </c>
      <c r="T1327" s="23">
        <v>46247.637673611112</v>
      </c>
      <c r="U1327" s="55">
        <f t="shared" si="60"/>
        <v>1</v>
      </c>
      <c r="V1327" s="55">
        <f t="shared" si="61"/>
        <v>0</v>
      </c>
      <c r="W1327" s="56">
        <f t="shared" si="62"/>
        <v>1230.8333333333333</v>
      </c>
    </row>
    <row r="1328" spans="1:23" x14ac:dyDescent="0.3">
      <c r="A1328" s="13" t="str" cm="1">
        <f t="array" ref="A1328:B1328">INDEX(BenchmarkResults!$B$1:$D$35,SUMPRODUCT((T1328&gt;=BenchmarkResults!$F$3:$F$35)*(mongodb_hardware_log!T1328&lt;BenchmarkResults!$G$3:$G$35)*ROW(BenchmarkResults!$F$3:$F$35)),{1,3})</f>
        <v>q2_avg_order_city</v>
      </c>
      <c r="B1328">
        <v>3</v>
      </c>
      <c r="C1328" s="13">
        <v>1</v>
      </c>
      <c r="D1328" s="13">
        <v>0</v>
      </c>
      <c r="E1328" s="13">
        <v>133376</v>
      </c>
      <c r="F1328" s="13">
        <v>541988</v>
      </c>
      <c r="G1328" s="13">
        <v>6588</v>
      </c>
      <c r="H1328" s="13">
        <v>1865296</v>
      </c>
      <c r="I1328" s="13">
        <v>0</v>
      </c>
      <c r="J1328" s="13">
        <v>0</v>
      </c>
      <c r="K1328" s="13">
        <v>1359</v>
      </c>
      <c r="L1328" s="13">
        <v>8</v>
      </c>
      <c r="M1328" s="13">
        <v>734</v>
      </c>
      <c r="N1328" s="13">
        <v>227</v>
      </c>
      <c r="O1328" s="13">
        <v>33</v>
      </c>
      <c r="P1328" s="13">
        <v>1</v>
      </c>
      <c r="Q1328" s="13">
        <v>64</v>
      </c>
      <c r="R1328" s="13">
        <v>1</v>
      </c>
      <c r="S1328" s="13">
        <v>0</v>
      </c>
      <c r="T1328" s="23">
        <v>46247.637789351851</v>
      </c>
      <c r="U1328" s="55">
        <f t="shared" si="60"/>
        <v>1</v>
      </c>
      <c r="V1328" s="55">
        <f t="shared" si="61"/>
        <v>0</v>
      </c>
      <c r="W1328" s="56">
        <f t="shared" si="62"/>
        <v>1251.1666666666667</v>
      </c>
    </row>
    <row r="1329" spans="1:23" x14ac:dyDescent="0.3">
      <c r="A1329" s="13" t="str" cm="1">
        <f t="array" ref="A1329:B1329">INDEX(BenchmarkResults!$B$1:$D$35,SUMPRODUCT((T1329&gt;=BenchmarkResults!$F$3:$F$35)*(mongodb_hardware_log!T1329&lt;BenchmarkResults!$G$3:$G$35)*ROW(BenchmarkResults!$F$3:$F$35)),{1,3})</f>
        <v>q2_avg_order_city</v>
      </c>
      <c r="B1329">
        <v>3</v>
      </c>
      <c r="C1329" s="13">
        <v>1</v>
      </c>
      <c r="D1329" s="13">
        <v>0</v>
      </c>
      <c r="E1329" s="13">
        <v>133376</v>
      </c>
      <c r="F1329" s="13">
        <v>530704</v>
      </c>
      <c r="G1329" s="13">
        <v>6604</v>
      </c>
      <c r="H1329" s="13">
        <v>1879016</v>
      </c>
      <c r="I1329" s="13">
        <v>0</v>
      </c>
      <c r="J1329" s="13">
        <v>0</v>
      </c>
      <c r="K1329" s="13">
        <v>1372</v>
      </c>
      <c r="L1329" s="13">
        <v>34</v>
      </c>
      <c r="M1329" s="13">
        <v>709</v>
      </c>
      <c r="N1329" s="13">
        <v>208</v>
      </c>
      <c r="O1329" s="13">
        <v>33</v>
      </c>
      <c r="P1329" s="13">
        <v>1</v>
      </c>
      <c r="Q1329" s="13">
        <v>65</v>
      </c>
      <c r="R1329" s="13">
        <v>0</v>
      </c>
      <c r="S1329" s="13">
        <v>0</v>
      </c>
      <c r="T1329" s="23">
        <v>46247.63790509259</v>
      </c>
      <c r="U1329" s="55">
        <f t="shared" si="60"/>
        <v>1</v>
      </c>
      <c r="V1329" s="55">
        <f t="shared" si="61"/>
        <v>0</v>
      </c>
      <c r="W1329" s="56">
        <f t="shared" si="62"/>
        <v>1209.8333333333333</v>
      </c>
    </row>
    <row r="1330" spans="1:23" x14ac:dyDescent="0.3">
      <c r="A1330" s="13" t="str" cm="1">
        <f t="array" ref="A1330:B1330">INDEX(BenchmarkResults!$B$1:$D$35,SUMPRODUCT((T1330&gt;=BenchmarkResults!$F$3:$F$35)*(mongodb_hardware_log!T1330&lt;BenchmarkResults!$G$3:$G$35)*ROW(BenchmarkResults!$F$3:$F$35)),{1,3})</f>
        <v>q2_avg_order_city</v>
      </c>
      <c r="B1330">
        <v>3</v>
      </c>
      <c r="C1330" s="13">
        <v>1</v>
      </c>
      <c r="D1330" s="13">
        <v>0</v>
      </c>
      <c r="E1330" s="13">
        <v>133376</v>
      </c>
      <c r="F1330" s="13">
        <v>513512</v>
      </c>
      <c r="G1330" s="13">
        <v>6612</v>
      </c>
      <c r="H1330" s="13">
        <v>1893388</v>
      </c>
      <c r="I1330" s="13">
        <v>0</v>
      </c>
      <c r="J1330" s="13">
        <v>0</v>
      </c>
      <c r="K1330" s="13">
        <v>1434</v>
      </c>
      <c r="L1330" s="13">
        <v>10</v>
      </c>
      <c r="M1330" s="13">
        <v>739</v>
      </c>
      <c r="N1330" s="13">
        <v>239</v>
      </c>
      <c r="O1330" s="13">
        <v>33</v>
      </c>
      <c r="P1330" s="13">
        <v>1</v>
      </c>
      <c r="Q1330" s="13">
        <v>64</v>
      </c>
      <c r="R1330" s="13">
        <v>1</v>
      </c>
      <c r="S1330" s="13">
        <v>0</v>
      </c>
      <c r="T1330" s="23">
        <v>46247.638020833336</v>
      </c>
      <c r="U1330" s="55">
        <f t="shared" si="60"/>
        <v>1</v>
      </c>
      <c r="V1330" s="55">
        <f t="shared" si="61"/>
        <v>0</v>
      </c>
      <c r="W1330" s="56">
        <f t="shared" si="62"/>
        <v>1229.6666666666667</v>
      </c>
    </row>
    <row r="1331" spans="1:23" x14ac:dyDescent="0.3">
      <c r="A1331" s="13" t="str" cm="1">
        <f t="array" ref="A1331:B1331">INDEX(BenchmarkResults!$B$1:$D$35,SUMPRODUCT((T1331&gt;=BenchmarkResults!$F$3:$F$35)*(mongodb_hardware_log!T1331&lt;BenchmarkResults!$G$3:$G$35)*ROW(BenchmarkResults!$F$3:$F$35)),{1,3})</f>
        <v>q2_avg_order_city</v>
      </c>
      <c r="B1331">
        <v>3</v>
      </c>
      <c r="C1331" s="13">
        <v>1</v>
      </c>
      <c r="D1331" s="13">
        <v>0</v>
      </c>
      <c r="E1331" s="13">
        <v>133376</v>
      </c>
      <c r="F1331" s="13">
        <v>497888</v>
      </c>
      <c r="G1331" s="13">
        <v>6620</v>
      </c>
      <c r="H1331" s="13">
        <v>1901944</v>
      </c>
      <c r="I1331" s="13">
        <v>0</v>
      </c>
      <c r="J1331" s="13">
        <v>0</v>
      </c>
      <c r="K1331" s="13">
        <v>858</v>
      </c>
      <c r="L1331" s="13">
        <v>13</v>
      </c>
      <c r="M1331" s="13">
        <v>697</v>
      </c>
      <c r="N1331" s="13">
        <v>198</v>
      </c>
      <c r="O1331" s="13">
        <v>33</v>
      </c>
      <c r="P1331" s="13">
        <v>1</v>
      </c>
      <c r="Q1331" s="13">
        <v>66</v>
      </c>
      <c r="R1331" s="13">
        <v>0</v>
      </c>
      <c r="S1331" s="13">
        <v>0</v>
      </c>
      <c r="T1331" s="23">
        <v>46247.638136574074</v>
      </c>
      <c r="U1331" s="55">
        <f t="shared" si="60"/>
        <v>1</v>
      </c>
      <c r="V1331" s="55">
        <f t="shared" si="61"/>
        <v>0</v>
      </c>
      <c r="W1331" s="56">
        <f t="shared" si="62"/>
        <v>1203.3333333333333</v>
      </c>
    </row>
    <row r="1332" spans="1:23" x14ac:dyDescent="0.3">
      <c r="A1332" s="13" t="str" cm="1">
        <f t="array" ref="A1332:B1332">INDEX(BenchmarkResults!$B$1:$D$35,SUMPRODUCT((T1332&gt;=BenchmarkResults!$F$3:$F$35)*(mongodb_hardware_log!T1332&lt;BenchmarkResults!$G$3:$G$35)*ROW(BenchmarkResults!$F$3:$F$35)),{1,3})</f>
        <v>q2_avg_order_city</v>
      </c>
      <c r="B1332">
        <v>3</v>
      </c>
      <c r="C1332" s="13">
        <v>1</v>
      </c>
      <c r="D1332" s="13">
        <v>0</v>
      </c>
      <c r="E1332" s="13">
        <v>133376</v>
      </c>
      <c r="F1332" s="13">
        <v>490328</v>
      </c>
      <c r="G1332" s="13">
        <v>6628</v>
      </c>
      <c r="H1332" s="13">
        <v>1915576</v>
      </c>
      <c r="I1332" s="13">
        <v>0</v>
      </c>
      <c r="J1332" s="13">
        <v>0</v>
      </c>
      <c r="K1332" s="13">
        <v>1363</v>
      </c>
      <c r="L1332" s="13">
        <v>7</v>
      </c>
      <c r="M1332" s="13">
        <v>727</v>
      </c>
      <c r="N1332" s="13">
        <v>218</v>
      </c>
      <c r="O1332" s="13">
        <v>33</v>
      </c>
      <c r="P1332" s="13">
        <v>1</v>
      </c>
      <c r="Q1332" s="13">
        <v>65</v>
      </c>
      <c r="R1332" s="13">
        <v>0</v>
      </c>
      <c r="S1332" s="13">
        <v>0</v>
      </c>
      <c r="T1332" s="23">
        <v>46247.638252314813</v>
      </c>
      <c r="U1332" s="55">
        <f t="shared" si="60"/>
        <v>1</v>
      </c>
      <c r="V1332" s="55">
        <f t="shared" si="61"/>
        <v>0</v>
      </c>
      <c r="W1332" s="56">
        <f t="shared" si="62"/>
        <v>1269.3333333333333</v>
      </c>
    </row>
    <row r="1333" spans="1:23" x14ac:dyDescent="0.3">
      <c r="A1333" s="13" t="str" cm="1">
        <f t="array" ref="A1333:B1333">INDEX(BenchmarkResults!$B$1:$D$35,SUMPRODUCT((T1333&gt;=BenchmarkResults!$F$3:$F$35)*(mongodb_hardware_log!T1333&lt;BenchmarkResults!$G$3:$G$35)*ROW(BenchmarkResults!$F$3:$F$35)),{1,3})</f>
        <v>q2_avg_order_city</v>
      </c>
      <c r="B1333">
        <v>3</v>
      </c>
      <c r="C1333" s="13">
        <v>1</v>
      </c>
      <c r="D1333" s="13">
        <v>0</v>
      </c>
      <c r="E1333" s="13">
        <v>133376</v>
      </c>
      <c r="F1333" s="13">
        <v>474200</v>
      </c>
      <c r="G1333" s="13">
        <v>6692</v>
      </c>
      <c r="H1333" s="13">
        <v>1925512</v>
      </c>
      <c r="I1333" s="13">
        <v>0</v>
      </c>
      <c r="J1333" s="13">
        <v>0</v>
      </c>
      <c r="K1333" s="13">
        <v>986</v>
      </c>
      <c r="L1333" s="13">
        <v>62</v>
      </c>
      <c r="M1333" s="13">
        <v>782</v>
      </c>
      <c r="N1333" s="13">
        <v>300</v>
      </c>
      <c r="O1333" s="13">
        <v>33</v>
      </c>
      <c r="P1333" s="13">
        <v>1</v>
      </c>
      <c r="Q1333" s="13">
        <v>65</v>
      </c>
      <c r="R1333" s="13">
        <v>0</v>
      </c>
      <c r="S1333" s="13">
        <v>0</v>
      </c>
      <c r="T1333" s="23">
        <v>46247.638368055559</v>
      </c>
      <c r="U1333" s="55">
        <f t="shared" si="60"/>
        <v>1</v>
      </c>
      <c r="V1333" s="55">
        <f t="shared" si="61"/>
        <v>0</v>
      </c>
      <c r="W1333" s="56">
        <f t="shared" si="62"/>
        <v>1228.6666666666667</v>
      </c>
    </row>
    <row r="1334" spans="1:23" x14ac:dyDescent="0.3">
      <c r="A1334" s="13" t="str" cm="1">
        <f t="array" ref="A1334:B1334">INDEX(BenchmarkResults!$B$1:$D$35,SUMPRODUCT((T1334&gt;=BenchmarkResults!$F$3:$F$35)*(mongodb_hardware_log!T1334&lt;BenchmarkResults!$G$3:$G$35)*ROW(BenchmarkResults!$F$3:$F$35)),{1,3})</f>
        <v>q2_avg_order_city</v>
      </c>
      <c r="B1334">
        <v>3</v>
      </c>
      <c r="C1334" s="13">
        <v>2</v>
      </c>
      <c r="D1334" s="13">
        <v>0</v>
      </c>
      <c r="E1334" s="13">
        <v>133376</v>
      </c>
      <c r="F1334" s="13">
        <v>466136</v>
      </c>
      <c r="G1334" s="13">
        <v>6700</v>
      </c>
      <c r="H1334" s="13">
        <v>1937540</v>
      </c>
      <c r="I1334" s="13">
        <v>0</v>
      </c>
      <c r="J1334" s="13">
        <v>0</v>
      </c>
      <c r="K1334" s="13">
        <v>1203</v>
      </c>
      <c r="L1334" s="13">
        <v>4</v>
      </c>
      <c r="M1334" s="13">
        <v>787</v>
      </c>
      <c r="N1334" s="13">
        <v>295</v>
      </c>
      <c r="O1334" s="13">
        <v>33</v>
      </c>
      <c r="P1334" s="13">
        <v>1</v>
      </c>
      <c r="Q1334" s="13">
        <v>65</v>
      </c>
      <c r="R1334" s="13">
        <v>1</v>
      </c>
      <c r="S1334" s="13">
        <v>0</v>
      </c>
      <c r="T1334" s="23">
        <v>46247.638483796298</v>
      </c>
      <c r="U1334" s="55">
        <f t="shared" si="60"/>
        <v>1.1666666666666667</v>
      </c>
      <c r="V1334" s="55">
        <f t="shared" si="61"/>
        <v>0</v>
      </c>
      <c r="W1334" s="56">
        <f t="shared" si="62"/>
        <v>1202.6666666666667</v>
      </c>
    </row>
    <row r="1335" spans="1:23" x14ac:dyDescent="0.3">
      <c r="A1335" s="13" t="str" cm="1">
        <f t="array" ref="A1335:B1335">INDEX(BenchmarkResults!$B$1:$D$35,SUMPRODUCT((T1335&gt;=BenchmarkResults!$F$3:$F$35)*(mongodb_hardware_log!T1335&lt;BenchmarkResults!$G$3:$G$35)*ROW(BenchmarkResults!$F$3:$F$35)),{1,3})</f>
        <v>q2_avg_order_city</v>
      </c>
      <c r="B1335">
        <v>3</v>
      </c>
      <c r="C1335" s="13">
        <v>1</v>
      </c>
      <c r="D1335" s="13">
        <v>0</v>
      </c>
      <c r="E1335" s="13">
        <v>133376</v>
      </c>
      <c r="F1335" s="13">
        <v>457316</v>
      </c>
      <c r="G1335" s="13">
        <v>6708</v>
      </c>
      <c r="H1335" s="13">
        <v>1952612</v>
      </c>
      <c r="I1335" s="13">
        <v>0</v>
      </c>
      <c r="J1335" s="13">
        <v>0</v>
      </c>
      <c r="K1335" s="13">
        <v>1505</v>
      </c>
      <c r="L1335" s="13">
        <v>15</v>
      </c>
      <c r="M1335" s="13">
        <v>703</v>
      </c>
      <c r="N1335" s="13">
        <v>201</v>
      </c>
      <c r="O1335" s="13">
        <v>33</v>
      </c>
      <c r="P1335" s="13">
        <v>1</v>
      </c>
      <c r="Q1335" s="13">
        <v>65</v>
      </c>
      <c r="R1335" s="13">
        <v>1</v>
      </c>
      <c r="S1335" s="13">
        <v>0</v>
      </c>
      <c r="T1335" s="23">
        <v>46247.638599537036</v>
      </c>
      <c r="U1335" s="55">
        <f t="shared" si="60"/>
        <v>1.1666666666666667</v>
      </c>
      <c r="V1335" s="55">
        <f t="shared" si="61"/>
        <v>0</v>
      </c>
      <c r="W1335" s="56">
        <f t="shared" si="62"/>
        <v>1224.8333333333333</v>
      </c>
    </row>
    <row r="1336" spans="1:23" x14ac:dyDescent="0.3">
      <c r="A1336" s="13" t="str" cm="1">
        <f t="array" ref="A1336:B1336">INDEX(BenchmarkResults!$B$1:$D$35,SUMPRODUCT((T1336&gt;=BenchmarkResults!$F$3:$F$35)*(mongodb_hardware_log!T1336&lt;BenchmarkResults!$G$3:$G$35)*ROW(BenchmarkResults!$F$3:$F$35)),{1,3})</f>
        <v>q2_avg_order_city</v>
      </c>
      <c r="B1336">
        <v>3</v>
      </c>
      <c r="C1336" s="13">
        <v>1</v>
      </c>
      <c r="D1336" s="13">
        <v>0</v>
      </c>
      <c r="E1336" s="13">
        <v>133376</v>
      </c>
      <c r="F1336" s="13">
        <v>443204</v>
      </c>
      <c r="G1336" s="13">
        <v>6716</v>
      </c>
      <c r="H1336" s="13">
        <v>1960288</v>
      </c>
      <c r="I1336" s="13">
        <v>0</v>
      </c>
      <c r="J1336" s="13">
        <v>0</v>
      </c>
      <c r="K1336" s="13">
        <v>770</v>
      </c>
      <c r="L1336" s="13">
        <v>10</v>
      </c>
      <c r="M1336" s="13">
        <v>711</v>
      </c>
      <c r="N1336" s="13">
        <v>209</v>
      </c>
      <c r="O1336" s="13">
        <v>33</v>
      </c>
      <c r="P1336" s="13">
        <v>1</v>
      </c>
      <c r="Q1336" s="13">
        <v>65</v>
      </c>
      <c r="R1336" s="13">
        <v>0</v>
      </c>
      <c r="S1336" s="13">
        <v>1</v>
      </c>
      <c r="T1336" s="23">
        <v>46247.638715277775</v>
      </c>
      <c r="U1336" s="55">
        <f t="shared" si="60"/>
        <v>1.1666666666666667</v>
      </c>
      <c r="V1336" s="55">
        <f t="shared" si="61"/>
        <v>0</v>
      </c>
      <c r="W1336" s="56">
        <f t="shared" si="62"/>
        <v>1114.1666666666667</v>
      </c>
    </row>
    <row r="1337" spans="1:23" x14ac:dyDescent="0.3">
      <c r="A1337" s="13" t="str" cm="1">
        <f t="array" ref="A1337:B1337">INDEX(BenchmarkResults!$B$1:$D$35,SUMPRODUCT((T1337&gt;=BenchmarkResults!$F$3:$F$35)*(mongodb_hardware_log!T1337&lt;BenchmarkResults!$G$3:$G$35)*ROW(BenchmarkResults!$F$3:$F$35)),{1,3})</f>
        <v>q2_avg_order_city</v>
      </c>
      <c r="B1337">
        <v>3</v>
      </c>
      <c r="C1337" s="13">
        <v>1</v>
      </c>
      <c r="D1337" s="13">
        <v>0</v>
      </c>
      <c r="E1337" s="13">
        <v>133376</v>
      </c>
      <c r="F1337" s="13">
        <v>439928</v>
      </c>
      <c r="G1337" s="13">
        <v>6732</v>
      </c>
      <c r="H1337" s="13">
        <v>1971352</v>
      </c>
      <c r="I1337" s="13">
        <v>0</v>
      </c>
      <c r="J1337" s="13">
        <v>0</v>
      </c>
      <c r="K1337" s="13">
        <v>1106</v>
      </c>
      <c r="L1337" s="13">
        <v>11</v>
      </c>
      <c r="M1337" s="13">
        <v>707</v>
      </c>
      <c r="N1337" s="13">
        <v>202</v>
      </c>
      <c r="O1337" s="13">
        <v>33</v>
      </c>
      <c r="P1337" s="13">
        <v>1</v>
      </c>
      <c r="Q1337" s="13">
        <v>65</v>
      </c>
      <c r="R1337" s="13">
        <v>0</v>
      </c>
      <c r="S1337" s="13">
        <v>1</v>
      </c>
      <c r="T1337" s="23">
        <v>46247.638831018521</v>
      </c>
      <c r="U1337" s="55">
        <f t="shared" si="60"/>
        <v>1.1666666666666667</v>
      </c>
      <c r="V1337" s="55">
        <f t="shared" si="61"/>
        <v>0</v>
      </c>
      <c r="W1337" s="56">
        <f t="shared" si="62"/>
        <v>1155.5</v>
      </c>
    </row>
    <row r="1338" spans="1:23" x14ac:dyDescent="0.3">
      <c r="A1338" s="13" t="str" cm="1">
        <f t="array" ref="A1338:B1338">INDEX(BenchmarkResults!$B$1:$D$35,SUMPRODUCT((T1338&gt;=BenchmarkResults!$F$3:$F$35)*(mongodb_hardware_log!T1338&lt;BenchmarkResults!$G$3:$G$35)*ROW(BenchmarkResults!$F$3:$F$35)),{1,3})</f>
        <v>q2_avg_order_city</v>
      </c>
      <c r="B1338">
        <v>3</v>
      </c>
      <c r="C1338" s="13">
        <v>1</v>
      </c>
      <c r="D1338" s="13">
        <v>0</v>
      </c>
      <c r="E1338" s="13">
        <v>133376</v>
      </c>
      <c r="F1338" s="13">
        <v>426824</v>
      </c>
      <c r="G1338" s="13">
        <v>6740</v>
      </c>
      <c r="H1338" s="13">
        <v>1982344</v>
      </c>
      <c r="I1338" s="13">
        <v>0</v>
      </c>
      <c r="J1338" s="13">
        <v>0</v>
      </c>
      <c r="K1338" s="13">
        <v>1102</v>
      </c>
      <c r="L1338" s="13">
        <v>15</v>
      </c>
      <c r="M1338" s="13">
        <v>720</v>
      </c>
      <c r="N1338" s="13">
        <v>211</v>
      </c>
      <c r="O1338" s="13">
        <v>33</v>
      </c>
      <c r="P1338" s="13">
        <v>1</v>
      </c>
      <c r="Q1338" s="13">
        <v>65</v>
      </c>
      <c r="R1338" s="13">
        <v>0</v>
      </c>
      <c r="S1338" s="13">
        <v>0</v>
      </c>
      <c r="T1338" s="23">
        <v>46247.63894675926</v>
      </c>
      <c r="U1338" s="55">
        <f t="shared" si="60"/>
        <v>1.1666666666666667</v>
      </c>
      <c r="V1338" s="55">
        <f t="shared" si="61"/>
        <v>0</v>
      </c>
      <c r="W1338" s="56">
        <f t="shared" si="62"/>
        <v>1112</v>
      </c>
    </row>
    <row r="1339" spans="1:23" x14ac:dyDescent="0.3">
      <c r="A1339" s="13" t="str" cm="1">
        <f t="array" ref="A1339:B1339">INDEX(BenchmarkResults!$B$1:$D$35,SUMPRODUCT((T1339&gt;=BenchmarkResults!$F$3:$F$35)*(mongodb_hardware_log!T1339&lt;BenchmarkResults!$G$3:$G$35)*ROW(BenchmarkResults!$F$3:$F$35)),{1,3})</f>
        <v>q2_avg_order_city</v>
      </c>
      <c r="B1339">
        <v>3</v>
      </c>
      <c r="C1339" s="13">
        <v>1</v>
      </c>
      <c r="D1339" s="13">
        <v>0</v>
      </c>
      <c r="E1339" s="13">
        <v>133376</v>
      </c>
      <c r="F1339" s="13">
        <v>414832</v>
      </c>
      <c r="G1339" s="13">
        <v>6780</v>
      </c>
      <c r="H1339" s="13">
        <v>1997488</v>
      </c>
      <c r="I1339" s="13">
        <v>0</v>
      </c>
      <c r="J1339" s="13">
        <v>0</v>
      </c>
      <c r="K1339" s="13">
        <v>1509</v>
      </c>
      <c r="L1339" s="13">
        <v>58</v>
      </c>
      <c r="M1339" s="13">
        <v>748</v>
      </c>
      <c r="N1339" s="13">
        <v>270</v>
      </c>
      <c r="O1339" s="13">
        <v>34</v>
      </c>
      <c r="P1339" s="13">
        <v>2</v>
      </c>
      <c r="Q1339" s="13">
        <v>64</v>
      </c>
      <c r="R1339" s="13">
        <v>0</v>
      </c>
      <c r="S1339" s="13">
        <v>0</v>
      </c>
      <c r="T1339" s="23">
        <v>46247.639062499999</v>
      </c>
      <c r="U1339" s="55">
        <f t="shared" si="60"/>
        <v>1.1666666666666667</v>
      </c>
      <c r="V1339" s="55">
        <f t="shared" si="61"/>
        <v>0</v>
      </c>
      <c r="W1339" s="56">
        <f t="shared" si="62"/>
        <v>1199.1666666666667</v>
      </c>
    </row>
    <row r="1340" spans="1:23" x14ac:dyDescent="0.3">
      <c r="A1340" s="13" t="str" cm="1">
        <f t="array" ref="A1340:B1340">INDEX(BenchmarkResults!$B$1:$D$35,SUMPRODUCT((T1340&gt;=BenchmarkResults!$F$3:$F$35)*(mongodb_hardware_log!T1340&lt;BenchmarkResults!$G$3:$G$35)*ROW(BenchmarkResults!$F$3:$F$35)),{1,3})</f>
        <v>q2_avg_order_city</v>
      </c>
      <c r="B1340">
        <v>3</v>
      </c>
      <c r="C1340" s="13">
        <v>1</v>
      </c>
      <c r="D1340" s="13">
        <v>0</v>
      </c>
      <c r="E1340" s="13">
        <v>133376</v>
      </c>
      <c r="F1340" s="13">
        <v>399208</v>
      </c>
      <c r="G1340" s="13">
        <v>6788</v>
      </c>
      <c r="H1340" s="13">
        <v>2010560</v>
      </c>
      <c r="I1340" s="13">
        <v>0</v>
      </c>
      <c r="J1340" s="13">
        <v>0</v>
      </c>
      <c r="K1340" s="13">
        <v>1307</v>
      </c>
      <c r="L1340" s="13">
        <v>4</v>
      </c>
      <c r="M1340" s="13">
        <v>713</v>
      </c>
      <c r="N1340" s="13">
        <v>205</v>
      </c>
      <c r="O1340" s="13">
        <v>33</v>
      </c>
      <c r="P1340" s="13">
        <v>1</v>
      </c>
      <c r="Q1340" s="13">
        <v>65</v>
      </c>
      <c r="R1340" s="13">
        <v>0</v>
      </c>
      <c r="S1340" s="13">
        <v>0</v>
      </c>
      <c r="T1340" s="23">
        <v>46247.639178240737</v>
      </c>
      <c r="U1340" s="55">
        <f t="shared" si="60"/>
        <v>1</v>
      </c>
      <c r="V1340" s="55">
        <f t="shared" si="61"/>
        <v>0</v>
      </c>
      <c r="W1340" s="56">
        <f t="shared" si="62"/>
        <v>1216.5</v>
      </c>
    </row>
    <row r="1341" spans="1:23" x14ac:dyDescent="0.3">
      <c r="A1341" s="13" t="str" cm="1">
        <f t="array" ref="A1341:B1341">INDEX(BenchmarkResults!$B$1:$D$35,SUMPRODUCT((T1341&gt;=BenchmarkResults!$F$3:$F$35)*(mongodb_hardware_log!T1341&lt;BenchmarkResults!$G$3:$G$35)*ROW(BenchmarkResults!$F$3:$F$35)),{1,3})</f>
        <v>q2_avg_order_city</v>
      </c>
      <c r="B1341">
        <v>3</v>
      </c>
      <c r="C1341" s="13">
        <v>1</v>
      </c>
      <c r="D1341" s="13">
        <v>0</v>
      </c>
      <c r="E1341" s="13">
        <v>133376</v>
      </c>
      <c r="F1341" s="13">
        <v>391396</v>
      </c>
      <c r="G1341" s="13">
        <v>6796</v>
      </c>
      <c r="H1341" s="13">
        <v>2020960</v>
      </c>
      <c r="I1341" s="13">
        <v>0</v>
      </c>
      <c r="J1341" s="13">
        <v>0</v>
      </c>
      <c r="K1341" s="13">
        <v>1045</v>
      </c>
      <c r="L1341" s="13">
        <v>8</v>
      </c>
      <c r="M1341" s="13">
        <v>701</v>
      </c>
      <c r="N1341" s="13">
        <v>203</v>
      </c>
      <c r="O1341" s="13">
        <v>33</v>
      </c>
      <c r="P1341" s="13">
        <v>1</v>
      </c>
      <c r="Q1341" s="13">
        <v>65</v>
      </c>
      <c r="R1341" s="13">
        <v>0</v>
      </c>
      <c r="S1341" s="13">
        <v>0</v>
      </c>
      <c r="T1341" s="23">
        <v>46247.639293981483</v>
      </c>
      <c r="U1341" s="55">
        <f t="shared" si="60"/>
        <v>1</v>
      </c>
      <c r="V1341" s="55">
        <f t="shared" si="61"/>
        <v>0</v>
      </c>
      <c r="W1341" s="56">
        <f t="shared" si="62"/>
        <v>1139.8333333333333</v>
      </c>
    </row>
    <row r="1342" spans="1:23" x14ac:dyDescent="0.3">
      <c r="A1342" s="13" t="str" cm="1">
        <f t="array" ref="A1342:B1342">INDEX(BenchmarkResults!$B$1:$D$35,SUMPRODUCT((T1342&gt;=BenchmarkResults!$F$3:$F$35)*(mongodb_hardware_log!T1342&lt;BenchmarkResults!$G$3:$G$35)*ROW(BenchmarkResults!$F$3:$F$35)),{1,3})</f>
        <v>q2_avg_order_city</v>
      </c>
      <c r="B1342">
        <v>3</v>
      </c>
      <c r="C1342" s="13">
        <v>1</v>
      </c>
      <c r="D1342" s="13">
        <v>0</v>
      </c>
      <c r="E1342" s="13">
        <v>133376</v>
      </c>
      <c r="F1342" s="13">
        <v>375772</v>
      </c>
      <c r="G1342" s="13">
        <v>6804</v>
      </c>
      <c r="H1342" s="13">
        <v>2032688</v>
      </c>
      <c r="I1342" s="13">
        <v>0</v>
      </c>
      <c r="J1342" s="13">
        <v>0</v>
      </c>
      <c r="K1342" s="13">
        <v>1172</v>
      </c>
      <c r="L1342" s="13">
        <v>18</v>
      </c>
      <c r="M1342" s="13">
        <v>713</v>
      </c>
      <c r="N1342" s="13">
        <v>210</v>
      </c>
      <c r="O1342" s="13">
        <v>33</v>
      </c>
      <c r="P1342" s="13">
        <v>1</v>
      </c>
      <c r="Q1342" s="13">
        <v>65</v>
      </c>
      <c r="R1342" s="13">
        <v>0</v>
      </c>
      <c r="S1342" s="13">
        <v>0</v>
      </c>
      <c r="T1342" s="23">
        <v>46247.639409722222</v>
      </c>
      <c r="U1342" s="55">
        <f t="shared" si="60"/>
        <v>1</v>
      </c>
      <c r="V1342" s="55">
        <f t="shared" si="61"/>
        <v>0</v>
      </c>
      <c r="W1342" s="56">
        <f t="shared" si="62"/>
        <v>1206.8333333333333</v>
      </c>
    </row>
    <row r="1343" spans="1:23" x14ac:dyDescent="0.3">
      <c r="A1343" s="13" t="str" cm="1">
        <f t="array" ref="A1343:B1343">INDEX(BenchmarkResults!$B$1:$D$35,SUMPRODUCT((T1343&gt;=BenchmarkResults!$F$3:$F$35)*(mongodb_hardware_log!T1343&lt;BenchmarkResults!$G$3:$G$35)*ROW(BenchmarkResults!$F$3:$F$35)),{1,3})</f>
        <v>q2_avg_order_city</v>
      </c>
      <c r="B1343">
        <v>3</v>
      </c>
      <c r="C1343" s="13">
        <v>1</v>
      </c>
      <c r="D1343" s="13">
        <v>0</v>
      </c>
      <c r="E1343" s="13">
        <v>133376</v>
      </c>
      <c r="F1343" s="13">
        <v>359392</v>
      </c>
      <c r="G1343" s="13">
        <v>6812</v>
      </c>
      <c r="H1343" s="13">
        <v>2043736</v>
      </c>
      <c r="I1343" s="13">
        <v>0</v>
      </c>
      <c r="J1343" s="13">
        <v>0</v>
      </c>
      <c r="K1343" s="13">
        <v>1105</v>
      </c>
      <c r="L1343" s="13">
        <v>9</v>
      </c>
      <c r="M1343" s="13">
        <v>711</v>
      </c>
      <c r="N1343" s="13">
        <v>209</v>
      </c>
      <c r="O1343" s="13">
        <v>33</v>
      </c>
      <c r="P1343" s="13">
        <v>1</v>
      </c>
      <c r="Q1343" s="13">
        <v>65</v>
      </c>
      <c r="R1343" s="13">
        <v>0</v>
      </c>
      <c r="S1343" s="13">
        <v>0</v>
      </c>
      <c r="T1343" s="23">
        <v>46247.639525462961</v>
      </c>
      <c r="U1343" s="55">
        <f t="shared" si="60"/>
        <v>1</v>
      </c>
      <c r="V1343" s="55">
        <f t="shared" si="61"/>
        <v>0</v>
      </c>
      <c r="W1343" s="56">
        <f t="shared" si="62"/>
        <v>1206.6666666666667</v>
      </c>
    </row>
    <row r="1344" spans="1:23" x14ac:dyDescent="0.3">
      <c r="A1344" s="13" t="str" cm="1">
        <f t="array" ref="A1344:B1344">INDEX(BenchmarkResults!$B$1:$D$35,SUMPRODUCT((T1344&gt;=BenchmarkResults!$F$3:$F$35)*(mongodb_hardware_log!T1344&lt;BenchmarkResults!$G$3:$G$35)*ROW(BenchmarkResults!$F$3:$F$35)),{1,3})</f>
        <v>q2_avg_order_city</v>
      </c>
      <c r="B1344">
        <v>3</v>
      </c>
      <c r="C1344" s="13">
        <v>1</v>
      </c>
      <c r="D1344" s="13">
        <v>0</v>
      </c>
      <c r="E1344" s="13">
        <v>133376</v>
      </c>
      <c r="F1344" s="13">
        <v>358636</v>
      </c>
      <c r="G1344" s="13">
        <v>6820</v>
      </c>
      <c r="H1344" s="13">
        <v>2055076</v>
      </c>
      <c r="I1344" s="13">
        <v>0</v>
      </c>
      <c r="J1344" s="13">
        <v>0</v>
      </c>
      <c r="K1344" s="13">
        <v>1131</v>
      </c>
      <c r="L1344" s="13">
        <v>9</v>
      </c>
      <c r="M1344" s="13">
        <v>726</v>
      </c>
      <c r="N1344" s="13">
        <v>219</v>
      </c>
      <c r="O1344" s="13">
        <v>33</v>
      </c>
      <c r="P1344" s="13">
        <v>1</v>
      </c>
      <c r="Q1344" s="13">
        <v>65</v>
      </c>
      <c r="R1344" s="13">
        <v>0</v>
      </c>
      <c r="S1344" s="13">
        <v>0</v>
      </c>
      <c r="T1344" s="23">
        <v>46247.639641203707</v>
      </c>
      <c r="U1344" s="55">
        <f t="shared" si="60"/>
        <v>1</v>
      </c>
      <c r="V1344" s="55">
        <f t="shared" si="61"/>
        <v>0</v>
      </c>
      <c r="W1344" s="56">
        <f t="shared" si="62"/>
        <v>1211.5</v>
      </c>
    </row>
    <row r="1345" spans="1:23" x14ac:dyDescent="0.3">
      <c r="A1345" s="13" t="str" cm="1">
        <f t="array" ref="A1345:B1345">INDEX(BenchmarkResults!$B$1:$D$35,SUMPRODUCT((T1345&gt;=BenchmarkResults!$F$3:$F$35)*(mongodb_hardware_log!T1345&lt;BenchmarkResults!$G$3:$G$35)*ROW(BenchmarkResults!$F$3:$F$35)),{1,3})</f>
        <v>q2_avg_order_city</v>
      </c>
      <c r="B1345">
        <v>3</v>
      </c>
      <c r="C1345" s="13">
        <v>0</v>
      </c>
      <c r="D1345" s="13">
        <v>1</v>
      </c>
      <c r="E1345" s="13">
        <v>133376</v>
      </c>
      <c r="F1345" s="13">
        <v>343996</v>
      </c>
      <c r="G1345" s="13">
        <v>6860</v>
      </c>
      <c r="H1345" s="13">
        <v>2069692</v>
      </c>
      <c r="I1345" s="13">
        <v>0</v>
      </c>
      <c r="J1345" s="13">
        <v>0</v>
      </c>
      <c r="K1345" s="13">
        <v>1462</v>
      </c>
      <c r="L1345" s="13">
        <v>33</v>
      </c>
      <c r="M1345" s="13">
        <v>724</v>
      </c>
      <c r="N1345" s="13">
        <v>234</v>
      </c>
      <c r="O1345" s="13">
        <v>34</v>
      </c>
      <c r="P1345" s="13">
        <v>1</v>
      </c>
      <c r="Q1345" s="13">
        <v>65</v>
      </c>
      <c r="R1345" s="13">
        <v>0</v>
      </c>
      <c r="S1345" s="13">
        <v>0</v>
      </c>
      <c r="T1345" s="23">
        <v>46247.639756944445</v>
      </c>
      <c r="U1345" s="55">
        <f t="shared" si="60"/>
        <v>0.83333333333333337</v>
      </c>
      <c r="V1345" s="55">
        <f t="shared" si="61"/>
        <v>0.16666666666666666</v>
      </c>
      <c r="W1345" s="56">
        <f t="shared" si="62"/>
        <v>1203.6666666666667</v>
      </c>
    </row>
    <row r="1346" spans="1:23" x14ac:dyDescent="0.3">
      <c r="A1346" s="13" t="str" cm="1">
        <f t="array" ref="A1346:B1346">INDEX(BenchmarkResults!$B$1:$D$35,SUMPRODUCT((T1346&gt;=BenchmarkResults!$F$3:$F$35)*(mongodb_hardware_log!T1346&lt;BenchmarkResults!$G$3:$G$35)*ROW(BenchmarkResults!$F$3:$F$35)),{1,3})</f>
        <v>q2_avg_order_city</v>
      </c>
      <c r="B1346">
        <v>3</v>
      </c>
      <c r="C1346" s="13">
        <v>1</v>
      </c>
      <c r="D1346" s="13">
        <v>0</v>
      </c>
      <c r="E1346" s="13">
        <v>133376</v>
      </c>
      <c r="F1346" s="13">
        <v>328120</v>
      </c>
      <c r="G1346" s="13">
        <v>6868</v>
      </c>
      <c r="H1346" s="13">
        <v>2081132</v>
      </c>
      <c r="I1346" s="13">
        <v>0</v>
      </c>
      <c r="J1346" s="13">
        <v>0</v>
      </c>
      <c r="K1346" s="13">
        <v>1143</v>
      </c>
      <c r="L1346" s="13">
        <v>30</v>
      </c>
      <c r="M1346" s="13">
        <v>712</v>
      </c>
      <c r="N1346" s="13">
        <v>211</v>
      </c>
      <c r="O1346" s="13">
        <v>33</v>
      </c>
      <c r="P1346" s="13">
        <v>1</v>
      </c>
      <c r="Q1346" s="13">
        <v>65</v>
      </c>
      <c r="R1346" s="13">
        <v>0</v>
      </c>
      <c r="S1346" s="13">
        <v>0</v>
      </c>
      <c r="T1346" s="23">
        <v>46247.639872685184</v>
      </c>
      <c r="U1346" s="55">
        <f t="shared" si="60"/>
        <v>0.83333333333333337</v>
      </c>
      <c r="V1346" s="55">
        <f t="shared" si="61"/>
        <v>0.16666666666666666</v>
      </c>
      <c r="W1346" s="56">
        <f t="shared" si="62"/>
        <v>1176.3333333333333</v>
      </c>
    </row>
    <row r="1347" spans="1:23" x14ac:dyDescent="0.3">
      <c r="A1347" s="13" t="str" cm="1">
        <f t="array" ref="A1347:B1347">INDEX(BenchmarkResults!$B$1:$D$35,SUMPRODUCT((T1347&gt;=BenchmarkResults!$F$3:$F$35)*(mongodb_hardware_log!T1347&lt;BenchmarkResults!$G$3:$G$35)*ROW(BenchmarkResults!$F$3:$F$35)),{1,3})</f>
        <v>q2_avg_order_city</v>
      </c>
      <c r="B1347">
        <v>3</v>
      </c>
      <c r="C1347" s="13">
        <v>1</v>
      </c>
      <c r="D1347" s="13">
        <v>0</v>
      </c>
      <c r="E1347" s="13">
        <v>133376</v>
      </c>
      <c r="F1347" s="13">
        <v>320308</v>
      </c>
      <c r="G1347" s="13">
        <v>6876</v>
      </c>
      <c r="H1347" s="13">
        <v>2092720</v>
      </c>
      <c r="I1347" s="13">
        <v>0</v>
      </c>
      <c r="J1347" s="13">
        <v>0</v>
      </c>
      <c r="K1347" s="13">
        <v>1160</v>
      </c>
      <c r="L1347" s="13">
        <v>10</v>
      </c>
      <c r="M1347" s="13">
        <v>702</v>
      </c>
      <c r="N1347" s="13">
        <v>202</v>
      </c>
      <c r="O1347" s="13">
        <v>33</v>
      </c>
      <c r="P1347" s="13">
        <v>1</v>
      </c>
      <c r="Q1347" s="13">
        <v>65</v>
      </c>
      <c r="R1347" s="13">
        <v>0</v>
      </c>
      <c r="S1347" s="13">
        <v>0</v>
      </c>
      <c r="T1347" s="23">
        <v>46247.639988425923</v>
      </c>
      <c r="U1347" s="55">
        <f t="shared" si="60"/>
        <v>0.83333333333333337</v>
      </c>
      <c r="V1347" s="55">
        <f t="shared" si="61"/>
        <v>0.16666666666666666</v>
      </c>
      <c r="W1347" s="56">
        <f t="shared" si="62"/>
        <v>1195.5</v>
      </c>
    </row>
    <row r="1348" spans="1:23" x14ac:dyDescent="0.3">
      <c r="A1348" s="13" t="str" cm="1">
        <f t="array" ref="A1348:B1348">INDEX(BenchmarkResults!$B$1:$D$35,SUMPRODUCT((T1348&gt;=BenchmarkResults!$F$3:$F$35)*(mongodb_hardware_log!T1348&lt;BenchmarkResults!$G$3:$G$35)*ROW(BenchmarkResults!$F$3:$F$35)),{1,3})</f>
        <v>q2_avg_order_city</v>
      </c>
      <c r="B1348">
        <v>3</v>
      </c>
      <c r="C1348" s="13">
        <v>1</v>
      </c>
      <c r="D1348" s="13">
        <v>0</v>
      </c>
      <c r="E1348" s="13">
        <v>133376</v>
      </c>
      <c r="F1348" s="13">
        <v>310480</v>
      </c>
      <c r="G1348" s="13">
        <v>6884</v>
      </c>
      <c r="H1348" s="13">
        <v>2103028</v>
      </c>
      <c r="I1348" s="13">
        <v>0</v>
      </c>
      <c r="J1348" s="13">
        <v>0</v>
      </c>
      <c r="K1348" s="13">
        <v>1031</v>
      </c>
      <c r="L1348" s="13">
        <v>10</v>
      </c>
      <c r="M1348" s="13">
        <v>694</v>
      </c>
      <c r="N1348" s="13">
        <v>198</v>
      </c>
      <c r="O1348" s="13">
        <v>33</v>
      </c>
      <c r="P1348" s="13">
        <v>1</v>
      </c>
      <c r="Q1348" s="13">
        <v>65</v>
      </c>
      <c r="R1348" s="13">
        <v>0</v>
      </c>
      <c r="S1348" s="13">
        <v>0</v>
      </c>
      <c r="T1348" s="23">
        <v>46247.640104166669</v>
      </c>
      <c r="U1348" s="55">
        <f t="shared" si="60"/>
        <v>0.83333333333333337</v>
      </c>
      <c r="V1348" s="55">
        <f t="shared" si="61"/>
        <v>0.16666666666666666</v>
      </c>
      <c r="W1348" s="56">
        <f t="shared" si="62"/>
        <v>1172</v>
      </c>
    </row>
    <row r="1349" spans="1:23" x14ac:dyDescent="0.3">
      <c r="A1349" s="13" t="str" cm="1">
        <f t="array" ref="A1349:B1349">INDEX(BenchmarkResults!$B$1:$D$35,SUMPRODUCT((T1349&gt;=BenchmarkResults!$F$3:$F$35)*(mongodb_hardware_log!T1349&lt;BenchmarkResults!$G$3:$G$35)*ROW(BenchmarkResults!$F$3:$F$35)),{1,3})</f>
        <v>q3_customer_spend_stats</v>
      </c>
      <c r="B1349">
        <v>1</v>
      </c>
      <c r="C1349" s="13">
        <v>1</v>
      </c>
      <c r="D1349" s="13">
        <v>0</v>
      </c>
      <c r="E1349" s="13">
        <v>133376</v>
      </c>
      <c r="F1349" s="13">
        <v>257056</v>
      </c>
      <c r="G1349" s="13">
        <v>6900</v>
      </c>
      <c r="H1349" s="13">
        <v>2154068</v>
      </c>
      <c r="I1349" s="13">
        <v>1</v>
      </c>
      <c r="J1349" s="13">
        <v>0</v>
      </c>
      <c r="K1349" s="13">
        <v>5108</v>
      </c>
      <c r="L1349" s="13">
        <v>16</v>
      </c>
      <c r="M1349" s="13">
        <v>786</v>
      </c>
      <c r="N1349" s="13">
        <v>251</v>
      </c>
      <c r="O1349" s="13">
        <v>32</v>
      </c>
      <c r="P1349" s="13">
        <v>2</v>
      </c>
      <c r="Q1349" s="13">
        <v>64</v>
      </c>
      <c r="R1349" s="13">
        <v>1</v>
      </c>
      <c r="S1349" s="13">
        <v>0</v>
      </c>
      <c r="T1349" s="23">
        <v>46247.640219907407</v>
      </c>
      <c r="U1349" s="55">
        <f t="shared" si="60"/>
        <v>0.83333333333333337</v>
      </c>
      <c r="V1349" s="55">
        <f t="shared" si="61"/>
        <v>0.16666666666666666</v>
      </c>
      <c r="W1349" s="56">
        <f t="shared" si="62"/>
        <v>1839.1666666666667</v>
      </c>
    </row>
    <row r="1350" spans="1:23" x14ac:dyDescent="0.3">
      <c r="A1350" s="13" t="str" cm="1">
        <f t="array" ref="A1350:B1350">INDEX(BenchmarkResults!$B$1:$D$35,SUMPRODUCT((T1350&gt;=BenchmarkResults!$F$3:$F$35)*(mongodb_hardware_log!T1350&lt;BenchmarkResults!$G$3:$G$35)*ROW(BenchmarkResults!$F$3:$F$35)),{1,3})</f>
        <v>q3_customer_spend_stats</v>
      </c>
      <c r="B1350">
        <v>1</v>
      </c>
      <c r="C1350" s="13">
        <v>1</v>
      </c>
      <c r="D1350" s="13">
        <v>0</v>
      </c>
      <c r="E1350" s="13">
        <v>133376</v>
      </c>
      <c r="F1350" s="13">
        <v>118464</v>
      </c>
      <c r="G1350" s="13">
        <v>6916</v>
      </c>
      <c r="H1350" s="13">
        <v>2260876</v>
      </c>
      <c r="I1350" s="13">
        <v>1</v>
      </c>
      <c r="J1350" s="13">
        <v>0</v>
      </c>
      <c r="K1350" s="13">
        <v>15384</v>
      </c>
      <c r="L1350" s="13">
        <v>10</v>
      </c>
      <c r="M1350" s="13">
        <v>1086</v>
      </c>
      <c r="N1350" s="13">
        <v>432</v>
      </c>
      <c r="O1350" s="13">
        <v>29</v>
      </c>
      <c r="P1350" s="13">
        <v>3</v>
      </c>
      <c r="Q1350" s="13">
        <v>62</v>
      </c>
      <c r="R1350" s="13">
        <v>5</v>
      </c>
      <c r="S1350" s="13">
        <v>0</v>
      </c>
      <c r="T1350" s="23">
        <v>46247.640335648146</v>
      </c>
      <c r="U1350" s="55">
        <f t="shared" si="60"/>
        <v>0.83333333333333337</v>
      </c>
      <c r="V1350" s="55">
        <f t="shared" si="61"/>
        <v>0.16666666666666666</v>
      </c>
      <c r="W1350" s="56">
        <f t="shared" si="62"/>
        <v>4214.666666666667</v>
      </c>
    </row>
    <row r="1351" spans="1:23" x14ac:dyDescent="0.3">
      <c r="A1351" s="13" t="str" cm="1">
        <f t="array" ref="A1351:B1351">INDEX(BenchmarkResults!$B$1:$D$35,SUMPRODUCT((T1351&gt;=BenchmarkResults!$F$3:$F$35)*(mongodb_hardware_log!T1351&lt;BenchmarkResults!$G$3:$G$35)*ROW(BenchmarkResults!$F$3:$F$35)),{1,3})</f>
        <v>q3_customer_spend_stats</v>
      </c>
      <c r="B1351">
        <v>1</v>
      </c>
      <c r="C1351" s="13">
        <v>1</v>
      </c>
      <c r="D1351" s="13">
        <v>0</v>
      </c>
      <c r="E1351" s="13">
        <v>133376</v>
      </c>
      <c r="F1351" s="13">
        <v>133768</v>
      </c>
      <c r="G1351" s="13">
        <v>6964</v>
      </c>
      <c r="H1351" s="13">
        <v>2240476</v>
      </c>
      <c r="I1351" s="13">
        <v>0</v>
      </c>
      <c r="J1351" s="13">
        <v>0</v>
      </c>
      <c r="K1351" s="13">
        <v>12871</v>
      </c>
      <c r="L1351" s="13">
        <v>42</v>
      </c>
      <c r="M1351" s="13">
        <v>1049</v>
      </c>
      <c r="N1351" s="13">
        <v>472</v>
      </c>
      <c r="O1351" s="13">
        <v>32</v>
      </c>
      <c r="P1351" s="13">
        <v>3</v>
      </c>
      <c r="Q1351" s="13">
        <v>62</v>
      </c>
      <c r="R1351" s="13">
        <v>3</v>
      </c>
      <c r="S1351" s="13">
        <v>0</v>
      </c>
      <c r="T1351" s="23">
        <v>46247.640451388892</v>
      </c>
      <c r="U1351" s="55">
        <f t="shared" si="60"/>
        <v>1</v>
      </c>
      <c r="V1351" s="55">
        <f t="shared" si="61"/>
        <v>0</v>
      </c>
      <c r="W1351" s="56">
        <f t="shared" si="62"/>
        <v>6116.166666666667</v>
      </c>
    </row>
    <row r="1352" spans="1:23" x14ac:dyDescent="0.3">
      <c r="A1352" s="13" t="str" cm="1">
        <f t="array" ref="A1352:B1352">INDEX(BenchmarkResults!$B$1:$D$35,SUMPRODUCT((T1352&gt;=BenchmarkResults!$F$3:$F$35)*(mongodb_hardware_log!T1352&lt;BenchmarkResults!$G$3:$G$35)*ROW(BenchmarkResults!$F$3:$F$35)),{1,3})</f>
        <v>q3_customer_spend_stats</v>
      </c>
      <c r="B1352">
        <v>1</v>
      </c>
      <c r="C1352" s="13">
        <v>1</v>
      </c>
      <c r="D1352" s="13">
        <v>0</v>
      </c>
      <c r="E1352" s="13">
        <v>133376</v>
      </c>
      <c r="F1352" s="13">
        <v>104264</v>
      </c>
      <c r="G1352" s="13">
        <v>6984</v>
      </c>
      <c r="H1352" s="13">
        <v>2270432</v>
      </c>
      <c r="I1352" s="13">
        <v>0</v>
      </c>
      <c r="J1352" s="13">
        <v>0</v>
      </c>
      <c r="K1352" s="13">
        <v>17095</v>
      </c>
      <c r="L1352" s="13">
        <v>3333</v>
      </c>
      <c r="M1352" s="13">
        <v>1033</v>
      </c>
      <c r="N1352" s="13">
        <v>423</v>
      </c>
      <c r="O1352" s="13">
        <v>30</v>
      </c>
      <c r="P1352" s="13">
        <v>3</v>
      </c>
      <c r="Q1352" s="13">
        <v>58</v>
      </c>
      <c r="R1352" s="13">
        <v>9</v>
      </c>
      <c r="S1352" s="13">
        <v>0</v>
      </c>
      <c r="T1352" s="23">
        <v>46247.640567129631</v>
      </c>
      <c r="U1352" s="55">
        <f t="shared" si="60"/>
        <v>1</v>
      </c>
      <c r="V1352" s="55">
        <f t="shared" si="61"/>
        <v>0</v>
      </c>
      <c r="W1352" s="56">
        <f t="shared" si="62"/>
        <v>8774.8333333333339</v>
      </c>
    </row>
    <row r="1353" spans="1:23" x14ac:dyDescent="0.3">
      <c r="A1353" s="13" t="str" cm="1">
        <f t="array" ref="A1353:B1353">INDEX(BenchmarkResults!$B$1:$D$35,SUMPRODUCT((T1353&gt;=BenchmarkResults!$F$3:$F$35)*(mongodb_hardware_log!T1353&lt;BenchmarkResults!$G$3:$G$35)*ROW(BenchmarkResults!$F$3:$F$35)),{1,3})</f>
        <v>q3_customer_spend_stats</v>
      </c>
      <c r="B1353">
        <v>1</v>
      </c>
      <c r="C1353" s="13">
        <v>1</v>
      </c>
      <c r="D1353" s="13">
        <v>0</v>
      </c>
      <c r="E1353" s="13">
        <v>133376</v>
      </c>
      <c r="F1353" s="13">
        <v>112584</v>
      </c>
      <c r="G1353" s="13">
        <v>7004</v>
      </c>
      <c r="H1353" s="13">
        <v>2261676</v>
      </c>
      <c r="I1353" s="13">
        <v>0</v>
      </c>
      <c r="J1353" s="13">
        <v>0</v>
      </c>
      <c r="K1353" s="13">
        <v>14936</v>
      </c>
      <c r="L1353" s="13">
        <v>17</v>
      </c>
      <c r="M1353" s="13">
        <v>1062</v>
      </c>
      <c r="N1353" s="13">
        <v>410</v>
      </c>
      <c r="O1353" s="13">
        <v>31</v>
      </c>
      <c r="P1353" s="13">
        <v>3</v>
      </c>
      <c r="Q1353" s="13">
        <v>61</v>
      </c>
      <c r="R1353" s="13">
        <v>5</v>
      </c>
      <c r="S1353" s="13">
        <v>0</v>
      </c>
      <c r="T1353" s="23">
        <v>46247.640682870369</v>
      </c>
      <c r="U1353" s="55">
        <f t="shared" ref="U1353:U1416" si="63">AVERAGE(C1348:C1353)</f>
        <v>1</v>
      </c>
      <c r="V1353" s="55">
        <f t="shared" ref="V1353:V1416" si="64">AVERAGE(D1348:D1353)</f>
        <v>0</v>
      </c>
      <c r="W1353" s="56">
        <f t="shared" ref="W1353:W1416" si="65">AVERAGE(K1348:K1353)</f>
        <v>11070.833333333334</v>
      </c>
    </row>
    <row r="1354" spans="1:23" x14ac:dyDescent="0.3">
      <c r="A1354" s="13" t="str" cm="1">
        <f t="array" ref="A1354:B1354">INDEX(BenchmarkResults!$B$1:$D$35,SUMPRODUCT((T1354&gt;=BenchmarkResults!$F$3:$F$35)*(mongodb_hardware_log!T1354&lt;BenchmarkResults!$G$3:$G$35)*ROW(BenchmarkResults!$F$3:$F$35)),{1,3})</f>
        <v>q3_customer_spend_stats</v>
      </c>
      <c r="B1354">
        <v>1</v>
      </c>
      <c r="C1354" s="13">
        <v>1</v>
      </c>
      <c r="D1354" s="13">
        <v>0</v>
      </c>
      <c r="E1354" s="13">
        <v>133376</v>
      </c>
      <c r="F1354" s="13">
        <v>106048</v>
      </c>
      <c r="G1354" s="13">
        <v>7012</v>
      </c>
      <c r="H1354" s="13">
        <v>2256016</v>
      </c>
      <c r="I1354" s="13">
        <v>0</v>
      </c>
      <c r="J1354" s="13">
        <v>0</v>
      </c>
      <c r="K1354" s="13">
        <v>13489</v>
      </c>
      <c r="L1354" s="13">
        <v>7</v>
      </c>
      <c r="M1354" s="13">
        <v>1041</v>
      </c>
      <c r="N1354" s="13">
        <v>397</v>
      </c>
      <c r="O1354" s="13">
        <v>31</v>
      </c>
      <c r="P1354" s="13">
        <v>2</v>
      </c>
      <c r="Q1354" s="13">
        <v>62</v>
      </c>
      <c r="R1354" s="13">
        <v>5</v>
      </c>
      <c r="S1354" s="13">
        <v>0</v>
      </c>
      <c r="T1354" s="23">
        <v>46247.640798611108</v>
      </c>
      <c r="U1354" s="55">
        <f t="shared" si="63"/>
        <v>1</v>
      </c>
      <c r="V1354" s="55">
        <f t="shared" si="64"/>
        <v>0</v>
      </c>
      <c r="W1354" s="56">
        <f t="shared" si="65"/>
        <v>13147.166666666666</v>
      </c>
    </row>
    <row r="1355" spans="1:23" x14ac:dyDescent="0.3">
      <c r="A1355" s="13" t="str" cm="1">
        <f t="array" ref="A1355:B1355">INDEX(BenchmarkResults!$B$1:$D$35,SUMPRODUCT((T1355&gt;=BenchmarkResults!$F$3:$F$35)*(mongodb_hardware_log!T1355&lt;BenchmarkResults!$G$3:$G$35)*ROW(BenchmarkResults!$F$3:$F$35)),{1,3})</f>
        <v>q3_customer_spend_stats</v>
      </c>
      <c r="B1355">
        <v>1</v>
      </c>
      <c r="C1355" s="13">
        <v>1</v>
      </c>
      <c r="D1355" s="13">
        <v>0</v>
      </c>
      <c r="E1355" s="13">
        <v>133376</v>
      </c>
      <c r="F1355" s="13">
        <v>148860</v>
      </c>
      <c r="G1355" s="13">
        <v>7028</v>
      </c>
      <c r="H1355" s="13">
        <v>2224100</v>
      </c>
      <c r="I1355" s="13">
        <v>0</v>
      </c>
      <c r="J1355" s="13">
        <v>0</v>
      </c>
      <c r="K1355" s="13">
        <v>16364</v>
      </c>
      <c r="L1355" s="13">
        <v>24</v>
      </c>
      <c r="M1355" s="13">
        <v>1179</v>
      </c>
      <c r="N1355" s="13">
        <v>524</v>
      </c>
      <c r="O1355" s="13">
        <v>29</v>
      </c>
      <c r="P1355" s="13">
        <v>3</v>
      </c>
      <c r="Q1355" s="13">
        <v>60</v>
      </c>
      <c r="R1355" s="13">
        <v>7</v>
      </c>
      <c r="S1355" s="13">
        <v>0</v>
      </c>
      <c r="T1355" s="23">
        <v>46247.640914351854</v>
      </c>
      <c r="U1355" s="55">
        <f t="shared" si="63"/>
        <v>1</v>
      </c>
      <c r="V1355" s="55">
        <f t="shared" si="64"/>
        <v>0</v>
      </c>
      <c r="W1355" s="56">
        <f t="shared" si="65"/>
        <v>15023.166666666666</v>
      </c>
    </row>
    <row r="1356" spans="1:23" x14ac:dyDescent="0.3">
      <c r="A1356" s="13" t="str" cm="1">
        <f t="array" ref="A1356:B1356">INDEX(BenchmarkResults!$B$1:$D$35,SUMPRODUCT((T1356&gt;=BenchmarkResults!$F$3:$F$35)*(mongodb_hardware_log!T1356&lt;BenchmarkResults!$G$3:$G$35)*ROW(BenchmarkResults!$F$3:$F$35)),{1,3})</f>
        <v>q3_customer_spend_stats</v>
      </c>
      <c r="B1356">
        <v>1</v>
      </c>
      <c r="C1356" s="13">
        <v>1</v>
      </c>
      <c r="D1356" s="13">
        <v>0</v>
      </c>
      <c r="E1356" s="13">
        <v>133376</v>
      </c>
      <c r="F1356" s="13">
        <v>114112</v>
      </c>
      <c r="G1356" s="13">
        <v>7052</v>
      </c>
      <c r="H1356" s="13">
        <v>2265452</v>
      </c>
      <c r="I1356" s="13">
        <v>0</v>
      </c>
      <c r="J1356" s="13">
        <v>0</v>
      </c>
      <c r="K1356" s="13">
        <v>3002</v>
      </c>
      <c r="L1356" s="13">
        <v>4168</v>
      </c>
      <c r="M1356" s="13">
        <v>926</v>
      </c>
      <c r="N1356" s="13">
        <v>268</v>
      </c>
      <c r="O1356" s="13">
        <v>29</v>
      </c>
      <c r="P1356" s="13">
        <v>2</v>
      </c>
      <c r="Q1356" s="13">
        <v>52</v>
      </c>
      <c r="R1356" s="13">
        <v>6</v>
      </c>
      <c r="S1356" s="13">
        <v>12</v>
      </c>
      <c r="T1356" s="23">
        <v>46247.641030092593</v>
      </c>
      <c r="U1356" s="55">
        <f t="shared" si="63"/>
        <v>1</v>
      </c>
      <c r="V1356" s="55">
        <f t="shared" si="64"/>
        <v>0</v>
      </c>
      <c r="W1356" s="56">
        <f t="shared" si="65"/>
        <v>12959.5</v>
      </c>
    </row>
    <row r="1357" spans="1:23" x14ac:dyDescent="0.3">
      <c r="A1357" s="13" t="str" cm="1">
        <f t="array" ref="A1357:B1357">INDEX(BenchmarkResults!$B$1:$D$35,SUMPRODUCT((T1357&gt;=BenchmarkResults!$F$3:$F$35)*(mongodb_hardware_log!T1357&lt;BenchmarkResults!$G$3:$G$35)*ROW(BenchmarkResults!$F$3:$F$35)),{1,3})</f>
        <v>q3_customer_spend_stats</v>
      </c>
      <c r="B1357">
        <v>1</v>
      </c>
      <c r="C1357" s="13">
        <v>1</v>
      </c>
      <c r="D1357" s="13">
        <v>0</v>
      </c>
      <c r="E1357" s="13">
        <v>133376</v>
      </c>
      <c r="F1357" s="13">
        <v>147468</v>
      </c>
      <c r="G1357" s="13">
        <v>7096</v>
      </c>
      <c r="H1357" s="13">
        <v>2223524</v>
      </c>
      <c r="I1357" s="13">
        <v>0</v>
      </c>
      <c r="J1357" s="13">
        <v>0</v>
      </c>
      <c r="K1357" s="13">
        <v>5</v>
      </c>
      <c r="L1357" s="13">
        <v>36</v>
      </c>
      <c r="M1357" s="13">
        <v>684</v>
      </c>
      <c r="N1357" s="13">
        <v>221</v>
      </c>
      <c r="O1357" s="13">
        <v>33</v>
      </c>
      <c r="P1357" s="13">
        <v>2</v>
      </c>
      <c r="Q1357" s="13">
        <v>65</v>
      </c>
      <c r="R1357" s="13">
        <v>0</v>
      </c>
      <c r="S1357" s="13">
        <v>0</v>
      </c>
      <c r="T1357" s="23">
        <v>46247.641145833331</v>
      </c>
      <c r="U1357" s="55">
        <f t="shared" si="63"/>
        <v>1</v>
      </c>
      <c r="V1357" s="55">
        <f t="shared" si="64"/>
        <v>0</v>
      </c>
      <c r="W1357" s="56">
        <f t="shared" si="65"/>
        <v>10815.166666666666</v>
      </c>
    </row>
    <row r="1358" spans="1:23" x14ac:dyDescent="0.3">
      <c r="A1358" s="13" t="str" cm="1">
        <f t="array" ref="A1358:B1358">INDEX(BenchmarkResults!$B$1:$D$35,SUMPRODUCT((T1358&gt;=BenchmarkResults!$F$3:$F$35)*(mongodb_hardware_log!T1358&lt;BenchmarkResults!$G$3:$G$35)*ROW(BenchmarkResults!$F$3:$F$35)),{1,3})</f>
        <v>q3_customer_spend_stats</v>
      </c>
      <c r="B1358">
        <v>1</v>
      </c>
      <c r="C1358" s="13">
        <v>1</v>
      </c>
      <c r="D1358" s="13">
        <v>0</v>
      </c>
      <c r="E1358" s="13">
        <v>133376</v>
      </c>
      <c r="F1358" s="13">
        <v>130520</v>
      </c>
      <c r="G1358" s="13">
        <v>7104</v>
      </c>
      <c r="H1358" s="13">
        <v>2248232</v>
      </c>
      <c r="I1358" s="13">
        <v>0</v>
      </c>
      <c r="J1358" s="13">
        <v>0</v>
      </c>
      <c r="K1358" s="13">
        <v>11970</v>
      </c>
      <c r="L1358" s="13">
        <v>9</v>
      </c>
      <c r="M1358" s="13">
        <v>988</v>
      </c>
      <c r="N1358" s="13">
        <v>371</v>
      </c>
      <c r="O1358" s="13">
        <v>31</v>
      </c>
      <c r="P1358" s="13">
        <v>2</v>
      </c>
      <c r="Q1358" s="13">
        <v>62</v>
      </c>
      <c r="R1358" s="13">
        <v>4</v>
      </c>
      <c r="S1358" s="13">
        <v>0</v>
      </c>
      <c r="T1358" s="23">
        <v>46247.641261574077</v>
      </c>
      <c r="U1358" s="55">
        <f t="shared" si="63"/>
        <v>1</v>
      </c>
      <c r="V1358" s="55">
        <f t="shared" si="64"/>
        <v>0</v>
      </c>
      <c r="W1358" s="56">
        <f t="shared" si="65"/>
        <v>9961</v>
      </c>
    </row>
    <row r="1359" spans="1:23" x14ac:dyDescent="0.3">
      <c r="A1359" s="13" t="str" cm="1">
        <f t="array" ref="A1359:B1359">INDEX(BenchmarkResults!$B$1:$D$35,SUMPRODUCT((T1359&gt;=BenchmarkResults!$F$3:$F$35)*(mongodb_hardware_log!T1359&lt;BenchmarkResults!$G$3:$G$35)*ROW(BenchmarkResults!$F$3:$F$35)),{1,3})</f>
        <v>q3_customer_spend_stats</v>
      </c>
      <c r="B1359">
        <v>1</v>
      </c>
      <c r="C1359" s="13">
        <v>1</v>
      </c>
      <c r="D1359" s="13">
        <v>0</v>
      </c>
      <c r="E1359" s="13">
        <v>133376</v>
      </c>
      <c r="F1359" s="13">
        <v>126800</v>
      </c>
      <c r="G1359" s="13">
        <v>7116</v>
      </c>
      <c r="H1359" s="13">
        <v>2244540</v>
      </c>
      <c r="I1359" s="13">
        <v>0</v>
      </c>
      <c r="J1359" s="13">
        <v>0</v>
      </c>
      <c r="K1359" s="13">
        <v>7280</v>
      </c>
      <c r="L1359" s="13">
        <v>4162</v>
      </c>
      <c r="M1359" s="13">
        <v>904</v>
      </c>
      <c r="N1359" s="13">
        <v>333</v>
      </c>
      <c r="O1359" s="13">
        <v>31</v>
      </c>
      <c r="P1359" s="13">
        <v>2</v>
      </c>
      <c r="Q1359" s="13">
        <v>60</v>
      </c>
      <c r="R1359" s="13">
        <v>6</v>
      </c>
      <c r="S1359" s="13">
        <v>0</v>
      </c>
      <c r="T1359" s="23">
        <v>46247.641377314816</v>
      </c>
      <c r="U1359" s="55">
        <f t="shared" si="63"/>
        <v>1</v>
      </c>
      <c r="V1359" s="55">
        <f t="shared" si="64"/>
        <v>0</v>
      </c>
      <c r="W1359" s="56">
        <f t="shared" si="65"/>
        <v>8685</v>
      </c>
    </row>
    <row r="1360" spans="1:23" x14ac:dyDescent="0.3">
      <c r="A1360" s="13" t="str" cm="1">
        <f t="array" ref="A1360:B1360">INDEX(BenchmarkResults!$B$1:$D$35,SUMPRODUCT((T1360&gt;=BenchmarkResults!$F$3:$F$35)*(mongodb_hardware_log!T1360&lt;BenchmarkResults!$G$3:$G$35)*ROW(BenchmarkResults!$F$3:$F$35)),{1,3})</f>
        <v>q3_customer_spend_stats</v>
      </c>
      <c r="B1360">
        <v>1</v>
      </c>
      <c r="C1360" s="13">
        <v>1</v>
      </c>
      <c r="D1360" s="13">
        <v>0</v>
      </c>
      <c r="E1360" s="13">
        <v>133376</v>
      </c>
      <c r="F1360" s="13">
        <v>115740</v>
      </c>
      <c r="G1360" s="13">
        <v>7136</v>
      </c>
      <c r="H1360" s="13">
        <v>2261932</v>
      </c>
      <c r="I1360" s="13">
        <v>0</v>
      </c>
      <c r="J1360" s="13">
        <v>0</v>
      </c>
      <c r="K1360" s="13">
        <v>39</v>
      </c>
      <c r="L1360" s="13">
        <v>19</v>
      </c>
      <c r="M1360" s="13">
        <v>678</v>
      </c>
      <c r="N1360" s="13">
        <v>207</v>
      </c>
      <c r="O1360" s="13">
        <v>33</v>
      </c>
      <c r="P1360" s="13">
        <v>2</v>
      </c>
      <c r="Q1360" s="13">
        <v>65</v>
      </c>
      <c r="R1360" s="13">
        <v>0</v>
      </c>
      <c r="S1360" s="13">
        <v>0</v>
      </c>
      <c r="T1360" s="23">
        <v>46247.641493055555</v>
      </c>
      <c r="U1360" s="55">
        <f t="shared" si="63"/>
        <v>1</v>
      </c>
      <c r="V1360" s="55">
        <f t="shared" si="64"/>
        <v>0</v>
      </c>
      <c r="W1360" s="56">
        <f t="shared" si="65"/>
        <v>6443.333333333333</v>
      </c>
    </row>
    <row r="1361" spans="1:23" x14ac:dyDescent="0.3">
      <c r="A1361" s="13" t="str" cm="1">
        <f t="array" ref="A1361:B1361">INDEX(BenchmarkResults!$B$1:$D$35,SUMPRODUCT((T1361&gt;=BenchmarkResults!$F$3:$F$35)*(mongodb_hardware_log!T1361&lt;BenchmarkResults!$G$3:$G$35)*ROW(BenchmarkResults!$F$3:$F$35)),{1,3})</f>
        <v>q3_customer_spend_stats</v>
      </c>
      <c r="B1361">
        <v>1</v>
      </c>
      <c r="C1361" s="13">
        <v>1</v>
      </c>
      <c r="D1361" s="13">
        <v>0</v>
      </c>
      <c r="E1361" s="13">
        <v>133376</v>
      </c>
      <c r="F1361" s="13">
        <v>143768</v>
      </c>
      <c r="G1361" s="13">
        <v>7144</v>
      </c>
      <c r="H1361" s="13">
        <v>2233852</v>
      </c>
      <c r="I1361" s="13">
        <v>0</v>
      </c>
      <c r="J1361" s="13">
        <v>0</v>
      </c>
      <c r="K1361" s="13">
        <v>11840</v>
      </c>
      <c r="L1361" s="13">
        <v>8</v>
      </c>
      <c r="M1361" s="13">
        <v>1035</v>
      </c>
      <c r="N1361" s="13">
        <v>449</v>
      </c>
      <c r="O1361" s="13">
        <v>31</v>
      </c>
      <c r="P1361" s="13">
        <v>3</v>
      </c>
      <c r="Q1361" s="13">
        <v>62</v>
      </c>
      <c r="R1361" s="13">
        <v>4</v>
      </c>
      <c r="S1361" s="13">
        <v>0</v>
      </c>
      <c r="T1361" s="23">
        <v>46247.641608796293</v>
      </c>
      <c r="U1361" s="55">
        <f t="shared" si="63"/>
        <v>1</v>
      </c>
      <c r="V1361" s="55">
        <f t="shared" si="64"/>
        <v>0</v>
      </c>
      <c r="W1361" s="56">
        <f t="shared" si="65"/>
        <v>5689.333333333333</v>
      </c>
    </row>
    <row r="1362" spans="1:23" x14ac:dyDescent="0.3">
      <c r="A1362" s="13" t="str" cm="1">
        <f t="array" ref="A1362:B1362">INDEX(BenchmarkResults!$B$1:$D$35,SUMPRODUCT((T1362&gt;=BenchmarkResults!$F$3:$F$35)*(mongodb_hardware_log!T1362&lt;BenchmarkResults!$G$3:$G$35)*ROW(BenchmarkResults!$F$3:$F$35)),{1,3})</f>
        <v>q3_customer_spend_stats</v>
      </c>
      <c r="B1362">
        <v>1</v>
      </c>
      <c r="C1362" s="13">
        <v>1</v>
      </c>
      <c r="D1362" s="13">
        <v>0</v>
      </c>
      <c r="E1362" s="13">
        <v>133376</v>
      </c>
      <c r="F1362" s="13">
        <v>160612</v>
      </c>
      <c r="G1362" s="13">
        <v>7160</v>
      </c>
      <c r="H1362" s="13">
        <v>2214356</v>
      </c>
      <c r="I1362" s="13">
        <v>0</v>
      </c>
      <c r="J1362" s="13">
        <v>0</v>
      </c>
      <c r="K1362" s="13">
        <v>6586</v>
      </c>
      <c r="L1362" s="13">
        <v>3693</v>
      </c>
      <c r="M1362" s="13">
        <v>862</v>
      </c>
      <c r="N1362" s="13">
        <v>299</v>
      </c>
      <c r="O1362" s="13">
        <v>32</v>
      </c>
      <c r="P1362" s="13">
        <v>2</v>
      </c>
      <c r="Q1362" s="13">
        <v>62</v>
      </c>
      <c r="R1362" s="13">
        <v>3</v>
      </c>
      <c r="S1362" s="13">
        <v>0</v>
      </c>
      <c r="T1362" s="23">
        <v>46247.641724537039</v>
      </c>
      <c r="U1362" s="55">
        <f t="shared" si="63"/>
        <v>1</v>
      </c>
      <c r="V1362" s="55">
        <f t="shared" si="64"/>
        <v>0</v>
      </c>
      <c r="W1362" s="56">
        <f t="shared" si="65"/>
        <v>6286.666666666667</v>
      </c>
    </row>
    <row r="1363" spans="1:23" x14ac:dyDescent="0.3">
      <c r="A1363" s="13" t="str" cm="1">
        <f t="array" ref="A1363:B1363">INDEX(BenchmarkResults!$B$1:$D$35,SUMPRODUCT((T1363&gt;=BenchmarkResults!$F$3:$F$35)*(mongodb_hardware_log!T1363&lt;BenchmarkResults!$G$3:$G$35)*ROW(BenchmarkResults!$F$3:$F$35)),{1,3})</f>
        <v>q3_customer_spend_stats</v>
      </c>
      <c r="B1363">
        <v>1</v>
      </c>
      <c r="C1363" s="13">
        <v>1</v>
      </c>
      <c r="D1363" s="13">
        <v>0</v>
      </c>
      <c r="E1363" s="13">
        <v>133376</v>
      </c>
      <c r="F1363" s="13">
        <v>147508</v>
      </c>
      <c r="G1363" s="13">
        <v>7212</v>
      </c>
      <c r="H1363" s="13">
        <v>2224480</v>
      </c>
      <c r="I1363" s="13">
        <v>0</v>
      </c>
      <c r="J1363" s="13">
        <v>0</v>
      </c>
      <c r="K1363" s="13">
        <v>153</v>
      </c>
      <c r="L1363" s="13">
        <v>36</v>
      </c>
      <c r="M1363" s="13">
        <v>910</v>
      </c>
      <c r="N1363" s="13">
        <v>450</v>
      </c>
      <c r="O1363" s="13">
        <v>33</v>
      </c>
      <c r="P1363" s="13">
        <v>2</v>
      </c>
      <c r="Q1363" s="13">
        <v>64</v>
      </c>
      <c r="R1363" s="13">
        <v>0</v>
      </c>
      <c r="S1363" s="13">
        <v>0</v>
      </c>
      <c r="T1363" s="23">
        <v>46247.641840277778</v>
      </c>
      <c r="U1363" s="55">
        <f t="shared" si="63"/>
        <v>1</v>
      </c>
      <c r="V1363" s="55">
        <f t="shared" si="64"/>
        <v>0</v>
      </c>
      <c r="W1363" s="56">
        <f t="shared" si="65"/>
        <v>6311.333333333333</v>
      </c>
    </row>
    <row r="1364" spans="1:23" x14ac:dyDescent="0.3">
      <c r="A1364" s="13" t="str" cm="1">
        <f t="array" ref="A1364:B1364">INDEX(BenchmarkResults!$B$1:$D$35,SUMPRODUCT((T1364&gt;=BenchmarkResults!$F$3:$F$35)*(mongodb_hardware_log!T1364&lt;BenchmarkResults!$G$3:$G$35)*ROW(BenchmarkResults!$F$3:$F$35)),{1,3})</f>
        <v>q3_customer_spend_stats</v>
      </c>
      <c r="B1364">
        <v>1</v>
      </c>
      <c r="C1364" s="13">
        <v>1</v>
      </c>
      <c r="D1364" s="13">
        <v>0</v>
      </c>
      <c r="E1364" s="13">
        <v>133376</v>
      </c>
      <c r="F1364" s="13">
        <v>142844</v>
      </c>
      <c r="G1364" s="13">
        <v>7220</v>
      </c>
      <c r="H1364" s="13">
        <v>2224724</v>
      </c>
      <c r="I1364" s="13">
        <v>1</v>
      </c>
      <c r="J1364" s="13">
        <v>0</v>
      </c>
      <c r="K1364" s="13">
        <v>9364</v>
      </c>
      <c r="L1364" s="13">
        <v>4</v>
      </c>
      <c r="M1364" s="13">
        <v>882</v>
      </c>
      <c r="N1364" s="13">
        <v>322</v>
      </c>
      <c r="O1364" s="13">
        <v>31</v>
      </c>
      <c r="P1364" s="13">
        <v>2</v>
      </c>
      <c r="Q1364" s="13">
        <v>62</v>
      </c>
      <c r="R1364" s="13">
        <v>4</v>
      </c>
      <c r="S1364" s="13">
        <v>1</v>
      </c>
      <c r="T1364" s="23">
        <v>46247.641956018517</v>
      </c>
      <c r="U1364" s="55">
        <f t="shared" si="63"/>
        <v>1</v>
      </c>
      <c r="V1364" s="55">
        <f t="shared" si="64"/>
        <v>0</v>
      </c>
      <c r="W1364" s="56">
        <f t="shared" si="65"/>
        <v>5877</v>
      </c>
    </row>
    <row r="1365" spans="1:23" x14ac:dyDescent="0.3">
      <c r="A1365" s="13" t="str" cm="1">
        <f t="array" ref="A1365:B1365">INDEX(BenchmarkResults!$B$1:$D$35,SUMPRODUCT((T1365&gt;=BenchmarkResults!$F$3:$F$35)*(mongodb_hardware_log!T1365&lt;BenchmarkResults!$G$3:$G$35)*ROW(BenchmarkResults!$F$3:$F$35)),{1,3})</f>
        <v>q3_customer_spend_stats</v>
      </c>
      <c r="B1365">
        <v>1</v>
      </c>
      <c r="C1365" s="13">
        <v>1</v>
      </c>
      <c r="D1365" s="13">
        <v>0</v>
      </c>
      <c r="E1365" s="13">
        <v>133376</v>
      </c>
      <c r="F1365" s="13">
        <v>129552</v>
      </c>
      <c r="G1365" s="13">
        <v>7236</v>
      </c>
      <c r="H1365" s="13">
        <v>2236020</v>
      </c>
      <c r="I1365" s="13">
        <v>0</v>
      </c>
      <c r="J1365" s="13">
        <v>0</v>
      </c>
      <c r="K1365" s="13">
        <v>8093</v>
      </c>
      <c r="L1365" s="13">
        <v>3824</v>
      </c>
      <c r="M1365" s="13">
        <v>857</v>
      </c>
      <c r="N1365" s="13">
        <v>313</v>
      </c>
      <c r="O1365" s="13">
        <v>33</v>
      </c>
      <c r="P1365" s="13">
        <v>2</v>
      </c>
      <c r="Q1365" s="13">
        <v>62</v>
      </c>
      <c r="R1365" s="13">
        <v>3</v>
      </c>
      <c r="S1365" s="13">
        <v>0</v>
      </c>
      <c r="T1365" s="23">
        <v>46247.642071759263</v>
      </c>
      <c r="U1365" s="55">
        <f t="shared" si="63"/>
        <v>1</v>
      </c>
      <c r="V1365" s="55">
        <f t="shared" si="64"/>
        <v>0</v>
      </c>
      <c r="W1365" s="56">
        <f t="shared" si="65"/>
        <v>6012.5</v>
      </c>
    </row>
    <row r="1366" spans="1:23" x14ac:dyDescent="0.3">
      <c r="A1366" s="13" t="str" cm="1">
        <f t="array" ref="A1366:B1366">INDEX(BenchmarkResults!$B$1:$D$35,SUMPRODUCT((T1366&gt;=BenchmarkResults!$F$3:$F$35)*(mongodb_hardware_log!T1366&lt;BenchmarkResults!$G$3:$G$35)*ROW(BenchmarkResults!$F$3:$F$35)),{1,3})</f>
        <v>q3_customer_spend_stats</v>
      </c>
      <c r="B1366">
        <v>1</v>
      </c>
      <c r="C1366" s="13">
        <v>1</v>
      </c>
      <c r="D1366" s="13">
        <v>0</v>
      </c>
      <c r="E1366" s="13">
        <v>133376</v>
      </c>
      <c r="F1366" s="13">
        <v>145456</v>
      </c>
      <c r="G1366" s="13">
        <v>7244</v>
      </c>
      <c r="H1366" s="13">
        <v>2225736</v>
      </c>
      <c r="I1366" s="13">
        <v>0</v>
      </c>
      <c r="J1366" s="13">
        <v>0</v>
      </c>
      <c r="K1366" s="13">
        <v>1575</v>
      </c>
      <c r="L1366" s="13">
        <v>8</v>
      </c>
      <c r="M1366" s="13">
        <v>681</v>
      </c>
      <c r="N1366" s="13">
        <v>187</v>
      </c>
      <c r="O1366" s="13">
        <v>33</v>
      </c>
      <c r="P1366" s="13">
        <v>2</v>
      </c>
      <c r="Q1366" s="13">
        <v>65</v>
      </c>
      <c r="R1366" s="13">
        <v>1</v>
      </c>
      <c r="S1366" s="13">
        <v>0</v>
      </c>
      <c r="T1366" s="23">
        <v>46247.642187500001</v>
      </c>
      <c r="U1366" s="55">
        <f t="shared" si="63"/>
        <v>1</v>
      </c>
      <c r="V1366" s="55">
        <f t="shared" si="64"/>
        <v>0</v>
      </c>
      <c r="W1366" s="56">
        <f t="shared" si="65"/>
        <v>6268.5</v>
      </c>
    </row>
    <row r="1367" spans="1:23" x14ac:dyDescent="0.3">
      <c r="A1367" s="13" t="str" cm="1">
        <f t="array" ref="A1367:B1367">INDEX(BenchmarkResults!$B$1:$D$35,SUMPRODUCT((T1367&gt;=BenchmarkResults!$F$3:$F$35)*(mongodb_hardware_log!T1367&lt;BenchmarkResults!$G$3:$G$35)*ROW(BenchmarkResults!$F$3:$F$35)),{1,3})</f>
        <v>q3_customer_spend_stats</v>
      </c>
      <c r="B1367">
        <v>1</v>
      </c>
      <c r="C1367" s="13">
        <v>1</v>
      </c>
      <c r="D1367" s="13">
        <v>0</v>
      </c>
      <c r="E1367" s="13">
        <v>133376</v>
      </c>
      <c r="F1367" s="13">
        <v>132040</v>
      </c>
      <c r="G1367" s="13">
        <v>7260</v>
      </c>
      <c r="H1367" s="13">
        <v>2240432</v>
      </c>
      <c r="I1367" s="13">
        <v>0</v>
      </c>
      <c r="J1367" s="13">
        <v>0</v>
      </c>
      <c r="K1367" s="13">
        <v>5283</v>
      </c>
      <c r="L1367" s="13">
        <v>10</v>
      </c>
      <c r="M1367" s="13">
        <v>691</v>
      </c>
      <c r="N1367" s="13">
        <v>155</v>
      </c>
      <c r="O1367" s="13">
        <v>33</v>
      </c>
      <c r="P1367" s="13">
        <v>2</v>
      </c>
      <c r="Q1367" s="13">
        <v>65</v>
      </c>
      <c r="R1367" s="13">
        <v>0</v>
      </c>
      <c r="S1367" s="13">
        <v>0</v>
      </c>
      <c r="T1367" s="23">
        <v>46247.64230324074</v>
      </c>
      <c r="U1367" s="55">
        <f t="shared" si="63"/>
        <v>1</v>
      </c>
      <c r="V1367" s="55">
        <f t="shared" si="64"/>
        <v>0</v>
      </c>
      <c r="W1367" s="56">
        <f t="shared" si="65"/>
        <v>5175.666666666667</v>
      </c>
    </row>
    <row r="1368" spans="1:23" x14ac:dyDescent="0.3">
      <c r="A1368" s="13" t="str" cm="1">
        <f t="array" ref="A1368:B1368">INDEX(BenchmarkResults!$B$1:$D$35,SUMPRODUCT((T1368&gt;=BenchmarkResults!$F$3:$F$35)*(mongodb_hardware_log!T1368&lt;BenchmarkResults!$G$3:$G$35)*ROW(BenchmarkResults!$F$3:$F$35)),{1,3})</f>
        <v>q3_customer_spend_stats</v>
      </c>
      <c r="B1368">
        <v>1</v>
      </c>
      <c r="C1368" s="13">
        <v>1</v>
      </c>
      <c r="D1368" s="13">
        <v>0</v>
      </c>
      <c r="E1368" s="13">
        <v>133376</v>
      </c>
      <c r="F1368" s="13">
        <v>105232</v>
      </c>
      <c r="G1368" s="13">
        <v>7276</v>
      </c>
      <c r="H1368" s="13">
        <v>2254284</v>
      </c>
      <c r="I1368" s="13">
        <v>0</v>
      </c>
      <c r="J1368" s="13">
        <v>0</v>
      </c>
      <c r="K1368" s="13">
        <v>5158</v>
      </c>
      <c r="L1368" s="13">
        <v>9</v>
      </c>
      <c r="M1368" s="13">
        <v>721</v>
      </c>
      <c r="N1368" s="13">
        <v>177</v>
      </c>
      <c r="O1368" s="13">
        <v>33</v>
      </c>
      <c r="P1368" s="13">
        <v>2</v>
      </c>
      <c r="Q1368" s="13">
        <v>65</v>
      </c>
      <c r="R1368" s="13">
        <v>0</v>
      </c>
      <c r="S1368" s="13">
        <v>1</v>
      </c>
      <c r="T1368" s="23">
        <v>46247.642418981479</v>
      </c>
      <c r="U1368" s="55">
        <f t="shared" si="63"/>
        <v>1</v>
      </c>
      <c r="V1368" s="55">
        <f t="shared" si="64"/>
        <v>0</v>
      </c>
      <c r="W1368" s="56">
        <f t="shared" si="65"/>
        <v>4937.666666666667</v>
      </c>
    </row>
    <row r="1369" spans="1:23" x14ac:dyDescent="0.3">
      <c r="A1369" s="13" t="str" cm="1">
        <f t="array" ref="A1369:B1369">INDEX(BenchmarkResults!$B$1:$D$35,SUMPRODUCT((T1369&gt;=BenchmarkResults!$F$3:$F$35)*(mongodb_hardware_log!T1369&lt;BenchmarkResults!$G$3:$G$35)*ROW(BenchmarkResults!$F$3:$F$35)),{1,3})</f>
        <v>q3_customer_spend_stats</v>
      </c>
      <c r="B1369">
        <v>1</v>
      </c>
      <c r="C1369" s="13">
        <v>1</v>
      </c>
      <c r="D1369" s="13">
        <v>0</v>
      </c>
      <c r="E1369" s="13">
        <v>133376</v>
      </c>
      <c r="F1369" s="13">
        <v>112968</v>
      </c>
      <c r="G1369" s="13">
        <v>7308</v>
      </c>
      <c r="H1369" s="13">
        <v>2249644</v>
      </c>
      <c r="I1369" s="13">
        <v>0</v>
      </c>
      <c r="J1369" s="13">
        <v>0</v>
      </c>
      <c r="K1369" s="13">
        <v>5221</v>
      </c>
      <c r="L1369" s="13">
        <v>1556</v>
      </c>
      <c r="M1369" s="13">
        <v>708</v>
      </c>
      <c r="N1369" s="13">
        <v>169</v>
      </c>
      <c r="O1369" s="13">
        <v>32</v>
      </c>
      <c r="P1369" s="13">
        <v>2</v>
      </c>
      <c r="Q1369" s="13">
        <v>64</v>
      </c>
      <c r="R1369" s="13">
        <v>2</v>
      </c>
      <c r="S1369" s="13">
        <v>0</v>
      </c>
      <c r="T1369" s="23">
        <v>46247.642534722225</v>
      </c>
      <c r="U1369" s="55">
        <f t="shared" si="63"/>
        <v>1</v>
      </c>
      <c r="V1369" s="55">
        <f t="shared" si="64"/>
        <v>0</v>
      </c>
      <c r="W1369" s="56">
        <f t="shared" si="65"/>
        <v>5782.333333333333</v>
      </c>
    </row>
    <row r="1370" spans="1:23" x14ac:dyDescent="0.3">
      <c r="A1370" s="13" t="str" cm="1">
        <f t="array" ref="A1370:B1370">INDEX(BenchmarkResults!$B$1:$D$35,SUMPRODUCT((T1370&gt;=BenchmarkResults!$F$3:$F$35)*(mongodb_hardware_log!T1370&lt;BenchmarkResults!$G$3:$G$35)*ROW(BenchmarkResults!$F$3:$F$35)),{1,3})</f>
        <v>q3_customer_spend_stats</v>
      </c>
      <c r="B1370">
        <v>1</v>
      </c>
      <c r="C1370" s="13">
        <v>2</v>
      </c>
      <c r="D1370" s="13">
        <v>0</v>
      </c>
      <c r="E1370" s="13">
        <v>119296</v>
      </c>
      <c r="F1370" s="13">
        <v>753784</v>
      </c>
      <c r="G1370" s="13">
        <v>7352</v>
      </c>
      <c r="H1370" s="13">
        <v>1597012</v>
      </c>
      <c r="I1370" s="13">
        <v>1414</v>
      </c>
      <c r="J1370" s="13">
        <v>0</v>
      </c>
      <c r="K1370" s="13">
        <v>4929</v>
      </c>
      <c r="L1370" s="13">
        <v>17616</v>
      </c>
      <c r="M1370" s="13">
        <v>1265</v>
      </c>
      <c r="N1370" s="13">
        <v>589</v>
      </c>
      <c r="O1370" s="13">
        <v>32</v>
      </c>
      <c r="P1370" s="13">
        <v>13</v>
      </c>
      <c r="Q1370" s="13">
        <v>39</v>
      </c>
      <c r="R1370" s="13">
        <v>15</v>
      </c>
      <c r="S1370" s="13">
        <v>0</v>
      </c>
      <c r="T1370" s="23">
        <v>46247.642650462964</v>
      </c>
      <c r="U1370" s="55">
        <f t="shared" si="63"/>
        <v>1.1666666666666667</v>
      </c>
      <c r="V1370" s="55">
        <f t="shared" si="64"/>
        <v>0</v>
      </c>
      <c r="W1370" s="56">
        <f t="shared" si="65"/>
        <v>5043.166666666667</v>
      </c>
    </row>
    <row r="1371" spans="1:23" x14ac:dyDescent="0.3">
      <c r="A1371" s="13" t="str" cm="1">
        <f t="array" ref="A1371:B1371">INDEX(BenchmarkResults!$B$1:$D$35,SUMPRODUCT((T1371&gt;=BenchmarkResults!$F$3:$F$35)*(mongodb_hardware_log!T1371&lt;BenchmarkResults!$G$3:$G$35)*ROW(BenchmarkResults!$F$3:$F$35)),{1,3})</f>
        <v>q3_customer_spend_stats</v>
      </c>
      <c r="B1371">
        <v>1</v>
      </c>
      <c r="C1371" s="13">
        <v>1</v>
      </c>
      <c r="D1371" s="13">
        <v>0</v>
      </c>
      <c r="E1371" s="13">
        <v>119296</v>
      </c>
      <c r="F1371" s="13">
        <v>714748</v>
      </c>
      <c r="G1371" s="13">
        <v>7384</v>
      </c>
      <c r="H1371" s="13">
        <v>1665084</v>
      </c>
      <c r="I1371" s="13">
        <v>0</v>
      </c>
      <c r="J1371" s="13">
        <v>0</v>
      </c>
      <c r="K1371" s="13">
        <v>6810</v>
      </c>
      <c r="L1371" s="13">
        <v>27</v>
      </c>
      <c r="M1371" s="13">
        <v>2267</v>
      </c>
      <c r="N1371" s="13">
        <v>875</v>
      </c>
      <c r="O1371" s="13">
        <v>19</v>
      </c>
      <c r="P1371" s="13">
        <v>7</v>
      </c>
      <c r="Q1371" s="13">
        <v>74</v>
      </c>
      <c r="R1371" s="13">
        <v>0</v>
      </c>
      <c r="S1371" s="13">
        <v>0</v>
      </c>
      <c r="T1371" s="23">
        <v>46247.642766203702</v>
      </c>
      <c r="U1371" s="55">
        <f t="shared" si="63"/>
        <v>1.1666666666666667</v>
      </c>
      <c r="V1371" s="55">
        <f t="shared" si="64"/>
        <v>0</v>
      </c>
      <c r="W1371" s="56">
        <f t="shared" si="65"/>
        <v>4829.333333333333</v>
      </c>
    </row>
    <row r="1372" spans="1:23" x14ac:dyDescent="0.3">
      <c r="A1372" s="13" t="str" cm="1">
        <f t="array" ref="A1372:B1372">INDEX(BenchmarkResults!$B$1:$D$35,SUMPRODUCT((T1372&gt;=BenchmarkResults!$F$3:$F$35)*(mongodb_hardware_log!T1372&lt;BenchmarkResults!$G$3:$G$35)*ROW(BenchmarkResults!$F$3:$F$35)),{1,3})</f>
        <v>q3_customer_spend_stats</v>
      </c>
      <c r="B1372">
        <v>1</v>
      </c>
      <c r="C1372" s="13">
        <v>1</v>
      </c>
      <c r="D1372" s="13">
        <v>0</v>
      </c>
      <c r="E1372" s="13">
        <v>119296</v>
      </c>
      <c r="F1372" s="13">
        <v>643008</v>
      </c>
      <c r="G1372" s="13">
        <v>7416</v>
      </c>
      <c r="H1372" s="13">
        <v>1731764</v>
      </c>
      <c r="I1372" s="13">
        <v>0</v>
      </c>
      <c r="J1372" s="13">
        <v>0</v>
      </c>
      <c r="K1372" s="13">
        <v>6659</v>
      </c>
      <c r="L1372" s="13">
        <v>55</v>
      </c>
      <c r="M1372" s="13">
        <v>2430</v>
      </c>
      <c r="N1372" s="13">
        <v>859</v>
      </c>
      <c r="O1372" s="13">
        <v>19</v>
      </c>
      <c r="P1372" s="13">
        <v>6</v>
      </c>
      <c r="Q1372" s="13">
        <v>74</v>
      </c>
      <c r="R1372" s="13">
        <v>0</v>
      </c>
      <c r="S1372" s="13">
        <v>1</v>
      </c>
      <c r="T1372" s="23">
        <v>46247.642881944441</v>
      </c>
      <c r="U1372" s="55">
        <f t="shared" si="63"/>
        <v>1.1666666666666667</v>
      </c>
      <c r="V1372" s="55">
        <f t="shared" si="64"/>
        <v>0</v>
      </c>
      <c r="W1372" s="56">
        <f t="shared" si="65"/>
        <v>5676.666666666667</v>
      </c>
    </row>
    <row r="1373" spans="1:23" x14ac:dyDescent="0.3">
      <c r="A1373" s="13" t="str" cm="1">
        <f t="array" ref="A1373:B1373">INDEX(BenchmarkResults!$B$1:$D$35,SUMPRODUCT((T1373&gt;=BenchmarkResults!$F$3:$F$35)*(mongodb_hardware_log!T1373&lt;BenchmarkResults!$G$3:$G$35)*ROW(BenchmarkResults!$F$3:$F$35)),{1,3})</f>
        <v>q3_customer_spend_stats</v>
      </c>
      <c r="B1373">
        <v>2</v>
      </c>
      <c r="C1373" s="13">
        <v>1</v>
      </c>
      <c r="D1373" s="13">
        <v>0</v>
      </c>
      <c r="E1373" s="13">
        <v>119296</v>
      </c>
      <c r="F1373" s="13">
        <v>744780</v>
      </c>
      <c r="G1373" s="13">
        <v>7444</v>
      </c>
      <c r="H1373" s="13">
        <v>1590412</v>
      </c>
      <c r="I1373" s="13">
        <v>0</v>
      </c>
      <c r="J1373" s="13">
        <v>0</v>
      </c>
      <c r="K1373" s="13">
        <v>8069</v>
      </c>
      <c r="L1373" s="13">
        <v>22</v>
      </c>
      <c r="M1373" s="13">
        <v>1838</v>
      </c>
      <c r="N1373" s="13">
        <v>589</v>
      </c>
      <c r="O1373" s="13">
        <v>36</v>
      </c>
      <c r="P1373" s="13">
        <v>3</v>
      </c>
      <c r="Q1373" s="13">
        <v>59</v>
      </c>
      <c r="R1373" s="13">
        <v>1</v>
      </c>
      <c r="S1373" s="13">
        <v>0</v>
      </c>
      <c r="T1373" s="23">
        <v>46247.642997685187</v>
      </c>
      <c r="U1373" s="55">
        <f t="shared" si="63"/>
        <v>1.1666666666666667</v>
      </c>
      <c r="V1373" s="55">
        <f t="shared" si="64"/>
        <v>0</v>
      </c>
      <c r="W1373" s="56">
        <f t="shared" si="65"/>
        <v>6141</v>
      </c>
    </row>
    <row r="1374" spans="1:23" x14ac:dyDescent="0.3">
      <c r="A1374" s="13" t="str" cm="1">
        <f t="array" ref="A1374:B1374">INDEX(BenchmarkResults!$B$1:$D$35,SUMPRODUCT((T1374&gt;=BenchmarkResults!$F$3:$F$35)*(mongodb_hardware_log!T1374&lt;BenchmarkResults!$G$3:$G$35)*ROW(BenchmarkResults!$F$3:$F$35)),{1,3})</f>
        <v>q3_customer_spend_stats</v>
      </c>
      <c r="B1374">
        <v>2</v>
      </c>
      <c r="C1374" s="13">
        <v>6</v>
      </c>
      <c r="D1374" s="13">
        <v>0</v>
      </c>
      <c r="E1374" s="13">
        <v>119296</v>
      </c>
      <c r="F1374" s="13">
        <v>561436</v>
      </c>
      <c r="G1374" s="13">
        <v>7452</v>
      </c>
      <c r="H1374" s="13">
        <v>1793340</v>
      </c>
      <c r="I1374" s="13">
        <v>0</v>
      </c>
      <c r="J1374" s="13">
        <v>0</v>
      </c>
      <c r="K1374" s="13">
        <v>18888</v>
      </c>
      <c r="L1374" s="13">
        <v>6</v>
      </c>
      <c r="M1374" s="13">
        <v>1188</v>
      </c>
      <c r="N1374" s="13">
        <v>442</v>
      </c>
      <c r="O1374" s="13">
        <v>33</v>
      </c>
      <c r="P1374" s="13">
        <v>4</v>
      </c>
      <c r="Q1374" s="13">
        <v>59</v>
      </c>
      <c r="R1374" s="13">
        <v>5</v>
      </c>
      <c r="S1374" s="13">
        <v>0</v>
      </c>
      <c r="T1374" s="23">
        <v>46247.643113425926</v>
      </c>
      <c r="U1374" s="55">
        <f t="shared" si="63"/>
        <v>2</v>
      </c>
      <c r="V1374" s="55">
        <f t="shared" si="64"/>
        <v>0</v>
      </c>
      <c r="W1374" s="56">
        <f t="shared" si="65"/>
        <v>8429.3333333333339</v>
      </c>
    </row>
    <row r="1375" spans="1:23" x14ac:dyDescent="0.3">
      <c r="A1375" s="13" t="str" cm="1">
        <f t="array" ref="A1375:B1375">INDEX(BenchmarkResults!$B$1:$D$35,SUMPRODUCT((T1375&gt;=BenchmarkResults!$F$3:$F$35)*(mongodb_hardware_log!T1375&lt;BenchmarkResults!$G$3:$G$35)*ROW(BenchmarkResults!$F$3:$F$35)),{1,3})</f>
        <v>q3_customer_spend_stats</v>
      </c>
      <c r="B1375">
        <v>2</v>
      </c>
      <c r="C1375" s="13">
        <v>1</v>
      </c>
      <c r="D1375" s="13">
        <v>0</v>
      </c>
      <c r="E1375" s="13">
        <v>119296</v>
      </c>
      <c r="F1375" s="13">
        <v>419336</v>
      </c>
      <c r="G1375" s="13">
        <v>7508</v>
      </c>
      <c r="H1375" s="13">
        <v>1938340</v>
      </c>
      <c r="I1375" s="13">
        <v>4</v>
      </c>
      <c r="J1375" s="13">
        <v>0</v>
      </c>
      <c r="K1375" s="13">
        <v>12799</v>
      </c>
      <c r="L1375" s="13">
        <v>54</v>
      </c>
      <c r="M1375" s="13">
        <v>1052</v>
      </c>
      <c r="N1375" s="13">
        <v>474</v>
      </c>
      <c r="O1375" s="13">
        <v>28</v>
      </c>
      <c r="P1375" s="13">
        <v>6</v>
      </c>
      <c r="Q1375" s="13">
        <v>62</v>
      </c>
      <c r="R1375" s="13">
        <v>4</v>
      </c>
      <c r="S1375" s="13">
        <v>0</v>
      </c>
      <c r="T1375" s="23">
        <v>46247.643229166664</v>
      </c>
      <c r="U1375" s="55">
        <f t="shared" si="63"/>
        <v>2</v>
      </c>
      <c r="V1375" s="55">
        <f t="shared" si="64"/>
        <v>0</v>
      </c>
      <c r="W1375" s="56">
        <f t="shared" si="65"/>
        <v>9692.3333333333339</v>
      </c>
    </row>
    <row r="1376" spans="1:23" x14ac:dyDescent="0.3">
      <c r="A1376" s="13" t="str" cm="1">
        <f t="array" ref="A1376:B1376">INDEX(BenchmarkResults!$B$1:$D$35,SUMPRODUCT((T1376&gt;=BenchmarkResults!$F$3:$F$35)*(mongodb_hardware_log!T1376&lt;BenchmarkResults!$G$3:$G$35)*ROW(BenchmarkResults!$F$3:$F$35)),{1,3})</f>
        <v>q3_customer_spend_stats</v>
      </c>
      <c r="B1376">
        <v>2</v>
      </c>
      <c r="C1376" s="13">
        <v>1</v>
      </c>
      <c r="D1376" s="13">
        <v>0</v>
      </c>
      <c r="E1376" s="13">
        <v>119296</v>
      </c>
      <c r="F1376" s="13">
        <v>254024</v>
      </c>
      <c r="G1376" s="13">
        <v>7516</v>
      </c>
      <c r="H1376" s="13">
        <v>2092888</v>
      </c>
      <c r="I1376" s="13">
        <v>0</v>
      </c>
      <c r="J1376" s="13">
        <v>0</v>
      </c>
      <c r="K1376" s="13">
        <v>14606</v>
      </c>
      <c r="L1376" s="13">
        <v>4985</v>
      </c>
      <c r="M1376" s="13">
        <v>1050</v>
      </c>
      <c r="N1376" s="13">
        <v>391</v>
      </c>
      <c r="O1376" s="13">
        <v>28</v>
      </c>
      <c r="P1376" s="13">
        <v>5</v>
      </c>
      <c r="Q1376" s="13">
        <v>60</v>
      </c>
      <c r="R1376" s="13">
        <v>7</v>
      </c>
      <c r="S1376" s="13">
        <v>0</v>
      </c>
      <c r="T1376" s="23">
        <v>46247.64334490741</v>
      </c>
      <c r="U1376" s="55">
        <f t="shared" si="63"/>
        <v>1.8333333333333333</v>
      </c>
      <c r="V1376" s="55">
        <f t="shared" si="64"/>
        <v>0</v>
      </c>
      <c r="W1376" s="56">
        <f t="shared" si="65"/>
        <v>11305.166666666666</v>
      </c>
    </row>
    <row r="1377" spans="1:23" x14ac:dyDescent="0.3">
      <c r="A1377" s="13" t="str" cm="1">
        <f t="array" ref="A1377:B1377">INDEX(BenchmarkResults!$B$1:$D$35,SUMPRODUCT((T1377&gt;=BenchmarkResults!$F$3:$F$35)*(mongodb_hardware_log!T1377&lt;BenchmarkResults!$G$3:$G$35)*ROW(BenchmarkResults!$F$3:$F$35)),{1,3})</f>
        <v>q3_customer_spend_stats</v>
      </c>
      <c r="B1377">
        <v>2</v>
      </c>
      <c r="C1377" s="13">
        <v>1</v>
      </c>
      <c r="D1377" s="13">
        <v>0</v>
      </c>
      <c r="E1377" s="13">
        <v>119296</v>
      </c>
      <c r="F1377" s="13">
        <v>106916</v>
      </c>
      <c r="G1377" s="13">
        <v>7536</v>
      </c>
      <c r="H1377" s="13">
        <v>2262084</v>
      </c>
      <c r="I1377" s="13">
        <v>0</v>
      </c>
      <c r="J1377" s="13">
        <v>0</v>
      </c>
      <c r="K1377" s="13">
        <v>16064</v>
      </c>
      <c r="L1377" s="13">
        <v>16</v>
      </c>
      <c r="M1377" s="13">
        <v>1145</v>
      </c>
      <c r="N1377" s="13">
        <v>492</v>
      </c>
      <c r="O1377" s="13">
        <v>28</v>
      </c>
      <c r="P1377" s="13">
        <v>4</v>
      </c>
      <c r="Q1377" s="13">
        <v>61</v>
      </c>
      <c r="R1377" s="13">
        <v>7</v>
      </c>
      <c r="S1377" s="13">
        <v>0</v>
      </c>
      <c r="T1377" s="23">
        <v>46247.643460648149</v>
      </c>
      <c r="U1377" s="55">
        <f t="shared" si="63"/>
        <v>1.8333333333333333</v>
      </c>
      <c r="V1377" s="55">
        <f t="shared" si="64"/>
        <v>0</v>
      </c>
      <c r="W1377" s="56">
        <f t="shared" si="65"/>
        <v>12847.5</v>
      </c>
    </row>
    <row r="1378" spans="1:23" x14ac:dyDescent="0.3">
      <c r="A1378" s="13" t="str" cm="1">
        <f t="array" ref="A1378:B1378">INDEX(BenchmarkResults!$B$1:$D$35,SUMPRODUCT((T1378&gt;=BenchmarkResults!$F$3:$F$35)*(mongodb_hardware_log!T1378&lt;BenchmarkResults!$G$3:$G$35)*ROW(BenchmarkResults!$F$3:$F$35)),{1,3})</f>
        <v>q3_customer_spend_stats</v>
      </c>
      <c r="B1378">
        <v>2</v>
      </c>
      <c r="C1378" s="13">
        <v>1</v>
      </c>
      <c r="D1378" s="13">
        <v>0</v>
      </c>
      <c r="E1378" s="13">
        <v>119296</v>
      </c>
      <c r="F1378" s="13">
        <v>112428</v>
      </c>
      <c r="G1378" s="13">
        <v>7544</v>
      </c>
      <c r="H1378" s="13">
        <v>2248716</v>
      </c>
      <c r="I1378" s="13">
        <v>0</v>
      </c>
      <c r="J1378" s="13">
        <v>0</v>
      </c>
      <c r="K1378" s="13">
        <v>13101</v>
      </c>
      <c r="L1378" s="13">
        <v>7</v>
      </c>
      <c r="M1378" s="13">
        <v>956</v>
      </c>
      <c r="N1378" s="13">
        <v>363</v>
      </c>
      <c r="O1378" s="13">
        <v>31</v>
      </c>
      <c r="P1378" s="13">
        <v>2</v>
      </c>
      <c r="Q1378" s="13">
        <v>62</v>
      </c>
      <c r="R1378" s="13">
        <v>4</v>
      </c>
      <c r="S1378" s="13">
        <v>0</v>
      </c>
      <c r="T1378" s="23">
        <v>46247.643576388888</v>
      </c>
      <c r="U1378" s="55">
        <f t="shared" si="63"/>
        <v>1.8333333333333333</v>
      </c>
      <c r="V1378" s="55">
        <f t="shared" si="64"/>
        <v>0</v>
      </c>
      <c r="W1378" s="56">
        <f t="shared" si="65"/>
        <v>13921.166666666666</v>
      </c>
    </row>
    <row r="1379" spans="1:23" x14ac:dyDescent="0.3">
      <c r="A1379" s="13" t="str" cm="1">
        <f t="array" ref="A1379:B1379">INDEX(BenchmarkResults!$B$1:$D$35,SUMPRODUCT((T1379&gt;=BenchmarkResults!$F$3:$F$35)*(mongodb_hardware_log!T1379&lt;BenchmarkResults!$G$3:$G$35)*ROW(BenchmarkResults!$F$3:$F$35)),{1,3})</f>
        <v>q3_customer_spend_stats</v>
      </c>
      <c r="B1379">
        <v>2</v>
      </c>
      <c r="C1379" s="13">
        <v>3</v>
      </c>
      <c r="D1379" s="13">
        <v>0</v>
      </c>
      <c r="E1379" s="13">
        <v>119296</v>
      </c>
      <c r="F1379" s="13">
        <v>132964</v>
      </c>
      <c r="G1379" s="13">
        <v>7560</v>
      </c>
      <c r="H1379" s="13">
        <v>2216332</v>
      </c>
      <c r="I1379" s="13">
        <v>0</v>
      </c>
      <c r="J1379" s="13">
        <v>0</v>
      </c>
      <c r="K1379" s="13">
        <v>17580</v>
      </c>
      <c r="L1379" s="13">
        <v>3340</v>
      </c>
      <c r="M1379" s="13">
        <v>1127</v>
      </c>
      <c r="N1379" s="13">
        <v>444</v>
      </c>
      <c r="O1379" s="13">
        <v>30</v>
      </c>
      <c r="P1379" s="13">
        <v>3</v>
      </c>
      <c r="Q1379" s="13">
        <v>57</v>
      </c>
      <c r="R1379" s="13">
        <v>10</v>
      </c>
      <c r="S1379" s="13">
        <v>0</v>
      </c>
      <c r="T1379" s="23">
        <v>46247.643692129626</v>
      </c>
      <c r="U1379" s="55">
        <f t="shared" si="63"/>
        <v>2.1666666666666665</v>
      </c>
      <c r="V1379" s="55">
        <f t="shared" si="64"/>
        <v>0</v>
      </c>
      <c r="W1379" s="56">
        <f t="shared" si="65"/>
        <v>15506.333333333334</v>
      </c>
    </row>
    <row r="1380" spans="1:23" x14ac:dyDescent="0.3">
      <c r="A1380" s="13" t="str" cm="1">
        <f t="array" ref="A1380:B1380">INDEX(BenchmarkResults!$B$1:$D$35,SUMPRODUCT((T1380&gt;=BenchmarkResults!$F$3:$F$35)*(mongodb_hardware_log!T1380&lt;BenchmarkResults!$G$3:$G$35)*ROW(BenchmarkResults!$F$3:$F$35)),{1,3})</f>
        <v>q3_customer_spend_stats</v>
      </c>
      <c r="B1380">
        <v>2</v>
      </c>
      <c r="C1380" s="13">
        <v>1</v>
      </c>
      <c r="D1380" s="13">
        <v>0</v>
      </c>
      <c r="E1380" s="13">
        <v>119296</v>
      </c>
      <c r="F1380" s="13">
        <v>117360</v>
      </c>
      <c r="G1380" s="13">
        <v>7572</v>
      </c>
      <c r="H1380" s="13">
        <v>2238976</v>
      </c>
      <c r="I1380" s="13">
        <v>0</v>
      </c>
      <c r="J1380" s="13">
        <v>0</v>
      </c>
      <c r="K1380" s="13">
        <v>13528</v>
      </c>
      <c r="L1380" s="13">
        <v>22</v>
      </c>
      <c r="M1380" s="13">
        <v>998</v>
      </c>
      <c r="N1380" s="13">
        <v>428</v>
      </c>
      <c r="O1380" s="13">
        <v>31</v>
      </c>
      <c r="P1380" s="13">
        <v>3</v>
      </c>
      <c r="Q1380" s="13">
        <v>62</v>
      </c>
      <c r="R1380" s="13">
        <v>4</v>
      </c>
      <c r="S1380" s="13">
        <v>0</v>
      </c>
      <c r="T1380" s="23">
        <v>46247.643807870372</v>
      </c>
      <c r="U1380" s="55">
        <f t="shared" si="63"/>
        <v>1.3333333333333333</v>
      </c>
      <c r="V1380" s="55">
        <f t="shared" si="64"/>
        <v>0</v>
      </c>
      <c r="W1380" s="56">
        <f t="shared" si="65"/>
        <v>14613</v>
      </c>
    </row>
    <row r="1381" spans="1:23" x14ac:dyDescent="0.3">
      <c r="A1381" s="13" t="str" cm="1">
        <f t="array" ref="A1381:B1381">INDEX(BenchmarkResults!$B$1:$D$35,SUMPRODUCT((T1381&gt;=BenchmarkResults!$F$3:$F$35)*(mongodb_hardware_log!T1381&lt;BenchmarkResults!$G$3:$G$35)*ROW(BenchmarkResults!$F$3:$F$35)),{1,3})</f>
        <v>q3_customer_spend_stats</v>
      </c>
      <c r="B1381">
        <v>2</v>
      </c>
      <c r="C1381" s="13">
        <v>1</v>
      </c>
      <c r="D1381" s="13">
        <v>0</v>
      </c>
      <c r="E1381" s="13">
        <v>119296</v>
      </c>
      <c r="F1381" s="13">
        <v>106064</v>
      </c>
      <c r="G1381" s="13">
        <v>7604</v>
      </c>
      <c r="H1381" s="13">
        <v>2249312</v>
      </c>
      <c r="I1381" s="13">
        <v>0</v>
      </c>
      <c r="J1381" s="13">
        <v>0</v>
      </c>
      <c r="K1381" s="13">
        <v>16298</v>
      </c>
      <c r="L1381" s="13">
        <v>30</v>
      </c>
      <c r="M1381" s="13">
        <v>1145</v>
      </c>
      <c r="N1381" s="13">
        <v>496</v>
      </c>
      <c r="O1381" s="13">
        <v>29</v>
      </c>
      <c r="P1381" s="13">
        <v>3</v>
      </c>
      <c r="Q1381" s="13">
        <v>62</v>
      </c>
      <c r="R1381" s="13">
        <v>6</v>
      </c>
      <c r="S1381" s="13">
        <v>0</v>
      </c>
      <c r="T1381" s="23">
        <v>46247.643923611111</v>
      </c>
      <c r="U1381" s="55">
        <f t="shared" si="63"/>
        <v>1.3333333333333333</v>
      </c>
      <c r="V1381" s="55">
        <f t="shared" si="64"/>
        <v>0</v>
      </c>
      <c r="W1381" s="56">
        <f t="shared" si="65"/>
        <v>15196.166666666666</v>
      </c>
    </row>
    <row r="1382" spans="1:23" x14ac:dyDescent="0.3">
      <c r="A1382" s="13" t="str" cm="1">
        <f t="array" ref="A1382:B1382">INDEX(BenchmarkResults!$B$1:$D$35,SUMPRODUCT((T1382&gt;=BenchmarkResults!$F$3:$F$35)*(mongodb_hardware_log!T1382&lt;BenchmarkResults!$G$3:$G$35)*ROW(BenchmarkResults!$F$3:$F$35)),{1,3})</f>
        <v>q3_customer_spend_stats</v>
      </c>
      <c r="B1382">
        <v>2</v>
      </c>
      <c r="C1382" s="13">
        <v>0</v>
      </c>
      <c r="D1382" s="13">
        <v>1</v>
      </c>
      <c r="E1382" s="13">
        <v>119296</v>
      </c>
      <c r="F1382" s="13">
        <v>127772</v>
      </c>
      <c r="G1382" s="13">
        <v>7612</v>
      </c>
      <c r="H1382" s="13">
        <v>2231164</v>
      </c>
      <c r="I1382" s="13">
        <v>0</v>
      </c>
      <c r="J1382" s="13">
        <v>0</v>
      </c>
      <c r="K1382" s="13">
        <v>13028</v>
      </c>
      <c r="L1382" s="13">
        <v>8</v>
      </c>
      <c r="M1382" s="13">
        <v>966</v>
      </c>
      <c r="N1382" s="13">
        <v>402</v>
      </c>
      <c r="O1382" s="13">
        <v>32</v>
      </c>
      <c r="P1382" s="13">
        <v>3</v>
      </c>
      <c r="Q1382" s="13">
        <v>62</v>
      </c>
      <c r="R1382" s="13">
        <v>3</v>
      </c>
      <c r="S1382" s="13">
        <v>0</v>
      </c>
      <c r="T1382" s="23">
        <v>46247.64403935185</v>
      </c>
      <c r="U1382" s="55">
        <f t="shared" si="63"/>
        <v>1.1666666666666667</v>
      </c>
      <c r="V1382" s="55">
        <f t="shared" si="64"/>
        <v>0.16666666666666666</v>
      </c>
      <c r="W1382" s="56">
        <f t="shared" si="65"/>
        <v>14933.166666666666</v>
      </c>
    </row>
    <row r="1383" spans="1:23" x14ac:dyDescent="0.3">
      <c r="A1383" s="13" t="str" cm="1">
        <f t="array" ref="A1383:B1383">INDEX(BenchmarkResults!$B$1:$D$35,SUMPRODUCT((T1383&gt;=BenchmarkResults!$F$3:$F$35)*(mongodb_hardware_log!T1383&lt;BenchmarkResults!$G$3:$G$35)*ROW(BenchmarkResults!$F$3:$F$35)),{1,3})</f>
        <v>q3_customer_spend_stats</v>
      </c>
      <c r="B1383">
        <v>2</v>
      </c>
      <c r="C1383" s="13">
        <v>1</v>
      </c>
      <c r="D1383" s="13">
        <v>0</v>
      </c>
      <c r="E1383" s="13">
        <v>119296</v>
      </c>
      <c r="F1383" s="13">
        <v>153212</v>
      </c>
      <c r="G1383" s="13">
        <v>7624</v>
      </c>
      <c r="H1383" s="13">
        <v>2200068</v>
      </c>
      <c r="I1383" s="13">
        <v>0</v>
      </c>
      <c r="J1383" s="13">
        <v>0</v>
      </c>
      <c r="K1383" s="13">
        <v>18105</v>
      </c>
      <c r="L1383" s="13">
        <v>4160</v>
      </c>
      <c r="M1383" s="13">
        <v>1054</v>
      </c>
      <c r="N1383" s="13">
        <v>406</v>
      </c>
      <c r="O1383" s="13">
        <v>30</v>
      </c>
      <c r="P1383" s="13">
        <v>3</v>
      </c>
      <c r="Q1383" s="13">
        <v>59</v>
      </c>
      <c r="R1383" s="13">
        <v>7</v>
      </c>
      <c r="S1383" s="13">
        <v>0</v>
      </c>
      <c r="T1383" s="23">
        <v>46247.644155092596</v>
      </c>
      <c r="U1383" s="55">
        <f t="shared" si="63"/>
        <v>1.1666666666666667</v>
      </c>
      <c r="V1383" s="55">
        <f t="shared" si="64"/>
        <v>0.16666666666666666</v>
      </c>
      <c r="W1383" s="56">
        <f t="shared" si="65"/>
        <v>15273.333333333334</v>
      </c>
    </row>
    <row r="1384" spans="1:23" x14ac:dyDescent="0.3">
      <c r="A1384" s="13" t="str" cm="1">
        <f t="array" ref="A1384:B1384">INDEX(BenchmarkResults!$B$1:$D$35,SUMPRODUCT((T1384&gt;=BenchmarkResults!$F$3:$F$35)*(mongodb_hardware_log!T1384&lt;BenchmarkResults!$G$3:$G$35)*ROW(BenchmarkResults!$F$3:$F$35)),{1,3})</f>
        <v>q3_customer_spend_stats</v>
      </c>
      <c r="B1384">
        <v>2</v>
      </c>
      <c r="C1384" s="13">
        <v>1</v>
      </c>
      <c r="D1384" s="13">
        <v>0</v>
      </c>
      <c r="E1384" s="13">
        <v>119296</v>
      </c>
      <c r="F1384" s="13">
        <v>115396</v>
      </c>
      <c r="G1384" s="13">
        <v>7640</v>
      </c>
      <c r="H1384" s="13">
        <v>2238448</v>
      </c>
      <c r="I1384" s="13">
        <v>0</v>
      </c>
      <c r="J1384" s="13">
        <v>0</v>
      </c>
      <c r="K1384" s="13">
        <v>13153</v>
      </c>
      <c r="L1384" s="13">
        <v>17</v>
      </c>
      <c r="M1384" s="13">
        <v>955</v>
      </c>
      <c r="N1384" s="13">
        <v>345</v>
      </c>
      <c r="O1384" s="13">
        <v>31</v>
      </c>
      <c r="P1384" s="13">
        <v>2</v>
      </c>
      <c r="Q1384" s="13">
        <v>63</v>
      </c>
      <c r="R1384" s="13">
        <v>3</v>
      </c>
      <c r="S1384" s="13">
        <v>0</v>
      </c>
      <c r="T1384" s="23">
        <v>46247.644270833334</v>
      </c>
      <c r="U1384" s="55">
        <f t="shared" si="63"/>
        <v>1.1666666666666667</v>
      </c>
      <c r="V1384" s="55">
        <f t="shared" si="64"/>
        <v>0.16666666666666666</v>
      </c>
      <c r="W1384" s="56">
        <f t="shared" si="65"/>
        <v>15282</v>
      </c>
    </row>
    <row r="1385" spans="1:23" x14ac:dyDescent="0.3">
      <c r="A1385" s="13" t="str" cm="1">
        <f t="array" ref="A1385:B1385">INDEX(BenchmarkResults!$B$1:$D$35,SUMPRODUCT((T1385&gt;=BenchmarkResults!$F$3:$F$35)*(mongodb_hardware_log!T1385&lt;BenchmarkResults!$G$3:$G$35)*ROW(BenchmarkResults!$F$3:$F$35)),{1,3})</f>
        <v>q3_customer_spend_stats</v>
      </c>
      <c r="B1385">
        <v>2</v>
      </c>
      <c r="C1385" s="13">
        <v>1</v>
      </c>
      <c r="D1385" s="13">
        <v>0</v>
      </c>
      <c r="E1385" s="13">
        <v>119296</v>
      </c>
      <c r="F1385" s="13">
        <v>151160</v>
      </c>
      <c r="G1385" s="13">
        <v>7648</v>
      </c>
      <c r="H1385" s="13">
        <v>2202860</v>
      </c>
      <c r="I1385" s="13">
        <v>0</v>
      </c>
      <c r="J1385" s="13">
        <v>0</v>
      </c>
      <c r="K1385" s="13">
        <v>17601</v>
      </c>
      <c r="L1385" s="13">
        <v>8</v>
      </c>
      <c r="M1385" s="13">
        <v>1142</v>
      </c>
      <c r="N1385" s="13">
        <v>470</v>
      </c>
      <c r="O1385" s="13">
        <v>30</v>
      </c>
      <c r="P1385" s="13">
        <v>3</v>
      </c>
      <c r="Q1385" s="13">
        <v>61</v>
      </c>
      <c r="R1385" s="13">
        <v>6</v>
      </c>
      <c r="S1385" s="13">
        <v>0</v>
      </c>
      <c r="T1385" s="23">
        <v>46247.644386574073</v>
      </c>
      <c r="U1385" s="55">
        <f t="shared" si="63"/>
        <v>0.83333333333333337</v>
      </c>
      <c r="V1385" s="55">
        <f t="shared" si="64"/>
        <v>0.16666666666666666</v>
      </c>
      <c r="W1385" s="56">
        <f t="shared" si="65"/>
        <v>15285.5</v>
      </c>
    </row>
    <row r="1386" spans="1:23" x14ac:dyDescent="0.3">
      <c r="A1386" s="13" t="str" cm="1">
        <f t="array" ref="A1386:B1386">INDEX(BenchmarkResults!$B$1:$D$35,SUMPRODUCT((T1386&gt;=BenchmarkResults!$F$3:$F$35)*(mongodb_hardware_log!T1386&lt;BenchmarkResults!$G$3:$G$35)*ROW(BenchmarkResults!$F$3:$F$35)),{1,3})</f>
        <v>q3_customer_spend_stats</v>
      </c>
      <c r="B1386">
        <v>2</v>
      </c>
      <c r="C1386" s="13">
        <v>1</v>
      </c>
      <c r="D1386" s="13">
        <v>0</v>
      </c>
      <c r="E1386" s="13">
        <v>119296</v>
      </c>
      <c r="F1386" s="13">
        <v>103080</v>
      </c>
      <c r="G1386" s="13">
        <v>7664</v>
      </c>
      <c r="H1386" s="13">
        <v>2251448</v>
      </c>
      <c r="I1386" s="13">
        <v>0</v>
      </c>
      <c r="J1386" s="13">
        <v>0</v>
      </c>
      <c r="K1386" s="13">
        <v>14238</v>
      </c>
      <c r="L1386" s="13">
        <v>4160</v>
      </c>
      <c r="M1386" s="13">
        <v>1143</v>
      </c>
      <c r="N1386" s="13">
        <v>523</v>
      </c>
      <c r="O1386" s="13">
        <v>30</v>
      </c>
      <c r="P1386" s="13">
        <v>3</v>
      </c>
      <c r="Q1386" s="13">
        <v>58</v>
      </c>
      <c r="R1386" s="13">
        <v>9</v>
      </c>
      <c r="S1386" s="13">
        <v>0</v>
      </c>
      <c r="T1386" s="23">
        <v>46247.644502314812</v>
      </c>
      <c r="U1386" s="55">
        <f t="shared" si="63"/>
        <v>0.83333333333333337</v>
      </c>
      <c r="V1386" s="55">
        <f t="shared" si="64"/>
        <v>0.16666666666666666</v>
      </c>
      <c r="W1386" s="56">
        <f t="shared" si="65"/>
        <v>15403.833333333334</v>
      </c>
    </row>
    <row r="1387" spans="1:23" x14ac:dyDescent="0.3">
      <c r="A1387" s="13" t="str" cm="1">
        <f t="array" ref="A1387:B1387">INDEX(BenchmarkResults!$B$1:$D$35,SUMPRODUCT((T1387&gt;=BenchmarkResults!$F$3:$F$35)*(mongodb_hardware_log!T1387&lt;BenchmarkResults!$G$3:$G$35)*ROW(BenchmarkResults!$F$3:$F$35)),{1,3})</f>
        <v>q3_customer_spend_stats</v>
      </c>
      <c r="B1387">
        <v>2</v>
      </c>
      <c r="C1387" s="13">
        <v>1</v>
      </c>
      <c r="D1387" s="13">
        <v>0</v>
      </c>
      <c r="E1387" s="13">
        <v>119296</v>
      </c>
      <c r="F1387" s="13">
        <v>144528</v>
      </c>
      <c r="G1387" s="13">
        <v>7700</v>
      </c>
      <c r="H1387" s="13">
        <v>2211856</v>
      </c>
      <c r="I1387" s="13">
        <v>0</v>
      </c>
      <c r="J1387" s="13">
        <v>0</v>
      </c>
      <c r="K1387" s="13">
        <v>17245</v>
      </c>
      <c r="L1387" s="13">
        <v>31</v>
      </c>
      <c r="M1387" s="13">
        <v>1102</v>
      </c>
      <c r="N1387" s="13">
        <v>499</v>
      </c>
      <c r="O1387" s="13">
        <v>31</v>
      </c>
      <c r="P1387" s="13">
        <v>3</v>
      </c>
      <c r="Q1387" s="13">
        <v>61</v>
      </c>
      <c r="R1387" s="13">
        <v>4</v>
      </c>
      <c r="S1387" s="13">
        <v>0</v>
      </c>
      <c r="T1387" s="23">
        <v>46247.644618055558</v>
      </c>
      <c r="U1387" s="55">
        <f t="shared" si="63"/>
        <v>0.83333333333333337</v>
      </c>
      <c r="V1387" s="55">
        <f t="shared" si="64"/>
        <v>0.16666666666666666</v>
      </c>
      <c r="W1387" s="56">
        <f t="shared" si="65"/>
        <v>15561.666666666666</v>
      </c>
    </row>
    <row r="1388" spans="1:23" x14ac:dyDescent="0.3">
      <c r="A1388" s="13" t="str" cm="1">
        <f t="array" ref="A1388:B1388">INDEX(BenchmarkResults!$B$1:$D$35,SUMPRODUCT((T1388&gt;=BenchmarkResults!$F$3:$F$35)*(mongodb_hardware_log!T1388&lt;BenchmarkResults!$G$3:$G$35)*ROW(BenchmarkResults!$F$3:$F$35)),{1,3})</f>
        <v>q3_customer_spend_stats</v>
      </c>
      <c r="B1388">
        <v>2</v>
      </c>
      <c r="C1388" s="13">
        <v>1</v>
      </c>
      <c r="D1388" s="13">
        <v>0</v>
      </c>
      <c r="E1388" s="13">
        <v>119296</v>
      </c>
      <c r="F1388" s="13">
        <v>146924</v>
      </c>
      <c r="G1388" s="13">
        <v>7708</v>
      </c>
      <c r="H1388" s="13">
        <v>2209248</v>
      </c>
      <c r="I1388" s="13">
        <v>0</v>
      </c>
      <c r="J1388" s="13">
        <v>0</v>
      </c>
      <c r="K1388" s="13">
        <v>14497</v>
      </c>
      <c r="L1388" s="13">
        <v>8</v>
      </c>
      <c r="M1388" s="13">
        <v>998</v>
      </c>
      <c r="N1388" s="13">
        <v>388</v>
      </c>
      <c r="O1388" s="13">
        <v>30</v>
      </c>
      <c r="P1388" s="13">
        <v>2</v>
      </c>
      <c r="Q1388" s="13">
        <v>62</v>
      </c>
      <c r="R1388" s="13">
        <v>5</v>
      </c>
      <c r="S1388" s="13">
        <v>0</v>
      </c>
      <c r="T1388" s="23">
        <v>46247.644733796296</v>
      </c>
      <c r="U1388" s="55">
        <f t="shared" si="63"/>
        <v>1</v>
      </c>
      <c r="V1388" s="55">
        <f t="shared" si="64"/>
        <v>0</v>
      </c>
      <c r="W1388" s="56">
        <f t="shared" si="65"/>
        <v>15806.5</v>
      </c>
    </row>
    <row r="1389" spans="1:23" x14ac:dyDescent="0.3">
      <c r="A1389" s="13" t="str" cm="1">
        <f t="array" ref="A1389:B1389">INDEX(BenchmarkResults!$B$1:$D$35,SUMPRODUCT((T1389&gt;=BenchmarkResults!$F$3:$F$35)*(mongodb_hardware_log!T1389&lt;BenchmarkResults!$G$3:$G$35)*ROW(BenchmarkResults!$F$3:$F$35)),{1,3})</f>
        <v>q3_customer_spend_stats</v>
      </c>
      <c r="B1389">
        <v>2</v>
      </c>
      <c r="C1389" s="13">
        <v>1</v>
      </c>
      <c r="D1389" s="13">
        <v>0</v>
      </c>
      <c r="E1389" s="13">
        <v>119296</v>
      </c>
      <c r="F1389" s="13">
        <v>119160</v>
      </c>
      <c r="G1389" s="13">
        <v>7736</v>
      </c>
      <c r="H1389" s="13">
        <v>2240324</v>
      </c>
      <c r="I1389" s="13">
        <v>0</v>
      </c>
      <c r="J1389" s="13">
        <v>0</v>
      </c>
      <c r="K1389" s="13">
        <v>11339</v>
      </c>
      <c r="L1389" s="13">
        <v>4045</v>
      </c>
      <c r="M1389" s="13">
        <v>879</v>
      </c>
      <c r="N1389" s="13">
        <v>281</v>
      </c>
      <c r="O1389" s="13">
        <v>32</v>
      </c>
      <c r="P1389" s="13">
        <v>2</v>
      </c>
      <c r="Q1389" s="13">
        <v>61</v>
      </c>
      <c r="R1389" s="13">
        <v>5</v>
      </c>
      <c r="S1389" s="13">
        <v>0</v>
      </c>
      <c r="T1389" s="23">
        <v>46247.644849537035</v>
      </c>
      <c r="U1389" s="55">
        <f t="shared" si="63"/>
        <v>1</v>
      </c>
      <c r="V1389" s="55">
        <f t="shared" si="64"/>
        <v>0</v>
      </c>
      <c r="W1389" s="56">
        <f t="shared" si="65"/>
        <v>14678.833333333334</v>
      </c>
    </row>
    <row r="1390" spans="1:23" x14ac:dyDescent="0.3">
      <c r="A1390" s="13" t="str" cm="1">
        <f t="array" ref="A1390:B1390">INDEX(BenchmarkResults!$B$1:$D$35,SUMPRODUCT((T1390&gt;=BenchmarkResults!$F$3:$F$35)*(mongodb_hardware_log!T1390&lt;BenchmarkResults!$G$3:$G$35)*ROW(BenchmarkResults!$F$3:$F$35)),{1,3})</f>
        <v>q3_customer_spend_stats</v>
      </c>
      <c r="B1390">
        <v>2</v>
      </c>
      <c r="C1390" s="13">
        <v>1</v>
      </c>
      <c r="D1390" s="13">
        <v>0</v>
      </c>
      <c r="E1390" s="13">
        <v>119296</v>
      </c>
      <c r="F1390" s="13">
        <v>137952</v>
      </c>
      <c r="G1390" s="13">
        <v>7744</v>
      </c>
      <c r="H1390" s="13">
        <v>2222040</v>
      </c>
      <c r="I1390" s="13">
        <v>0</v>
      </c>
      <c r="J1390" s="13">
        <v>0</v>
      </c>
      <c r="K1390" s="13">
        <v>5118</v>
      </c>
      <c r="L1390" s="13">
        <v>17</v>
      </c>
      <c r="M1390" s="13">
        <v>694</v>
      </c>
      <c r="N1390" s="13">
        <v>157</v>
      </c>
      <c r="O1390" s="13">
        <v>33</v>
      </c>
      <c r="P1390" s="13">
        <v>2</v>
      </c>
      <c r="Q1390" s="13">
        <v>65</v>
      </c>
      <c r="R1390" s="13">
        <v>0</v>
      </c>
      <c r="S1390" s="13">
        <v>0</v>
      </c>
      <c r="T1390" s="23">
        <v>46247.644965277781</v>
      </c>
      <c r="U1390" s="55">
        <f t="shared" si="63"/>
        <v>1</v>
      </c>
      <c r="V1390" s="55">
        <f t="shared" si="64"/>
        <v>0</v>
      </c>
      <c r="W1390" s="56">
        <f t="shared" si="65"/>
        <v>13339.666666666666</v>
      </c>
    </row>
    <row r="1391" spans="1:23" x14ac:dyDescent="0.3">
      <c r="A1391" s="13" t="str" cm="1">
        <f t="array" ref="A1391:B1391">INDEX(BenchmarkResults!$B$1:$D$35,SUMPRODUCT((T1391&gt;=BenchmarkResults!$F$3:$F$35)*(mongodb_hardware_log!T1391&lt;BenchmarkResults!$G$3:$G$35)*ROW(BenchmarkResults!$F$3:$F$35)),{1,3})</f>
        <v>q3_customer_spend_stats</v>
      </c>
      <c r="B1391">
        <v>2</v>
      </c>
      <c r="C1391" s="13">
        <v>1</v>
      </c>
      <c r="D1391" s="13">
        <v>0</v>
      </c>
      <c r="E1391" s="13">
        <v>119296</v>
      </c>
      <c r="F1391" s="13">
        <v>116400</v>
      </c>
      <c r="G1391" s="13">
        <v>7760</v>
      </c>
      <c r="H1391" s="13">
        <v>2245200</v>
      </c>
      <c r="I1391" s="13">
        <v>0</v>
      </c>
      <c r="J1391" s="13">
        <v>0</v>
      </c>
      <c r="K1391" s="13">
        <v>2812</v>
      </c>
      <c r="L1391" s="13">
        <v>14</v>
      </c>
      <c r="M1391" s="13">
        <v>680</v>
      </c>
      <c r="N1391" s="13">
        <v>165</v>
      </c>
      <c r="O1391" s="13">
        <v>33</v>
      </c>
      <c r="P1391" s="13">
        <v>2</v>
      </c>
      <c r="Q1391" s="13">
        <v>65</v>
      </c>
      <c r="R1391" s="13">
        <v>0</v>
      </c>
      <c r="S1391" s="13">
        <v>0</v>
      </c>
      <c r="T1391" s="23">
        <v>46247.64508101852</v>
      </c>
      <c r="U1391" s="55">
        <f t="shared" si="63"/>
        <v>1</v>
      </c>
      <c r="V1391" s="55">
        <f t="shared" si="64"/>
        <v>0</v>
      </c>
      <c r="W1391" s="56">
        <f t="shared" si="65"/>
        <v>10874.833333333334</v>
      </c>
    </row>
    <row r="1392" spans="1:23" x14ac:dyDescent="0.3">
      <c r="A1392" s="13" t="str" cm="1">
        <f t="array" ref="A1392:B1392">INDEX(BenchmarkResults!$B$1:$D$35,SUMPRODUCT((T1392&gt;=BenchmarkResults!$F$3:$F$35)*(mongodb_hardware_log!T1392&lt;BenchmarkResults!$G$3:$G$35)*ROW(BenchmarkResults!$F$3:$F$35)),{1,3})</f>
        <v>q3_customer_spend_stats</v>
      </c>
      <c r="B1392">
        <v>2</v>
      </c>
      <c r="C1392" s="13">
        <v>1</v>
      </c>
      <c r="D1392" s="13">
        <v>0</v>
      </c>
      <c r="E1392" s="13">
        <v>119296</v>
      </c>
      <c r="F1392" s="13">
        <v>117196</v>
      </c>
      <c r="G1392" s="13">
        <v>7776</v>
      </c>
      <c r="H1392" s="13">
        <v>2246836</v>
      </c>
      <c r="I1392" s="13">
        <v>0</v>
      </c>
      <c r="J1392" s="13">
        <v>0</v>
      </c>
      <c r="K1392" s="13">
        <v>137</v>
      </c>
      <c r="L1392" s="13">
        <v>834</v>
      </c>
      <c r="M1392" s="13">
        <v>665</v>
      </c>
      <c r="N1392" s="13">
        <v>162</v>
      </c>
      <c r="O1392" s="13">
        <v>33</v>
      </c>
      <c r="P1392" s="13">
        <v>1</v>
      </c>
      <c r="Q1392" s="13">
        <v>65</v>
      </c>
      <c r="R1392" s="13">
        <v>1</v>
      </c>
      <c r="S1392" s="13">
        <v>0</v>
      </c>
      <c r="T1392" s="23">
        <v>46247.645196759258</v>
      </c>
      <c r="U1392" s="55">
        <f t="shared" si="63"/>
        <v>1</v>
      </c>
      <c r="V1392" s="55">
        <f t="shared" si="64"/>
        <v>0</v>
      </c>
      <c r="W1392" s="56">
        <f t="shared" si="65"/>
        <v>8524.6666666666661</v>
      </c>
    </row>
    <row r="1393" spans="1:23" x14ac:dyDescent="0.3">
      <c r="A1393" s="13" t="str" cm="1">
        <f t="array" ref="A1393:B1393">INDEX(BenchmarkResults!$B$1:$D$35,SUMPRODUCT((T1393&gt;=BenchmarkResults!$F$3:$F$35)*(mongodb_hardware_log!T1393&lt;BenchmarkResults!$G$3:$G$35)*ROW(BenchmarkResults!$F$3:$F$35)),{1,3})</f>
        <v>q3_customer_spend_stats</v>
      </c>
      <c r="B1393">
        <v>2</v>
      </c>
      <c r="C1393" s="13">
        <v>1</v>
      </c>
      <c r="D1393" s="13">
        <v>0</v>
      </c>
      <c r="E1393" s="13">
        <v>119296</v>
      </c>
      <c r="F1393" s="13">
        <v>167240</v>
      </c>
      <c r="G1393" s="13">
        <v>7856</v>
      </c>
      <c r="H1393" s="13">
        <v>2211044</v>
      </c>
      <c r="I1393" s="13">
        <v>1</v>
      </c>
      <c r="J1393" s="13">
        <v>0</v>
      </c>
      <c r="K1393" s="13">
        <v>53</v>
      </c>
      <c r="L1393" s="13">
        <v>16818</v>
      </c>
      <c r="M1393" s="13">
        <v>1808</v>
      </c>
      <c r="N1393" s="13">
        <v>560</v>
      </c>
      <c r="O1393" s="13">
        <v>24</v>
      </c>
      <c r="P1393" s="13">
        <v>5</v>
      </c>
      <c r="Q1393" s="13">
        <v>66</v>
      </c>
      <c r="R1393" s="13">
        <v>5</v>
      </c>
      <c r="S1393" s="13">
        <v>0</v>
      </c>
      <c r="T1393" s="23">
        <v>46247.645312499997</v>
      </c>
      <c r="U1393" s="55">
        <f t="shared" si="63"/>
        <v>1</v>
      </c>
      <c r="V1393" s="55">
        <f t="shared" si="64"/>
        <v>0</v>
      </c>
      <c r="W1393" s="56">
        <f t="shared" si="65"/>
        <v>5659.333333333333</v>
      </c>
    </row>
    <row r="1394" spans="1:23" x14ac:dyDescent="0.3">
      <c r="A1394" s="13" t="str" cm="1">
        <f t="array" ref="A1394:B1394">INDEX(BenchmarkResults!$B$1:$D$35,SUMPRODUCT((T1394&gt;=BenchmarkResults!$F$3:$F$35)*(mongodb_hardware_log!T1394&lt;BenchmarkResults!$G$3:$G$35)*ROW(BenchmarkResults!$F$3:$F$35)),{1,3})</f>
        <v>q3_customer_spend_stats</v>
      </c>
      <c r="B1394">
        <v>2</v>
      </c>
      <c r="C1394" s="13">
        <v>0</v>
      </c>
      <c r="D1394" s="13">
        <v>0</v>
      </c>
      <c r="E1394" s="13">
        <v>119040</v>
      </c>
      <c r="F1394" s="13">
        <v>170864</v>
      </c>
      <c r="G1394" s="13">
        <v>7888</v>
      </c>
      <c r="H1394" s="13">
        <v>2211080</v>
      </c>
      <c r="I1394" s="13">
        <v>56</v>
      </c>
      <c r="J1394" s="13">
        <v>0</v>
      </c>
      <c r="K1394" s="13">
        <v>56</v>
      </c>
      <c r="L1394" s="13">
        <v>34</v>
      </c>
      <c r="M1394" s="13">
        <v>2376</v>
      </c>
      <c r="N1394" s="13">
        <v>757</v>
      </c>
      <c r="O1394" s="13">
        <v>20</v>
      </c>
      <c r="P1394" s="13">
        <v>5</v>
      </c>
      <c r="Q1394" s="13">
        <v>75</v>
      </c>
      <c r="R1394" s="13">
        <v>0</v>
      </c>
      <c r="S1394" s="13">
        <v>0</v>
      </c>
      <c r="T1394" s="23">
        <v>46247.645428240743</v>
      </c>
      <c r="U1394" s="55">
        <f t="shared" si="63"/>
        <v>0.83333333333333337</v>
      </c>
      <c r="V1394" s="55">
        <f t="shared" si="64"/>
        <v>0</v>
      </c>
      <c r="W1394" s="56">
        <f t="shared" si="65"/>
        <v>3252.5</v>
      </c>
    </row>
    <row r="1395" spans="1:23" x14ac:dyDescent="0.3">
      <c r="A1395" s="13" t="str" cm="1">
        <f t="array" ref="A1395:B1395">INDEX(BenchmarkResults!$B$1:$D$35,SUMPRODUCT((T1395&gt;=BenchmarkResults!$F$3:$F$35)*(mongodb_hardware_log!T1395&lt;BenchmarkResults!$G$3:$G$35)*ROW(BenchmarkResults!$F$3:$F$35)),{1,3})</f>
        <v>q3_customer_spend_stats</v>
      </c>
      <c r="B1395">
        <v>3</v>
      </c>
      <c r="C1395" s="13">
        <v>1</v>
      </c>
      <c r="D1395" s="13">
        <v>0</v>
      </c>
      <c r="E1395" s="13">
        <v>119040</v>
      </c>
      <c r="F1395" s="13">
        <v>409256</v>
      </c>
      <c r="G1395" s="13">
        <v>7920</v>
      </c>
      <c r="H1395" s="13">
        <v>1950464</v>
      </c>
      <c r="I1395" s="13">
        <v>0</v>
      </c>
      <c r="J1395" s="13">
        <v>0</v>
      </c>
      <c r="K1395" s="13">
        <v>11246</v>
      </c>
      <c r="L1395" s="13">
        <v>35</v>
      </c>
      <c r="M1395" s="13">
        <v>2250</v>
      </c>
      <c r="N1395" s="13">
        <v>791</v>
      </c>
      <c r="O1395" s="13">
        <v>26</v>
      </c>
      <c r="P1395" s="13">
        <v>5</v>
      </c>
      <c r="Q1395" s="13">
        <v>66</v>
      </c>
      <c r="R1395" s="13">
        <v>3</v>
      </c>
      <c r="S1395" s="13">
        <v>0</v>
      </c>
      <c r="T1395" s="23">
        <v>46247.645543981482</v>
      </c>
      <c r="U1395" s="55">
        <f t="shared" si="63"/>
        <v>0.83333333333333337</v>
      </c>
      <c r="V1395" s="55">
        <f t="shared" si="64"/>
        <v>0</v>
      </c>
      <c r="W1395" s="56">
        <f t="shared" si="65"/>
        <v>3237</v>
      </c>
    </row>
    <row r="1396" spans="1:23" x14ac:dyDescent="0.3">
      <c r="A1396" s="13" t="str" cm="1">
        <f t="array" ref="A1396:B1396">INDEX(BenchmarkResults!$B$1:$D$35,SUMPRODUCT((T1396&gt;=BenchmarkResults!$F$3:$F$35)*(mongodb_hardware_log!T1396&lt;BenchmarkResults!$G$3:$G$35)*ROW(BenchmarkResults!$F$3:$F$35)),{1,3})</f>
        <v>q3_customer_spend_stats</v>
      </c>
      <c r="B1396">
        <v>3</v>
      </c>
      <c r="C1396" s="13">
        <v>1</v>
      </c>
      <c r="D1396" s="13">
        <v>0</v>
      </c>
      <c r="E1396" s="13">
        <v>119040</v>
      </c>
      <c r="F1396" s="13">
        <v>146672</v>
      </c>
      <c r="G1396" s="13">
        <v>7928</v>
      </c>
      <c r="H1396" s="13">
        <v>2207384</v>
      </c>
      <c r="I1396" s="13">
        <v>0</v>
      </c>
      <c r="J1396" s="13">
        <v>0</v>
      </c>
      <c r="K1396" s="13">
        <v>24028</v>
      </c>
      <c r="L1396" s="13">
        <v>12</v>
      </c>
      <c r="M1396" s="13">
        <v>1606</v>
      </c>
      <c r="N1396" s="13">
        <v>669</v>
      </c>
      <c r="O1396" s="13">
        <v>39</v>
      </c>
      <c r="P1396" s="13">
        <v>3</v>
      </c>
      <c r="Q1396" s="13">
        <v>53</v>
      </c>
      <c r="R1396" s="13">
        <v>6</v>
      </c>
      <c r="S1396" s="13">
        <v>0</v>
      </c>
      <c r="T1396" s="23">
        <v>46247.64565972222</v>
      </c>
      <c r="U1396" s="55">
        <f t="shared" si="63"/>
        <v>0.83333333333333337</v>
      </c>
      <c r="V1396" s="55">
        <f t="shared" si="64"/>
        <v>0</v>
      </c>
      <c r="W1396" s="56">
        <f t="shared" si="65"/>
        <v>6388.666666666667</v>
      </c>
    </row>
    <row r="1397" spans="1:23" x14ac:dyDescent="0.3">
      <c r="A1397" s="13" t="str" cm="1">
        <f t="array" ref="A1397:B1397">INDEX(BenchmarkResults!$B$1:$D$35,SUMPRODUCT((T1397&gt;=BenchmarkResults!$F$3:$F$35)*(mongodb_hardware_log!T1397&lt;BenchmarkResults!$G$3:$G$35)*ROW(BenchmarkResults!$F$3:$F$35)),{1,3})</f>
        <v>q3_customer_spend_stats</v>
      </c>
      <c r="B1397">
        <v>3</v>
      </c>
      <c r="C1397" s="13">
        <v>1</v>
      </c>
      <c r="D1397" s="13">
        <v>0</v>
      </c>
      <c r="E1397" s="13">
        <v>119040</v>
      </c>
      <c r="F1397" s="13">
        <v>164784</v>
      </c>
      <c r="G1397" s="13">
        <v>7936</v>
      </c>
      <c r="H1397" s="13">
        <v>2206456</v>
      </c>
      <c r="I1397" s="13">
        <v>0</v>
      </c>
      <c r="J1397" s="13">
        <v>0</v>
      </c>
      <c r="K1397" s="13">
        <v>17412</v>
      </c>
      <c r="L1397" s="13">
        <v>10</v>
      </c>
      <c r="M1397" s="13">
        <v>1115</v>
      </c>
      <c r="N1397" s="13">
        <v>467</v>
      </c>
      <c r="O1397" s="13">
        <v>30</v>
      </c>
      <c r="P1397" s="13">
        <v>3</v>
      </c>
      <c r="Q1397" s="13">
        <v>61</v>
      </c>
      <c r="R1397" s="13">
        <v>5</v>
      </c>
      <c r="S1397" s="13">
        <v>0</v>
      </c>
      <c r="T1397" s="23">
        <v>46247.645775462966</v>
      </c>
      <c r="U1397" s="55">
        <f t="shared" si="63"/>
        <v>0.83333333333333337</v>
      </c>
      <c r="V1397" s="55">
        <f t="shared" si="64"/>
        <v>0</v>
      </c>
      <c r="W1397" s="56">
        <f t="shared" si="65"/>
        <v>8822</v>
      </c>
    </row>
    <row r="1398" spans="1:23" x14ac:dyDescent="0.3">
      <c r="A1398" s="13" t="str" cm="1">
        <f t="array" ref="A1398:B1398">INDEX(BenchmarkResults!$B$1:$D$35,SUMPRODUCT((T1398&gt;=BenchmarkResults!$F$3:$F$35)*(mongodb_hardware_log!T1398&lt;BenchmarkResults!$G$3:$G$35)*ROW(BenchmarkResults!$F$3:$F$35)),{1,3})</f>
        <v>q3_customer_spend_stats</v>
      </c>
      <c r="B1398">
        <v>3</v>
      </c>
      <c r="C1398" s="13">
        <v>1</v>
      </c>
      <c r="D1398" s="13">
        <v>0</v>
      </c>
      <c r="E1398" s="13">
        <v>119040</v>
      </c>
      <c r="F1398" s="13">
        <v>129152</v>
      </c>
      <c r="G1398" s="13">
        <v>7952</v>
      </c>
      <c r="H1398" s="13">
        <v>2237072</v>
      </c>
      <c r="I1398" s="13">
        <v>1</v>
      </c>
      <c r="J1398" s="13">
        <v>0</v>
      </c>
      <c r="K1398" s="13">
        <v>12045</v>
      </c>
      <c r="L1398" s="13">
        <v>426</v>
      </c>
      <c r="M1398" s="13">
        <v>1049</v>
      </c>
      <c r="N1398" s="13">
        <v>455</v>
      </c>
      <c r="O1398" s="13">
        <v>31</v>
      </c>
      <c r="P1398" s="13">
        <v>3</v>
      </c>
      <c r="Q1398" s="13">
        <v>61</v>
      </c>
      <c r="R1398" s="13">
        <v>4</v>
      </c>
      <c r="S1398" s="13">
        <v>1</v>
      </c>
      <c r="T1398" s="23">
        <v>46247.645891203705</v>
      </c>
      <c r="U1398" s="55">
        <f t="shared" si="63"/>
        <v>0.83333333333333337</v>
      </c>
      <c r="V1398" s="55">
        <f t="shared" si="64"/>
        <v>0</v>
      </c>
      <c r="W1398" s="56">
        <f t="shared" si="65"/>
        <v>10806.666666666666</v>
      </c>
    </row>
    <row r="1399" spans="1:23" x14ac:dyDescent="0.3">
      <c r="A1399" s="13" t="str" cm="1">
        <f t="array" ref="A1399:B1399">INDEX(BenchmarkResults!$B$1:$D$35,SUMPRODUCT((T1399&gt;=BenchmarkResults!$F$3:$F$35)*(mongodb_hardware_log!T1399&lt;BenchmarkResults!$G$3:$G$35)*ROW(BenchmarkResults!$F$3:$F$35)),{1,3})</f>
        <v>q3_customer_spend_stats</v>
      </c>
      <c r="B1399">
        <v>3</v>
      </c>
      <c r="C1399" s="13">
        <v>1</v>
      </c>
      <c r="D1399" s="13">
        <v>0</v>
      </c>
      <c r="E1399" s="13">
        <v>119040</v>
      </c>
      <c r="F1399" s="13">
        <v>152984</v>
      </c>
      <c r="G1399" s="13">
        <v>6736</v>
      </c>
      <c r="H1399" s="13">
        <v>2206456</v>
      </c>
      <c r="I1399" s="13">
        <v>0</v>
      </c>
      <c r="J1399" s="13">
        <v>0</v>
      </c>
      <c r="K1399" s="13">
        <v>15532</v>
      </c>
      <c r="L1399" s="13">
        <v>4606</v>
      </c>
      <c r="M1399" s="13">
        <v>1257</v>
      </c>
      <c r="N1399" s="13">
        <v>657</v>
      </c>
      <c r="O1399" s="13">
        <v>29</v>
      </c>
      <c r="P1399" s="13">
        <v>5</v>
      </c>
      <c r="Q1399" s="13">
        <v>57</v>
      </c>
      <c r="R1399" s="13">
        <v>9</v>
      </c>
      <c r="S1399" s="13">
        <v>0</v>
      </c>
      <c r="T1399" s="23">
        <v>46247.646006944444</v>
      </c>
      <c r="U1399" s="55">
        <f t="shared" si="63"/>
        <v>0.83333333333333337</v>
      </c>
      <c r="V1399" s="55">
        <f t="shared" si="64"/>
        <v>0</v>
      </c>
      <c r="W1399" s="56">
        <f t="shared" si="65"/>
        <v>13386.5</v>
      </c>
    </row>
    <row r="1400" spans="1:23" x14ac:dyDescent="0.3">
      <c r="A1400" s="13" t="str" cm="1">
        <f t="array" ref="A1400:B1400">INDEX(BenchmarkResults!$B$1:$D$35,SUMPRODUCT((T1400&gt;=BenchmarkResults!$F$3:$F$35)*(mongodb_hardware_log!T1400&lt;BenchmarkResults!$G$3:$G$35)*ROW(BenchmarkResults!$F$3:$F$35)),{1,3})</f>
        <v>q3_customer_spend_stats</v>
      </c>
      <c r="B1400">
        <v>3</v>
      </c>
      <c r="C1400" s="13">
        <v>1</v>
      </c>
      <c r="D1400" s="13">
        <v>0</v>
      </c>
      <c r="E1400" s="13">
        <v>119040</v>
      </c>
      <c r="F1400" s="13">
        <v>124336</v>
      </c>
      <c r="G1400" s="13">
        <v>6212</v>
      </c>
      <c r="H1400" s="13">
        <v>2242652</v>
      </c>
      <c r="I1400" s="13">
        <v>0</v>
      </c>
      <c r="J1400" s="13">
        <v>0</v>
      </c>
      <c r="K1400" s="13">
        <v>14853</v>
      </c>
      <c r="L1400" s="13">
        <v>34</v>
      </c>
      <c r="M1400" s="13">
        <v>1097</v>
      </c>
      <c r="N1400" s="13">
        <v>451</v>
      </c>
      <c r="O1400" s="13">
        <v>30</v>
      </c>
      <c r="P1400" s="13">
        <v>3</v>
      </c>
      <c r="Q1400" s="13">
        <v>60</v>
      </c>
      <c r="R1400" s="13">
        <v>7</v>
      </c>
      <c r="S1400" s="13">
        <v>1</v>
      </c>
      <c r="T1400" s="23">
        <v>46247.646122685182</v>
      </c>
      <c r="U1400" s="55">
        <f t="shared" si="63"/>
        <v>1</v>
      </c>
      <c r="V1400" s="55">
        <f t="shared" si="64"/>
        <v>0</v>
      </c>
      <c r="W1400" s="56">
        <f t="shared" si="65"/>
        <v>15852.666666666666</v>
      </c>
    </row>
    <row r="1401" spans="1:23" x14ac:dyDescent="0.3">
      <c r="A1401" s="13" t="str" cm="1">
        <f t="array" ref="A1401:B1401">INDEX(BenchmarkResults!$B$1:$D$35,SUMPRODUCT((T1401&gt;=BenchmarkResults!$F$3:$F$35)*(mongodb_hardware_log!T1401&lt;BenchmarkResults!$G$3:$G$35)*ROW(BenchmarkResults!$F$3:$F$35)),{1,3})</f>
        <v>q3_customer_spend_stats</v>
      </c>
      <c r="B1401">
        <v>3</v>
      </c>
      <c r="C1401" s="13">
        <v>1</v>
      </c>
      <c r="D1401" s="13">
        <v>0</v>
      </c>
      <c r="E1401" s="13">
        <v>119040</v>
      </c>
      <c r="F1401" s="13">
        <v>130644</v>
      </c>
      <c r="G1401" s="13">
        <v>5964</v>
      </c>
      <c r="H1401" s="13">
        <v>2224932</v>
      </c>
      <c r="I1401" s="13">
        <v>0</v>
      </c>
      <c r="J1401" s="13">
        <v>0</v>
      </c>
      <c r="K1401" s="13">
        <v>2300</v>
      </c>
      <c r="L1401" s="13">
        <v>5</v>
      </c>
      <c r="M1401" s="13">
        <v>717</v>
      </c>
      <c r="N1401" s="13">
        <v>210</v>
      </c>
      <c r="O1401" s="13">
        <v>33</v>
      </c>
      <c r="P1401" s="13">
        <v>1</v>
      </c>
      <c r="Q1401" s="13">
        <v>64</v>
      </c>
      <c r="R1401" s="13">
        <v>1</v>
      </c>
      <c r="S1401" s="13">
        <v>1</v>
      </c>
      <c r="T1401" s="23">
        <v>46247.646238425928</v>
      </c>
      <c r="U1401" s="55">
        <f t="shared" si="63"/>
        <v>1</v>
      </c>
      <c r="V1401" s="55">
        <f t="shared" si="64"/>
        <v>0</v>
      </c>
      <c r="W1401" s="56">
        <f t="shared" si="65"/>
        <v>14361.666666666666</v>
      </c>
    </row>
    <row r="1402" spans="1:23" x14ac:dyDescent="0.3">
      <c r="A1402" s="13" t="str" cm="1">
        <f t="array" ref="A1402:B1402">INDEX(BenchmarkResults!$B$1:$D$35,SUMPRODUCT((T1402&gt;=BenchmarkResults!$F$3:$F$35)*(mongodb_hardware_log!T1402&lt;BenchmarkResults!$G$3:$G$35)*ROW(BenchmarkResults!$F$3:$F$35)),{1,3})</f>
        <v>q3_customer_spend_stats</v>
      </c>
      <c r="B1402">
        <v>3</v>
      </c>
      <c r="C1402" s="13">
        <v>1</v>
      </c>
      <c r="D1402" s="13">
        <v>0</v>
      </c>
      <c r="E1402" s="13">
        <v>119040</v>
      </c>
      <c r="F1402" s="13">
        <v>180712</v>
      </c>
      <c r="G1402" s="13">
        <v>5724</v>
      </c>
      <c r="H1402" s="13">
        <v>2196236</v>
      </c>
      <c r="I1402" s="13">
        <v>0</v>
      </c>
      <c r="J1402" s="13">
        <v>0</v>
      </c>
      <c r="K1402" s="13">
        <v>1954</v>
      </c>
      <c r="L1402" s="13">
        <v>4168</v>
      </c>
      <c r="M1402" s="13">
        <v>764</v>
      </c>
      <c r="N1402" s="13">
        <v>266</v>
      </c>
      <c r="O1402" s="13">
        <v>33</v>
      </c>
      <c r="P1402" s="13">
        <v>2</v>
      </c>
      <c r="Q1402" s="13">
        <v>61</v>
      </c>
      <c r="R1402" s="13">
        <v>4</v>
      </c>
      <c r="S1402" s="13">
        <v>1</v>
      </c>
      <c r="T1402" s="23">
        <v>46247.646354166667</v>
      </c>
      <c r="U1402" s="55">
        <f t="shared" si="63"/>
        <v>1</v>
      </c>
      <c r="V1402" s="55">
        <f t="shared" si="64"/>
        <v>0</v>
      </c>
      <c r="W1402" s="56">
        <f t="shared" si="65"/>
        <v>10682.666666666666</v>
      </c>
    </row>
    <row r="1403" spans="1:23" x14ac:dyDescent="0.3">
      <c r="A1403" s="13" t="str" cm="1">
        <f t="array" ref="A1403:B1403">INDEX(BenchmarkResults!$B$1:$D$35,SUMPRODUCT((T1403&gt;=BenchmarkResults!$F$3:$F$35)*(mongodb_hardware_log!T1403&lt;BenchmarkResults!$G$3:$G$35)*ROW(BenchmarkResults!$F$3:$F$35)),{1,3})</f>
        <v>q3_customer_spend_stats</v>
      </c>
      <c r="B1403">
        <v>3</v>
      </c>
      <c r="C1403" s="13">
        <v>1</v>
      </c>
      <c r="D1403" s="13">
        <v>0</v>
      </c>
      <c r="E1403" s="13">
        <v>119040</v>
      </c>
      <c r="F1403" s="13">
        <v>140608</v>
      </c>
      <c r="G1403" s="13">
        <v>5224</v>
      </c>
      <c r="H1403" s="13">
        <v>2231060</v>
      </c>
      <c r="I1403" s="13">
        <v>1</v>
      </c>
      <c r="J1403" s="13">
        <v>0</v>
      </c>
      <c r="K1403" s="13">
        <v>12996</v>
      </c>
      <c r="L1403" s="13">
        <v>8</v>
      </c>
      <c r="M1403" s="13">
        <v>1094</v>
      </c>
      <c r="N1403" s="13">
        <v>475</v>
      </c>
      <c r="O1403" s="13">
        <v>31</v>
      </c>
      <c r="P1403" s="13">
        <v>3</v>
      </c>
      <c r="Q1403" s="13">
        <v>62</v>
      </c>
      <c r="R1403" s="13">
        <v>5</v>
      </c>
      <c r="S1403" s="13">
        <v>0</v>
      </c>
      <c r="T1403" s="23">
        <v>46247.646469907406</v>
      </c>
      <c r="U1403" s="55">
        <f t="shared" si="63"/>
        <v>1</v>
      </c>
      <c r="V1403" s="55">
        <f t="shared" si="64"/>
        <v>0</v>
      </c>
      <c r="W1403" s="56">
        <f t="shared" si="65"/>
        <v>9946.6666666666661</v>
      </c>
    </row>
    <row r="1404" spans="1:23" x14ac:dyDescent="0.3">
      <c r="A1404" s="13" t="str" cm="1">
        <f t="array" ref="A1404:B1404">INDEX(BenchmarkResults!$B$1:$D$35,SUMPRODUCT((T1404&gt;=BenchmarkResults!$F$3:$F$35)*(mongodb_hardware_log!T1404&lt;BenchmarkResults!$G$3:$G$35)*ROW(BenchmarkResults!$F$3:$F$35)),{1,3})</f>
        <v>q3_customer_spend_stats</v>
      </c>
      <c r="B1404">
        <v>3</v>
      </c>
      <c r="C1404" s="13">
        <v>1</v>
      </c>
      <c r="D1404" s="13">
        <v>0</v>
      </c>
      <c r="E1404" s="13">
        <v>119040</v>
      </c>
      <c r="F1404" s="13">
        <v>137916</v>
      </c>
      <c r="G1404" s="13">
        <v>4988</v>
      </c>
      <c r="H1404" s="13">
        <v>2230228</v>
      </c>
      <c r="I1404" s="13">
        <v>15</v>
      </c>
      <c r="J1404" s="13">
        <v>0</v>
      </c>
      <c r="K1404" s="13">
        <v>4665</v>
      </c>
      <c r="L1404" s="13">
        <v>12</v>
      </c>
      <c r="M1404" s="13">
        <v>817</v>
      </c>
      <c r="N1404" s="13">
        <v>301</v>
      </c>
      <c r="O1404" s="13">
        <v>33</v>
      </c>
      <c r="P1404" s="13">
        <v>2</v>
      </c>
      <c r="Q1404" s="13">
        <v>63</v>
      </c>
      <c r="R1404" s="13">
        <v>2</v>
      </c>
      <c r="S1404" s="13">
        <v>0</v>
      </c>
      <c r="T1404" s="23">
        <v>46247.646585648145</v>
      </c>
      <c r="U1404" s="55">
        <f t="shared" si="63"/>
        <v>1</v>
      </c>
      <c r="V1404" s="55">
        <f t="shared" si="64"/>
        <v>0</v>
      </c>
      <c r="W1404" s="56">
        <f t="shared" si="65"/>
        <v>8716.6666666666661</v>
      </c>
    </row>
    <row r="1405" spans="1:23" x14ac:dyDescent="0.3">
      <c r="A1405" s="13" t="str" cm="1">
        <f t="array" ref="A1405:B1405">INDEX(BenchmarkResults!$B$1:$D$35,SUMPRODUCT((T1405&gt;=BenchmarkResults!$F$3:$F$35)*(mongodb_hardware_log!T1405&lt;BenchmarkResults!$G$3:$G$35)*ROW(BenchmarkResults!$F$3:$F$35)),{1,3})</f>
        <v>q3_customer_spend_stats</v>
      </c>
      <c r="B1405">
        <v>3</v>
      </c>
      <c r="C1405" s="13">
        <v>1</v>
      </c>
      <c r="D1405" s="13">
        <v>0</v>
      </c>
      <c r="E1405" s="13">
        <v>119040</v>
      </c>
      <c r="F1405" s="13">
        <v>105688</v>
      </c>
      <c r="G1405" s="13">
        <v>5020</v>
      </c>
      <c r="H1405" s="13">
        <v>2252124</v>
      </c>
      <c r="I1405" s="13">
        <v>0</v>
      </c>
      <c r="J1405" s="13">
        <v>0</v>
      </c>
      <c r="K1405" s="13">
        <v>491</v>
      </c>
      <c r="L1405" s="13">
        <v>31</v>
      </c>
      <c r="M1405" s="13">
        <v>690</v>
      </c>
      <c r="N1405" s="13">
        <v>223</v>
      </c>
      <c r="O1405" s="13">
        <v>33</v>
      </c>
      <c r="P1405" s="13">
        <v>1</v>
      </c>
      <c r="Q1405" s="13">
        <v>65</v>
      </c>
      <c r="R1405" s="13">
        <v>0</v>
      </c>
      <c r="S1405" s="13">
        <v>0</v>
      </c>
      <c r="T1405" s="23">
        <v>46247.646701388891</v>
      </c>
      <c r="U1405" s="55">
        <f t="shared" si="63"/>
        <v>1</v>
      </c>
      <c r="V1405" s="55">
        <f t="shared" si="64"/>
        <v>0</v>
      </c>
      <c r="W1405" s="56">
        <f t="shared" si="65"/>
        <v>6209.833333333333</v>
      </c>
    </row>
    <row r="1406" spans="1:23" x14ac:dyDescent="0.3">
      <c r="A1406" s="13" t="str" cm="1">
        <f t="array" ref="A1406:B1406">INDEX(BenchmarkResults!$B$1:$D$35,SUMPRODUCT((T1406&gt;=BenchmarkResults!$F$3:$F$35)*(mongodb_hardware_log!T1406&lt;BenchmarkResults!$G$3:$G$35)*ROW(BenchmarkResults!$F$3:$F$35)),{1,3})</f>
        <v>q3_customer_spend_stats</v>
      </c>
      <c r="B1406">
        <v>3</v>
      </c>
      <c r="C1406" s="13">
        <v>1</v>
      </c>
      <c r="D1406" s="13">
        <v>0</v>
      </c>
      <c r="E1406" s="13">
        <v>128512</v>
      </c>
      <c r="F1406" s="13">
        <v>194728</v>
      </c>
      <c r="G1406" s="13">
        <v>2988</v>
      </c>
      <c r="H1406" s="13">
        <v>2183344</v>
      </c>
      <c r="I1406" s="13">
        <v>0</v>
      </c>
      <c r="J1406" s="13">
        <v>930</v>
      </c>
      <c r="K1406" s="13">
        <v>13850</v>
      </c>
      <c r="L1406" s="13">
        <v>5104</v>
      </c>
      <c r="M1406" s="13">
        <v>1170</v>
      </c>
      <c r="N1406" s="13">
        <v>373</v>
      </c>
      <c r="O1406" s="13">
        <v>32</v>
      </c>
      <c r="P1406" s="13">
        <v>3</v>
      </c>
      <c r="Q1406" s="13">
        <v>59</v>
      </c>
      <c r="R1406" s="13">
        <v>6</v>
      </c>
      <c r="S1406" s="13">
        <v>0</v>
      </c>
      <c r="T1406" s="23">
        <v>46247.646817129629</v>
      </c>
      <c r="U1406" s="55">
        <f t="shared" si="63"/>
        <v>1</v>
      </c>
      <c r="V1406" s="55">
        <f t="shared" si="64"/>
        <v>0</v>
      </c>
      <c r="W1406" s="56">
        <f t="shared" si="65"/>
        <v>6042.666666666667</v>
      </c>
    </row>
    <row r="1407" spans="1:23" x14ac:dyDescent="0.3">
      <c r="A1407" s="13" t="str" cm="1">
        <f t="array" ref="A1407:B1407">INDEX(BenchmarkResults!$B$1:$D$35,SUMPRODUCT((T1407&gt;=BenchmarkResults!$F$3:$F$35)*(mongodb_hardware_log!T1407&lt;BenchmarkResults!$G$3:$G$35)*ROW(BenchmarkResults!$F$3:$F$35)),{1,3})</f>
        <v>q3_customer_spend_stats</v>
      </c>
      <c r="B1407">
        <v>3</v>
      </c>
      <c r="C1407" s="13">
        <v>1</v>
      </c>
      <c r="D1407" s="13">
        <v>0</v>
      </c>
      <c r="E1407" s="13">
        <v>128512</v>
      </c>
      <c r="F1407" s="13">
        <v>147128</v>
      </c>
      <c r="G1407" s="13">
        <v>2996</v>
      </c>
      <c r="H1407" s="13">
        <v>2231336</v>
      </c>
      <c r="I1407" s="13">
        <v>0</v>
      </c>
      <c r="J1407" s="13">
        <v>0</v>
      </c>
      <c r="K1407" s="13">
        <v>3936</v>
      </c>
      <c r="L1407" s="13">
        <v>10</v>
      </c>
      <c r="M1407" s="13">
        <v>757</v>
      </c>
      <c r="N1407" s="13">
        <v>261</v>
      </c>
      <c r="O1407" s="13">
        <v>33</v>
      </c>
      <c r="P1407" s="13">
        <v>2</v>
      </c>
      <c r="Q1407" s="13">
        <v>64</v>
      </c>
      <c r="R1407" s="13">
        <v>1</v>
      </c>
      <c r="S1407" s="13">
        <v>0</v>
      </c>
      <c r="T1407" s="23">
        <v>46247.646932870368</v>
      </c>
      <c r="U1407" s="55">
        <f t="shared" si="63"/>
        <v>1</v>
      </c>
      <c r="V1407" s="55">
        <f t="shared" si="64"/>
        <v>0</v>
      </c>
      <c r="W1407" s="56">
        <f t="shared" si="65"/>
        <v>6315.333333333333</v>
      </c>
    </row>
    <row r="1408" spans="1:23" x14ac:dyDescent="0.3">
      <c r="A1408" s="13" t="str" cm="1">
        <f t="array" ref="A1408:B1408">INDEX(BenchmarkResults!$B$1:$D$35,SUMPRODUCT((T1408&gt;=BenchmarkResults!$F$3:$F$35)*(mongodb_hardware_log!T1408&lt;BenchmarkResults!$G$3:$G$35)*ROW(BenchmarkResults!$F$3:$F$35)),{1,3})</f>
        <v>q3_customer_spend_stats</v>
      </c>
      <c r="B1408">
        <v>3</v>
      </c>
      <c r="C1408" s="13">
        <v>1</v>
      </c>
      <c r="D1408" s="13">
        <v>0</v>
      </c>
      <c r="E1408" s="13">
        <v>128512</v>
      </c>
      <c r="F1408" s="13">
        <v>128228</v>
      </c>
      <c r="G1408" s="13">
        <v>3012</v>
      </c>
      <c r="H1408" s="13">
        <v>2248460</v>
      </c>
      <c r="I1408" s="13">
        <v>1</v>
      </c>
      <c r="J1408" s="13">
        <v>0</v>
      </c>
      <c r="K1408" s="13">
        <v>14</v>
      </c>
      <c r="L1408" s="13">
        <v>15</v>
      </c>
      <c r="M1408" s="13">
        <v>669</v>
      </c>
      <c r="N1408" s="13">
        <v>184</v>
      </c>
      <c r="O1408" s="13">
        <v>34</v>
      </c>
      <c r="P1408" s="13">
        <v>1</v>
      </c>
      <c r="Q1408" s="13">
        <v>65</v>
      </c>
      <c r="R1408" s="13">
        <v>0</v>
      </c>
      <c r="S1408" s="13">
        <v>0</v>
      </c>
      <c r="T1408" s="23">
        <v>46247.647048611114</v>
      </c>
      <c r="U1408" s="55">
        <f t="shared" si="63"/>
        <v>1</v>
      </c>
      <c r="V1408" s="55">
        <f t="shared" si="64"/>
        <v>0</v>
      </c>
      <c r="W1408" s="56">
        <f t="shared" si="65"/>
        <v>5992</v>
      </c>
    </row>
    <row r="1409" spans="1:23" x14ac:dyDescent="0.3">
      <c r="A1409" s="13" t="str" cm="1">
        <f t="array" ref="A1409:B1409">INDEX(BenchmarkResults!$B$1:$D$35,SUMPRODUCT((T1409&gt;=BenchmarkResults!$F$3:$F$35)*(mongodb_hardware_log!T1409&lt;BenchmarkResults!$G$3:$G$35)*ROW(BenchmarkResults!$F$3:$F$35)),{1,3})</f>
        <v>q3_customer_spend_stats</v>
      </c>
      <c r="B1409">
        <v>3</v>
      </c>
      <c r="C1409" s="13">
        <v>2</v>
      </c>
      <c r="D1409" s="13">
        <v>0</v>
      </c>
      <c r="E1409" s="13">
        <v>128512</v>
      </c>
      <c r="F1409" s="13">
        <v>112512</v>
      </c>
      <c r="G1409" s="13">
        <v>2316</v>
      </c>
      <c r="H1409" s="13">
        <v>2263872</v>
      </c>
      <c r="I1409" s="13">
        <v>0</v>
      </c>
      <c r="J1409" s="13">
        <v>0</v>
      </c>
      <c r="K1409" s="13">
        <v>14981</v>
      </c>
      <c r="L1409" s="13">
        <v>4164</v>
      </c>
      <c r="M1409" s="13">
        <v>1015</v>
      </c>
      <c r="N1409" s="13">
        <v>387</v>
      </c>
      <c r="O1409" s="13">
        <v>31</v>
      </c>
      <c r="P1409" s="13">
        <v>3</v>
      </c>
      <c r="Q1409" s="13">
        <v>58</v>
      </c>
      <c r="R1409" s="13">
        <v>8</v>
      </c>
      <c r="S1409" s="13">
        <v>0</v>
      </c>
      <c r="T1409" s="23">
        <v>46247.647164351853</v>
      </c>
      <c r="U1409" s="55">
        <f t="shared" si="63"/>
        <v>1.1666666666666667</v>
      </c>
      <c r="V1409" s="55">
        <f t="shared" si="64"/>
        <v>0</v>
      </c>
      <c r="W1409" s="56">
        <f t="shared" si="65"/>
        <v>6322.833333333333</v>
      </c>
    </row>
    <row r="1410" spans="1:23" x14ac:dyDescent="0.3">
      <c r="A1410" s="13" t="str" cm="1">
        <f t="array" ref="A1410:B1410">INDEX(BenchmarkResults!$B$1:$D$35,SUMPRODUCT((T1410&gt;=BenchmarkResults!$F$3:$F$35)*(mongodb_hardware_log!T1410&lt;BenchmarkResults!$G$3:$G$35)*ROW(BenchmarkResults!$F$3:$F$35)),{1,3})</f>
        <v>q3_customer_spend_stats</v>
      </c>
      <c r="B1410">
        <v>3</v>
      </c>
      <c r="C1410" s="13">
        <v>1</v>
      </c>
      <c r="D1410" s="13">
        <v>0</v>
      </c>
      <c r="E1410" s="13">
        <v>128512</v>
      </c>
      <c r="F1410" s="13">
        <v>125128</v>
      </c>
      <c r="G1410" s="13">
        <v>2068</v>
      </c>
      <c r="H1410" s="13">
        <v>2248692</v>
      </c>
      <c r="I1410" s="13">
        <v>0</v>
      </c>
      <c r="J1410" s="13">
        <v>0</v>
      </c>
      <c r="K1410" s="13">
        <v>2429</v>
      </c>
      <c r="L1410" s="13">
        <v>22</v>
      </c>
      <c r="M1410" s="13">
        <v>744</v>
      </c>
      <c r="N1410" s="13">
        <v>236</v>
      </c>
      <c r="O1410" s="13">
        <v>33</v>
      </c>
      <c r="P1410" s="13">
        <v>1</v>
      </c>
      <c r="Q1410" s="13">
        <v>64</v>
      </c>
      <c r="R1410" s="13">
        <v>1</v>
      </c>
      <c r="S1410" s="13">
        <v>0</v>
      </c>
      <c r="T1410" s="23">
        <v>46247.647280092591</v>
      </c>
      <c r="U1410" s="55">
        <f t="shared" si="63"/>
        <v>1.1666666666666667</v>
      </c>
      <c r="V1410" s="55">
        <f t="shared" si="64"/>
        <v>0</v>
      </c>
      <c r="W1410" s="56">
        <f t="shared" si="65"/>
        <v>5950.166666666667</v>
      </c>
    </row>
    <row r="1411" spans="1:23" x14ac:dyDescent="0.3">
      <c r="A1411" s="13" t="str" cm="1">
        <f t="array" ref="A1411:B1411">INDEX(BenchmarkResults!$B$1:$D$35,SUMPRODUCT((T1411&gt;=BenchmarkResults!$F$3:$F$35)*(mongodb_hardware_log!T1411&lt;BenchmarkResults!$G$3:$G$35)*ROW(BenchmarkResults!$F$3:$F$35)),{1,3})</f>
        <v>q3_customer_spend_stats</v>
      </c>
      <c r="B1411">
        <v>3</v>
      </c>
      <c r="C1411" s="13">
        <v>1</v>
      </c>
      <c r="D1411" s="13">
        <v>0</v>
      </c>
      <c r="E1411" s="13">
        <v>128512</v>
      </c>
      <c r="F1411" s="13">
        <v>124248</v>
      </c>
      <c r="G1411" s="13">
        <v>2012</v>
      </c>
      <c r="H1411" s="13">
        <v>2255680</v>
      </c>
      <c r="I1411" s="13">
        <v>0</v>
      </c>
      <c r="J1411" s="13">
        <v>0</v>
      </c>
      <c r="K1411" s="13">
        <v>3108</v>
      </c>
      <c r="L1411" s="13">
        <v>32</v>
      </c>
      <c r="M1411" s="13">
        <v>708</v>
      </c>
      <c r="N1411" s="13">
        <v>214</v>
      </c>
      <c r="O1411" s="13">
        <v>34</v>
      </c>
      <c r="P1411" s="13">
        <v>1</v>
      </c>
      <c r="Q1411" s="13">
        <v>65</v>
      </c>
      <c r="R1411" s="13">
        <v>0</v>
      </c>
      <c r="S1411" s="13">
        <v>0</v>
      </c>
      <c r="T1411" s="23">
        <v>46247.64739583333</v>
      </c>
      <c r="U1411" s="55">
        <f t="shared" si="63"/>
        <v>1.1666666666666667</v>
      </c>
      <c r="V1411" s="55">
        <f t="shared" si="64"/>
        <v>0</v>
      </c>
      <c r="W1411" s="56">
        <f t="shared" si="65"/>
        <v>6386.333333333333</v>
      </c>
    </row>
    <row r="1412" spans="1:23" x14ac:dyDescent="0.3">
      <c r="A1412" s="13" t="str" cm="1">
        <f t="array" ref="A1412:B1412">INDEX(BenchmarkResults!$B$1:$D$35,SUMPRODUCT((T1412&gt;=BenchmarkResults!$F$3:$F$35)*(mongodb_hardware_log!T1412&lt;BenchmarkResults!$G$3:$G$35)*ROW(BenchmarkResults!$F$3:$F$35)),{1,3})</f>
        <v>q3_customer_spend_stats</v>
      </c>
      <c r="B1412">
        <v>3</v>
      </c>
      <c r="C1412" s="13">
        <v>1</v>
      </c>
      <c r="D1412" s="13">
        <v>0</v>
      </c>
      <c r="E1412" s="13">
        <v>128512</v>
      </c>
      <c r="F1412" s="13">
        <v>104404</v>
      </c>
      <c r="G1412" s="13">
        <v>1780</v>
      </c>
      <c r="H1412" s="13">
        <v>2280744</v>
      </c>
      <c r="I1412" s="13">
        <v>0</v>
      </c>
      <c r="J1412" s="13">
        <v>0</v>
      </c>
      <c r="K1412" s="13">
        <v>1908</v>
      </c>
      <c r="L1412" s="13">
        <v>3230</v>
      </c>
      <c r="M1412" s="13">
        <v>678</v>
      </c>
      <c r="N1412" s="13">
        <v>161</v>
      </c>
      <c r="O1412" s="13">
        <v>33</v>
      </c>
      <c r="P1412" s="13">
        <v>2</v>
      </c>
      <c r="Q1412" s="13">
        <v>62</v>
      </c>
      <c r="R1412" s="13">
        <v>3</v>
      </c>
      <c r="S1412" s="13">
        <v>0</v>
      </c>
      <c r="T1412" s="23">
        <v>46247.647511574076</v>
      </c>
      <c r="U1412" s="55">
        <f t="shared" si="63"/>
        <v>1.1666666666666667</v>
      </c>
      <c r="V1412" s="55">
        <f t="shared" si="64"/>
        <v>0</v>
      </c>
      <c r="W1412" s="56">
        <f t="shared" si="65"/>
        <v>4396</v>
      </c>
    </row>
    <row r="1413" spans="1:23" x14ac:dyDescent="0.3">
      <c r="A1413" s="13" t="str" cm="1">
        <f t="array" ref="A1413:B1413">INDEX(BenchmarkResults!$B$1:$D$35,SUMPRODUCT((T1413&gt;=BenchmarkResults!$F$3:$F$35)*(mongodb_hardware_log!T1413&lt;BenchmarkResults!$G$3:$G$35)*ROW(BenchmarkResults!$F$3:$F$35)),{1,3})</f>
        <v>q3_customer_spend_stats</v>
      </c>
      <c r="B1413">
        <v>3</v>
      </c>
      <c r="C1413" s="13">
        <v>1</v>
      </c>
      <c r="D1413" s="13">
        <v>0</v>
      </c>
      <c r="E1413" s="13">
        <v>128512</v>
      </c>
      <c r="F1413" s="13">
        <v>106908</v>
      </c>
      <c r="G1413" s="13">
        <v>1552</v>
      </c>
      <c r="H1413" s="13">
        <v>2275948</v>
      </c>
      <c r="I1413" s="13">
        <v>0</v>
      </c>
      <c r="J1413" s="13">
        <v>0</v>
      </c>
      <c r="K1413" s="13">
        <v>0</v>
      </c>
      <c r="L1413" s="13">
        <v>12</v>
      </c>
      <c r="M1413" s="13">
        <v>645</v>
      </c>
      <c r="N1413" s="13">
        <v>151</v>
      </c>
      <c r="O1413" s="13">
        <v>33</v>
      </c>
      <c r="P1413" s="13">
        <v>1</v>
      </c>
      <c r="Q1413" s="13">
        <v>66</v>
      </c>
      <c r="R1413" s="13">
        <v>0</v>
      </c>
      <c r="S1413" s="13">
        <v>0</v>
      </c>
      <c r="T1413" s="23">
        <v>46247.647627314815</v>
      </c>
      <c r="U1413" s="55">
        <f t="shared" si="63"/>
        <v>1.1666666666666667</v>
      </c>
      <c r="V1413" s="55">
        <f t="shared" si="64"/>
        <v>0</v>
      </c>
      <c r="W1413" s="56">
        <f t="shared" si="65"/>
        <v>3740</v>
      </c>
    </row>
    <row r="1414" spans="1:23" x14ac:dyDescent="0.3">
      <c r="A1414" s="13" t="str" cm="1">
        <f t="array" ref="A1414:B1414">INDEX(BenchmarkResults!$B$1:$D$35,SUMPRODUCT((T1414&gt;=BenchmarkResults!$F$3:$F$35)*(mongodb_hardware_log!T1414&lt;BenchmarkResults!$G$3:$G$35)*ROW(BenchmarkResults!$F$3:$F$35)),{1,3})</f>
        <v>q3_customer_spend_stats</v>
      </c>
      <c r="B1414">
        <v>3</v>
      </c>
      <c r="C1414" s="13">
        <v>1</v>
      </c>
      <c r="D1414" s="13">
        <v>0</v>
      </c>
      <c r="E1414" s="13">
        <v>128512</v>
      </c>
      <c r="F1414" s="13">
        <v>144596</v>
      </c>
      <c r="G1414" s="13">
        <v>604</v>
      </c>
      <c r="H1414" s="13">
        <v>2233228</v>
      </c>
      <c r="I1414" s="13">
        <v>0</v>
      </c>
      <c r="J1414" s="13">
        <v>0</v>
      </c>
      <c r="K1414" s="13">
        <v>5102</v>
      </c>
      <c r="L1414" s="13">
        <v>4105</v>
      </c>
      <c r="M1414" s="13">
        <v>701</v>
      </c>
      <c r="N1414" s="13">
        <v>156</v>
      </c>
      <c r="O1414" s="13">
        <v>33</v>
      </c>
      <c r="P1414" s="13">
        <v>2</v>
      </c>
      <c r="Q1414" s="13">
        <v>63</v>
      </c>
      <c r="R1414" s="13">
        <v>2</v>
      </c>
      <c r="S1414" s="13">
        <v>0</v>
      </c>
      <c r="T1414" s="23">
        <v>46247.647743055553</v>
      </c>
      <c r="U1414" s="55">
        <f t="shared" si="63"/>
        <v>1.1666666666666667</v>
      </c>
      <c r="V1414" s="55">
        <f t="shared" si="64"/>
        <v>0</v>
      </c>
      <c r="W1414" s="56">
        <f t="shared" si="65"/>
        <v>4588</v>
      </c>
    </row>
    <row r="1415" spans="1:23" x14ac:dyDescent="0.3">
      <c r="A1415" s="13" t="str" cm="1">
        <f t="array" ref="A1415:B1415">INDEX(BenchmarkResults!$B$1:$D$35,SUMPRODUCT((T1415&gt;=BenchmarkResults!$F$3:$F$35)*(mongodb_hardware_log!T1415&lt;BenchmarkResults!$G$3:$G$35)*ROW(BenchmarkResults!$F$3:$F$35)),{1,3})</f>
        <v>q3_customer_spend_stats</v>
      </c>
      <c r="B1415">
        <v>3</v>
      </c>
      <c r="C1415" s="13">
        <v>0</v>
      </c>
      <c r="D1415" s="13">
        <v>0</v>
      </c>
      <c r="E1415" s="13">
        <v>128512</v>
      </c>
      <c r="F1415" s="13">
        <v>165940</v>
      </c>
      <c r="G1415" s="13">
        <v>660</v>
      </c>
      <c r="H1415" s="13">
        <v>2230740</v>
      </c>
      <c r="I1415" s="13">
        <v>0</v>
      </c>
      <c r="J1415" s="13">
        <v>0</v>
      </c>
      <c r="K1415" s="13">
        <v>3165</v>
      </c>
      <c r="L1415" s="13">
        <v>15034</v>
      </c>
      <c r="M1415" s="13">
        <v>1966</v>
      </c>
      <c r="N1415" s="13">
        <v>563</v>
      </c>
      <c r="O1415" s="13">
        <v>23</v>
      </c>
      <c r="P1415" s="13">
        <v>4</v>
      </c>
      <c r="Q1415" s="13">
        <v>65</v>
      </c>
      <c r="R1415" s="13">
        <v>8</v>
      </c>
      <c r="S1415" s="13">
        <v>0</v>
      </c>
      <c r="T1415" s="23">
        <v>46247.647858796299</v>
      </c>
      <c r="U1415" s="55">
        <f t="shared" si="63"/>
        <v>0.83333333333333337</v>
      </c>
      <c r="V1415" s="55">
        <f t="shared" si="64"/>
        <v>0</v>
      </c>
      <c r="W1415" s="56">
        <f t="shared" si="65"/>
        <v>2618.6666666666665</v>
      </c>
    </row>
    <row r="1416" spans="1:23" x14ac:dyDescent="0.3">
      <c r="A1416" s="13" t="str" cm="1">
        <f t="array" ref="A1416:B1416">INDEX(BenchmarkResults!$B$1:$D$35,SUMPRODUCT((T1416&gt;=BenchmarkResults!$F$3:$F$35)*(mongodb_hardware_log!T1416&lt;BenchmarkResults!$G$3:$G$35)*ROW(BenchmarkResults!$F$3:$F$35)),{1,3})</f>
        <v>q3_customer_spend_stats</v>
      </c>
      <c r="B1416">
        <v>3</v>
      </c>
      <c r="C1416" s="13">
        <v>0</v>
      </c>
      <c r="D1416" s="13">
        <v>0</v>
      </c>
      <c r="E1416" s="13">
        <v>128512</v>
      </c>
      <c r="F1416" s="13">
        <v>131716</v>
      </c>
      <c r="G1416" s="13">
        <v>692</v>
      </c>
      <c r="H1416" s="13">
        <v>2253156</v>
      </c>
      <c r="I1416" s="13">
        <v>0</v>
      </c>
      <c r="J1416" s="13">
        <v>0</v>
      </c>
      <c r="K1416" s="13">
        <v>2237</v>
      </c>
      <c r="L1416" s="13">
        <v>26</v>
      </c>
      <c r="M1416" s="13">
        <v>2384</v>
      </c>
      <c r="N1416" s="13">
        <v>716</v>
      </c>
      <c r="O1416" s="13">
        <v>20</v>
      </c>
      <c r="P1416" s="13">
        <v>5</v>
      </c>
      <c r="Q1416" s="13">
        <v>75</v>
      </c>
      <c r="R1416" s="13">
        <v>0</v>
      </c>
      <c r="S1416" s="13">
        <v>0</v>
      </c>
      <c r="T1416" s="23">
        <v>46247.647974537038</v>
      </c>
      <c r="U1416" s="55">
        <f t="shared" si="63"/>
        <v>0.66666666666666663</v>
      </c>
      <c r="V1416" s="55">
        <f t="shared" si="64"/>
        <v>0</v>
      </c>
      <c r="W1416" s="56">
        <f t="shared" si="65"/>
        <v>2586.6666666666665</v>
      </c>
    </row>
    <row r="1417" spans="1:23" x14ac:dyDescent="0.3">
      <c r="A1417" s="13" t="str" cm="1">
        <f t="array" ref="A1417:B1417">INDEX(BenchmarkResults!$B$1:$D$35,SUMPRODUCT((T1417&gt;=BenchmarkResults!$F$3:$F$35)*(mongodb_hardware_log!T1417&lt;BenchmarkResults!$G$3:$G$35)*ROW(BenchmarkResults!$F$3:$F$35)),{1,3})</f>
        <v>q4_category_revenue</v>
      </c>
      <c r="B1417">
        <v>1</v>
      </c>
      <c r="C1417" s="13">
        <v>0</v>
      </c>
      <c r="D1417" s="13">
        <v>1</v>
      </c>
      <c r="E1417" s="13">
        <v>128512</v>
      </c>
      <c r="F1417" s="13">
        <v>215532</v>
      </c>
      <c r="G1417" s="13">
        <v>884</v>
      </c>
      <c r="H1417" s="13">
        <v>2134212</v>
      </c>
      <c r="I1417" s="13">
        <v>13</v>
      </c>
      <c r="J1417" s="13">
        <v>0</v>
      </c>
      <c r="K1417" s="13">
        <v>19004</v>
      </c>
      <c r="L1417" s="13">
        <v>46</v>
      </c>
      <c r="M1417" s="13">
        <v>2742</v>
      </c>
      <c r="N1417" s="13">
        <v>1374</v>
      </c>
      <c r="O1417" s="13">
        <v>16</v>
      </c>
      <c r="P1417" s="13">
        <v>6</v>
      </c>
      <c r="Q1417" s="13">
        <v>63</v>
      </c>
      <c r="R1417" s="13">
        <v>14</v>
      </c>
      <c r="S1417" s="13">
        <v>0</v>
      </c>
      <c r="T1417" s="23">
        <v>46247.648090277777</v>
      </c>
      <c r="U1417" s="55">
        <f t="shared" ref="U1417:U1480" si="66">AVERAGE(C1412:C1417)</f>
        <v>0.5</v>
      </c>
      <c r="V1417" s="55">
        <f t="shared" ref="V1417:V1480" si="67">AVERAGE(D1412:D1417)</f>
        <v>0.16666666666666666</v>
      </c>
      <c r="W1417" s="56">
        <f t="shared" ref="W1417:W1480" si="68">AVERAGE(K1412:K1417)</f>
        <v>5236</v>
      </c>
    </row>
    <row r="1418" spans="1:23" x14ac:dyDescent="0.3">
      <c r="A1418" s="13" t="str" cm="1">
        <f t="array" ref="A1418:B1418">INDEX(BenchmarkResults!$B$1:$D$35,SUMPRODUCT((T1418&gt;=BenchmarkResults!$F$3:$F$35)*(mongodb_hardware_log!T1418&lt;BenchmarkResults!$G$3:$G$35)*ROW(BenchmarkResults!$F$3:$F$35)),{1,3})</f>
        <v>q4_category_revenue</v>
      </c>
      <c r="B1418">
        <v>1</v>
      </c>
      <c r="C1418" s="13">
        <v>0</v>
      </c>
      <c r="D1418" s="13">
        <v>1</v>
      </c>
      <c r="E1418" s="13">
        <v>119808</v>
      </c>
      <c r="F1418" s="13">
        <v>104944</v>
      </c>
      <c r="G1418" s="13">
        <v>812</v>
      </c>
      <c r="H1418" s="13">
        <v>2198260</v>
      </c>
      <c r="I1418" s="13">
        <v>868</v>
      </c>
      <c r="J1418" s="13">
        <v>0</v>
      </c>
      <c r="K1418" s="13">
        <v>35058</v>
      </c>
      <c r="L1418" s="13">
        <v>36</v>
      </c>
      <c r="M1418" s="13">
        <v>3145</v>
      </c>
      <c r="N1418" s="13">
        <v>2130</v>
      </c>
      <c r="O1418" s="13">
        <v>18</v>
      </c>
      <c r="P1418" s="13">
        <v>7</v>
      </c>
      <c r="Q1418" s="13">
        <v>47</v>
      </c>
      <c r="R1418" s="13">
        <v>28</v>
      </c>
      <c r="S1418" s="13">
        <v>0</v>
      </c>
      <c r="T1418" s="23">
        <v>46247.648206018515</v>
      </c>
      <c r="U1418" s="55">
        <f t="shared" si="66"/>
        <v>0.33333333333333331</v>
      </c>
      <c r="V1418" s="55">
        <f t="shared" si="67"/>
        <v>0.33333333333333331</v>
      </c>
      <c r="W1418" s="56">
        <f t="shared" si="68"/>
        <v>10761</v>
      </c>
    </row>
    <row r="1419" spans="1:23" x14ac:dyDescent="0.3">
      <c r="A1419" s="13" t="str" cm="1">
        <f t="array" ref="A1419:B1419">INDEX(BenchmarkResults!$B$1:$D$35,SUMPRODUCT((T1419&gt;=BenchmarkResults!$F$3:$F$35)*(mongodb_hardware_log!T1419&lt;BenchmarkResults!$G$3:$G$35)*ROW(BenchmarkResults!$F$3:$F$35)),{1,3})</f>
        <v>q4_category_revenue</v>
      </c>
      <c r="B1419">
        <v>1</v>
      </c>
      <c r="C1419" s="13">
        <v>1</v>
      </c>
      <c r="D1419" s="13">
        <v>0</v>
      </c>
      <c r="E1419" s="13">
        <v>119808</v>
      </c>
      <c r="F1419" s="13">
        <v>157776</v>
      </c>
      <c r="G1419" s="13">
        <v>820</v>
      </c>
      <c r="H1419" s="13">
        <v>2151544</v>
      </c>
      <c r="I1419" s="13">
        <v>0</v>
      </c>
      <c r="J1419" s="13">
        <v>0</v>
      </c>
      <c r="K1419" s="13">
        <v>39406</v>
      </c>
      <c r="L1419" s="13">
        <v>13</v>
      </c>
      <c r="M1419" s="13">
        <v>3198</v>
      </c>
      <c r="N1419" s="13">
        <v>2227</v>
      </c>
      <c r="O1419" s="13">
        <v>17</v>
      </c>
      <c r="P1419" s="13">
        <v>7</v>
      </c>
      <c r="Q1419" s="13">
        <v>47</v>
      </c>
      <c r="R1419" s="13">
        <v>30</v>
      </c>
      <c r="S1419" s="13">
        <v>0</v>
      </c>
      <c r="T1419" s="23">
        <v>46247.648321759261</v>
      </c>
      <c r="U1419" s="55">
        <f t="shared" si="66"/>
        <v>0.33333333333333331</v>
      </c>
      <c r="V1419" s="55">
        <f t="shared" si="67"/>
        <v>0.33333333333333331</v>
      </c>
      <c r="W1419" s="56">
        <f t="shared" si="68"/>
        <v>17328.666666666668</v>
      </c>
    </row>
    <row r="1420" spans="1:23" x14ac:dyDescent="0.3">
      <c r="A1420" s="13" t="str" cm="1">
        <f t="array" ref="A1420:B1420">INDEX(BenchmarkResults!$B$1:$D$35,SUMPRODUCT((T1420&gt;=BenchmarkResults!$F$3:$F$35)*(mongodb_hardware_log!T1420&lt;BenchmarkResults!$G$3:$G$35)*ROW(BenchmarkResults!$F$3:$F$35)),{1,3})</f>
        <v>q4_category_revenue</v>
      </c>
      <c r="B1420">
        <v>1</v>
      </c>
      <c r="C1420" s="13">
        <v>0</v>
      </c>
      <c r="D1420" s="13">
        <v>1</v>
      </c>
      <c r="E1420" s="13">
        <v>119808</v>
      </c>
      <c r="F1420" s="13">
        <v>120600</v>
      </c>
      <c r="G1420" s="13">
        <v>828</v>
      </c>
      <c r="H1420" s="13">
        <v>2183288</v>
      </c>
      <c r="I1420" s="13">
        <v>0</v>
      </c>
      <c r="J1420" s="13">
        <v>0</v>
      </c>
      <c r="K1420" s="13">
        <v>30894</v>
      </c>
      <c r="L1420" s="13">
        <v>25</v>
      </c>
      <c r="M1420" s="13">
        <v>3296</v>
      </c>
      <c r="N1420" s="13">
        <v>2431</v>
      </c>
      <c r="O1420" s="13">
        <v>22</v>
      </c>
      <c r="P1420" s="13">
        <v>8</v>
      </c>
      <c r="Q1420" s="13">
        <v>46</v>
      </c>
      <c r="R1420" s="13">
        <v>24</v>
      </c>
      <c r="S1420" s="13">
        <v>0</v>
      </c>
      <c r="T1420" s="23">
        <v>46247.6484375</v>
      </c>
      <c r="U1420" s="55">
        <f t="shared" si="66"/>
        <v>0.16666666666666666</v>
      </c>
      <c r="V1420" s="55">
        <f t="shared" si="67"/>
        <v>0.5</v>
      </c>
      <c r="W1420" s="56">
        <f t="shared" si="68"/>
        <v>21627.333333333332</v>
      </c>
    </row>
    <row r="1421" spans="1:23" x14ac:dyDescent="0.3">
      <c r="A1421" s="13" t="str" cm="1">
        <f t="array" ref="A1421:B1421">INDEX(BenchmarkResults!$B$1:$D$35,SUMPRODUCT((T1421&gt;=BenchmarkResults!$F$3:$F$35)*(mongodb_hardware_log!T1421&lt;BenchmarkResults!$G$3:$G$35)*ROW(BenchmarkResults!$F$3:$F$35)),{1,3})</f>
        <v>q4_category_revenue</v>
      </c>
      <c r="B1421">
        <v>1</v>
      </c>
      <c r="C1421" s="13">
        <v>2</v>
      </c>
      <c r="D1421" s="13">
        <v>0</v>
      </c>
      <c r="E1421" s="13">
        <v>119808</v>
      </c>
      <c r="F1421" s="13">
        <v>132280</v>
      </c>
      <c r="G1421" s="13">
        <v>836</v>
      </c>
      <c r="H1421" s="13">
        <v>2174720</v>
      </c>
      <c r="I1421" s="13">
        <v>2</v>
      </c>
      <c r="J1421" s="13">
        <v>0</v>
      </c>
      <c r="K1421" s="13">
        <v>38046</v>
      </c>
      <c r="L1421" s="13">
        <v>16</v>
      </c>
      <c r="M1421" s="13">
        <v>3279</v>
      </c>
      <c r="N1421" s="13">
        <v>2337</v>
      </c>
      <c r="O1421" s="13">
        <v>16</v>
      </c>
      <c r="P1421" s="13">
        <v>8</v>
      </c>
      <c r="Q1421" s="13">
        <v>47</v>
      </c>
      <c r="R1421" s="13">
        <v>30</v>
      </c>
      <c r="S1421" s="13">
        <v>0</v>
      </c>
      <c r="T1421" s="23">
        <v>46247.648553240739</v>
      </c>
      <c r="U1421" s="55">
        <f t="shared" si="66"/>
        <v>0.5</v>
      </c>
      <c r="V1421" s="55">
        <f t="shared" si="67"/>
        <v>0.5</v>
      </c>
      <c r="W1421" s="56">
        <f t="shared" si="68"/>
        <v>27440.833333333332</v>
      </c>
    </row>
    <row r="1422" spans="1:23" x14ac:dyDescent="0.3">
      <c r="A1422" s="13" t="str" cm="1">
        <f t="array" ref="A1422:B1422">INDEX(BenchmarkResults!$B$1:$D$35,SUMPRODUCT((T1422&gt;=BenchmarkResults!$F$3:$F$35)*(mongodb_hardware_log!T1422&lt;BenchmarkResults!$G$3:$G$35)*ROW(BenchmarkResults!$F$3:$F$35)),{1,3})</f>
        <v>q4_category_revenue</v>
      </c>
      <c r="B1422">
        <v>1</v>
      </c>
      <c r="C1422" s="13">
        <v>0</v>
      </c>
      <c r="D1422" s="13">
        <v>1</v>
      </c>
      <c r="E1422" s="13">
        <v>119808</v>
      </c>
      <c r="F1422" s="13">
        <v>151444</v>
      </c>
      <c r="G1422" s="13">
        <v>844</v>
      </c>
      <c r="H1422" s="13">
        <v>2151672</v>
      </c>
      <c r="I1422" s="13">
        <v>2</v>
      </c>
      <c r="J1422" s="13">
        <v>0</v>
      </c>
      <c r="K1422" s="13">
        <v>36525</v>
      </c>
      <c r="L1422" s="13">
        <v>6</v>
      </c>
      <c r="M1422" s="13">
        <v>3221</v>
      </c>
      <c r="N1422" s="13">
        <v>2284</v>
      </c>
      <c r="O1422" s="13">
        <v>19</v>
      </c>
      <c r="P1422" s="13">
        <v>7</v>
      </c>
      <c r="Q1422" s="13">
        <v>47</v>
      </c>
      <c r="R1422" s="13">
        <v>27</v>
      </c>
      <c r="S1422" s="13">
        <v>0</v>
      </c>
      <c r="T1422" s="23">
        <v>46247.648668981485</v>
      </c>
      <c r="U1422" s="55">
        <f t="shared" si="66"/>
        <v>0.5</v>
      </c>
      <c r="V1422" s="55">
        <f t="shared" si="67"/>
        <v>0.66666666666666663</v>
      </c>
      <c r="W1422" s="56">
        <f t="shared" si="68"/>
        <v>33155.5</v>
      </c>
    </row>
    <row r="1423" spans="1:23" x14ac:dyDescent="0.3">
      <c r="A1423" s="13" t="str" cm="1">
        <f t="array" ref="A1423:B1423">INDEX(BenchmarkResults!$B$1:$D$35,SUMPRODUCT((T1423&gt;=BenchmarkResults!$F$3:$F$35)*(mongodb_hardware_log!T1423&lt;BenchmarkResults!$G$3:$G$35)*ROW(BenchmarkResults!$F$3:$F$35)),{1,3})</f>
        <v>q4_category_revenue</v>
      </c>
      <c r="B1423">
        <v>1</v>
      </c>
      <c r="C1423" s="13">
        <v>2</v>
      </c>
      <c r="D1423" s="13">
        <v>0</v>
      </c>
      <c r="E1423" s="13">
        <v>119808</v>
      </c>
      <c r="F1423" s="13">
        <v>149352</v>
      </c>
      <c r="G1423" s="13">
        <v>884</v>
      </c>
      <c r="H1423" s="13">
        <v>2154532</v>
      </c>
      <c r="I1423" s="13">
        <v>1</v>
      </c>
      <c r="J1423" s="13">
        <v>0</v>
      </c>
      <c r="K1423" s="13">
        <v>33582</v>
      </c>
      <c r="L1423" s="13">
        <v>36</v>
      </c>
      <c r="M1423" s="13">
        <v>3201</v>
      </c>
      <c r="N1423" s="13">
        <v>2380</v>
      </c>
      <c r="O1423" s="13">
        <v>22</v>
      </c>
      <c r="P1423" s="13">
        <v>7</v>
      </c>
      <c r="Q1423" s="13">
        <v>46</v>
      </c>
      <c r="R1423" s="13">
        <v>24</v>
      </c>
      <c r="S1423" s="13">
        <v>0</v>
      </c>
      <c r="T1423" s="23">
        <v>46247.648784722223</v>
      </c>
      <c r="U1423" s="55">
        <f t="shared" si="66"/>
        <v>0.83333333333333337</v>
      </c>
      <c r="V1423" s="55">
        <f t="shared" si="67"/>
        <v>0.5</v>
      </c>
      <c r="W1423" s="56">
        <f t="shared" si="68"/>
        <v>35585.166666666664</v>
      </c>
    </row>
    <row r="1424" spans="1:23" x14ac:dyDescent="0.3">
      <c r="A1424" s="13" t="str" cm="1">
        <f t="array" ref="A1424:B1424">INDEX(BenchmarkResults!$B$1:$D$35,SUMPRODUCT((T1424&gt;=BenchmarkResults!$F$3:$F$35)*(mongodb_hardware_log!T1424&lt;BenchmarkResults!$G$3:$G$35)*ROW(BenchmarkResults!$F$3:$F$35)),{1,3})</f>
        <v>q4_category_revenue</v>
      </c>
      <c r="B1424">
        <v>1</v>
      </c>
      <c r="C1424" s="13">
        <v>1</v>
      </c>
      <c r="D1424" s="13">
        <v>0</v>
      </c>
      <c r="E1424" s="13">
        <v>119808</v>
      </c>
      <c r="F1424" s="13">
        <v>153484</v>
      </c>
      <c r="G1424" s="13">
        <v>892</v>
      </c>
      <c r="H1424" s="13">
        <v>2146708</v>
      </c>
      <c r="I1424" s="13">
        <v>1</v>
      </c>
      <c r="J1424" s="13">
        <v>0</v>
      </c>
      <c r="K1424" s="13">
        <v>38102</v>
      </c>
      <c r="L1424" s="13">
        <v>4</v>
      </c>
      <c r="M1424" s="13">
        <v>3345</v>
      </c>
      <c r="N1424" s="13">
        <v>2381</v>
      </c>
      <c r="O1424" s="13">
        <v>14</v>
      </c>
      <c r="P1424" s="13">
        <v>7</v>
      </c>
      <c r="Q1424" s="13">
        <v>47</v>
      </c>
      <c r="R1424" s="13">
        <v>32</v>
      </c>
      <c r="S1424" s="13">
        <v>0</v>
      </c>
      <c r="T1424" s="23">
        <v>46247.648900462962</v>
      </c>
      <c r="U1424" s="55">
        <f t="shared" si="66"/>
        <v>1</v>
      </c>
      <c r="V1424" s="55">
        <f t="shared" si="67"/>
        <v>0.33333333333333331</v>
      </c>
      <c r="W1424" s="56">
        <f t="shared" si="68"/>
        <v>36092.5</v>
      </c>
    </row>
    <row r="1425" spans="1:23" x14ac:dyDescent="0.3">
      <c r="A1425" s="13" t="str" cm="1">
        <f t="array" ref="A1425:B1425">INDEX(BenchmarkResults!$B$1:$D$35,SUMPRODUCT((T1425&gt;=BenchmarkResults!$F$3:$F$35)*(mongodb_hardware_log!T1425&lt;BenchmarkResults!$G$3:$G$35)*ROW(BenchmarkResults!$F$3:$F$35)),{1,3})</f>
        <v>q4_category_revenue</v>
      </c>
      <c r="B1425">
        <v>1</v>
      </c>
      <c r="C1425" s="13">
        <v>1</v>
      </c>
      <c r="D1425" s="13">
        <v>0</v>
      </c>
      <c r="E1425" s="13">
        <v>119808</v>
      </c>
      <c r="F1425" s="13">
        <v>131760</v>
      </c>
      <c r="G1425" s="13">
        <v>900</v>
      </c>
      <c r="H1425" s="13">
        <v>2163972</v>
      </c>
      <c r="I1425" s="13">
        <v>0</v>
      </c>
      <c r="J1425" s="13">
        <v>0</v>
      </c>
      <c r="K1425" s="13">
        <v>34984</v>
      </c>
      <c r="L1425" s="13">
        <v>23</v>
      </c>
      <c r="M1425" s="13">
        <v>3312</v>
      </c>
      <c r="N1425" s="13">
        <v>2396</v>
      </c>
      <c r="O1425" s="13">
        <v>21</v>
      </c>
      <c r="P1425" s="13">
        <v>7</v>
      </c>
      <c r="Q1425" s="13">
        <v>46</v>
      </c>
      <c r="R1425" s="13">
        <v>25</v>
      </c>
      <c r="S1425" s="13">
        <v>0</v>
      </c>
      <c r="T1425" s="23">
        <v>46247.649016203701</v>
      </c>
      <c r="U1425" s="55">
        <f t="shared" si="66"/>
        <v>1</v>
      </c>
      <c r="V1425" s="55">
        <f t="shared" si="67"/>
        <v>0.33333333333333331</v>
      </c>
      <c r="W1425" s="56">
        <f t="shared" si="68"/>
        <v>35355.5</v>
      </c>
    </row>
    <row r="1426" spans="1:23" x14ac:dyDescent="0.3">
      <c r="A1426" s="13" t="str" cm="1">
        <f t="array" ref="A1426:B1426">INDEX(BenchmarkResults!$B$1:$D$35,SUMPRODUCT((T1426&gt;=BenchmarkResults!$F$3:$F$35)*(mongodb_hardware_log!T1426&lt;BenchmarkResults!$G$3:$G$35)*ROW(BenchmarkResults!$F$3:$F$35)),{1,3})</f>
        <v>q4_category_revenue</v>
      </c>
      <c r="B1426">
        <v>1</v>
      </c>
      <c r="C1426" s="13">
        <v>0</v>
      </c>
      <c r="D1426" s="13">
        <v>1</v>
      </c>
      <c r="E1426" s="13">
        <v>119808</v>
      </c>
      <c r="F1426" s="13">
        <v>143548</v>
      </c>
      <c r="G1426" s="13">
        <v>908</v>
      </c>
      <c r="H1426" s="13">
        <v>2143900</v>
      </c>
      <c r="I1426" s="13">
        <v>0</v>
      </c>
      <c r="J1426" s="13">
        <v>0</v>
      </c>
      <c r="K1426" s="13">
        <v>31264</v>
      </c>
      <c r="L1426" s="13">
        <v>9</v>
      </c>
      <c r="M1426" s="13">
        <v>3083</v>
      </c>
      <c r="N1426" s="13">
        <v>2153</v>
      </c>
      <c r="O1426" s="13">
        <v>21</v>
      </c>
      <c r="P1426" s="13">
        <v>7</v>
      </c>
      <c r="Q1426" s="13">
        <v>46</v>
      </c>
      <c r="R1426" s="13">
        <v>25</v>
      </c>
      <c r="S1426" s="13">
        <v>0</v>
      </c>
      <c r="T1426" s="23">
        <v>46247.649131944447</v>
      </c>
      <c r="U1426" s="55">
        <f t="shared" si="66"/>
        <v>1</v>
      </c>
      <c r="V1426" s="55">
        <f t="shared" si="67"/>
        <v>0.33333333333333331</v>
      </c>
      <c r="W1426" s="56">
        <f t="shared" si="68"/>
        <v>35417.166666666664</v>
      </c>
    </row>
    <row r="1427" spans="1:23" x14ac:dyDescent="0.3">
      <c r="A1427" s="13" t="str" cm="1">
        <f t="array" ref="A1427:B1427">INDEX(BenchmarkResults!$B$1:$D$35,SUMPRODUCT((T1427&gt;=BenchmarkResults!$F$3:$F$35)*(mongodb_hardware_log!T1427&lt;BenchmarkResults!$G$3:$G$35)*ROW(BenchmarkResults!$F$3:$F$35)),{1,3})</f>
        <v>q4_category_revenue</v>
      </c>
      <c r="B1427">
        <v>1</v>
      </c>
      <c r="C1427" s="13">
        <v>1</v>
      </c>
      <c r="D1427" s="13">
        <v>0</v>
      </c>
      <c r="E1427" s="13">
        <v>119808</v>
      </c>
      <c r="F1427" s="13">
        <v>117832</v>
      </c>
      <c r="G1427" s="13">
        <v>924</v>
      </c>
      <c r="H1427" s="13">
        <v>2170184</v>
      </c>
      <c r="I1427" s="13">
        <v>0</v>
      </c>
      <c r="J1427" s="13">
        <v>0</v>
      </c>
      <c r="K1427" s="13">
        <v>35834</v>
      </c>
      <c r="L1427" s="13">
        <v>30</v>
      </c>
      <c r="M1427" s="13">
        <v>2705</v>
      </c>
      <c r="N1427" s="13">
        <v>1942</v>
      </c>
      <c r="O1427" s="13">
        <v>13</v>
      </c>
      <c r="P1427" s="13">
        <v>6</v>
      </c>
      <c r="Q1427" s="13">
        <v>48</v>
      </c>
      <c r="R1427" s="13">
        <v>32</v>
      </c>
      <c r="S1427" s="13">
        <v>1</v>
      </c>
      <c r="T1427" s="23">
        <v>46247.649247685185</v>
      </c>
      <c r="U1427" s="55">
        <f t="shared" si="66"/>
        <v>0.83333333333333337</v>
      </c>
      <c r="V1427" s="55">
        <f t="shared" si="67"/>
        <v>0.33333333333333331</v>
      </c>
      <c r="W1427" s="56">
        <f t="shared" si="68"/>
        <v>35048.5</v>
      </c>
    </row>
    <row r="1428" spans="1:23" x14ac:dyDescent="0.3">
      <c r="A1428" s="13" t="str" cm="1">
        <f t="array" ref="A1428:B1428">INDEX(BenchmarkResults!$B$1:$D$35,SUMPRODUCT((T1428&gt;=BenchmarkResults!$F$3:$F$35)*(mongodb_hardware_log!T1428&lt;BenchmarkResults!$G$3:$G$35)*ROW(BenchmarkResults!$F$3:$F$35)),{1,3})</f>
        <v>q4_category_revenue</v>
      </c>
      <c r="B1428">
        <v>1</v>
      </c>
      <c r="C1428" s="13">
        <v>1</v>
      </c>
      <c r="D1428" s="13">
        <v>0</v>
      </c>
      <c r="E1428" s="13">
        <v>119808</v>
      </c>
      <c r="F1428" s="13">
        <v>133580</v>
      </c>
      <c r="G1428" s="13">
        <v>932</v>
      </c>
      <c r="H1428" s="13">
        <v>2164496</v>
      </c>
      <c r="I1428" s="13">
        <v>1</v>
      </c>
      <c r="J1428" s="13">
        <v>0</v>
      </c>
      <c r="K1428" s="13">
        <v>27147</v>
      </c>
      <c r="L1428" s="13">
        <v>6</v>
      </c>
      <c r="M1428" s="13">
        <v>3043</v>
      </c>
      <c r="N1428" s="13">
        <v>2212</v>
      </c>
      <c r="O1428" s="13">
        <v>22</v>
      </c>
      <c r="P1428" s="13">
        <v>7</v>
      </c>
      <c r="Q1428" s="13">
        <v>46</v>
      </c>
      <c r="R1428" s="13">
        <v>24</v>
      </c>
      <c r="S1428" s="13">
        <v>1</v>
      </c>
      <c r="T1428" s="23">
        <v>46247.649363425924</v>
      </c>
      <c r="U1428" s="55">
        <f t="shared" si="66"/>
        <v>1</v>
      </c>
      <c r="V1428" s="55">
        <f t="shared" si="67"/>
        <v>0.16666666666666666</v>
      </c>
      <c r="W1428" s="56">
        <f t="shared" si="68"/>
        <v>33485.5</v>
      </c>
    </row>
    <row r="1429" spans="1:23" x14ac:dyDescent="0.3">
      <c r="A1429" s="13" t="str" cm="1">
        <f t="array" ref="A1429:B1429">INDEX(BenchmarkResults!$B$1:$D$35,SUMPRODUCT((T1429&gt;=BenchmarkResults!$F$3:$F$35)*(mongodb_hardware_log!T1429&lt;BenchmarkResults!$G$3:$G$35)*ROW(BenchmarkResults!$F$3:$F$35)),{1,3})</f>
        <v>q4_category_revenue</v>
      </c>
      <c r="B1429">
        <v>1</v>
      </c>
      <c r="C1429" s="13">
        <v>1</v>
      </c>
      <c r="D1429" s="13">
        <v>0</v>
      </c>
      <c r="E1429" s="13">
        <v>119808</v>
      </c>
      <c r="F1429" s="13">
        <v>104968</v>
      </c>
      <c r="G1429" s="13">
        <v>972</v>
      </c>
      <c r="H1429" s="13">
        <v>2187520</v>
      </c>
      <c r="I1429" s="13">
        <v>1</v>
      </c>
      <c r="J1429" s="13">
        <v>0</v>
      </c>
      <c r="K1429" s="13">
        <v>35577</v>
      </c>
      <c r="L1429" s="13">
        <v>42</v>
      </c>
      <c r="M1429" s="13">
        <v>3097</v>
      </c>
      <c r="N1429" s="13">
        <v>2131</v>
      </c>
      <c r="O1429" s="13">
        <v>19</v>
      </c>
      <c r="P1429" s="13">
        <v>6</v>
      </c>
      <c r="Q1429" s="13">
        <v>47</v>
      </c>
      <c r="R1429" s="13">
        <v>27</v>
      </c>
      <c r="S1429" s="13">
        <v>0</v>
      </c>
      <c r="T1429" s="23">
        <v>46247.64947916667</v>
      </c>
      <c r="U1429" s="55">
        <f t="shared" si="66"/>
        <v>0.83333333333333337</v>
      </c>
      <c r="V1429" s="55">
        <f t="shared" si="67"/>
        <v>0.16666666666666666</v>
      </c>
      <c r="W1429" s="56">
        <f t="shared" si="68"/>
        <v>33818</v>
      </c>
    </row>
    <row r="1430" spans="1:23" x14ac:dyDescent="0.3">
      <c r="A1430" s="13" t="str" cm="1">
        <f t="array" ref="A1430:B1430">INDEX(BenchmarkResults!$B$1:$D$35,SUMPRODUCT((T1430&gt;=BenchmarkResults!$F$3:$F$35)*(mongodb_hardware_log!T1430&lt;BenchmarkResults!$G$3:$G$35)*ROW(BenchmarkResults!$F$3:$F$35)),{1,3})</f>
        <v>q4_category_revenue</v>
      </c>
      <c r="B1430">
        <v>1</v>
      </c>
      <c r="C1430" s="13">
        <v>1</v>
      </c>
      <c r="D1430" s="13">
        <v>0</v>
      </c>
      <c r="E1430" s="13">
        <v>119808</v>
      </c>
      <c r="F1430" s="13">
        <v>112640</v>
      </c>
      <c r="G1430" s="13">
        <v>980</v>
      </c>
      <c r="H1430" s="13">
        <v>2179512</v>
      </c>
      <c r="I1430" s="13">
        <v>0</v>
      </c>
      <c r="J1430" s="13">
        <v>0</v>
      </c>
      <c r="K1430" s="13">
        <v>37981</v>
      </c>
      <c r="L1430" s="13">
        <v>6</v>
      </c>
      <c r="M1430" s="13">
        <v>3294</v>
      </c>
      <c r="N1430" s="13">
        <v>2304</v>
      </c>
      <c r="O1430" s="13">
        <v>16</v>
      </c>
      <c r="P1430" s="13">
        <v>7</v>
      </c>
      <c r="Q1430" s="13">
        <v>47</v>
      </c>
      <c r="R1430" s="13">
        <v>30</v>
      </c>
      <c r="S1430" s="13">
        <v>0</v>
      </c>
      <c r="T1430" s="23">
        <v>46247.649594907409</v>
      </c>
      <c r="U1430" s="55">
        <f t="shared" si="66"/>
        <v>0.83333333333333337</v>
      </c>
      <c r="V1430" s="55">
        <f t="shared" si="67"/>
        <v>0.16666666666666666</v>
      </c>
      <c r="W1430" s="56">
        <f t="shared" si="68"/>
        <v>33797.833333333336</v>
      </c>
    </row>
    <row r="1431" spans="1:23" x14ac:dyDescent="0.3">
      <c r="A1431" s="13" t="str" cm="1">
        <f t="array" ref="A1431:B1431">INDEX(BenchmarkResults!$B$1:$D$35,SUMPRODUCT((T1431&gt;=BenchmarkResults!$F$3:$F$35)*(mongodb_hardware_log!T1431&lt;BenchmarkResults!$G$3:$G$35)*ROW(BenchmarkResults!$F$3:$F$35)),{1,3})</f>
        <v>q4_category_revenue</v>
      </c>
      <c r="B1431">
        <v>1</v>
      </c>
      <c r="C1431" s="13">
        <v>1</v>
      </c>
      <c r="D1431" s="13">
        <v>0</v>
      </c>
      <c r="E1431" s="13">
        <v>119808</v>
      </c>
      <c r="F1431" s="13">
        <v>587052</v>
      </c>
      <c r="G1431" s="13">
        <v>420</v>
      </c>
      <c r="H1431" s="13">
        <v>1685004</v>
      </c>
      <c r="I1431" s="13">
        <v>0</v>
      </c>
      <c r="J1431" s="13">
        <v>2</v>
      </c>
      <c r="K1431" s="13">
        <v>25766</v>
      </c>
      <c r="L1431" s="13">
        <v>31</v>
      </c>
      <c r="M1431" s="13">
        <v>3433</v>
      </c>
      <c r="N1431" s="13">
        <v>2417</v>
      </c>
      <c r="O1431" s="13">
        <v>25</v>
      </c>
      <c r="P1431" s="13">
        <v>16</v>
      </c>
      <c r="Q1431" s="13">
        <v>39</v>
      </c>
      <c r="R1431" s="13">
        <v>21</v>
      </c>
      <c r="S1431" s="13">
        <v>0</v>
      </c>
      <c r="T1431" s="23">
        <v>46247.649710648147</v>
      </c>
      <c r="U1431" s="55">
        <f t="shared" si="66"/>
        <v>0.83333333333333337</v>
      </c>
      <c r="V1431" s="55">
        <f t="shared" si="67"/>
        <v>0.16666666666666666</v>
      </c>
      <c r="W1431" s="56">
        <f t="shared" si="68"/>
        <v>32261.5</v>
      </c>
    </row>
    <row r="1432" spans="1:23" x14ac:dyDescent="0.3">
      <c r="A1432" s="13" t="str" cm="1">
        <f t="array" ref="A1432:B1432">INDEX(BenchmarkResults!$B$1:$D$35,SUMPRODUCT((T1432&gt;=BenchmarkResults!$F$3:$F$35)*(mongodb_hardware_log!T1432&lt;BenchmarkResults!$G$3:$G$35)*ROW(BenchmarkResults!$F$3:$F$35)),{1,3})</f>
        <v>q4_category_revenue</v>
      </c>
      <c r="B1432">
        <v>1</v>
      </c>
      <c r="C1432" s="13">
        <v>1</v>
      </c>
      <c r="D1432" s="13">
        <v>0</v>
      </c>
      <c r="E1432" s="13">
        <v>119808</v>
      </c>
      <c r="F1432" s="13">
        <v>314316</v>
      </c>
      <c r="G1432" s="13">
        <v>428</v>
      </c>
      <c r="H1432" s="13">
        <v>2005384</v>
      </c>
      <c r="I1432" s="13">
        <v>1</v>
      </c>
      <c r="J1432" s="13">
        <v>0</v>
      </c>
      <c r="K1432" s="13">
        <v>32045</v>
      </c>
      <c r="L1432" s="13">
        <v>7</v>
      </c>
      <c r="M1432" s="13">
        <v>3019</v>
      </c>
      <c r="N1432" s="13">
        <v>2026</v>
      </c>
      <c r="O1432" s="13">
        <v>12</v>
      </c>
      <c r="P1432" s="13">
        <v>11</v>
      </c>
      <c r="Q1432" s="13">
        <v>47</v>
      </c>
      <c r="R1432" s="13">
        <v>30</v>
      </c>
      <c r="S1432" s="13">
        <v>0</v>
      </c>
      <c r="T1432" s="23">
        <v>46247.649826388886</v>
      </c>
      <c r="U1432" s="55">
        <f t="shared" si="66"/>
        <v>1</v>
      </c>
      <c r="V1432" s="55">
        <f t="shared" si="67"/>
        <v>0</v>
      </c>
      <c r="W1432" s="56">
        <f t="shared" si="68"/>
        <v>32391.666666666668</v>
      </c>
    </row>
    <row r="1433" spans="1:23" x14ac:dyDescent="0.3">
      <c r="A1433" s="13" t="str" cm="1">
        <f t="array" ref="A1433:B1433">INDEX(BenchmarkResults!$B$1:$D$35,SUMPRODUCT((T1433&gt;=BenchmarkResults!$F$3:$F$35)*(mongodb_hardware_log!T1433&lt;BenchmarkResults!$G$3:$G$35)*ROW(BenchmarkResults!$F$3:$F$35)),{1,3})</f>
        <v>q4_category_revenue</v>
      </c>
      <c r="B1433">
        <v>1</v>
      </c>
      <c r="C1433" s="13">
        <v>1</v>
      </c>
      <c r="D1433" s="13">
        <v>0</v>
      </c>
      <c r="E1433" s="13">
        <v>119808</v>
      </c>
      <c r="F1433" s="13">
        <v>127108</v>
      </c>
      <c r="G1433" s="13">
        <v>444</v>
      </c>
      <c r="H1433" s="13">
        <v>2197912</v>
      </c>
      <c r="I1433" s="13">
        <v>0</v>
      </c>
      <c r="J1433" s="13">
        <v>0</v>
      </c>
      <c r="K1433" s="13">
        <v>24802</v>
      </c>
      <c r="L1433" s="13">
        <v>28</v>
      </c>
      <c r="M1433" s="13">
        <v>2796</v>
      </c>
      <c r="N1433" s="13">
        <v>1741</v>
      </c>
      <c r="O1433" s="13">
        <v>16</v>
      </c>
      <c r="P1433" s="13">
        <v>8</v>
      </c>
      <c r="Q1433" s="13">
        <v>47</v>
      </c>
      <c r="R1433" s="13">
        <v>28</v>
      </c>
      <c r="S1433" s="13">
        <v>1</v>
      </c>
      <c r="T1433" s="23">
        <v>46247.649942129632</v>
      </c>
      <c r="U1433" s="55">
        <f t="shared" si="66"/>
        <v>1</v>
      </c>
      <c r="V1433" s="55">
        <f t="shared" si="67"/>
        <v>0</v>
      </c>
      <c r="W1433" s="56">
        <f t="shared" si="68"/>
        <v>30553</v>
      </c>
    </row>
    <row r="1434" spans="1:23" x14ac:dyDescent="0.3">
      <c r="A1434" s="13" t="str" cm="1">
        <f t="array" ref="A1434:B1434">INDEX(BenchmarkResults!$B$1:$D$35,SUMPRODUCT((T1434&gt;=BenchmarkResults!$F$3:$F$35)*(mongodb_hardware_log!T1434&lt;BenchmarkResults!$G$3:$G$35)*ROW(BenchmarkResults!$F$3:$F$35)),{1,3})</f>
        <v>q4_category_revenue</v>
      </c>
      <c r="B1434">
        <v>1</v>
      </c>
      <c r="C1434" s="13">
        <v>1</v>
      </c>
      <c r="D1434" s="13">
        <v>0</v>
      </c>
      <c r="E1434" s="13">
        <v>119808</v>
      </c>
      <c r="F1434" s="13">
        <v>144636</v>
      </c>
      <c r="G1434" s="13">
        <v>468</v>
      </c>
      <c r="H1434" s="13">
        <v>2186844</v>
      </c>
      <c r="I1434" s="13">
        <v>0</v>
      </c>
      <c r="J1434" s="13">
        <v>0</v>
      </c>
      <c r="K1434" s="13">
        <v>26855</v>
      </c>
      <c r="L1434" s="13">
        <v>20</v>
      </c>
      <c r="M1434" s="13">
        <v>2978</v>
      </c>
      <c r="N1434" s="13">
        <v>1918</v>
      </c>
      <c r="O1434" s="13">
        <v>15</v>
      </c>
      <c r="P1434" s="13">
        <v>6</v>
      </c>
      <c r="Q1434" s="13">
        <v>47</v>
      </c>
      <c r="R1434" s="13">
        <v>31</v>
      </c>
      <c r="S1434" s="13">
        <v>1</v>
      </c>
      <c r="T1434" s="23">
        <v>46247.650057870371</v>
      </c>
      <c r="U1434" s="55">
        <f t="shared" si="66"/>
        <v>1</v>
      </c>
      <c r="V1434" s="55">
        <f t="shared" si="67"/>
        <v>0</v>
      </c>
      <c r="W1434" s="56">
        <f t="shared" si="68"/>
        <v>30504.333333333332</v>
      </c>
    </row>
    <row r="1435" spans="1:23" x14ac:dyDescent="0.3">
      <c r="A1435" s="13" t="str" cm="1">
        <f t="array" ref="A1435:B1435">INDEX(BenchmarkResults!$B$1:$D$35,SUMPRODUCT((T1435&gt;=BenchmarkResults!$F$3:$F$35)*(mongodb_hardware_log!T1435&lt;BenchmarkResults!$G$3:$G$35)*ROW(BenchmarkResults!$F$3:$F$35)),{1,3})</f>
        <v>q4_category_revenue</v>
      </c>
      <c r="B1435">
        <v>1</v>
      </c>
      <c r="C1435" s="13">
        <v>1</v>
      </c>
      <c r="D1435" s="13">
        <v>0</v>
      </c>
      <c r="E1435" s="13">
        <v>119808</v>
      </c>
      <c r="F1435" s="13">
        <v>105272</v>
      </c>
      <c r="G1435" s="13">
        <v>500</v>
      </c>
      <c r="H1435" s="13">
        <v>2217952</v>
      </c>
      <c r="I1435" s="13">
        <v>1</v>
      </c>
      <c r="J1435" s="13">
        <v>0</v>
      </c>
      <c r="K1435" s="13">
        <v>25470</v>
      </c>
      <c r="L1435" s="13">
        <v>29</v>
      </c>
      <c r="M1435" s="13">
        <v>3276</v>
      </c>
      <c r="N1435" s="13">
        <v>2422</v>
      </c>
      <c r="O1435" s="13">
        <v>22</v>
      </c>
      <c r="P1435" s="13">
        <v>7</v>
      </c>
      <c r="Q1435" s="13">
        <v>46</v>
      </c>
      <c r="R1435" s="13">
        <v>24</v>
      </c>
      <c r="S1435" s="13">
        <v>0</v>
      </c>
      <c r="T1435" s="23">
        <v>46247.650173611109</v>
      </c>
      <c r="U1435" s="55">
        <f t="shared" si="66"/>
        <v>1</v>
      </c>
      <c r="V1435" s="55">
        <f t="shared" si="67"/>
        <v>0</v>
      </c>
      <c r="W1435" s="56">
        <f t="shared" si="68"/>
        <v>28819.833333333332</v>
      </c>
    </row>
    <row r="1436" spans="1:23" x14ac:dyDescent="0.3">
      <c r="A1436" s="13" t="str" cm="1">
        <f t="array" ref="A1436:B1436">INDEX(BenchmarkResults!$B$1:$D$35,SUMPRODUCT((T1436&gt;=BenchmarkResults!$F$3:$F$35)*(mongodb_hardware_log!T1436&lt;BenchmarkResults!$G$3:$G$35)*ROW(BenchmarkResults!$F$3:$F$35)),{1,3})</f>
        <v>q4_category_revenue</v>
      </c>
      <c r="B1436">
        <v>1</v>
      </c>
      <c r="C1436" s="13">
        <v>0</v>
      </c>
      <c r="D1436" s="13">
        <v>1</v>
      </c>
      <c r="E1436" s="13">
        <v>119808</v>
      </c>
      <c r="F1436" s="13">
        <v>149144</v>
      </c>
      <c r="G1436" s="13">
        <v>508</v>
      </c>
      <c r="H1436" s="13">
        <v>2174476</v>
      </c>
      <c r="I1436" s="13">
        <v>0</v>
      </c>
      <c r="J1436" s="13">
        <v>0</v>
      </c>
      <c r="K1436" s="13">
        <v>23686</v>
      </c>
      <c r="L1436" s="13">
        <v>7</v>
      </c>
      <c r="M1436" s="13">
        <v>3573</v>
      </c>
      <c r="N1436" s="13">
        <v>2633</v>
      </c>
      <c r="O1436" s="13">
        <v>22</v>
      </c>
      <c r="P1436" s="13">
        <v>8</v>
      </c>
      <c r="Q1436" s="13">
        <v>46</v>
      </c>
      <c r="R1436" s="13">
        <v>24</v>
      </c>
      <c r="S1436" s="13">
        <v>0</v>
      </c>
      <c r="T1436" s="23">
        <v>46247.650289351855</v>
      </c>
      <c r="U1436" s="55">
        <f t="shared" si="66"/>
        <v>0.83333333333333337</v>
      </c>
      <c r="V1436" s="55">
        <f t="shared" si="67"/>
        <v>0.16666666666666666</v>
      </c>
      <c r="W1436" s="56">
        <f t="shared" si="68"/>
        <v>26437.333333333332</v>
      </c>
    </row>
    <row r="1437" spans="1:23" x14ac:dyDescent="0.3">
      <c r="A1437" s="13" t="str" cm="1">
        <f t="array" ref="A1437:B1437">INDEX(BenchmarkResults!$B$1:$D$35,SUMPRODUCT((T1437&gt;=BenchmarkResults!$F$3:$F$35)*(mongodb_hardware_log!T1437&lt;BenchmarkResults!$G$3:$G$35)*ROW(BenchmarkResults!$F$3:$F$35)),{1,3})</f>
        <v>q4_category_revenue</v>
      </c>
      <c r="B1437">
        <v>1</v>
      </c>
      <c r="C1437" s="13">
        <v>0</v>
      </c>
      <c r="D1437" s="13">
        <v>1</v>
      </c>
      <c r="E1437" s="13">
        <v>119808</v>
      </c>
      <c r="F1437" s="13">
        <v>129760</v>
      </c>
      <c r="G1437" s="13">
        <v>516</v>
      </c>
      <c r="H1437" s="13">
        <v>2193360</v>
      </c>
      <c r="I1437" s="13">
        <v>1</v>
      </c>
      <c r="J1437" s="13">
        <v>0</v>
      </c>
      <c r="K1437" s="13">
        <v>29866</v>
      </c>
      <c r="L1437" s="13">
        <v>26</v>
      </c>
      <c r="M1437" s="13">
        <v>3658</v>
      </c>
      <c r="N1437" s="13">
        <v>2653</v>
      </c>
      <c r="O1437" s="13">
        <v>18</v>
      </c>
      <c r="P1437" s="13">
        <v>8</v>
      </c>
      <c r="Q1437" s="13">
        <v>46</v>
      </c>
      <c r="R1437" s="13">
        <v>27</v>
      </c>
      <c r="S1437" s="13">
        <v>0</v>
      </c>
      <c r="T1437" s="23">
        <v>46247.650405092594</v>
      </c>
      <c r="U1437" s="55">
        <f t="shared" si="66"/>
        <v>0.66666666666666663</v>
      </c>
      <c r="V1437" s="55">
        <f t="shared" si="67"/>
        <v>0.33333333333333331</v>
      </c>
      <c r="W1437" s="56">
        <f t="shared" si="68"/>
        <v>27120.666666666668</v>
      </c>
    </row>
    <row r="1438" spans="1:23" x14ac:dyDescent="0.3">
      <c r="A1438" s="13" t="str" cm="1">
        <f t="array" ref="A1438:B1438">INDEX(BenchmarkResults!$B$1:$D$35,SUMPRODUCT((T1438&gt;=BenchmarkResults!$F$3:$F$35)*(mongodb_hardware_log!T1438&lt;BenchmarkResults!$G$3:$G$35)*ROW(BenchmarkResults!$F$3:$F$35)),{1,3})</f>
        <v>q4_category_revenue</v>
      </c>
      <c r="B1438">
        <v>1</v>
      </c>
      <c r="C1438" s="13">
        <v>0</v>
      </c>
      <c r="D1438" s="13">
        <v>1</v>
      </c>
      <c r="E1438" s="13">
        <v>119808</v>
      </c>
      <c r="F1438" s="13">
        <v>125912</v>
      </c>
      <c r="G1438" s="13">
        <v>536</v>
      </c>
      <c r="H1438" s="13">
        <v>2188108</v>
      </c>
      <c r="I1438" s="13">
        <v>0</v>
      </c>
      <c r="J1438" s="13">
        <v>0</v>
      </c>
      <c r="K1438" s="13">
        <v>27417</v>
      </c>
      <c r="L1438" s="13">
        <v>18</v>
      </c>
      <c r="M1438" s="13">
        <v>3186</v>
      </c>
      <c r="N1438" s="13">
        <v>2332</v>
      </c>
      <c r="O1438" s="13">
        <v>20</v>
      </c>
      <c r="P1438" s="13">
        <v>7</v>
      </c>
      <c r="Q1438" s="13">
        <v>47</v>
      </c>
      <c r="R1438" s="13">
        <v>26</v>
      </c>
      <c r="S1438" s="13">
        <v>0</v>
      </c>
      <c r="T1438" s="23">
        <v>46247.650520833333</v>
      </c>
      <c r="U1438" s="55">
        <f t="shared" si="66"/>
        <v>0.5</v>
      </c>
      <c r="V1438" s="55">
        <f t="shared" si="67"/>
        <v>0.5</v>
      </c>
      <c r="W1438" s="56">
        <f t="shared" si="68"/>
        <v>26349.333333333332</v>
      </c>
    </row>
    <row r="1439" spans="1:23" x14ac:dyDescent="0.3">
      <c r="A1439" s="13" t="str" cm="1">
        <f t="array" ref="A1439:B1439">INDEX(BenchmarkResults!$B$1:$D$35,SUMPRODUCT((T1439&gt;=BenchmarkResults!$F$3:$F$35)*(mongodb_hardware_log!T1439&lt;BenchmarkResults!$G$3:$G$35)*ROW(BenchmarkResults!$F$3:$F$35)),{1,3})</f>
        <v>q4_category_revenue</v>
      </c>
      <c r="B1439">
        <v>1</v>
      </c>
      <c r="C1439" s="13">
        <v>0</v>
      </c>
      <c r="D1439" s="13">
        <v>1</v>
      </c>
      <c r="E1439" s="13">
        <v>119808</v>
      </c>
      <c r="F1439" s="13">
        <v>115208</v>
      </c>
      <c r="G1439" s="13">
        <v>544</v>
      </c>
      <c r="H1439" s="13">
        <v>2202396</v>
      </c>
      <c r="I1439" s="13">
        <v>0</v>
      </c>
      <c r="J1439" s="13">
        <v>0</v>
      </c>
      <c r="K1439" s="13">
        <v>18197</v>
      </c>
      <c r="L1439" s="13">
        <v>8</v>
      </c>
      <c r="M1439" s="13">
        <v>3188</v>
      </c>
      <c r="N1439" s="13">
        <v>2124</v>
      </c>
      <c r="O1439" s="13">
        <v>22</v>
      </c>
      <c r="P1439" s="13">
        <v>7</v>
      </c>
      <c r="Q1439" s="13">
        <v>46</v>
      </c>
      <c r="R1439" s="13">
        <v>25</v>
      </c>
      <c r="S1439" s="13">
        <v>1</v>
      </c>
      <c r="T1439" s="23">
        <v>46247.650636574072</v>
      </c>
      <c r="U1439" s="55">
        <f t="shared" si="66"/>
        <v>0.33333333333333331</v>
      </c>
      <c r="V1439" s="55">
        <f t="shared" si="67"/>
        <v>0.66666666666666663</v>
      </c>
      <c r="W1439" s="56">
        <f t="shared" si="68"/>
        <v>25248.5</v>
      </c>
    </row>
    <row r="1440" spans="1:23" x14ac:dyDescent="0.3">
      <c r="A1440" s="13" t="str" cm="1">
        <f t="array" ref="A1440:B1440">INDEX(BenchmarkResults!$B$1:$D$35,SUMPRODUCT((T1440&gt;=BenchmarkResults!$F$3:$F$35)*(mongodb_hardware_log!T1440&lt;BenchmarkResults!$G$3:$G$35)*ROW(BenchmarkResults!$F$3:$F$35)),{1,3})</f>
        <v>q4_category_revenue</v>
      </c>
      <c r="B1440">
        <v>1</v>
      </c>
      <c r="C1440" s="13">
        <v>1</v>
      </c>
      <c r="D1440" s="13">
        <v>1</v>
      </c>
      <c r="E1440" s="13">
        <v>119808</v>
      </c>
      <c r="F1440" s="13">
        <v>119804</v>
      </c>
      <c r="G1440" s="13">
        <v>552</v>
      </c>
      <c r="H1440" s="13">
        <v>2205028</v>
      </c>
      <c r="I1440" s="13">
        <v>0</v>
      </c>
      <c r="J1440" s="13">
        <v>0</v>
      </c>
      <c r="K1440" s="13">
        <v>28236</v>
      </c>
      <c r="L1440" s="13">
        <v>18</v>
      </c>
      <c r="M1440" s="13">
        <v>3506</v>
      </c>
      <c r="N1440" s="13">
        <v>2612</v>
      </c>
      <c r="O1440" s="13">
        <v>17</v>
      </c>
      <c r="P1440" s="13">
        <v>8</v>
      </c>
      <c r="Q1440" s="13">
        <v>46</v>
      </c>
      <c r="R1440" s="13">
        <v>28</v>
      </c>
      <c r="S1440" s="13">
        <v>1</v>
      </c>
      <c r="T1440" s="23">
        <v>46247.650752314818</v>
      </c>
      <c r="U1440" s="55">
        <f t="shared" si="66"/>
        <v>0.33333333333333331</v>
      </c>
      <c r="V1440" s="55">
        <f t="shared" si="67"/>
        <v>0.83333333333333337</v>
      </c>
      <c r="W1440" s="56">
        <f t="shared" si="68"/>
        <v>25478.666666666668</v>
      </c>
    </row>
    <row r="1441" spans="1:23" x14ac:dyDescent="0.3">
      <c r="A1441" s="13" t="str" cm="1">
        <f t="array" ref="A1441:B1441">INDEX(BenchmarkResults!$B$1:$D$35,SUMPRODUCT((T1441&gt;=BenchmarkResults!$F$3:$F$35)*(mongodb_hardware_log!T1441&lt;BenchmarkResults!$G$3:$G$35)*ROW(BenchmarkResults!$F$3:$F$35)),{1,3})</f>
        <v>q4_category_revenue</v>
      </c>
      <c r="B1441">
        <v>1</v>
      </c>
      <c r="C1441" s="13">
        <v>0</v>
      </c>
      <c r="D1441" s="13">
        <v>1</v>
      </c>
      <c r="E1441" s="13">
        <v>119808</v>
      </c>
      <c r="F1441" s="13">
        <v>124140</v>
      </c>
      <c r="G1441" s="13">
        <v>584</v>
      </c>
      <c r="H1441" s="13">
        <v>2188664</v>
      </c>
      <c r="I1441" s="13">
        <v>0</v>
      </c>
      <c r="J1441" s="13">
        <v>0</v>
      </c>
      <c r="K1441" s="13">
        <v>26314</v>
      </c>
      <c r="L1441" s="13">
        <v>31</v>
      </c>
      <c r="M1441" s="13">
        <v>3261</v>
      </c>
      <c r="N1441" s="13">
        <v>2346</v>
      </c>
      <c r="O1441" s="13">
        <v>20</v>
      </c>
      <c r="P1441" s="13">
        <v>7</v>
      </c>
      <c r="Q1441" s="13">
        <v>47</v>
      </c>
      <c r="R1441" s="13">
        <v>26</v>
      </c>
      <c r="S1441" s="13">
        <v>0</v>
      </c>
      <c r="T1441" s="23">
        <v>46247.650868055556</v>
      </c>
      <c r="U1441" s="55">
        <f t="shared" si="66"/>
        <v>0.16666666666666666</v>
      </c>
      <c r="V1441" s="55">
        <f t="shared" si="67"/>
        <v>1</v>
      </c>
      <c r="W1441" s="56">
        <f t="shared" si="68"/>
        <v>25619.333333333332</v>
      </c>
    </row>
    <row r="1442" spans="1:23" x14ac:dyDescent="0.3">
      <c r="A1442" s="13" t="str" cm="1">
        <f t="array" ref="A1442:B1442">INDEX(BenchmarkResults!$B$1:$D$35,SUMPRODUCT((T1442&gt;=BenchmarkResults!$F$3:$F$35)*(mongodb_hardware_log!T1442&lt;BenchmarkResults!$G$3:$G$35)*ROW(BenchmarkResults!$F$3:$F$35)),{1,3})</f>
        <v>q4_category_revenue</v>
      </c>
      <c r="B1442">
        <v>1</v>
      </c>
      <c r="C1442" s="13">
        <v>1</v>
      </c>
      <c r="D1442" s="13">
        <v>0</v>
      </c>
      <c r="E1442" s="13">
        <v>119808</v>
      </c>
      <c r="F1442" s="13">
        <v>139676</v>
      </c>
      <c r="G1442" s="13">
        <v>592</v>
      </c>
      <c r="H1442" s="13">
        <v>2177372</v>
      </c>
      <c r="I1442" s="13">
        <v>0</v>
      </c>
      <c r="J1442" s="13">
        <v>0</v>
      </c>
      <c r="K1442" s="13">
        <v>21182</v>
      </c>
      <c r="L1442" s="13">
        <v>8</v>
      </c>
      <c r="M1442" s="13">
        <v>3537</v>
      </c>
      <c r="N1442" s="13">
        <v>2555</v>
      </c>
      <c r="O1442" s="13">
        <v>22</v>
      </c>
      <c r="P1442" s="13">
        <v>8</v>
      </c>
      <c r="Q1442" s="13">
        <v>46</v>
      </c>
      <c r="R1442" s="13">
        <v>24</v>
      </c>
      <c r="S1442" s="13">
        <v>0</v>
      </c>
      <c r="T1442" s="23">
        <v>46247.650983796295</v>
      </c>
      <c r="U1442" s="55">
        <f t="shared" si="66"/>
        <v>0.33333333333333331</v>
      </c>
      <c r="V1442" s="55">
        <f t="shared" si="67"/>
        <v>0.83333333333333337</v>
      </c>
      <c r="W1442" s="56">
        <f t="shared" si="68"/>
        <v>25202</v>
      </c>
    </row>
    <row r="1443" spans="1:23" x14ac:dyDescent="0.3">
      <c r="A1443" s="13" t="str" cm="1">
        <f t="array" ref="A1443:B1443">INDEX(BenchmarkResults!$B$1:$D$35,SUMPRODUCT((T1443&gt;=BenchmarkResults!$F$3:$F$35)*(mongodb_hardware_log!T1443&lt;BenchmarkResults!$G$3:$G$35)*ROW(BenchmarkResults!$F$3:$F$35)),{1,3})</f>
        <v>q4_category_revenue</v>
      </c>
      <c r="B1443">
        <v>1</v>
      </c>
      <c r="C1443" s="13">
        <v>1</v>
      </c>
      <c r="D1443" s="13">
        <v>0</v>
      </c>
      <c r="E1443" s="13">
        <v>119808</v>
      </c>
      <c r="F1443" s="13">
        <v>141868</v>
      </c>
      <c r="G1443" s="13">
        <v>600</v>
      </c>
      <c r="H1443" s="13">
        <v>2180156</v>
      </c>
      <c r="I1443" s="13">
        <v>1</v>
      </c>
      <c r="J1443" s="13">
        <v>0</v>
      </c>
      <c r="K1443" s="13">
        <v>22619</v>
      </c>
      <c r="L1443" s="13">
        <v>29</v>
      </c>
      <c r="M1443" s="13">
        <v>3184</v>
      </c>
      <c r="N1443" s="13">
        <v>2178</v>
      </c>
      <c r="O1443" s="13">
        <v>22</v>
      </c>
      <c r="P1443" s="13">
        <v>6</v>
      </c>
      <c r="Q1443" s="13">
        <v>47</v>
      </c>
      <c r="R1443" s="13">
        <v>24</v>
      </c>
      <c r="S1443" s="13">
        <v>0</v>
      </c>
      <c r="T1443" s="23">
        <v>46247.651099537034</v>
      </c>
      <c r="U1443" s="55">
        <f t="shared" si="66"/>
        <v>0.5</v>
      </c>
      <c r="V1443" s="55">
        <f t="shared" si="67"/>
        <v>0.66666666666666663</v>
      </c>
      <c r="W1443" s="56">
        <f t="shared" si="68"/>
        <v>23994.166666666668</v>
      </c>
    </row>
    <row r="1444" spans="1:23" x14ac:dyDescent="0.3">
      <c r="A1444" s="13" t="str" cm="1">
        <f t="array" ref="A1444:B1444">INDEX(BenchmarkResults!$B$1:$D$35,SUMPRODUCT((T1444&gt;=BenchmarkResults!$F$3:$F$35)*(mongodb_hardware_log!T1444&lt;BenchmarkResults!$G$3:$G$35)*ROW(BenchmarkResults!$F$3:$F$35)),{1,3})</f>
        <v>q4_category_revenue</v>
      </c>
      <c r="B1444">
        <v>1</v>
      </c>
      <c r="C1444" s="13">
        <v>1</v>
      </c>
      <c r="D1444" s="13">
        <v>0</v>
      </c>
      <c r="E1444" s="13">
        <v>119808</v>
      </c>
      <c r="F1444" s="13">
        <v>124616</v>
      </c>
      <c r="G1444" s="13">
        <v>616</v>
      </c>
      <c r="H1444" s="13">
        <v>2191352</v>
      </c>
      <c r="I1444" s="13">
        <v>0</v>
      </c>
      <c r="J1444" s="13">
        <v>0</v>
      </c>
      <c r="K1444" s="13">
        <v>29043</v>
      </c>
      <c r="L1444" s="13">
        <v>24</v>
      </c>
      <c r="M1444" s="13">
        <v>3497</v>
      </c>
      <c r="N1444" s="13">
        <v>2515</v>
      </c>
      <c r="O1444" s="13">
        <v>18</v>
      </c>
      <c r="P1444" s="13">
        <v>8</v>
      </c>
      <c r="Q1444" s="13">
        <v>46</v>
      </c>
      <c r="R1444" s="13">
        <v>28</v>
      </c>
      <c r="S1444" s="13">
        <v>0</v>
      </c>
      <c r="T1444" s="23">
        <v>46247.65121527778</v>
      </c>
      <c r="U1444" s="55">
        <f t="shared" si="66"/>
        <v>0.66666666666666663</v>
      </c>
      <c r="V1444" s="55">
        <f t="shared" si="67"/>
        <v>0.5</v>
      </c>
      <c r="W1444" s="56">
        <f t="shared" si="68"/>
        <v>24265.166666666668</v>
      </c>
    </row>
    <row r="1445" spans="1:23" x14ac:dyDescent="0.3">
      <c r="A1445" s="13" t="str" cm="1">
        <f t="array" ref="A1445:B1445">INDEX(BenchmarkResults!$B$1:$D$35,SUMPRODUCT((T1445&gt;=BenchmarkResults!$F$3:$F$35)*(mongodb_hardware_log!T1445&lt;BenchmarkResults!$G$3:$G$35)*ROW(BenchmarkResults!$F$3:$F$35)),{1,3})</f>
        <v>q4_category_revenue</v>
      </c>
      <c r="B1445">
        <v>1</v>
      </c>
      <c r="C1445" s="13">
        <v>1</v>
      </c>
      <c r="D1445" s="13">
        <v>0</v>
      </c>
      <c r="E1445" s="13">
        <v>119808</v>
      </c>
      <c r="F1445" s="13">
        <v>104976</v>
      </c>
      <c r="G1445" s="13">
        <v>624</v>
      </c>
      <c r="H1445" s="13">
        <v>2209824</v>
      </c>
      <c r="I1445" s="13">
        <v>0</v>
      </c>
      <c r="J1445" s="13">
        <v>0</v>
      </c>
      <c r="K1445" s="13">
        <v>24163</v>
      </c>
      <c r="L1445" s="13">
        <v>12</v>
      </c>
      <c r="M1445" s="13">
        <v>3223</v>
      </c>
      <c r="N1445" s="13">
        <v>2291</v>
      </c>
      <c r="O1445" s="13">
        <v>22</v>
      </c>
      <c r="P1445" s="13">
        <v>7</v>
      </c>
      <c r="Q1445" s="13">
        <v>46</v>
      </c>
      <c r="R1445" s="13">
        <v>24</v>
      </c>
      <c r="S1445" s="13">
        <v>0</v>
      </c>
      <c r="T1445" s="23">
        <v>46247.651331018518</v>
      </c>
      <c r="U1445" s="55">
        <f t="shared" si="66"/>
        <v>0.83333333333333337</v>
      </c>
      <c r="V1445" s="55">
        <f t="shared" si="67"/>
        <v>0.33333333333333331</v>
      </c>
      <c r="W1445" s="56">
        <f t="shared" si="68"/>
        <v>25259.5</v>
      </c>
    </row>
    <row r="1446" spans="1:23" x14ac:dyDescent="0.3">
      <c r="A1446" s="13" t="str" cm="1">
        <f t="array" ref="A1446:B1446">INDEX(BenchmarkResults!$B$1:$D$35,SUMPRODUCT((T1446&gt;=BenchmarkResults!$F$3:$F$35)*(mongodb_hardware_log!T1446&lt;BenchmarkResults!$G$3:$G$35)*ROW(BenchmarkResults!$F$3:$F$35)),{1,3})</f>
        <v>q4_category_revenue</v>
      </c>
      <c r="B1446">
        <v>1</v>
      </c>
      <c r="C1446" s="13">
        <v>1</v>
      </c>
      <c r="D1446" s="13">
        <v>0</v>
      </c>
      <c r="E1446" s="13">
        <v>119808</v>
      </c>
      <c r="F1446" s="13">
        <v>112776</v>
      </c>
      <c r="G1446" s="13">
        <v>632</v>
      </c>
      <c r="H1446" s="13">
        <v>2200188</v>
      </c>
      <c r="I1446" s="13">
        <v>0</v>
      </c>
      <c r="J1446" s="13">
        <v>0</v>
      </c>
      <c r="K1446" s="13">
        <v>21378</v>
      </c>
      <c r="L1446" s="13">
        <v>13</v>
      </c>
      <c r="M1446" s="13">
        <v>3467</v>
      </c>
      <c r="N1446" s="13">
        <v>2463</v>
      </c>
      <c r="O1446" s="13">
        <v>22</v>
      </c>
      <c r="P1446" s="13">
        <v>8</v>
      </c>
      <c r="Q1446" s="13">
        <v>46</v>
      </c>
      <c r="R1446" s="13">
        <v>24</v>
      </c>
      <c r="S1446" s="13">
        <v>0</v>
      </c>
      <c r="T1446" s="23">
        <v>46247.651446759257</v>
      </c>
      <c r="U1446" s="55">
        <f t="shared" si="66"/>
        <v>0.83333333333333337</v>
      </c>
      <c r="V1446" s="55">
        <f t="shared" si="67"/>
        <v>0.16666666666666666</v>
      </c>
      <c r="W1446" s="56">
        <f t="shared" si="68"/>
        <v>24116.5</v>
      </c>
    </row>
    <row r="1447" spans="1:23" x14ac:dyDescent="0.3">
      <c r="A1447" s="13" t="str" cm="1">
        <f t="array" ref="A1447:B1447">INDEX(BenchmarkResults!$B$1:$D$35,SUMPRODUCT((T1447&gt;=BenchmarkResults!$F$3:$F$35)*(mongodb_hardware_log!T1447&lt;BenchmarkResults!$G$3:$G$35)*ROW(BenchmarkResults!$F$3:$F$35)),{1,3})</f>
        <v>q4_category_revenue</v>
      </c>
      <c r="B1447">
        <v>1</v>
      </c>
      <c r="C1447" s="13">
        <v>1</v>
      </c>
      <c r="D1447" s="13">
        <v>0</v>
      </c>
      <c r="E1447" s="13">
        <v>119808</v>
      </c>
      <c r="F1447" s="13">
        <v>157820</v>
      </c>
      <c r="G1447" s="13">
        <v>664</v>
      </c>
      <c r="H1447" s="13">
        <v>2159712</v>
      </c>
      <c r="I1447" s="13">
        <v>0</v>
      </c>
      <c r="J1447" s="13">
        <v>0</v>
      </c>
      <c r="K1447" s="13">
        <v>29426</v>
      </c>
      <c r="L1447" s="13">
        <v>31</v>
      </c>
      <c r="M1447" s="13">
        <v>3414</v>
      </c>
      <c r="N1447" s="13">
        <v>2467</v>
      </c>
      <c r="O1447" s="13">
        <v>17</v>
      </c>
      <c r="P1447" s="13">
        <v>7</v>
      </c>
      <c r="Q1447" s="13">
        <v>46</v>
      </c>
      <c r="R1447" s="13">
        <v>28</v>
      </c>
      <c r="S1447" s="13">
        <v>0</v>
      </c>
      <c r="T1447" s="23">
        <v>46247.651562500003</v>
      </c>
      <c r="U1447" s="55">
        <f t="shared" si="66"/>
        <v>1</v>
      </c>
      <c r="V1447" s="55">
        <f t="shared" si="67"/>
        <v>0</v>
      </c>
      <c r="W1447" s="56">
        <f t="shared" si="68"/>
        <v>24635.166666666668</v>
      </c>
    </row>
    <row r="1448" spans="1:23" x14ac:dyDescent="0.3">
      <c r="A1448" s="13" t="str" cm="1">
        <f t="array" ref="A1448:B1448">INDEX(BenchmarkResults!$B$1:$D$35,SUMPRODUCT((T1448&gt;=BenchmarkResults!$F$3:$F$35)*(mongodb_hardware_log!T1448&lt;BenchmarkResults!$G$3:$G$35)*ROW(BenchmarkResults!$F$3:$F$35)),{1,3})</f>
        <v>q4_category_revenue</v>
      </c>
      <c r="B1448">
        <v>1</v>
      </c>
      <c r="C1448" s="13">
        <v>0</v>
      </c>
      <c r="D1448" s="13">
        <v>1</v>
      </c>
      <c r="E1448" s="13">
        <v>119808</v>
      </c>
      <c r="F1448" s="13">
        <v>132232</v>
      </c>
      <c r="G1448" s="13">
        <v>672</v>
      </c>
      <c r="H1448" s="13">
        <v>2174908</v>
      </c>
      <c r="I1448" s="13">
        <v>2</v>
      </c>
      <c r="J1448" s="13">
        <v>0</v>
      </c>
      <c r="K1448" s="13">
        <v>23841</v>
      </c>
      <c r="L1448" s="13">
        <v>10</v>
      </c>
      <c r="M1448" s="13">
        <v>3444</v>
      </c>
      <c r="N1448" s="13">
        <v>2518</v>
      </c>
      <c r="O1448" s="13">
        <v>21</v>
      </c>
      <c r="P1448" s="13">
        <v>8</v>
      </c>
      <c r="Q1448" s="13">
        <v>46</v>
      </c>
      <c r="R1448" s="13">
        <v>25</v>
      </c>
      <c r="S1448" s="13">
        <v>0</v>
      </c>
      <c r="T1448" s="23">
        <v>46247.651678240742</v>
      </c>
      <c r="U1448" s="55">
        <f t="shared" si="66"/>
        <v>0.83333333333333337</v>
      </c>
      <c r="V1448" s="55">
        <f t="shared" si="67"/>
        <v>0.16666666666666666</v>
      </c>
      <c r="W1448" s="56">
        <f t="shared" si="68"/>
        <v>25078.333333333332</v>
      </c>
    </row>
    <row r="1449" spans="1:23" x14ac:dyDescent="0.3">
      <c r="A1449" s="13" t="str" cm="1">
        <f t="array" ref="A1449:B1449">INDEX(BenchmarkResults!$B$1:$D$35,SUMPRODUCT((T1449&gt;=BenchmarkResults!$F$3:$F$35)*(mongodb_hardware_log!T1449&lt;BenchmarkResults!$G$3:$G$35)*ROW(BenchmarkResults!$F$3:$F$35)),{1,3})</f>
        <v>q4_category_revenue</v>
      </c>
      <c r="B1449">
        <v>1</v>
      </c>
      <c r="C1449" s="13">
        <v>0</v>
      </c>
      <c r="D1449" s="13">
        <v>1</v>
      </c>
      <c r="E1449" s="13">
        <v>119808</v>
      </c>
      <c r="F1449" s="13">
        <v>152848</v>
      </c>
      <c r="G1449" s="13">
        <v>680</v>
      </c>
      <c r="H1449" s="13">
        <v>2155804</v>
      </c>
      <c r="I1449" s="13">
        <v>0</v>
      </c>
      <c r="J1449" s="13">
        <v>0</v>
      </c>
      <c r="K1449" s="13">
        <v>20408</v>
      </c>
      <c r="L1449" s="13">
        <v>13</v>
      </c>
      <c r="M1449" s="13">
        <v>3327</v>
      </c>
      <c r="N1449" s="13">
        <v>2245</v>
      </c>
      <c r="O1449" s="13">
        <v>21</v>
      </c>
      <c r="P1449" s="13">
        <v>7</v>
      </c>
      <c r="Q1449" s="13">
        <v>46</v>
      </c>
      <c r="R1449" s="13">
        <v>25</v>
      </c>
      <c r="S1449" s="13">
        <v>1</v>
      </c>
      <c r="T1449" s="23">
        <v>46247.65179398148</v>
      </c>
      <c r="U1449" s="55">
        <f t="shared" si="66"/>
        <v>0.66666666666666663</v>
      </c>
      <c r="V1449" s="55">
        <f t="shared" si="67"/>
        <v>0.33333333333333331</v>
      </c>
      <c r="W1449" s="56">
        <f t="shared" si="68"/>
        <v>24709.833333333332</v>
      </c>
    </row>
    <row r="1450" spans="1:23" x14ac:dyDescent="0.3">
      <c r="A1450" s="13" t="str" cm="1">
        <f t="array" ref="A1450:B1450">INDEX(BenchmarkResults!$B$1:$D$35,SUMPRODUCT((T1450&gt;=BenchmarkResults!$F$3:$F$35)*(mongodb_hardware_log!T1450&lt;BenchmarkResults!$G$3:$G$35)*ROW(BenchmarkResults!$F$3:$F$35)),{1,3})</f>
        <v>q4_category_revenue</v>
      </c>
      <c r="B1450">
        <v>1</v>
      </c>
      <c r="C1450" s="13">
        <v>0</v>
      </c>
      <c r="D1450" s="13">
        <v>1</v>
      </c>
      <c r="E1450" s="13">
        <v>119808</v>
      </c>
      <c r="F1450" s="13">
        <v>122408</v>
      </c>
      <c r="G1450" s="13">
        <v>688</v>
      </c>
      <c r="H1450" s="13">
        <v>2187856</v>
      </c>
      <c r="I1450" s="13">
        <v>2</v>
      </c>
      <c r="J1450" s="13">
        <v>0</v>
      </c>
      <c r="K1450" s="13">
        <v>25493</v>
      </c>
      <c r="L1450" s="13">
        <v>19</v>
      </c>
      <c r="M1450" s="13">
        <v>3417</v>
      </c>
      <c r="N1450" s="13">
        <v>2475</v>
      </c>
      <c r="O1450" s="13">
        <v>15</v>
      </c>
      <c r="P1450" s="13">
        <v>7</v>
      </c>
      <c r="Q1450" s="13">
        <v>46</v>
      </c>
      <c r="R1450" s="13">
        <v>30</v>
      </c>
      <c r="S1450" s="13">
        <v>1</v>
      </c>
      <c r="T1450" s="23">
        <v>46247.651909722219</v>
      </c>
      <c r="U1450" s="55">
        <f t="shared" si="66"/>
        <v>0.5</v>
      </c>
      <c r="V1450" s="55">
        <f t="shared" si="67"/>
        <v>0.5</v>
      </c>
      <c r="W1450" s="56">
        <f t="shared" si="68"/>
        <v>24118.166666666668</v>
      </c>
    </row>
    <row r="1451" spans="1:23" x14ac:dyDescent="0.3">
      <c r="A1451" s="13" t="str" cm="1">
        <f t="array" ref="A1451:B1451">INDEX(BenchmarkResults!$B$1:$D$35,SUMPRODUCT((T1451&gt;=BenchmarkResults!$F$3:$F$35)*(mongodb_hardware_log!T1451&lt;BenchmarkResults!$G$3:$G$35)*ROW(BenchmarkResults!$F$3:$F$35)),{1,3})</f>
        <v>q4_category_revenue</v>
      </c>
      <c r="B1451">
        <v>1</v>
      </c>
      <c r="C1451" s="13">
        <v>0</v>
      </c>
      <c r="D1451" s="13">
        <v>1</v>
      </c>
      <c r="E1451" s="13">
        <v>119808</v>
      </c>
      <c r="F1451" s="13">
        <v>135276</v>
      </c>
      <c r="G1451" s="13">
        <v>696</v>
      </c>
      <c r="H1451" s="13">
        <v>2171612</v>
      </c>
      <c r="I1451" s="13">
        <v>2</v>
      </c>
      <c r="J1451" s="13">
        <v>0</v>
      </c>
      <c r="K1451" s="13">
        <v>20664</v>
      </c>
      <c r="L1451" s="13">
        <v>16</v>
      </c>
      <c r="M1451" s="13">
        <v>2984</v>
      </c>
      <c r="N1451" s="13">
        <v>1979</v>
      </c>
      <c r="O1451" s="13">
        <v>21</v>
      </c>
      <c r="P1451" s="13">
        <v>6</v>
      </c>
      <c r="Q1451" s="13">
        <v>47</v>
      </c>
      <c r="R1451" s="13">
        <v>26</v>
      </c>
      <c r="S1451" s="13">
        <v>1</v>
      </c>
      <c r="T1451" s="23">
        <v>46247.652025462965</v>
      </c>
      <c r="U1451" s="55">
        <f t="shared" si="66"/>
        <v>0.33333333333333331</v>
      </c>
      <c r="V1451" s="55">
        <f t="shared" si="67"/>
        <v>0.66666666666666663</v>
      </c>
      <c r="W1451" s="56">
        <f t="shared" si="68"/>
        <v>23535</v>
      </c>
    </row>
    <row r="1452" spans="1:23" x14ac:dyDescent="0.3">
      <c r="A1452" s="13" t="str" cm="1">
        <f t="array" ref="A1452:B1452">INDEX(BenchmarkResults!$B$1:$D$35,SUMPRODUCT((T1452&gt;=BenchmarkResults!$F$3:$F$35)*(mongodb_hardware_log!T1452&lt;BenchmarkResults!$G$3:$G$35)*ROW(BenchmarkResults!$F$3:$F$35)),{1,3})</f>
        <v>q4_category_revenue</v>
      </c>
      <c r="B1452">
        <v>1</v>
      </c>
      <c r="C1452" s="13">
        <v>2</v>
      </c>
      <c r="D1452" s="13">
        <v>0</v>
      </c>
      <c r="E1452" s="13">
        <v>119808</v>
      </c>
      <c r="F1452" s="13">
        <v>137604</v>
      </c>
      <c r="G1452" s="13">
        <v>704</v>
      </c>
      <c r="H1452" s="13">
        <v>2168224</v>
      </c>
      <c r="I1452" s="13">
        <v>0</v>
      </c>
      <c r="J1452" s="13">
        <v>0</v>
      </c>
      <c r="K1452" s="13">
        <v>21976</v>
      </c>
      <c r="L1452" s="13">
        <v>6</v>
      </c>
      <c r="M1452" s="13">
        <v>2975</v>
      </c>
      <c r="N1452" s="13">
        <v>1944</v>
      </c>
      <c r="O1452" s="13">
        <v>18</v>
      </c>
      <c r="P1452" s="13">
        <v>6</v>
      </c>
      <c r="Q1452" s="13">
        <v>47</v>
      </c>
      <c r="R1452" s="13">
        <v>28</v>
      </c>
      <c r="S1452" s="13">
        <v>1</v>
      </c>
      <c r="T1452" s="23">
        <v>46247.652141203704</v>
      </c>
      <c r="U1452" s="55">
        <f t="shared" si="66"/>
        <v>0.5</v>
      </c>
      <c r="V1452" s="55">
        <f t="shared" si="67"/>
        <v>0.66666666666666663</v>
      </c>
      <c r="W1452" s="56">
        <f t="shared" si="68"/>
        <v>23634.666666666668</v>
      </c>
    </row>
    <row r="1453" spans="1:23" x14ac:dyDescent="0.3">
      <c r="A1453" s="13" t="str" cm="1">
        <f t="array" ref="A1453:B1453">INDEX(BenchmarkResults!$B$1:$D$35,SUMPRODUCT((T1453&gt;=BenchmarkResults!$F$3:$F$35)*(mongodb_hardware_log!T1453&lt;BenchmarkResults!$G$3:$G$35)*ROW(BenchmarkResults!$F$3:$F$35)),{1,3})</f>
        <v>q4_category_revenue</v>
      </c>
      <c r="B1453">
        <v>1</v>
      </c>
      <c r="C1453" s="13">
        <v>0</v>
      </c>
      <c r="D1453" s="13">
        <v>1</v>
      </c>
      <c r="E1453" s="13">
        <v>119808</v>
      </c>
      <c r="F1453" s="13">
        <v>110524</v>
      </c>
      <c r="G1453" s="13">
        <v>768</v>
      </c>
      <c r="H1453" s="13">
        <v>2193020</v>
      </c>
      <c r="I1453" s="13">
        <v>1</v>
      </c>
      <c r="J1453" s="13">
        <v>0</v>
      </c>
      <c r="K1453" s="13">
        <v>24746</v>
      </c>
      <c r="L1453" s="13">
        <v>38</v>
      </c>
      <c r="M1453" s="13">
        <v>3329</v>
      </c>
      <c r="N1453" s="13">
        <v>2316</v>
      </c>
      <c r="O1453" s="13">
        <v>18</v>
      </c>
      <c r="P1453" s="13">
        <v>7</v>
      </c>
      <c r="Q1453" s="13">
        <v>46</v>
      </c>
      <c r="R1453" s="13">
        <v>28</v>
      </c>
      <c r="S1453" s="13">
        <v>1</v>
      </c>
      <c r="T1453" s="23">
        <v>46247.652256944442</v>
      </c>
      <c r="U1453" s="55">
        <f t="shared" si="66"/>
        <v>0.33333333333333331</v>
      </c>
      <c r="V1453" s="55">
        <f t="shared" si="67"/>
        <v>0.83333333333333337</v>
      </c>
      <c r="W1453" s="56">
        <f t="shared" si="68"/>
        <v>22854.666666666668</v>
      </c>
    </row>
    <row r="1454" spans="1:23" x14ac:dyDescent="0.3">
      <c r="A1454" s="13" t="str" cm="1">
        <f t="array" ref="A1454:B1454">INDEX(BenchmarkResults!$B$1:$D$35,SUMPRODUCT((T1454&gt;=BenchmarkResults!$F$3:$F$35)*(mongodb_hardware_log!T1454&lt;BenchmarkResults!$G$3:$G$35)*ROW(BenchmarkResults!$F$3:$F$35)),{1,3})</f>
        <v>q4_category_revenue</v>
      </c>
      <c r="B1454">
        <v>1</v>
      </c>
      <c r="C1454" s="13">
        <v>0</v>
      </c>
      <c r="D1454" s="13">
        <v>1</v>
      </c>
      <c r="E1454" s="13">
        <v>119808</v>
      </c>
      <c r="F1454" s="13">
        <v>151596</v>
      </c>
      <c r="G1454" s="13">
        <v>776</v>
      </c>
      <c r="H1454" s="13">
        <v>2149592</v>
      </c>
      <c r="I1454" s="13">
        <v>0</v>
      </c>
      <c r="J1454" s="13">
        <v>0</v>
      </c>
      <c r="K1454" s="13">
        <v>17923</v>
      </c>
      <c r="L1454" s="13">
        <v>30</v>
      </c>
      <c r="M1454" s="13">
        <v>3139</v>
      </c>
      <c r="N1454" s="13">
        <v>2200</v>
      </c>
      <c r="O1454" s="13">
        <v>22</v>
      </c>
      <c r="P1454" s="13">
        <v>7</v>
      </c>
      <c r="Q1454" s="13">
        <v>46</v>
      </c>
      <c r="R1454" s="13">
        <v>24</v>
      </c>
      <c r="S1454" s="13">
        <v>1</v>
      </c>
      <c r="T1454" s="23">
        <v>46247.652372685188</v>
      </c>
      <c r="U1454" s="55">
        <f t="shared" si="66"/>
        <v>0.33333333333333331</v>
      </c>
      <c r="V1454" s="55">
        <f t="shared" si="67"/>
        <v>0.83333333333333337</v>
      </c>
      <c r="W1454" s="56">
        <f t="shared" si="68"/>
        <v>21868.333333333332</v>
      </c>
    </row>
    <row r="1455" spans="1:23" x14ac:dyDescent="0.3">
      <c r="A1455" s="13" t="str" cm="1">
        <f t="array" ref="A1455:B1455">INDEX(BenchmarkResults!$B$1:$D$35,SUMPRODUCT((T1455&gt;=BenchmarkResults!$F$3:$F$35)*(mongodb_hardware_log!T1455&lt;BenchmarkResults!$G$3:$G$35)*ROW(BenchmarkResults!$F$3:$F$35)),{1,3})</f>
        <v>q4_category_revenue</v>
      </c>
      <c r="B1455">
        <v>1</v>
      </c>
      <c r="C1455" s="13">
        <v>1</v>
      </c>
      <c r="D1455" s="13">
        <v>0</v>
      </c>
      <c r="E1455" s="13">
        <v>119808</v>
      </c>
      <c r="F1455" s="13">
        <v>125372</v>
      </c>
      <c r="G1455" s="13">
        <v>788</v>
      </c>
      <c r="H1455" s="13">
        <v>2176580</v>
      </c>
      <c r="I1455" s="13">
        <v>0</v>
      </c>
      <c r="J1455" s="13">
        <v>0</v>
      </c>
      <c r="K1455" s="13">
        <v>24994</v>
      </c>
      <c r="L1455" s="13">
        <v>16</v>
      </c>
      <c r="M1455" s="13">
        <v>3083</v>
      </c>
      <c r="N1455" s="13">
        <v>2264</v>
      </c>
      <c r="O1455" s="13">
        <v>17</v>
      </c>
      <c r="P1455" s="13">
        <v>7</v>
      </c>
      <c r="Q1455" s="13">
        <v>47</v>
      </c>
      <c r="R1455" s="13">
        <v>29</v>
      </c>
      <c r="S1455" s="13">
        <v>1</v>
      </c>
      <c r="T1455" s="23">
        <v>46247.652488425927</v>
      </c>
      <c r="U1455" s="55">
        <f t="shared" si="66"/>
        <v>0.5</v>
      </c>
      <c r="V1455" s="55">
        <f t="shared" si="67"/>
        <v>0.66666666666666663</v>
      </c>
      <c r="W1455" s="56">
        <f t="shared" si="68"/>
        <v>22632.666666666668</v>
      </c>
    </row>
    <row r="1456" spans="1:23" x14ac:dyDescent="0.3">
      <c r="A1456" s="13" t="str" cm="1">
        <f t="array" ref="A1456:B1456">INDEX(BenchmarkResults!$B$1:$D$35,SUMPRODUCT((T1456&gt;=BenchmarkResults!$F$3:$F$35)*(mongodb_hardware_log!T1456&lt;BenchmarkResults!$G$3:$G$35)*ROW(BenchmarkResults!$F$3:$F$35)),{1,3})</f>
        <v>q4_category_revenue</v>
      </c>
      <c r="B1456">
        <v>1</v>
      </c>
      <c r="C1456" s="13">
        <v>1</v>
      </c>
      <c r="D1456" s="13">
        <v>0</v>
      </c>
      <c r="E1456" s="13">
        <v>119808</v>
      </c>
      <c r="F1456" s="13">
        <v>131660</v>
      </c>
      <c r="G1456" s="13">
        <v>800</v>
      </c>
      <c r="H1456" s="13">
        <v>2172912</v>
      </c>
      <c r="I1456" s="13">
        <v>1</v>
      </c>
      <c r="J1456" s="13">
        <v>0</v>
      </c>
      <c r="K1456" s="13">
        <v>21907</v>
      </c>
      <c r="L1456" s="13">
        <v>18</v>
      </c>
      <c r="M1456" s="13">
        <v>3299</v>
      </c>
      <c r="N1456" s="13">
        <v>2305</v>
      </c>
      <c r="O1456" s="13">
        <v>19</v>
      </c>
      <c r="P1456" s="13">
        <v>7</v>
      </c>
      <c r="Q1456" s="13">
        <v>46</v>
      </c>
      <c r="R1456" s="13">
        <v>27</v>
      </c>
      <c r="S1456" s="13">
        <v>1</v>
      </c>
      <c r="T1456" s="23">
        <v>46247.652604166666</v>
      </c>
      <c r="U1456" s="55">
        <f t="shared" si="66"/>
        <v>0.66666666666666663</v>
      </c>
      <c r="V1456" s="55">
        <f t="shared" si="67"/>
        <v>0.5</v>
      </c>
      <c r="W1456" s="56">
        <f t="shared" si="68"/>
        <v>22035</v>
      </c>
    </row>
    <row r="1457" spans="1:23" x14ac:dyDescent="0.3">
      <c r="A1457" s="13" t="str" cm="1">
        <f t="array" ref="A1457:B1457">INDEX(BenchmarkResults!$B$1:$D$35,SUMPRODUCT((T1457&gt;=BenchmarkResults!$F$3:$F$35)*(mongodb_hardware_log!T1457&lt;BenchmarkResults!$G$3:$G$35)*ROW(BenchmarkResults!$F$3:$F$35)),{1,3})</f>
        <v>q4_category_revenue</v>
      </c>
      <c r="B1457">
        <v>1</v>
      </c>
      <c r="C1457" s="13">
        <v>2</v>
      </c>
      <c r="D1457" s="13">
        <v>0</v>
      </c>
      <c r="E1457" s="13">
        <v>119808</v>
      </c>
      <c r="F1457" s="13">
        <v>118040</v>
      </c>
      <c r="G1457" s="13">
        <v>808</v>
      </c>
      <c r="H1457" s="13">
        <v>2182880</v>
      </c>
      <c r="I1457" s="13">
        <v>0</v>
      </c>
      <c r="J1457" s="13">
        <v>0</v>
      </c>
      <c r="K1457" s="13">
        <v>17707</v>
      </c>
      <c r="L1457" s="13">
        <v>8</v>
      </c>
      <c r="M1457" s="13">
        <v>2527</v>
      </c>
      <c r="N1457" s="13">
        <v>1680</v>
      </c>
      <c r="O1457" s="13">
        <v>16</v>
      </c>
      <c r="P1457" s="13">
        <v>6</v>
      </c>
      <c r="Q1457" s="13">
        <v>47</v>
      </c>
      <c r="R1457" s="13">
        <v>30</v>
      </c>
      <c r="S1457" s="13">
        <v>1</v>
      </c>
      <c r="T1457" s="23">
        <v>46247.652719907404</v>
      </c>
      <c r="U1457" s="55">
        <f t="shared" si="66"/>
        <v>1</v>
      </c>
      <c r="V1457" s="55">
        <f t="shared" si="67"/>
        <v>0.33333333333333331</v>
      </c>
      <c r="W1457" s="56">
        <f t="shared" si="68"/>
        <v>21542.166666666668</v>
      </c>
    </row>
    <row r="1458" spans="1:23" x14ac:dyDescent="0.3">
      <c r="A1458" s="13" t="str" cm="1">
        <f t="array" ref="A1458:B1458">INDEX(BenchmarkResults!$B$1:$D$35,SUMPRODUCT((T1458&gt;=BenchmarkResults!$F$3:$F$35)*(mongodb_hardware_log!T1458&lt;BenchmarkResults!$G$3:$G$35)*ROW(BenchmarkResults!$F$3:$F$35)),{1,3})</f>
        <v>q4_category_revenue</v>
      </c>
      <c r="B1458">
        <v>1</v>
      </c>
      <c r="C1458" s="13">
        <v>0</v>
      </c>
      <c r="D1458" s="13">
        <v>1</v>
      </c>
      <c r="E1458" s="13">
        <v>119808</v>
      </c>
      <c r="F1458" s="13">
        <v>104236</v>
      </c>
      <c r="G1458" s="13">
        <v>824</v>
      </c>
      <c r="H1458" s="13">
        <v>2196096</v>
      </c>
      <c r="I1458" s="13">
        <v>0</v>
      </c>
      <c r="J1458" s="13">
        <v>0</v>
      </c>
      <c r="K1458" s="13">
        <v>17986</v>
      </c>
      <c r="L1458" s="13">
        <v>12</v>
      </c>
      <c r="M1458" s="13">
        <v>2628</v>
      </c>
      <c r="N1458" s="13">
        <v>1719</v>
      </c>
      <c r="O1458" s="13">
        <v>16</v>
      </c>
      <c r="P1458" s="13">
        <v>6</v>
      </c>
      <c r="Q1458" s="13">
        <v>47</v>
      </c>
      <c r="R1458" s="13">
        <v>30</v>
      </c>
      <c r="S1458" s="13">
        <v>2</v>
      </c>
      <c r="T1458" s="23">
        <v>46247.65283564815</v>
      </c>
      <c r="U1458" s="55">
        <f t="shared" si="66"/>
        <v>0.66666666666666663</v>
      </c>
      <c r="V1458" s="55">
        <f t="shared" si="67"/>
        <v>0.5</v>
      </c>
      <c r="W1458" s="56">
        <f t="shared" si="68"/>
        <v>20877.166666666668</v>
      </c>
    </row>
    <row r="1459" spans="1:23" x14ac:dyDescent="0.3">
      <c r="A1459" s="13" t="str" cm="1">
        <f t="array" ref="A1459:B1459">INDEX(BenchmarkResults!$B$1:$D$35,SUMPRODUCT((T1459&gt;=BenchmarkResults!$F$3:$F$35)*(mongodb_hardware_log!T1459&lt;BenchmarkResults!$G$3:$G$35)*ROW(BenchmarkResults!$F$3:$F$35)),{1,3})</f>
        <v>q4_category_revenue</v>
      </c>
      <c r="B1459">
        <v>1</v>
      </c>
      <c r="C1459" s="13">
        <v>2</v>
      </c>
      <c r="D1459" s="13">
        <v>0</v>
      </c>
      <c r="E1459" s="13">
        <v>119552</v>
      </c>
      <c r="F1459" s="13">
        <v>118908</v>
      </c>
      <c r="G1459" s="13">
        <v>856</v>
      </c>
      <c r="H1459" s="13">
        <v>2181932</v>
      </c>
      <c r="I1459" s="13">
        <v>0</v>
      </c>
      <c r="J1459" s="13">
        <v>0</v>
      </c>
      <c r="K1459" s="13">
        <v>15240</v>
      </c>
      <c r="L1459" s="13">
        <v>29</v>
      </c>
      <c r="M1459" s="13">
        <v>2125</v>
      </c>
      <c r="N1459" s="13">
        <v>1325</v>
      </c>
      <c r="O1459" s="13">
        <v>13</v>
      </c>
      <c r="P1459" s="13">
        <v>5</v>
      </c>
      <c r="Q1459" s="13">
        <v>48</v>
      </c>
      <c r="R1459" s="13">
        <v>32</v>
      </c>
      <c r="S1459" s="13">
        <v>2</v>
      </c>
      <c r="T1459" s="23">
        <v>46247.652951388889</v>
      </c>
      <c r="U1459" s="55">
        <f t="shared" si="66"/>
        <v>1</v>
      </c>
      <c r="V1459" s="55">
        <f t="shared" si="67"/>
        <v>0.33333333333333331</v>
      </c>
      <c r="W1459" s="56">
        <f t="shared" si="68"/>
        <v>19292.833333333332</v>
      </c>
    </row>
    <row r="1460" spans="1:23" x14ac:dyDescent="0.3">
      <c r="A1460" s="13" t="str" cm="1">
        <f t="array" ref="A1460:B1460">INDEX(BenchmarkResults!$B$1:$D$35,SUMPRODUCT((T1460&gt;=BenchmarkResults!$F$3:$F$35)*(mongodb_hardware_log!T1460&lt;BenchmarkResults!$G$3:$G$35)*ROW(BenchmarkResults!$F$3:$F$35)),{1,3})</f>
        <v>q4_category_revenue</v>
      </c>
      <c r="B1460">
        <v>1</v>
      </c>
      <c r="C1460" s="13">
        <v>1</v>
      </c>
      <c r="D1460" s="13">
        <v>0</v>
      </c>
      <c r="E1460" s="13">
        <v>119552</v>
      </c>
      <c r="F1460" s="13">
        <v>111180</v>
      </c>
      <c r="G1460" s="13">
        <v>864</v>
      </c>
      <c r="H1460" s="13">
        <v>2186700</v>
      </c>
      <c r="I1460" s="13">
        <v>0</v>
      </c>
      <c r="J1460" s="13">
        <v>0</v>
      </c>
      <c r="K1460" s="13">
        <v>22694</v>
      </c>
      <c r="L1460" s="13">
        <v>28</v>
      </c>
      <c r="M1460" s="13">
        <v>3270</v>
      </c>
      <c r="N1460" s="13">
        <v>2306</v>
      </c>
      <c r="O1460" s="13">
        <v>20</v>
      </c>
      <c r="P1460" s="13">
        <v>7</v>
      </c>
      <c r="Q1460" s="13">
        <v>46</v>
      </c>
      <c r="R1460" s="13">
        <v>25</v>
      </c>
      <c r="S1460" s="13">
        <v>1</v>
      </c>
      <c r="T1460" s="23">
        <v>46247.653067129628</v>
      </c>
      <c r="U1460" s="55">
        <f t="shared" si="66"/>
        <v>1.1666666666666667</v>
      </c>
      <c r="V1460" s="55">
        <f t="shared" si="67"/>
        <v>0.16666666666666666</v>
      </c>
      <c r="W1460" s="56">
        <f t="shared" si="68"/>
        <v>20088</v>
      </c>
    </row>
    <row r="1461" spans="1:23" x14ac:dyDescent="0.3">
      <c r="A1461" s="13" t="str" cm="1">
        <f t="array" ref="A1461:B1461">INDEX(BenchmarkResults!$B$1:$D$35,SUMPRODUCT((T1461&gt;=BenchmarkResults!$F$3:$F$35)*(mongodb_hardware_log!T1461&lt;BenchmarkResults!$G$3:$G$35)*ROW(BenchmarkResults!$F$3:$F$35)),{1,3})</f>
        <v>q4_category_revenue</v>
      </c>
      <c r="B1461">
        <v>1</v>
      </c>
      <c r="C1461" s="13">
        <v>0</v>
      </c>
      <c r="D1461" s="13">
        <v>1</v>
      </c>
      <c r="E1461" s="13">
        <v>119552</v>
      </c>
      <c r="F1461" s="13">
        <v>136928</v>
      </c>
      <c r="G1461" s="13">
        <v>880</v>
      </c>
      <c r="H1461" s="13">
        <v>2162132</v>
      </c>
      <c r="I1461" s="13">
        <v>0</v>
      </c>
      <c r="J1461" s="13">
        <v>0</v>
      </c>
      <c r="K1461" s="13">
        <v>19764</v>
      </c>
      <c r="L1461" s="13">
        <v>20</v>
      </c>
      <c r="M1461" s="13">
        <v>3405</v>
      </c>
      <c r="N1461" s="13">
        <v>2406</v>
      </c>
      <c r="O1461" s="13">
        <v>21</v>
      </c>
      <c r="P1461" s="13">
        <v>7</v>
      </c>
      <c r="Q1461" s="13">
        <v>46</v>
      </c>
      <c r="R1461" s="13">
        <v>25</v>
      </c>
      <c r="S1461" s="13">
        <v>0</v>
      </c>
      <c r="T1461" s="23">
        <v>46247.653182870374</v>
      </c>
      <c r="U1461" s="55">
        <f t="shared" si="66"/>
        <v>1</v>
      </c>
      <c r="V1461" s="55">
        <f t="shared" si="67"/>
        <v>0.33333333333333331</v>
      </c>
      <c r="W1461" s="56">
        <f t="shared" si="68"/>
        <v>19216.333333333332</v>
      </c>
    </row>
    <row r="1462" spans="1:23" x14ac:dyDescent="0.3">
      <c r="A1462" s="13" t="str" cm="1">
        <f t="array" ref="A1462:B1462">INDEX(BenchmarkResults!$B$1:$D$35,SUMPRODUCT((T1462&gt;=BenchmarkResults!$F$3:$F$35)*(mongodb_hardware_log!T1462&lt;BenchmarkResults!$G$3:$G$35)*ROW(BenchmarkResults!$F$3:$F$35)),{1,3})</f>
        <v>q4_category_revenue</v>
      </c>
      <c r="B1462">
        <v>1</v>
      </c>
      <c r="C1462" s="13">
        <v>0</v>
      </c>
      <c r="D1462" s="13">
        <v>1</v>
      </c>
      <c r="E1462" s="13">
        <v>119552</v>
      </c>
      <c r="F1462" s="13">
        <v>133796</v>
      </c>
      <c r="G1462" s="13">
        <v>1020</v>
      </c>
      <c r="H1462" s="13">
        <v>2156220</v>
      </c>
      <c r="I1462" s="13">
        <v>2</v>
      </c>
      <c r="J1462" s="13">
        <v>0</v>
      </c>
      <c r="K1462" s="13">
        <v>27192</v>
      </c>
      <c r="L1462" s="13">
        <v>6</v>
      </c>
      <c r="M1462" s="13">
        <v>2937</v>
      </c>
      <c r="N1462" s="13">
        <v>1922</v>
      </c>
      <c r="O1462" s="13">
        <v>15</v>
      </c>
      <c r="P1462" s="13">
        <v>6</v>
      </c>
      <c r="Q1462" s="13">
        <v>46</v>
      </c>
      <c r="R1462" s="13">
        <v>32</v>
      </c>
      <c r="S1462" s="13">
        <v>1</v>
      </c>
      <c r="T1462" s="23">
        <v>46247.653298611112</v>
      </c>
      <c r="U1462" s="55">
        <f t="shared" si="66"/>
        <v>0.83333333333333337</v>
      </c>
      <c r="V1462" s="55">
        <f t="shared" si="67"/>
        <v>0.5</v>
      </c>
      <c r="W1462" s="56">
        <f t="shared" si="68"/>
        <v>20097.166666666668</v>
      </c>
    </row>
    <row r="1463" spans="1:23" x14ac:dyDescent="0.3">
      <c r="A1463" s="13" t="str" cm="1">
        <f t="array" ref="A1463:B1463">INDEX(BenchmarkResults!$B$1:$D$35,SUMPRODUCT((T1463&gt;=BenchmarkResults!$F$3:$F$35)*(mongodb_hardware_log!T1463&lt;BenchmarkResults!$G$3:$G$35)*ROW(BenchmarkResults!$F$3:$F$35)),{1,3})</f>
        <v>q4_category_revenue</v>
      </c>
      <c r="B1463">
        <v>1</v>
      </c>
      <c r="C1463" s="13">
        <v>1</v>
      </c>
      <c r="D1463" s="13">
        <v>0</v>
      </c>
      <c r="E1463" s="13">
        <v>119552</v>
      </c>
      <c r="F1463" s="13">
        <v>118260</v>
      </c>
      <c r="G1463" s="13">
        <v>1032</v>
      </c>
      <c r="H1463" s="13">
        <v>2171664</v>
      </c>
      <c r="I1463" s="13">
        <v>0</v>
      </c>
      <c r="J1463" s="13">
        <v>0</v>
      </c>
      <c r="K1463" s="13">
        <v>18081</v>
      </c>
      <c r="L1463" s="13">
        <v>13</v>
      </c>
      <c r="M1463" s="13">
        <v>3182</v>
      </c>
      <c r="N1463" s="13">
        <v>2231</v>
      </c>
      <c r="O1463" s="13">
        <v>21</v>
      </c>
      <c r="P1463" s="13">
        <v>7</v>
      </c>
      <c r="Q1463" s="13">
        <v>46</v>
      </c>
      <c r="R1463" s="13">
        <v>25</v>
      </c>
      <c r="S1463" s="13">
        <v>1</v>
      </c>
      <c r="T1463" s="23">
        <v>46247.653414351851</v>
      </c>
      <c r="U1463" s="55">
        <f t="shared" si="66"/>
        <v>0.66666666666666663</v>
      </c>
      <c r="V1463" s="55">
        <f t="shared" si="67"/>
        <v>0.5</v>
      </c>
      <c r="W1463" s="56">
        <f t="shared" si="68"/>
        <v>20159.5</v>
      </c>
    </row>
    <row r="1464" spans="1:23" x14ac:dyDescent="0.3">
      <c r="A1464" s="13" t="str" cm="1">
        <f t="array" ref="A1464:B1464">INDEX(BenchmarkResults!$B$1:$D$35,SUMPRODUCT((T1464&gt;=BenchmarkResults!$F$3:$F$35)*(mongodb_hardware_log!T1464&lt;BenchmarkResults!$G$3:$G$35)*ROW(BenchmarkResults!$F$3:$F$35)),{1,3})</f>
        <v>q4_category_revenue</v>
      </c>
      <c r="B1464">
        <v>1</v>
      </c>
      <c r="C1464" s="13">
        <v>1</v>
      </c>
      <c r="D1464" s="13">
        <v>0</v>
      </c>
      <c r="E1464" s="13">
        <v>119552</v>
      </c>
      <c r="F1464" s="13">
        <v>113824</v>
      </c>
      <c r="G1464" s="13">
        <v>1056</v>
      </c>
      <c r="H1464" s="13">
        <v>2180836</v>
      </c>
      <c r="I1464" s="13">
        <v>0</v>
      </c>
      <c r="J1464" s="13">
        <v>0</v>
      </c>
      <c r="K1464" s="13">
        <v>23060</v>
      </c>
      <c r="L1464" s="13">
        <v>36</v>
      </c>
      <c r="M1464" s="13">
        <v>2705</v>
      </c>
      <c r="N1464" s="13">
        <v>1738</v>
      </c>
      <c r="O1464" s="13">
        <v>16</v>
      </c>
      <c r="P1464" s="13">
        <v>6</v>
      </c>
      <c r="Q1464" s="13">
        <v>47</v>
      </c>
      <c r="R1464" s="13">
        <v>29</v>
      </c>
      <c r="S1464" s="13">
        <v>1</v>
      </c>
      <c r="T1464" s="23">
        <v>46247.65353009259</v>
      </c>
      <c r="U1464" s="55">
        <f t="shared" si="66"/>
        <v>0.83333333333333337</v>
      </c>
      <c r="V1464" s="55">
        <f t="shared" si="67"/>
        <v>0.33333333333333331</v>
      </c>
      <c r="W1464" s="56">
        <f t="shared" si="68"/>
        <v>21005.166666666668</v>
      </c>
    </row>
    <row r="1465" spans="1:23" x14ac:dyDescent="0.3">
      <c r="A1465" s="13" t="str" cm="1">
        <f t="array" ref="A1465:B1465">INDEX(BenchmarkResults!$B$1:$D$35,SUMPRODUCT((T1465&gt;=BenchmarkResults!$F$3:$F$35)*(mongodb_hardware_log!T1465&lt;BenchmarkResults!$G$3:$G$35)*ROW(BenchmarkResults!$F$3:$F$35)),{1,3})</f>
        <v>q4_category_revenue</v>
      </c>
      <c r="B1465">
        <v>1</v>
      </c>
      <c r="C1465" s="13">
        <v>0</v>
      </c>
      <c r="D1465" s="13">
        <v>1</v>
      </c>
      <c r="E1465" s="13">
        <v>119552</v>
      </c>
      <c r="F1465" s="13">
        <v>104412</v>
      </c>
      <c r="G1465" s="13">
        <v>1088</v>
      </c>
      <c r="H1465" s="13">
        <v>2192744</v>
      </c>
      <c r="I1465" s="13">
        <v>0</v>
      </c>
      <c r="J1465" s="13">
        <v>0</v>
      </c>
      <c r="K1465" s="13">
        <v>17793</v>
      </c>
      <c r="L1465" s="13">
        <v>26</v>
      </c>
      <c r="M1465" s="13">
        <v>2834</v>
      </c>
      <c r="N1465" s="13">
        <v>2010</v>
      </c>
      <c r="O1465" s="13">
        <v>17</v>
      </c>
      <c r="P1465" s="13">
        <v>7</v>
      </c>
      <c r="Q1465" s="13">
        <v>46</v>
      </c>
      <c r="R1465" s="13">
        <v>29</v>
      </c>
      <c r="S1465" s="13">
        <v>2</v>
      </c>
      <c r="T1465" s="23">
        <v>46247.653645833336</v>
      </c>
      <c r="U1465" s="55">
        <f t="shared" si="66"/>
        <v>0.5</v>
      </c>
      <c r="V1465" s="55">
        <f t="shared" si="67"/>
        <v>0.5</v>
      </c>
      <c r="W1465" s="56">
        <f t="shared" si="68"/>
        <v>21430.666666666668</v>
      </c>
    </row>
    <row r="1466" spans="1:23" x14ac:dyDescent="0.3">
      <c r="A1466" s="13" t="str" cm="1">
        <f t="array" ref="A1466:B1466">INDEX(BenchmarkResults!$B$1:$D$35,SUMPRODUCT((T1466&gt;=BenchmarkResults!$F$3:$F$35)*(mongodb_hardware_log!T1466&lt;BenchmarkResults!$G$3:$G$35)*ROW(BenchmarkResults!$F$3:$F$35)),{1,3})</f>
        <v>q4_category_revenue</v>
      </c>
      <c r="B1466">
        <v>1</v>
      </c>
      <c r="C1466" s="13">
        <v>0</v>
      </c>
      <c r="D1466" s="13">
        <v>1</v>
      </c>
      <c r="E1466" s="13">
        <v>119552</v>
      </c>
      <c r="F1466" s="13">
        <v>134584</v>
      </c>
      <c r="G1466" s="13">
        <v>1104</v>
      </c>
      <c r="H1466" s="13">
        <v>2159740</v>
      </c>
      <c r="I1466" s="13">
        <v>0</v>
      </c>
      <c r="J1466" s="13">
        <v>0</v>
      </c>
      <c r="K1466" s="13">
        <v>18813</v>
      </c>
      <c r="L1466" s="13">
        <v>16</v>
      </c>
      <c r="M1466" s="13">
        <v>2655</v>
      </c>
      <c r="N1466" s="13">
        <v>1703</v>
      </c>
      <c r="O1466" s="13">
        <v>16</v>
      </c>
      <c r="P1466" s="13">
        <v>6</v>
      </c>
      <c r="Q1466" s="13">
        <v>47</v>
      </c>
      <c r="R1466" s="13">
        <v>30</v>
      </c>
      <c r="S1466" s="13">
        <v>1</v>
      </c>
      <c r="T1466" s="23">
        <v>46247.653761574074</v>
      </c>
      <c r="U1466" s="55">
        <f t="shared" si="66"/>
        <v>0.33333333333333331</v>
      </c>
      <c r="V1466" s="55">
        <f t="shared" si="67"/>
        <v>0.66666666666666663</v>
      </c>
      <c r="W1466" s="56">
        <f t="shared" si="68"/>
        <v>20783.833333333332</v>
      </c>
    </row>
    <row r="1467" spans="1:23" x14ac:dyDescent="0.3">
      <c r="A1467" s="13" t="str" cm="1">
        <f t="array" ref="A1467:B1467">INDEX(BenchmarkResults!$B$1:$D$35,SUMPRODUCT((T1467&gt;=BenchmarkResults!$F$3:$F$35)*(mongodb_hardware_log!T1467&lt;BenchmarkResults!$G$3:$G$35)*ROW(BenchmarkResults!$F$3:$F$35)),{1,3})</f>
        <v>q4_category_revenue</v>
      </c>
      <c r="B1467">
        <v>1</v>
      </c>
      <c r="C1467" s="13">
        <v>1</v>
      </c>
      <c r="D1467" s="13">
        <v>0</v>
      </c>
      <c r="E1467" s="13">
        <v>119552</v>
      </c>
      <c r="F1467" s="13">
        <v>138300</v>
      </c>
      <c r="G1467" s="13">
        <v>1112</v>
      </c>
      <c r="H1467" s="13">
        <v>2155756</v>
      </c>
      <c r="I1467" s="13">
        <v>0</v>
      </c>
      <c r="J1467" s="13">
        <v>0</v>
      </c>
      <c r="K1467" s="13">
        <v>21715</v>
      </c>
      <c r="L1467" s="13">
        <v>8</v>
      </c>
      <c r="M1467" s="13">
        <v>3202</v>
      </c>
      <c r="N1467" s="13">
        <v>2234</v>
      </c>
      <c r="O1467" s="13">
        <v>19</v>
      </c>
      <c r="P1467" s="13">
        <v>7</v>
      </c>
      <c r="Q1467" s="13">
        <v>46</v>
      </c>
      <c r="R1467" s="13">
        <v>27</v>
      </c>
      <c r="S1467" s="13">
        <v>1</v>
      </c>
      <c r="T1467" s="23">
        <v>46247.653877314813</v>
      </c>
      <c r="U1467" s="55">
        <f t="shared" si="66"/>
        <v>0.5</v>
      </c>
      <c r="V1467" s="55">
        <f t="shared" si="67"/>
        <v>0.5</v>
      </c>
      <c r="W1467" s="56">
        <f t="shared" si="68"/>
        <v>21109</v>
      </c>
    </row>
    <row r="1468" spans="1:23" x14ac:dyDescent="0.3">
      <c r="A1468" s="13" t="str" cm="1">
        <f t="array" ref="A1468:B1468">INDEX(BenchmarkResults!$B$1:$D$35,SUMPRODUCT((T1468&gt;=BenchmarkResults!$F$3:$F$35)*(mongodb_hardware_log!T1468&lt;BenchmarkResults!$G$3:$G$35)*ROW(BenchmarkResults!$F$3:$F$35)),{1,3})</f>
        <v>q4_category_revenue</v>
      </c>
      <c r="B1468">
        <v>1</v>
      </c>
      <c r="C1468" s="13">
        <v>0</v>
      </c>
      <c r="D1468" s="13">
        <v>1</v>
      </c>
      <c r="E1468" s="13">
        <v>119552</v>
      </c>
      <c r="F1468" s="13">
        <v>106692</v>
      </c>
      <c r="G1468" s="13">
        <v>1120</v>
      </c>
      <c r="H1468" s="13">
        <v>2185100</v>
      </c>
      <c r="I1468" s="13">
        <v>0</v>
      </c>
      <c r="J1468" s="13">
        <v>0</v>
      </c>
      <c r="K1468" s="13">
        <v>19494</v>
      </c>
      <c r="L1468" s="13">
        <v>10</v>
      </c>
      <c r="M1468" s="13">
        <v>3421</v>
      </c>
      <c r="N1468" s="13">
        <v>2467</v>
      </c>
      <c r="O1468" s="13">
        <v>21</v>
      </c>
      <c r="P1468" s="13">
        <v>8</v>
      </c>
      <c r="Q1468" s="13">
        <v>46</v>
      </c>
      <c r="R1468" s="13">
        <v>25</v>
      </c>
      <c r="S1468" s="13">
        <v>1</v>
      </c>
      <c r="T1468" s="23">
        <v>46247.653993055559</v>
      </c>
      <c r="U1468" s="55">
        <f t="shared" si="66"/>
        <v>0.5</v>
      </c>
      <c r="V1468" s="55">
        <f t="shared" si="67"/>
        <v>0.5</v>
      </c>
      <c r="W1468" s="56">
        <f t="shared" si="68"/>
        <v>19826</v>
      </c>
    </row>
    <row r="1469" spans="1:23" x14ac:dyDescent="0.3">
      <c r="A1469" s="13" t="str" cm="1">
        <f t="array" ref="A1469:B1469">INDEX(BenchmarkResults!$B$1:$D$35,SUMPRODUCT((T1469&gt;=BenchmarkResults!$F$3:$F$35)*(mongodb_hardware_log!T1469&lt;BenchmarkResults!$G$3:$G$35)*ROW(BenchmarkResults!$F$3:$F$35)),{1,3})</f>
        <v>q4_category_revenue</v>
      </c>
      <c r="B1469">
        <v>1</v>
      </c>
      <c r="C1469" s="13">
        <v>0</v>
      </c>
      <c r="D1469" s="13">
        <v>1</v>
      </c>
      <c r="E1469" s="13">
        <v>119552</v>
      </c>
      <c r="F1469" s="13">
        <v>134344</v>
      </c>
      <c r="G1469" s="13">
        <v>1128</v>
      </c>
      <c r="H1469" s="13">
        <v>2163584</v>
      </c>
      <c r="I1469" s="13">
        <v>0</v>
      </c>
      <c r="J1469" s="13">
        <v>0</v>
      </c>
      <c r="K1469" s="13">
        <v>25490</v>
      </c>
      <c r="L1469" s="13">
        <v>11</v>
      </c>
      <c r="M1469" s="13">
        <v>2832</v>
      </c>
      <c r="N1469" s="13">
        <v>1947</v>
      </c>
      <c r="O1469" s="13">
        <v>15</v>
      </c>
      <c r="P1469" s="13">
        <v>6</v>
      </c>
      <c r="Q1469" s="13">
        <v>47</v>
      </c>
      <c r="R1469" s="13">
        <v>31</v>
      </c>
      <c r="S1469" s="13">
        <v>1</v>
      </c>
      <c r="T1469" s="23">
        <v>46247.654108796298</v>
      </c>
      <c r="U1469" s="55">
        <f t="shared" si="66"/>
        <v>0.33333333333333331</v>
      </c>
      <c r="V1469" s="55">
        <f t="shared" si="67"/>
        <v>0.66666666666666663</v>
      </c>
      <c r="W1469" s="56">
        <f t="shared" si="68"/>
        <v>21060.833333333332</v>
      </c>
    </row>
    <row r="1470" spans="1:23" x14ac:dyDescent="0.3">
      <c r="A1470" s="13" t="str" cm="1">
        <f t="array" ref="A1470:B1470">INDEX(BenchmarkResults!$B$1:$D$35,SUMPRODUCT((T1470&gt;=BenchmarkResults!$F$3:$F$35)*(mongodb_hardware_log!T1470&lt;BenchmarkResults!$G$3:$G$35)*ROW(BenchmarkResults!$F$3:$F$35)),{1,3})</f>
        <v>q4_category_revenue</v>
      </c>
      <c r="B1470">
        <v>1</v>
      </c>
      <c r="C1470" s="13">
        <v>1</v>
      </c>
      <c r="D1470" s="13">
        <v>0</v>
      </c>
      <c r="E1470" s="13">
        <v>119552</v>
      </c>
      <c r="F1470" s="13">
        <v>152208</v>
      </c>
      <c r="G1470" s="13">
        <v>1136</v>
      </c>
      <c r="H1470" s="13">
        <v>2143972</v>
      </c>
      <c r="I1470" s="13">
        <v>0</v>
      </c>
      <c r="J1470" s="13">
        <v>0</v>
      </c>
      <c r="K1470" s="13">
        <v>20126</v>
      </c>
      <c r="L1470" s="13">
        <v>31</v>
      </c>
      <c r="M1470" s="13">
        <v>2876</v>
      </c>
      <c r="N1470" s="13">
        <v>1988</v>
      </c>
      <c r="O1470" s="13">
        <v>20</v>
      </c>
      <c r="P1470" s="13">
        <v>7</v>
      </c>
      <c r="Q1470" s="13">
        <v>47</v>
      </c>
      <c r="R1470" s="13">
        <v>26</v>
      </c>
      <c r="S1470" s="13">
        <v>1</v>
      </c>
      <c r="T1470" s="23">
        <v>46247.654224537036</v>
      </c>
      <c r="U1470" s="55">
        <f t="shared" si="66"/>
        <v>0.33333333333333331</v>
      </c>
      <c r="V1470" s="55">
        <f t="shared" si="67"/>
        <v>0.66666666666666663</v>
      </c>
      <c r="W1470" s="56">
        <f t="shared" si="68"/>
        <v>20571.833333333332</v>
      </c>
    </row>
    <row r="1471" spans="1:23" x14ac:dyDescent="0.3">
      <c r="A1471" s="13" t="str" cm="1">
        <f t="array" ref="A1471:B1471">INDEX(BenchmarkResults!$B$1:$D$35,SUMPRODUCT((T1471&gt;=BenchmarkResults!$F$3:$F$35)*(mongodb_hardware_log!T1471&lt;BenchmarkResults!$G$3:$G$35)*ROW(BenchmarkResults!$F$3:$F$35)),{1,3})</f>
        <v>q4_category_revenue</v>
      </c>
      <c r="B1471">
        <v>1</v>
      </c>
      <c r="C1471" s="13">
        <v>1</v>
      </c>
      <c r="D1471" s="13">
        <v>0</v>
      </c>
      <c r="E1471" s="13">
        <v>119552</v>
      </c>
      <c r="F1471" s="13">
        <v>127136</v>
      </c>
      <c r="G1471" s="13">
        <v>1168</v>
      </c>
      <c r="H1471" s="13">
        <v>2152084</v>
      </c>
      <c r="I1471" s="13">
        <v>0</v>
      </c>
      <c r="J1471" s="13">
        <v>0</v>
      </c>
      <c r="K1471" s="13">
        <v>22894</v>
      </c>
      <c r="L1471" s="13">
        <v>30</v>
      </c>
      <c r="M1471" s="13">
        <v>3176</v>
      </c>
      <c r="N1471" s="13">
        <v>2324</v>
      </c>
      <c r="O1471" s="13">
        <v>19</v>
      </c>
      <c r="P1471" s="13">
        <v>7</v>
      </c>
      <c r="Q1471" s="13">
        <v>47</v>
      </c>
      <c r="R1471" s="13">
        <v>27</v>
      </c>
      <c r="S1471" s="13">
        <v>1</v>
      </c>
      <c r="T1471" s="23">
        <v>46247.654340277775</v>
      </c>
      <c r="U1471" s="55">
        <f t="shared" si="66"/>
        <v>0.5</v>
      </c>
      <c r="V1471" s="55">
        <f t="shared" si="67"/>
        <v>0.5</v>
      </c>
      <c r="W1471" s="56">
        <f t="shared" si="68"/>
        <v>21422</v>
      </c>
    </row>
    <row r="1472" spans="1:23" x14ac:dyDescent="0.3">
      <c r="A1472" s="13" t="str" cm="1">
        <f t="array" ref="A1472:B1472">INDEX(BenchmarkResults!$B$1:$D$35,SUMPRODUCT((T1472&gt;=BenchmarkResults!$F$3:$F$35)*(mongodb_hardware_log!T1472&lt;BenchmarkResults!$G$3:$G$35)*ROW(BenchmarkResults!$F$3:$F$35)),{1,3})</f>
        <v>q4_category_revenue</v>
      </c>
      <c r="B1472">
        <v>1</v>
      </c>
      <c r="C1472" s="13">
        <v>0</v>
      </c>
      <c r="D1472" s="13">
        <v>1</v>
      </c>
      <c r="E1472" s="13">
        <v>119552</v>
      </c>
      <c r="F1472" s="13">
        <v>141344</v>
      </c>
      <c r="G1472" s="13">
        <v>1176</v>
      </c>
      <c r="H1472" s="13">
        <v>2189312</v>
      </c>
      <c r="I1472" s="13">
        <v>0</v>
      </c>
      <c r="J1472" s="13">
        <v>0</v>
      </c>
      <c r="K1472" s="13">
        <v>25912</v>
      </c>
      <c r="L1472" s="13">
        <v>14</v>
      </c>
      <c r="M1472" s="13">
        <v>3409</v>
      </c>
      <c r="N1472" s="13">
        <v>2402</v>
      </c>
      <c r="O1472" s="13">
        <v>18</v>
      </c>
      <c r="P1472" s="13">
        <v>7</v>
      </c>
      <c r="Q1472" s="13">
        <v>46</v>
      </c>
      <c r="R1472" s="13">
        <v>28</v>
      </c>
      <c r="S1472" s="13">
        <v>1</v>
      </c>
      <c r="T1472" s="23">
        <v>46247.654456018521</v>
      </c>
      <c r="U1472" s="55">
        <f t="shared" si="66"/>
        <v>0.5</v>
      </c>
      <c r="V1472" s="55">
        <f t="shared" si="67"/>
        <v>0.5</v>
      </c>
      <c r="W1472" s="56">
        <f t="shared" si="68"/>
        <v>22605.166666666668</v>
      </c>
    </row>
    <row r="1473" spans="1:23" x14ac:dyDescent="0.3">
      <c r="A1473" s="13" t="str" cm="1">
        <f t="array" ref="A1473:B1473">INDEX(BenchmarkResults!$B$1:$D$35,SUMPRODUCT((T1473&gt;=BenchmarkResults!$F$3:$F$35)*(mongodb_hardware_log!T1473&lt;BenchmarkResults!$G$3:$G$35)*ROW(BenchmarkResults!$F$3:$F$35)),{1,3})</f>
        <v>q4_category_revenue</v>
      </c>
      <c r="B1473">
        <v>1</v>
      </c>
      <c r="C1473" s="13">
        <v>0</v>
      </c>
      <c r="D1473" s="13">
        <v>1</v>
      </c>
      <c r="E1473" s="13">
        <v>119552</v>
      </c>
      <c r="F1473" s="13">
        <v>110964</v>
      </c>
      <c r="G1473" s="13">
        <v>1184</v>
      </c>
      <c r="H1473" s="13">
        <v>2221856</v>
      </c>
      <c r="I1473" s="13">
        <v>0</v>
      </c>
      <c r="J1473" s="13">
        <v>0</v>
      </c>
      <c r="K1473" s="13">
        <v>20024</v>
      </c>
      <c r="L1473" s="13">
        <v>12</v>
      </c>
      <c r="M1473" s="13">
        <v>3277</v>
      </c>
      <c r="N1473" s="13">
        <v>2297</v>
      </c>
      <c r="O1473" s="13">
        <v>22</v>
      </c>
      <c r="P1473" s="13">
        <v>7</v>
      </c>
      <c r="Q1473" s="13">
        <v>46</v>
      </c>
      <c r="R1473" s="13">
        <v>24</v>
      </c>
      <c r="S1473" s="13">
        <v>1</v>
      </c>
      <c r="T1473" s="23">
        <v>46247.65457175926</v>
      </c>
      <c r="U1473" s="55">
        <f t="shared" si="66"/>
        <v>0.33333333333333331</v>
      </c>
      <c r="V1473" s="55">
        <f t="shared" si="67"/>
        <v>0.66666666666666663</v>
      </c>
      <c r="W1473" s="56">
        <f t="shared" si="68"/>
        <v>22323.333333333332</v>
      </c>
    </row>
    <row r="1474" spans="1:23" x14ac:dyDescent="0.3">
      <c r="A1474" s="13" t="str" cm="1">
        <f t="array" ref="A1474:B1474">INDEX(BenchmarkResults!$B$1:$D$35,SUMPRODUCT((T1474&gt;=BenchmarkResults!$F$3:$F$35)*(mongodb_hardware_log!T1474&lt;BenchmarkResults!$G$3:$G$35)*ROW(BenchmarkResults!$F$3:$F$35)),{1,3})</f>
        <v>q4_category_revenue</v>
      </c>
      <c r="B1474">
        <v>1</v>
      </c>
      <c r="C1474" s="13">
        <v>1</v>
      </c>
      <c r="D1474" s="13">
        <v>0</v>
      </c>
      <c r="E1474" s="13">
        <v>119552</v>
      </c>
      <c r="F1474" s="13">
        <v>138112</v>
      </c>
      <c r="G1474" s="13">
        <v>1200</v>
      </c>
      <c r="H1474" s="13">
        <v>2195928</v>
      </c>
      <c r="I1474" s="13">
        <v>0</v>
      </c>
      <c r="J1474" s="13">
        <v>0</v>
      </c>
      <c r="K1474" s="13">
        <v>25329</v>
      </c>
      <c r="L1474" s="13">
        <v>20</v>
      </c>
      <c r="M1474" s="13">
        <v>3234</v>
      </c>
      <c r="N1474" s="13">
        <v>2233</v>
      </c>
      <c r="O1474" s="13">
        <v>20</v>
      </c>
      <c r="P1474" s="13">
        <v>7</v>
      </c>
      <c r="Q1474" s="13">
        <v>46</v>
      </c>
      <c r="R1474" s="13">
        <v>26</v>
      </c>
      <c r="S1474" s="13">
        <v>0</v>
      </c>
      <c r="T1474" s="23">
        <v>46247.654687499999</v>
      </c>
      <c r="U1474" s="55">
        <f t="shared" si="66"/>
        <v>0.5</v>
      </c>
      <c r="V1474" s="55">
        <f t="shared" si="67"/>
        <v>0.5</v>
      </c>
      <c r="W1474" s="56">
        <f t="shared" si="68"/>
        <v>23295.833333333332</v>
      </c>
    </row>
    <row r="1475" spans="1:23" x14ac:dyDescent="0.3">
      <c r="A1475" s="13" t="str" cm="1">
        <f t="array" ref="A1475:B1475">INDEX(BenchmarkResults!$B$1:$D$35,SUMPRODUCT((T1475&gt;=BenchmarkResults!$F$3:$F$35)*(mongodb_hardware_log!T1475&lt;BenchmarkResults!$G$3:$G$35)*ROW(BenchmarkResults!$F$3:$F$35)),{1,3})</f>
        <v>q4_category_revenue</v>
      </c>
      <c r="B1475">
        <v>1</v>
      </c>
      <c r="C1475" s="13">
        <v>1</v>
      </c>
      <c r="D1475" s="13">
        <v>0</v>
      </c>
      <c r="E1475" s="13">
        <v>119552</v>
      </c>
      <c r="F1475" s="13">
        <v>101668</v>
      </c>
      <c r="G1475" s="13">
        <v>1208</v>
      </c>
      <c r="H1475" s="13">
        <v>2231128</v>
      </c>
      <c r="I1475" s="13">
        <v>0</v>
      </c>
      <c r="J1475" s="13">
        <v>0</v>
      </c>
      <c r="K1475" s="13">
        <v>25839</v>
      </c>
      <c r="L1475" s="13">
        <v>14</v>
      </c>
      <c r="M1475" s="13">
        <v>3470</v>
      </c>
      <c r="N1475" s="13">
        <v>2480</v>
      </c>
      <c r="O1475" s="13">
        <v>19</v>
      </c>
      <c r="P1475" s="13">
        <v>7</v>
      </c>
      <c r="Q1475" s="13">
        <v>46</v>
      </c>
      <c r="R1475" s="13">
        <v>27</v>
      </c>
      <c r="S1475" s="13">
        <v>1</v>
      </c>
      <c r="T1475" s="23">
        <v>46247.654803240737</v>
      </c>
      <c r="U1475" s="55">
        <f t="shared" si="66"/>
        <v>0.66666666666666663</v>
      </c>
      <c r="V1475" s="55">
        <f t="shared" si="67"/>
        <v>0.33333333333333331</v>
      </c>
      <c r="W1475" s="56">
        <f t="shared" si="68"/>
        <v>23354</v>
      </c>
    </row>
    <row r="1476" spans="1:23" x14ac:dyDescent="0.3">
      <c r="A1476" s="13" t="str" cm="1">
        <f t="array" ref="A1476:B1476">INDEX(BenchmarkResults!$B$1:$D$35,SUMPRODUCT((T1476&gt;=BenchmarkResults!$F$3:$F$35)*(mongodb_hardware_log!T1476&lt;BenchmarkResults!$G$3:$G$35)*ROW(BenchmarkResults!$F$3:$F$35)),{1,3})</f>
        <v>q4_category_revenue</v>
      </c>
      <c r="B1476">
        <v>1</v>
      </c>
      <c r="C1476" s="13">
        <v>1</v>
      </c>
      <c r="D1476" s="13">
        <v>0</v>
      </c>
      <c r="E1476" s="13">
        <v>119552</v>
      </c>
      <c r="F1476" s="13">
        <v>139152</v>
      </c>
      <c r="G1476" s="13">
        <v>1216</v>
      </c>
      <c r="H1476" s="13">
        <v>2188328</v>
      </c>
      <c r="I1476" s="13">
        <v>0</v>
      </c>
      <c r="J1476" s="13">
        <v>0</v>
      </c>
      <c r="K1476" s="13">
        <v>23616</v>
      </c>
      <c r="L1476" s="13">
        <v>35</v>
      </c>
      <c r="M1476" s="13">
        <v>3439</v>
      </c>
      <c r="N1476" s="13">
        <v>2501</v>
      </c>
      <c r="O1476" s="13">
        <v>22</v>
      </c>
      <c r="P1476" s="13">
        <v>8</v>
      </c>
      <c r="Q1476" s="13">
        <v>46</v>
      </c>
      <c r="R1476" s="13">
        <v>24</v>
      </c>
      <c r="S1476" s="13">
        <v>0</v>
      </c>
      <c r="T1476" s="23">
        <v>46247.654918981483</v>
      </c>
      <c r="U1476" s="55">
        <f t="shared" si="66"/>
        <v>0.66666666666666663</v>
      </c>
      <c r="V1476" s="55">
        <f t="shared" si="67"/>
        <v>0.33333333333333331</v>
      </c>
      <c r="W1476" s="56">
        <f t="shared" si="68"/>
        <v>23935.666666666668</v>
      </c>
    </row>
    <row r="1477" spans="1:23" x14ac:dyDescent="0.3">
      <c r="A1477" s="13" t="str" cm="1">
        <f t="array" ref="A1477:B1477">INDEX(BenchmarkResults!$B$1:$D$35,SUMPRODUCT((T1477&gt;=BenchmarkResults!$F$3:$F$35)*(mongodb_hardware_log!T1477&lt;BenchmarkResults!$G$3:$G$35)*ROW(BenchmarkResults!$F$3:$F$35)),{1,3})</f>
        <v>q4_category_revenue</v>
      </c>
      <c r="B1477">
        <v>1</v>
      </c>
      <c r="C1477" s="13">
        <v>1</v>
      </c>
      <c r="D1477" s="13">
        <v>0</v>
      </c>
      <c r="E1477" s="13">
        <v>119552</v>
      </c>
      <c r="F1477" s="13">
        <v>157252</v>
      </c>
      <c r="G1477" s="13">
        <v>1256</v>
      </c>
      <c r="H1477" s="13">
        <v>2169280</v>
      </c>
      <c r="I1477" s="13">
        <v>0</v>
      </c>
      <c r="J1477" s="13">
        <v>0</v>
      </c>
      <c r="K1477" s="13">
        <v>20380</v>
      </c>
      <c r="L1477" s="13">
        <v>35</v>
      </c>
      <c r="M1477" s="13">
        <v>3337</v>
      </c>
      <c r="N1477" s="13">
        <v>2341</v>
      </c>
      <c r="O1477" s="13">
        <v>22</v>
      </c>
      <c r="P1477" s="13">
        <v>7</v>
      </c>
      <c r="Q1477" s="13">
        <v>46</v>
      </c>
      <c r="R1477" s="13">
        <v>25</v>
      </c>
      <c r="S1477" s="13">
        <v>0</v>
      </c>
      <c r="T1477" s="23">
        <v>46247.655034722222</v>
      </c>
      <c r="U1477" s="55">
        <f t="shared" si="66"/>
        <v>0.66666666666666663</v>
      </c>
      <c r="V1477" s="55">
        <f t="shared" si="67"/>
        <v>0.33333333333333331</v>
      </c>
      <c r="W1477" s="56">
        <f t="shared" si="68"/>
        <v>23516.666666666668</v>
      </c>
    </row>
    <row r="1478" spans="1:23" x14ac:dyDescent="0.3">
      <c r="A1478" s="13" t="str" cm="1">
        <f t="array" ref="A1478:B1478">INDEX(BenchmarkResults!$B$1:$D$35,SUMPRODUCT((T1478&gt;=BenchmarkResults!$F$3:$F$35)*(mongodb_hardware_log!T1478&lt;BenchmarkResults!$G$3:$G$35)*ROW(BenchmarkResults!$F$3:$F$35)),{1,3})</f>
        <v>q4_category_revenue</v>
      </c>
      <c r="B1478">
        <v>1</v>
      </c>
      <c r="C1478" s="13">
        <v>1</v>
      </c>
      <c r="D1478" s="13">
        <v>0</v>
      </c>
      <c r="E1478" s="13">
        <v>119552</v>
      </c>
      <c r="F1478" s="13">
        <v>167796</v>
      </c>
      <c r="G1478" s="13">
        <v>1264</v>
      </c>
      <c r="H1478" s="13">
        <v>2164504</v>
      </c>
      <c r="I1478" s="13">
        <v>0</v>
      </c>
      <c r="J1478" s="13">
        <v>0</v>
      </c>
      <c r="K1478" s="13">
        <v>27342</v>
      </c>
      <c r="L1478" s="13">
        <v>9</v>
      </c>
      <c r="M1478" s="13">
        <v>3456</v>
      </c>
      <c r="N1478" s="13">
        <v>2450</v>
      </c>
      <c r="O1478" s="13">
        <v>19</v>
      </c>
      <c r="P1478" s="13">
        <v>8</v>
      </c>
      <c r="Q1478" s="13">
        <v>46</v>
      </c>
      <c r="R1478" s="13">
        <v>27</v>
      </c>
      <c r="S1478" s="13">
        <v>0</v>
      </c>
      <c r="T1478" s="23">
        <v>46247.655150462961</v>
      </c>
      <c r="U1478" s="55">
        <f t="shared" si="66"/>
        <v>0.83333333333333337</v>
      </c>
      <c r="V1478" s="55">
        <f t="shared" si="67"/>
        <v>0.16666666666666666</v>
      </c>
      <c r="W1478" s="56">
        <f t="shared" si="68"/>
        <v>23755</v>
      </c>
    </row>
    <row r="1479" spans="1:23" x14ac:dyDescent="0.3">
      <c r="A1479" s="13" t="str" cm="1">
        <f t="array" ref="A1479:B1479">INDEX(BenchmarkResults!$B$1:$D$35,SUMPRODUCT((T1479&gt;=BenchmarkResults!$F$3:$F$35)*(mongodb_hardware_log!T1479&lt;BenchmarkResults!$G$3:$G$35)*ROW(BenchmarkResults!$F$3:$F$35)),{1,3})</f>
        <v>q4_category_revenue</v>
      </c>
      <c r="B1479">
        <v>1</v>
      </c>
      <c r="C1479" s="13">
        <v>1</v>
      </c>
      <c r="D1479" s="13">
        <v>0</v>
      </c>
      <c r="E1479" s="13">
        <v>119552</v>
      </c>
      <c r="F1479" s="13">
        <v>152404</v>
      </c>
      <c r="G1479" s="13">
        <v>1276</v>
      </c>
      <c r="H1479" s="13">
        <v>2170604</v>
      </c>
      <c r="I1479" s="13">
        <v>0</v>
      </c>
      <c r="J1479" s="13">
        <v>0</v>
      </c>
      <c r="K1479" s="13">
        <v>22928</v>
      </c>
      <c r="L1479" s="13">
        <v>32</v>
      </c>
      <c r="M1479" s="13">
        <v>3500</v>
      </c>
      <c r="N1479" s="13">
        <v>2498</v>
      </c>
      <c r="O1479" s="13">
        <v>21</v>
      </c>
      <c r="P1479" s="13">
        <v>8</v>
      </c>
      <c r="Q1479" s="13">
        <v>46</v>
      </c>
      <c r="R1479" s="13">
        <v>25</v>
      </c>
      <c r="S1479" s="13">
        <v>0</v>
      </c>
      <c r="T1479" s="23">
        <v>46247.655266203707</v>
      </c>
      <c r="U1479" s="55">
        <f t="shared" si="66"/>
        <v>1</v>
      </c>
      <c r="V1479" s="55">
        <f t="shared" si="67"/>
        <v>0</v>
      </c>
      <c r="W1479" s="56">
        <f t="shared" si="68"/>
        <v>24239</v>
      </c>
    </row>
    <row r="1480" spans="1:23" x14ac:dyDescent="0.3">
      <c r="A1480" s="13" t="str" cm="1">
        <f t="array" ref="A1480:B1480">INDEX(BenchmarkResults!$B$1:$D$35,SUMPRODUCT((T1480&gt;=BenchmarkResults!$F$3:$F$35)*(mongodb_hardware_log!T1480&lt;BenchmarkResults!$G$3:$G$35)*ROW(BenchmarkResults!$F$3:$F$35)),{1,3})</f>
        <v>q4_category_revenue</v>
      </c>
      <c r="B1480">
        <v>1</v>
      </c>
      <c r="C1480" s="13">
        <v>0</v>
      </c>
      <c r="D1480" s="13">
        <v>1</v>
      </c>
      <c r="E1480" s="13">
        <v>119552</v>
      </c>
      <c r="F1480" s="13">
        <v>117180</v>
      </c>
      <c r="G1480" s="13">
        <v>1284</v>
      </c>
      <c r="H1480" s="13">
        <v>2207440</v>
      </c>
      <c r="I1480" s="13">
        <v>0</v>
      </c>
      <c r="J1480" s="13">
        <v>0</v>
      </c>
      <c r="K1480" s="13">
        <v>20416</v>
      </c>
      <c r="L1480" s="13">
        <v>16</v>
      </c>
      <c r="M1480" s="13">
        <v>3282</v>
      </c>
      <c r="N1480" s="13">
        <v>2316</v>
      </c>
      <c r="O1480" s="13">
        <v>22</v>
      </c>
      <c r="P1480" s="13">
        <v>7</v>
      </c>
      <c r="Q1480" s="13">
        <v>46</v>
      </c>
      <c r="R1480" s="13">
        <v>24</v>
      </c>
      <c r="S1480" s="13">
        <v>0</v>
      </c>
      <c r="T1480" s="23">
        <v>46247.655381944445</v>
      </c>
      <c r="U1480" s="55">
        <f t="shared" si="66"/>
        <v>0.83333333333333337</v>
      </c>
      <c r="V1480" s="55">
        <f t="shared" si="67"/>
        <v>0.16666666666666666</v>
      </c>
      <c r="W1480" s="56">
        <f t="shared" si="68"/>
        <v>23420.166666666668</v>
      </c>
    </row>
    <row r="1481" spans="1:23" x14ac:dyDescent="0.3">
      <c r="A1481" s="13" t="str" cm="1">
        <f t="array" ref="A1481:B1481">INDEX(BenchmarkResults!$B$1:$D$35,SUMPRODUCT((T1481&gt;=BenchmarkResults!$F$3:$F$35)*(mongodb_hardware_log!T1481&lt;BenchmarkResults!$G$3:$G$35)*ROW(BenchmarkResults!$F$3:$F$35)),{1,3})</f>
        <v>q4_category_revenue</v>
      </c>
      <c r="B1481">
        <v>1</v>
      </c>
      <c r="C1481" s="13">
        <v>1</v>
      </c>
      <c r="D1481" s="13">
        <v>0</v>
      </c>
      <c r="E1481" s="13">
        <v>119552</v>
      </c>
      <c r="F1481" s="13">
        <v>137460</v>
      </c>
      <c r="G1481" s="13">
        <v>1292</v>
      </c>
      <c r="H1481" s="13">
        <v>2182424</v>
      </c>
      <c r="I1481" s="13">
        <v>0</v>
      </c>
      <c r="J1481" s="13">
        <v>0</v>
      </c>
      <c r="K1481" s="13">
        <v>25323</v>
      </c>
      <c r="L1481" s="13">
        <v>13</v>
      </c>
      <c r="M1481" s="13">
        <v>3010</v>
      </c>
      <c r="N1481" s="13">
        <v>2057</v>
      </c>
      <c r="O1481" s="13">
        <v>18</v>
      </c>
      <c r="P1481" s="13">
        <v>6</v>
      </c>
      <c r="Q1481" s="13">
        <v>47</v>
      </c>
      <c r="R1481" s="13">
        <v>28</v>
      </c>
      <c r="S1481" s="13">
        <v>1</v>
      </c>
      <c r="T1481" s="23">
        <v>46247.655497685184</v>
      </c>
      <c r="U1481" s="55">
        <f t="shared" ref="U1481:U1544" si="69">AVERAGE(C1476:C1481)</f>
        <v>0.83333333333333337</v>
      </c>
      <c r="V1481" s="55">
        <f t="shared" ref="V1481:V1544" si="70">AVERAGE(D1476:D1481)</f>
        <v>0.16666666666666666</v>
      </c>
      <c r="W1481" s="56">
        <f t="shared" ref="W1481:W1544" si="71">AVERAGE(K1476:K1481)</f>
        <v>23334.166666666668</v>
      </c>
    </row>
    <row r="1482" spans="1:23" x14ac:dyDescent="0.3">
      <c r="A1482" s="13" t="str" cm="1">
        <f t="array" ref="A1482:B1482">INDEX(BenchmarkResults!$B$1:$D$35,SUMPRODUCT((T1482&gt;=BenchmarkResults!$F$3:$F$35)*(mongodb_hardware_log!T1482&lt;BenchmarkResults!$G$3:$G$35)*ROW(BenchmarkResults!$F$3:$F$35)),{1,3})</f>
        <v>q4_category_revenue</v>
      </c>
      <c r="B1482">
        <v>1</v>
      </c>
      <c r="C1482" s="13">
        <v>1</v>
      </c>
      <c r="D1482" s="13">
        <v>0</v>
      </c>
      <c r="E1482" s="13">
        <v>119552</v>
      </c>
      <c r="F1482" s="13">
        <v>108880</v>
      </c>
      <c r="G1482" s="13">
        <v>1300</v>
      </c>
      <c r="H1482" s="13">
        <v>2208592</v>
      </c>
      <c r="I1482" s="13">
        <v>0</v>
      </c>
      <c r="J1482" s="13">
        <v>0</v>
      </c>
      <c r="K1482" s="13">
        <v>19293</v>
      </c>
      <c r="L1482" s="13">
        <v>11</v>
      </c>
      <c r="M1482" s="13">
        <v>2879</v>
      </c>
      <c r="N1482" s="13">
        <v>1911</v>
      </c>
      <c r="O1482" s="13">
        <v>19</v>
      </c>
      <c r="P1482" s="13">
        <v>7</v>
      </c>
      <c r="Q1482" s="13">
        <v>46</v>
      </c>
      <c r="R1482" s="13">
        <v>27</v>
      </c>
      <c r="S1482" s="13">
        <v>1</v>
      </c>
      <c r="T1482" s="23">
        <v>46247.655613425923</v>
      </c>
      <c r="U1482" s="55">
        <f t="shared" si="69"/>
        <v>0.83333333333333337</v>
      </c>
      <c r="V1482" s="55">
        <f t="shared" si="70"/>
        <v>0.16666666666666666</v>
      </c>
      <c r="W1482" s="56">
        <f t="shared" si="71"/>
        <v>22613.666666666668</v>
      </c>
    </row>
    <row r="1483" spans="1:23" x14ac:dyDescent="0.3">
      <c r="A1483" s="13" t="str" cm="1">
        <f t="array" ref="A1483:B1483">INDEX(BenchmarkResults!$B$1:$D$35,SUMPRODUCT((T1483&gt;=BenchmarkResults!$F$3:$F$35)*(mongodb_hardware_log!T1483&lt;BenchmarkResults!$G$3:$G$35)*ROW(BenchmarkResults!$F$3:$F$35)),{1,3})</f>
        <v>q4_category_revenue</v>
      </c>
      <c r="B1483">
        <v>1</v>
      </c>
      <c r="C1483" s="13">
        <v>0</v>
      </c>
      <c r="D1483" s="13">
        <v>1</v>
      </c>
      <c r="E1483" s="13">
        <v>119552</v>
      </c>
      <c r="F1483" s="13">
        <v>120828</v>
      </c>
      <c r="G1483" s="13">
        <v>1340</v>
      </c>
      <c r="H1483" s="13">
        <v>2197460</v>
      </c>
      <c r="I1483" s="13">
        <v>0</v>
      </c>
      <c r="J1483" s="13">
        <v>0</v>
      </c>
      <c r="K1483" s="13">
        <v>21173</v>
      </c>
      <c r="L1483" s="13">
        <v>31</v>
      </c>
      <c r="M1483" s="13">
        <v>3494</v>
      </c>
      <c r="N1483" s="13">
        <v>2510</v>
      </c>
      <c r="O1483" s="13">
        <v>21</v>
      </c>
      <c r="P1483" s="13">
        <v>7</v>
      </c>
      <c r="Q1483" s="13">
        <v>46</v>
      </c>
      <c r="R1483" s="13">
        <v>25</v>
      </c>
      <c r="S1483" s="13">
        <v>0</v>
      </c>
      <c r="T1483" s="23">
        <v>46247.655729166669</v>
      </c>
      <c r="U1483" s="55">
        <f t="shared" si="69"/>
        <v>0.66666666666666663</v>
      </c>
      <c r="V1483" s="55">
        <f t="shared" si="70"/>
        <v>0.33333333333333331</v>
      </c>
      <c r="W1483" s="56">
        <f t="shared" si="71"/>
        <v>22745.833333333332</v>
      </c>
    </row>
    <row r="1484" spans="1:23" x14ac:dyDescent="0.3">
      <c r="A1484" s="13" t="str" cm="1">
        <f t="array" ref="A1484:B1484">INDEX(BenchmarkResults!$B$1:$D$35,SUMPRODUCT((T1484&gt;=BenchmarkResults!$F$3:$F$35)*(mongodb_hardware_log!T1484&lt;BenchmarkResults!$G$3:$G$35)*ROW(BenchmarkResults!$F$3:$F$35)),{1,3})</f>
        <v>q4_category_revenue</v>
      </c>
      <c r="B1484">
        <v>1</v>
      </c>
      <c r="C1484" s="13">
        <v>0</v>
      </c>
      <c r="D1484" s="13">
        <v>1</v>
      </c>
      <c r="E1484" s="13">
        <v>119552</v>
      </c>
      <c r="F1484" s="13">
        <v>144728</v>
      </c>
      <c r="G1484" s="13">
        <v>1348</v>
      </c>
      <c r="H1484" s="13">
        <v>2175204</v>
      </c>
      <c r="I1484" s="13">
        <v>0</v>
      </c>
      <c r="J1484" s="13">
        <v>0</v>
      </c>
      <c r="K1484" s="13">
        <v>25553</v>
      </c>
      <c r="L1484" s="13">
        <v>5</v>
      </c>
      <c r="M1484" s="13">
        <v>3165</v>
      </c>
      <c r="N1484" s="13">
        <v>2164</v>
      </c>
      <c r="O1484" s="13">
        <v>18</v>
      </c>
      <c r="P1484" s="13">
        <v>7</v>
      </c>
      <c r="Q1484" s="13">
        <v>47</v>
      </c>
      <c r="R1484" s="13">
        <v>28</v>
      </c>
      <c r="S1484" s="13">
        <v>1</v>
      </c>
      <c r="T1484" s="23">
        <v>46247.655844907407</v>
      </c>
      <c r="U1484" s="55">
        <f t="shared" si="69"/>
        <v>0.5</v>
      </c>
      <c r="V1484" s="55">
        <f t="shared" si="70"/>
        <v>0.5</v>
      </c>
      <c r="W1484" s="56">
        <f t="shared" si="71"/>
        <v>22447.666666666668</v>
      </c>
    </row>
    <row r="1485" spans="1:23" x14ac:dyDescent="0.3">
      <c r="A1485" s="13" t="str" cm="1">
        <f t="array" ref="A1485:B1485">INDEX(BenchmarkResults!$B$1:$D$35,SUMPRODUCT((T1485&gt;=BenchmarkResults!$F$3:$F$35)*(mongodb_hardware_log!T1485&lt;BenchmarkResults!$G$3:$G$35)*ROW(BenchmarkResults!$F$3:$F$35)),{1,3})</f>
        <v>q4_category_revenue</v>
      </c>
      <c r="B1485">
        <v>1</v>
      </c>
      <c r="C1485" s="13">
        <v>1</v>
      </c>
      <c r="D1485" s="13">
        <v>0</v>
      </c>
      <c r="E1485" s="13">
        <v>119552</v>
      </c>
      <c r="F1485" s="13">
        <v>119084</v>
      </c>
      <c r="G1485" s="13">
        <v>1356</v>
      </c>
      <c r="H1485" s="13">
        <v>2193328</v>
      </c>
      <c r="I1485" s="13">
        <v>0</v>
      </c>
      <c r="J1485" s="13">
        <v>0</v>
      </c>
      <c r="K1485" s="13">
        <v>24066</v>
      </c>
      <c r="L1485" s="13">
        <v>29</v>
      </c>
      <c r="M1485" s="13">
        <v>3534</v>
      </c>
      <c r="N1485" s="13">
        <v>2604</v>
      </c>
      <c r="O1485" s="13">
        <v>21</v>
      </c>
      <c r="P1485" s="13">
        <v>8</v>
      </c>
      <c r="Q1485" s="13">
        <v>46</v>
      </c>
      <c r="R1485" s="13">
        <v>25</v>
      </c>
      <c r="S1485" s="13">
        <v>0</v>
      </c>
      <c r="T1485" s="23">
        <v>46247.655960648146</v>
      </c>
      <c r="U1485" s="55">
        <f t="shared" si="69"/>
        <v>0.5</v>
      </c>
      <c r="V1485" s="55">
        <f t="shared" si="70"/>
        <v>0.5</v>
      </c>
      <c r="W1485" s="56">
        <f t="shared" si="71"/>
        <v>22637.333333333332</v>
      </c>
    </row>
    <row r="1486" spans="1:23" x14ac:dyDescent="0.3">
      <c r="A1486" s="13" t="str" cm="1">
        <f t="array" ref="A1486:B1486">INDEX(BenchmarkResults!$B$1:$D$35,SUMPRODUCT((T1486&gt;=BenchmarkResults!$F$3:$F$35)*(mongodb_hardware_log!T1486&lt;BenchmarkResults!$G$3:$G$35)*ROW(BenchmarkResults!$F$3:$F$35)),{1,3})</f>
        <v>q4_category_revenue</v>
      </c>
      <c r="B1486">
        <v>1</v>
      </c>
      <c r="C1486" s="13">
        <v>0</v>
      </c>
      <c r="D1486" s="13">
        <v>1</v>
      </c>
      <c r="E1486" s="13">
        <v>119552</v>
      </c>
      <c r="F1486" s="13">
        <v>163324</v>
      </c>
      <c r="G1486" s="13">
        <v>1364</v>
      </c>
      <c r="H1486" s="13">
        <v>2153860</v>
      </c>
      <c r="I1486" s="13">
        <v>0</v>
      </c>
      <c r="J1486" s="13">
        <v>0</v>
      </c>
      <c r="K1486" s="13">
        <v>18285</v>
      </c>
      <c r="L1486" s="13">
        <v>18</v>
      </c>
      <c r="M1486" s="13">
        <v>3472</v>
      </c>
      <c r="N1486" s="13">
        <v>2433</v>
      </c>
      <c r="O1486" s="13">
        <v>22</v>
      </c>
      <c r="P1486" s="13">
        <v>8</v>
      </c>
      <c r="Q1486" s="13">
        <v>45</v>
      </c>
      <c r="R1486" s="13">
        <v>24</v>
      </c>
      <c r="S1486" s="13">
        <v>1</v>
      </c>
      <c r="T1486" s="23">
        <v>46247.656076388892</v>
      </c>
      <c r="U1486" s="55">
        <f t="shared" si="69"/>
        <v>0.5</v>
      </c>
      <c r="V1486" s="55">
        <f t="shared" si="70"/>
        <v>0.5</v>
      </c>
      <c r="W1486" s="56">
        <f t="shared" si="71"/>
        <v>22282.166666666668</v>
      </c>
    </row>
    <row r="1487" spans="1:23" x14ac:dyDescent="0.3">
      <c r="A1487" s="13" t="str" cm="1">
        <f t="array" ref="A1487:B1487">INDEX(BenchmarkResults!$B$1:$D$35,SUMPRODUCT((T1487&gt;=BenchmarkResults!$F$3:$F$35)*(mongodb_hardware_log!T1487&lt;BenchmarkResults!$G$3:$G$35)*ROW(BenchmarkResults!$F$3:$F$35)),{1,3})</f>
        <v>q4_category_revenue</v>
      </c>
      <c r="B1487">
        <v>1</v>
      </c>
      <c r="C1487" s="13">
        <v>1</v>
      </c>
      <c r="D1487" s="13">
        <v>0</v>
      </c>
      <c r="E1487" s="13">
        <v>119552</v>
      </c>
      <c r="F1487" s="13">
        <v>135056</v>
      </c>
      <c r="G1487" s="13">
        <v>1380</v>
      </c>
      <c r="H1487" s="13">
        <v>2176292</v>
      </c>
      <c r="I1487" s="13">
        <v>0</v>
      </c>
      <c r="J1487" s="13">
        <v>0</v>
      </c>
      <c r="K1487" s="13">
        <v>24460</v>
      </c>
      <c r="L1487" s="13">
        <v>30</v>
      </c>
      <c r="M1487" s="13">
        <v>2952</v>
      </c>
      <c r="N1487" s="13">
        <v>2115</v>
      </c>
      <c r="O1487" s="13">
        <v>16</v>
      </c>
      <c r="P1487" s="13">
        <v>7</v>
      </c>
      <c r="Q1487" s="13">
        <v>47</v>
      </c>
      <c r="R1487" s="13">
        <v>30</v>
      </c>
      <c r="S1487" s="13">
        <v>1</v>
      </c>
      <c r="T1487" s="23">
        <v>46247.656192129631</v>
      </c>
      <c r="U1487" s="55">
        <f t="shared" si="69"/>
        <v>0.5</v>
      </c>
      <c r="V1487" s="55">
        <f t="shared" si="70"/>
        <v>0.5</v>
      </c>
      <c r="W1487" s="56">
        <f t="shared" si="71"/>
        <v>22138.333333333332</v>
      </c>
    </row>
    <row r="1488" spans="1:23" x14ac:dyDescent="0.3">
      <c r="A1488" s="13" t="str" cm="1">
        <f t="array" ref="A1488:B1488">INDEX(BenchmarkResults!$B$1:$D$35,SUMPRODUCT((T1488&gt;=BenchmarkResults!$F$3:$F$35)*(mongodb_hardware_log!T1488&lt;BenchmarkResults!$G$3:$G$35)*ROW(BenchmarkResults!$F$3:$F$35)),{1,3})</f>
        <v>q4_category_revenue</v>
      </c>
      <c r="B1488">
        <v>1</v>
      </c>
      <c r="C1488" s="13">
        <v>1</v>
      </c>
      <c r="D1488" s="13">
        <v>0</v>
      </c>
      <c r="E1488" s="13">
        <v>119552</v>
      </c>
      <c r="F1488" s="13">
        <v>106548</v>
      </c>
      <c r="G1488" s="13">
        <v>1388</v>
      </c>
      <c r="H1488" s="13">
        <v>2206828</v>
      </c>
      <c r="I1488" s="13">
        <v>0</v>
      </c>
      <c r="J1488" s="13">
        <v>0</v>
      </c>
      <c r="K1488" s="13">
        <v>19690</v>
      </c>
      <c r="L1488" s="13">
        <v>8</v>
      </c>
      <c r="M1488" s="13">
        <v>3394</v>
      </c>
      <c r="N1488" s="13">
        <v>2452</v>
      </c>
      <c r="O1488" s="13">
        <v>21</v>
      </c>
      <c r="P1488" s="13">
        <v>8</v>
      </c>
      <c r="Q1488" s="13">
        <v>45</v>
      </c>
      <c r="R1488" s="13">
        <v>25</v>
      </c>
      <c r="S1488" s="13">
        <v>1</v>
      </c>
      <c r="T1488" s="23">
        <v>46247.656307870369</v>
      </c>
      <c r="U1488" s="55">
        <f t="shared" si="69"/>
        <v>0.5</v>
      </c>
      <c r="V1488" s="55">
        <f t="shared" si="70"/>
        <v>0.5</v>
      </c>
      <c r="W1488" s="56">
        <f t="shared" si="71"/>
        <v>22204.5</v>
      </c>
    </row>
    <row r="1489" spans="1:23" x14ac:dyDescent="0.3">
      <c r="A1489" s="13" t="str" cm="1">
        <f t="array" ref="A1489:B1489">INDEX(BenchmarkResults!$B$1:$D$35,SUMPRODUCT((T1489&gt;=BenchmarkResults!$F$3:$F$35)*(mongodb_hardware_log!T1489&lt;BenchmarkResults!$G$3:$G$35)*ROW(BenchmarkResults!$F$3:$F$35)),{1,3})</f>
        <v>q4_category_revenue</v>
      </c>
      <c r="B1489">
        <v>1</v>
      </c>
      <c r="C1489" s="13">
        <v>1</v>
      </c>
      <c r="D1489" s="13">
        <v>0</v>
      </c>
      <c r="E1489" s="13">
        <v>119552</v>
      </c>
      <c r="F1489" s="13">
        <v>149724</v>
      </c>
      <c r="G1489" s="13">
        <v>1420</v>
      </c>
      <c r="H1489" s="13">
        <v>2158840</v>
      </c>
      <c r="I1489" s="13">
        <v>0</v>
      </c>
      <c r="J1489" s="13">
        <v>0</v>
      </c>
      <c r="K1489" s="13">
        <v>17414</v>
      </c>
      <c r="L1489" s="13">
        <v>30</v>
      </c>
      <c r="M1489" s="13">
        <v>3108</v>
      </c>
      <c r="N1489" s="13">
        <v>2154</v>
      </c>
      <c r="O1489" s="13">
        <v>20</v>
      </c>
      <c r="P1489" s="13">
        <v>7</v>
      </c>
      <c r="Q1489" s="13">
        <v>46</v>
      </c>
      <c r="R1489" s="13">
        <v>26</v>
      </c>
      <c r="S1489" s="13">
        <v>1</v>
      </c>
      <c r="T1489" s="23">
        <v>46247.656423611108</v>
      </c>
      <c r="U1489" s="55">
        <f t="shared" si="69"/>
        <v>0.66666666666666663</v>
      </c>
      <c r="V1489" s="55">
        <f t="shared" si="70"/>
        <v>0.33333333333333331</v>
      </c>
      <c r="W1489" s="56">
        <f t="shared" si="71"/>
        <v>21578</v>
      </c>
    </row>
    <row r="1490" spans="1:23" x14ac:dyDescent="0.3">
      <c r="A1490" s="13" t="str" cm="1">
        <f t="array" ref="A1490:B1490">INDEX(BenchmarkResults!$B$1:$D$35,SUMPRODUCT((T1490&gt;=BenchmarkResults!$F$3:$F$35)*(mongodb_hardware_log!T1490&lt;BenchmarkResults!$G$3:$G$35)*ROW(BenchmarkResults!$F$3:$F$35)),{1,3})</f>
        <v>q4_category_revenue</v>
      </c>
      <c r="B1490">
        <v>1</v>
      </c>
      <c r="C1490" s="13">
        <v>1</v>
      </c>
      <c r="D1490" s="13">
        <v>0</v>
      </c>
      <c r="E1490" s="13">
        <v>119552</v>
      </c>
      <c r="F1490" s="13">
        <v>141640</v>
      </c>
      <c r="G1490" s="13">
        <v>1432</v>
      </c>
      <c r="H1490" s="13">
        <v>2172564</v>
      </c>
      <c r="I1490" s="13">
        <v>0</v>
      </c>
      <c r="J1490" s="13">
        <v>0</v>
      </c>
      <c r="K1490" s="13">
        <v>23545</v>
      </c>
      <c r="L1490" s="13">
        <v>32</v>
      </c>
      <c r="M1490" s="13">
        <v>3064</v>
      </c>
      <c r="N1490" s="13">
        <v>2146</v>
      </c>
      <c r="O1490" s="13">
        <v>17</v>
      </c>
      <c r="P1490" s="13">
        <v>7</v>
      </c>
      <c r="Q1490" s="13">
        <v>47</v>
      </c>
      <c r="R1490" s="13">
        <v>29</v>
      </c>
      <c r="S1490" s="13">
        <v>1</v>
      </c>
      <c r="T1490" s="23">
        <v>46247.656539351854</v>
      </c>
      <c r="U1490" s="55">
        <f t="shared" si="69"/>
        <v>0.83333333333333337</v>
      </c>
      <c r="V1490" s="55">
        <f t="shared" si="70"/>
        <v>0.16666666666666666</v>
      </c>
      <c r="W1490" s="56">
        <f t="shared" si="71"/>
        <v>21243.333333333332</v>
      </c>
    </row>
    <row r="1491" spans="1:23" x14ac:dyDescent="0.3">
      <c r="A1491" s="13" t="str" cm="1">
        <f t="array" ref="A1491:B1491">INDEX(BenchmarkResults!$B$1:$D$35,SUMPRODUCT((T1491&gt;=BenchmarkResults!$F$3:$F$35)*(mongodb_hardware_log!T1491&lt;BenchmarkResults!$G$3:$G$35)*ROW(BenchmarkResults!$F$3:$F$35)),{1,3})</f>
        <v>q4_category_revenue</v>
      </c>
      <c r="B1491">
        <v>1</v>
      </c>
      <c r="C1491" s="13">
        <v>0</v>
      </c>
      <c r="D1491" s="13">
        <v>1</v>
      </c>
      <c r="E1491" s="13">
        <v>119552</v>
      </c>
      <c r="F1491" s="13">
        <v>102004</v>
      </c>
      <c r="G1491" s="13">
        <v>1440</v>
      </c>
      <c r="H1491" s="13">
        <v>2208808</v>
      </c>
      <c r="I1491" s="13">
        <v>0</v>
      </c>
      <c r="J1491" s="13">
        <v>0</v>
      </c>
      <c r="K1491" s="13">
        <v>20279</v>
      </c>
      <c r="L1491" s="13">
        <v>11</v>
      </c>
      <c r="M1491" s="13">
        <v>2989</v>
      </c>
      <c r="N1491" s="13">
        <v>1985</v>
      </c>
      <c r="O1491" s="13">
        <v>21</v>
      </c>
      <c r="P1491" s="13">
        <v>6</v>
      </c>
      <c r="Q1491" s="13">
        <v>47</v>
      </c>
      <c r="R1491" s="13">
        <v>26</v>
      </c>
      <c r="S1491" s="13">
        <v>1</v>
      </c>
      <c r="T1491" s="23">
        <v>46247.656655092593</v>
      </c>
      <c r="U1491" s="55">
        <f t="shared" si="69"/>
        <v>0.66666666666666663</v>
      </c>
      <c r="V1491" s="55">
        <f t="shared" si="70"/>
        <v>0.33333333333333331</v>
      </c>
      <c r="W1491" s="56">
        <f t="shared" si="71"/>
        <v>20612.166666666668</v>
      </c>
    </row>
    <row r="1492" spans="1:23" x14ac:dyDescent="0.3">
      <c r="A1492" s="13" t="str" cm="1">
        <f t="array" ref="A1492:B1492">INDEX(BenchmarkResults!$B$1:$D$35,SUMPRODUCT((T1492&gt;=BenchmarkResults!$F$3:$F$35)*(mongodb_hardware_log!T1492&lt;BenchmarkResults!$G$3:$G$35)*ROW(BenchmarkResults!$F$3:$F$35)),{1,3})</f>
        <v>q4_category_revenue</v>
      </c>
      <c r="B1492">
        <v>1</v>
      </c>
      <c r="C1492" s="13">
        <v>0</v>
      </c>
      <c r="D1492" s="13">
        <v>1</v>
      </c>
      <c r="E1492" s="13">
        <v>121344</v>
      </c>
      <c r="F1492" s="13">
        <v>613948</v>
      </c>
      <c r="G1492" s="13">
        <v>1384</v>
      </c>
      <c r="H1492" s="13">
        <v>1701792</v>
      </c>
      <c r="I1492" s="13">
        <v>0</v>
      </c>
      <c r="J1492" s="13">
        <v>194</v>
      </c>
      <c r="K1492" s="13">
        <v>24493</v>
      </c>
      <c r="L1492" s="13">
        <v>214</v>
      </c>
      <c r="M1492" s="13">
        <v>3116</v>
      </c>
      <c r="N1492" s="13">
        <v>2092</v>
      </c>
      <c r="O1492" s="13">
        <v>16</v>
      </c>
      <c r="P1492" s="13">
        <v>13</v>
      </c>
      <c r="Q1492" s="13">
        <v>43</v>
      </c>
      <c r="R1492" s="13">
        <v>28</v>
      </c>
      <c r="S1492" s="13">
        <v>1</v>
      </c>
      <c r="T1492" s="23">
        <v>46247.656770833331</v>
      </c>
      <c r="U1492" s="55">
        <f t="shared" si="69"/>
        <v>0.66666666666666663</v>
      </c>
      <c r="V1492" s="55">
        <f t="shared" si="70"/>
        <v>0.33333333333333331</v>
      </c>
      <c r="W1492" s="56">
        <f t="shared" si="71"/>
        <v>21646.833333333332</v>
      </c>
    </row>
    <row r="1493" spans="1:23" x14ac:dyDescent="0.3">
      <c r="A1493" s="13" t="str" cm="1">
        <f t="array" ref="A1493:B1493">INDEX(BenchmarkResults!$B$1:$D$35,SUMPRODUCT((T1493&gt;=BenchmarkResults!$F$3:$F$35)*(mongodb_hardware_log!T1493&lt;BenchmarkResults!$G$3:$G$35)*ROW(BenchmarkResults!$F$3:$F$35)),{1,3})</f>
        <v>q4_category_revenue</v>
      </c>
      <c r="B1493">
        <v>1</v>
      </c>
      <c r="C1493" s="13">
        <v>0</v>
      </c>
      <c r="D1493" s="13">
        <v>0</v>
      </c>
      <c r="E1493" s="13">
        <v>121344</v>
      </c>
      <c r="F1493" s="13">
        <v>400560</v>
      </c>
      <c r="G1493" s="13">
        <v>1444</v>
      </c>
      <c r="H1493" s="13">
        <v>1928780</v>
      </c>
      <c r="I1493" s="13">
        <v>0</v>
      </c>
      <c r="J1493" s="13">
        <v>0</v>
      </c>
      <c r="K1493" s="13">
        <v>22708</v>
      </c>
      <c r="L1493" s="13">
        <v>21</v>
      </c>
      <c r="M1493" s="13">
        <v>3158</v>
      </c>
      <c r="N1493" s="13">
        <v>2152</v>
      </c>
      <c r="O1493" s="13">
        <v>17</v>
      </c>
      <c r="P1493" s="13">
        <v>11</v>
      </c>
      <c r="Q1493" s="13">
        <v>46</v>
      </c>
      <c r="R1493" s="13">
        <v>25</v>
      </c>
      <c r="S1493" s="13">
        <v>1</v>
      </c>
      <c r="T1493" s="23">
        <v>46247.656886574077</v>
      </c>
      <c r="U1493" s="55">
        <f t="shared" si="69"/>
        <v>0.5</v>
      </c>
      <c r="V1493" s="55">
        <f t="shared" si="70"/>
        <v>0.33333333333333331</v>
      </c>
      <c r="W1493" s="56">
        <f t="shared" si="71"/>
        <v>21354.833333333332</v>
      </c>
    </row>
    <row r="1494" spans="1:23" x14ac:dyDescent="0.3">
      <c r="A1494" s="13" t="str" cm="1">
        <f t="array" ref="A1494:B1494">INDEX(BenchmarkResults!$B$1:$D$35,SUMPRODUCT((T1494&gt;=BenchmarkResults!$F$3:$F$35)*(mongodb_hardware_log!T1494&lt;BenchmarkResults!$G$3:$G$35)*ROW(BenchmarkResults!$F$3:$F$35)),{1,3})</f>
        <v>q4_category_revenue</v>
      </c>
      <c r="B1494">
        <v>1</v>
      </c>
      <c r="C1494" s="13">
        <v>0</v>
      </c>
      <c r="D1494" s="13">
        <v>1</v>
      </c>
      <c r="E1494" s="13">
        <v>121344</v>
      </c>
      <c r="F1494" s="13">
        <v>144024</v>
      </c>
      <c r="G1494" s="13">
        <v>1452</v>
      </c>
      <c r="H1494" s="13">
        <v>2194760</v>
      </c>
      <c r="I1494" s="13">
        <v>0</v>
      </c>
      <c r="J1494" s="13">
        <v>0</v>
      </c>
      <c r="K1494" s="13">
        <v>32198</v>
      </c>
      <c r="L1494" s="13">
        <v>7</v>
      </c>
      <c r="M1494" s="13">
        <v>3145</v>
      </c>
      <c r="N1494" s="13">
        <v>2075</v>
      </c>
      <c r="O1494" s="13">
        <v>13</v>
      </c>
      <c r="P1494" s="13">
        <v>11</v>
      </c>
      <c r="Q1494" s="13">
        <v>47</v>
      </c>
      <c r="R1494" s="13">
        <v>29</v>
      </c>
      <c r="S1494" s="13">
        <v>0</v>
      </c>
      <c r="T1494" s="23">
        <v>46247.657002314816</v>
      </c>
      <c r="U1494" s="55">
        <f t="shared" si="69"/>
        <v>0.33333333333333331</v>
      </c>
      <c r="V1494" s="55">
        <f t="shared" si="70"/>
        <v>0.5</v>
      </c>
      <c r="W1494" s="56">
        <f t="shared" si="71"/>
        <v>23439.5</v>
      </c>
    </row>
    <row r="1495" spans="1:23" x14ac:dyDescent="0.3">
      <c r="A1495" s="13" t="str" cm="1">
        <f t="array" ref="A1495:B1495">INDEX(BenchmarkResults!$B$1:$D$35,SUMPRODUCT((T1495&gt;=BenchmarkResults!$F$3:$F$35)*(mongodb_hardware_log!T1495&lt;BenchmarkResults!$G$3:$G$35)*ROW(BenchmarkResults!$F$3:$F$35)),{1,3})</f>
        <v>q4_category_revenue</v>
      </c>
      <c r="B1495">
        <v>1</v>
      </c>
      <c r="C1495" s="13">
        <v>1</v>
      </c>
      <c r="D1495" s="13">
        <v>0</v>
      </c>
      <c r="E1495" s="13">
        <v>121344</v>
      </c>
      <c r="F1495" s="13">
        <v>137068</v>
      </c>
      <c r="G1495" s="13">
        <v>1500</v>
      </c>
      <c r="H1495" s="13">
        <v>2199088</v>
      </c>
      <c r="I1495" s="13">
        <v>2</v>
      </c>
      <c r="J1495" s="13">
        <v>0</v>
      </c>
      <c r="K1495" s="13">
        <v>22910</v>
      </c>
      <c r="L1495" s="13">
        <v>34</v>
      </c>
      <c r="M1495" s="13">
        <v>3468</v>
      </c>
      <c r="N1495" s="13">
        <v>2468</v>
      </c>
      <c r="O1495" s="13">
        <v>22</v>
      </c>
      <c r="P1495" s="13">
        <v>8</v>
      </c>
      <c r="Q1495" s="13">
        <v>45</v>
      </c>
      <c r="R1495" s="13">
        <v>24</v>
      </c>
      <c r="S1495" s="13">
        <v>0</v>
      </c>
      <c r="T1495" s="23">
        <v>46247.657118055555</v>
      </c>
      <c r="U1495" s="55">
        <f t="shared" si="69"/>
        <v>0.33333333333333331</v>
      </c>
      <c r="V1495" s="55">
        <f t="shared" si="70"/>
        <v>0.5</v>
      </c>
      <c r="W1495" s="56">
        <f t="shared" si="71"/>
        <v>24355.5</v>
      </c>
    </row>
    <row r="1496" spans="1:23" x14ac:dyDescent="0.3">
      <c r="A1496" s="13" t="str" cm="1">
        <f t="array" ref="A1496:B1496">INDEX(BenchmarkResults!$B$1:$D$35,SUMPRODUCT((T1496&gt;=BenchmarkResults!$F$3:$F$35)*(mongodb_hardware_log!T1496&lt;BenchmarkResults!$G$3:$G$35)*ROW(BenchmarkResults!$F$3:$F$35)),{1,3})</f>
        <v>q4_category_revenue</v>
      </c>
      <c r="B1496">
        <v>1</v>
      </c>
      <c r="C1496" s="13">
        <v>1</v>
      </c>
      <c r="D1496" s="13">
        <v>0</v>
      </c>
      <c r="E1496" s="13">
        <v>121088</v>
      </c>
      <c r="F1496" s="13">
        <v>124768</v>
      </c>
      <c r="G1496" s="13">
        <v>1516</v>
      </c>
      <c r="H1496" s="13">
        <v>2207096</v>
      </c>
      <c r="I1496" s="13">
        <v>3</v>
      </c>
      <c r="J1496" s="13">
        <v>0</v>
      </c>
      <c r="K1496" s="13">
        <v>28904</v>
      </c>
      <c r="L1496" s="13">
        <v>24</v>
      </c>
      <c r="M1496" s="13">
        <v>3272</v>
      </c>
      <c r="N1496" s="13">
        <v>2261</v>
      </c>
      <c r="O1496" s="13">
        <v>20</v>
      </c>
      <c r="P1496" s="13">
        <v>7</v>
      </c>
      <c r="Q1496" s="13">
        <v>47</v>
      </c>
      <c r="R1496" s="13">
        <v>26</v>
      </c>
      <c r="S1496" s="13">
        <v>0</v>
      </c>
      <c r="T1496" s="23">
        <v>46247.657233796293</v>
      </c>
      <c r="U1496" s="55">
        <f t="shared" si="69"/>
        <v>0.33333333333333331</v>
      </c>
      <c r="V1496" s="55">
        <f t="shared" si="70"/>
        <v>0.5</v>
      </c>
      <c r="W1496" s="56">
        <f t="shared" si="71"/>
        <v>25248.666666666668</v>
      </c>
    </row>
    <row r="1497" spans="1:23" x14ac:dyDescent="0.3">
      <c r="A1497" s="13" t="str" cm="1">
        <f t="array" ref="A1497:B1497">INDEX(BenchmarkResults!$B$1:$D$35,SUMPRODUCT((T1497&gt;=BenchmarkResults!$F$3:$F$35)*(mongodb_hardware_log!T1497&lt;BenchmarkResults!$G$3:$G$35)*ROW(BenchmarkResults!$F$3:$F$35)),{1,3})</f>
        <v>q4_category_revenue</v>
      </c>
      <c r="B1497">
        <v>1</v>
      </c>
      <c r="C1497" s="13">
        <v>1</v>
      </c>
      <c r="D1497" s="13">
        <v>0</v>
      </c>
      <c r="E1497" s="13">
        <v>121088</v>
      </c>
      <c r="F1497" s="13">
        <v>117256</v>
      </c>
      <c r="G1497" s="13">
        <v>1532</v>
      </c>
      <c r="H1497" s="13">
        <v>2210152</v>
      </c>
      <c r="I1497" s="13">
        <v>0</v>
      </c>
      <c r="J1497" s="13">
        <v>0</v>
      </c>
      <c r="K1497" s="13">
        <v>22800</v>
      </c>
      <c r="L1497" s="13">
        <v>14</v>
      </c>
      <c r="M1497" s="13">
        <v>3063</v>
      </c>
      <c r="N1497" s="13">
        <v>2109</v>
      </c>
      <c r="O1497" s="13">
        <v>19</v>
      </c>
      <c r="P1497" s="13">
        <v>7</v>
      </c>
      <c r="Q1497" s="13">
        <v>47</v>
      </c>
      <c r="R1497" s="13">
        <v>26</v>
      </c>
      <c r="S1497" s="13">
        <v>0</v>
      </c>
      <c r="T1497" s="23">
        <v>46247.657349537039</v>
      </c>
      <c r="U1497" s="55">
        <f t="shared" si="69"/>
        <v>0.5</v>
      </c>
      <c r="V1497" s="55">
        <f t="shared" si="70"/>
        <v>0.33333333333333331</v>
      </c>
      <c r="W1497" s="56">
        <f t="shared" si="71"/>
        <v>25668.833333333332</v>
      </c>
    </row>
    <row r="1498" spans="1:23" x14ac:dyDescent="0.3">
      <c r="A1498" s="13" t="str" cm="1">
        <f t="array" ref="A1498:B1498">INDEX(BenchmarkResults!$B$1:$D$35,SUMPRODUCT((T1498&gt;=BenchmarkResults!$F$3:$F$35)*(mongodb_hardware_log!T1498&lt;BenchmarkResults!$G$3:$G$35)*ROW(BenchmarkResults!$F$3:$F$35)),{1,3})</f>
        <v>q4_category_revenue</v>
      </c>
      <c r="B1498">
        <v>1</v>
      </c>
      <c r="C1498" s="13">
        <v>1</v>
      </c>
      <c r="D1498" s="13">
        <v>0</v>
      </c>
      <c r="E1498" s="13">
        <v>121088</v>
      </c>
      <c r="F1498" s="13">
        <v>100736</v>
      </c>
      <c r="G1498" s="13">
        <v>1540</v>
      </c>
      <c r="H1498" s="13">
        <v>2226924</v>
      </c>
      <c r="I1498" s="13">
        <v>1</v>
      </c>
      <c r="J1498" s="13">
        <v>0</v>
      </c>
      <c r="K1498" s="13">
        <v>18484</v>
      </c>
      <c r="L1498" s="13">
        <v>23</v>
      </c>
      <c r="M1498" s="13">
        <v>3091</v>
      </c>
      <c r="N1498" s="13">
        <v>2136</v>
      </c>
      <c r="O1498" s="13">
        <v>22</v>
      </c>
      <c r="P1498" s="13">
        <v>8</v>
      </c>
      <c r="Q1498" s="13">
        <v>46</v>
      </c>
      <c r="R1498" s="13">
        <v>23</v>
      </c>
      <c r="S1498" s="13">
        <v>0</v>
      </c>
      <c r="T1498" s="23">
        <v>46247.657465277778</v>
      </c>
      <c r="U1498" s="55">
        <f t="shared" si="69"/>
        <v>0.66666666666666663</v>
      </c>
      <c r="V1498" s="55">
        <f t="shared" si="70"/>
        <v>0.16666666666666666</v>
      </c>
      <c r="W1498" s="56">
        <f t="shared" si="71"/>
        <v>24667.333333333332</v>
      </c>
    </row>
    <row r="1499" spans="1:23" x14ac:dyDescent="0.3">
      <c r="A1499" s="13" t="str" cm="1">
        <f t="array" ref="A1499:B1499">INDEX(BenchmarkResults!$B$1:$D$35,SUMPRODUCT((T1499&gt;=BenchmarkResults!$F$3:$F$35)*(mongodb_hardware_log!T1499&lt;BenchmarkResults!$G$3:$G$35)*ROW(BenchmarkResults!$F$3:$F$35)),{1,3})</f>
        <v>q4_category_revenue</v>
      </c>
      <c r="B1499">
        <v>1</v>
      </c>
      <c r="C1499" s="13">
        <v>0</v>
      </c>
      <c r="D1499" s="13">
        <v>1</v>
      </c>
      <c r="E1499" s="13">
        <v>121088</v>
      </c>
      <c r="F1499" s="13">
        <v>137584</v>
      </c>
      <c r="G1499" s="13">
        <v>1556</v>
      </c>
      <c r="H1499" s="13">
        <v>2186764</v>
      </c>
      <c r="I1499" s="13">
        <v>0</v>
      </c>
      <c r="J1499" s="13">
        <v>0</v>
      </c>
      <c r="K1499" s="13">
        <v>24017</v>
      </c>
      <c r="L1499" s="13">
        <v>17</v>
      </c>
      <c r="M1499" s="13">
        <v>3468</v>
      </c>
      <c r="N1499" s="13">
        <v>2462</v>
      </c>
      <c r="O1499" s="13">
        <v>19</v>
      </c>
      <c r="P1499" s="13">
        <v>8</v>
      </c>
      <c r="Q1499" s="13">
        <v>46</v>
      </c>
      <c r="R1499" s="13">
        <v>27</v>
      </c>
      <c r="S1499" s="13">
        <v>1</v>
      </c>
      <c r="T1499" s="23">
        <v>46247.657581018517</v>
      </c>
      <c r="U1499" s="55">
        <f t="shared" si="69"/>
        <v>0.66666666666666663</v>
      </c>
      <c r="V1499" s="55">
        <f t="shared" si="70"/>
        <v>0.33333333333333331</v>
      </c>
      <c r="W1499" s="56">
        <f t="shared" si="71"/>
        <v>24885.5</v>
      </c>
    </row>
    <row r="1500" spans="1:23" x14ac:dyDescent="0.3">
      <c r="A1500" s="13" t="str" cm="1">
        <f t="array" ref="A1500:B1500">INDEX(BenchmarkResults!$B$1:$D$35,SUMPRODUCT((T1500&gt;=BenchmarkResults!$F$3:$F$35)*(mongodb_hardware_log!T1500&lt;BenchmarkResults!$G$3:$G$35)*ROW(BenchmarkResults!$F$3:$F$35)),{1,3})</f>
        <v>q4_category_revenue</v>
      </c>
      <c r="B1500">
        <v>1</v>
      </c>
      <c r="C1500" s="13">
        <v>1</v>
      </c>
      <c r="D1500" s="13">
        <v>0</v>
      </c>
      <c r="E1500" s="13">
        <v>121088</v>
      </c>
      <c r="F1500" s="13">
        <v>133124</v>
      </c>
      <c r="G1500" s="13">
        <v>1564</v>
      </c>
      <c r="H1500" s="13">
        <v>2190124</v>
      </c>
      <c r="I1500" s="13">
        <v>0</v>
      </c>
      <c r="J1500" s="13">
        <v>0</v>
      </c>
      <c r="K1500" s="13">
        <v>22748</v>
      </c>
      <c r="L1500" s="13">
        <v>15</v>
      </c>
      <c r="M1500" s="13">
        <v>3289</v>
      </c>
      <c r="N1500" s="13">
        <v>2367</v>
      </c>
      <c r="O1500" s="13">
        <v>18</v>
      </c>
      <c r="P1500" s="13">
        <v>7</v>
      </c>
      <c r="Q1500" s="13">
        <v>46</v>
      </c>
      <c r="R1500" s="13">
        <v>28</v>
      </c>
      <c r="S1500" s="13">
        <v>1</v>
      </c>
      <c r="T1500" s="23">
        <v>46247.657696759263</v>
      </c>
      <c r="U1500" s="55">
        <f t="shared" si="69"/>
        <v>0.83333333333333337</v>
      </c>
      <c r="V1500" s="55">
        <f t="shared" si="70"/>
        <v>0.16666666666666666</v>
      </c>
      <c r="W1500" s="56">
        <f t="shared" si="71"/>
        <v>23310.5</v>
      </c>
    </row>
    <row r="1501" spans="1:23" x14ac:dyDescent="0.3">
      <c r="A1501" s="13" t="str" cm="1">
        <f t="array" ref="A1501:B1501">INDEX(BenchmarkResults!$B$1:$D$35,SUMPRODUCT((T1501&gt;=BenchmarkResults!$F$3:$F$35)*(mongodb_hardware_log!T1501&lt;BenchmarkResults!$G$3:$G$35)*ROW(BenchmarkResults!$F$3:$F$35)),{1,3})</f>
        <v>q4_category_revenue</v>
      </c>
      <c r="B1501">
        <v>1</v>
      </c>
      <c r="C1501" s="13">
        <v>0</v>
      </c>
      <c r="D1501" s="13">
        <v>1</v>
      </c>
      <c r="E1501" s="13">
        <v>121088</v>
      </c>
      <c r="F1501" s="13">
        <v>121856</v>
      </c>
      <c r="G1501" s="13">
        <v>1596</v>
      </c>
      <c r="H1501" s="13">
        <v>2205840</v>
      </c>
      <c r="I1501" s="13">
        <v>0</v>
      </c>
      <c r="J1501" s="13">
        <v>0</v>
      </c>
      <c r="K1501" s="13">
        <v>18388</v>
      </c>
      <c r="L1501" s="13">
        <v>30</v>
      </c>
      <c r="M1501" s="13">
        <v>3498</v>
      </c>
      <c r="N1501" s="13">
        <v>2546</v>
      </c>
      <c r="O1501" s="13">
        <v>24</v>
      </c>
      <c r="P1501" s="13">
        <v>8</v>
      </c>
      <c r="Q1501" s="13">
        <v>45</v>
      </c>
      <c r="R1501" s="13">
        <v>22</v>
      </c>
      <c r="S1501" s="13">
        <v>0</v>
      </c>
      <c r="T1501" s="23">
        <v>46247.657812500001</v>
      </c>
      <c r="U1501" s="55">
        <f t="shared" si="69"/>
        <v>0.66666666666666663</v>
      </c>
      <c r="V1501" s="55">
        <f t="shared" si="70"/>
        <v>0.33333333333333331</v>
      </c>
      <c r="W1501" s="56">
        <f t="shared" si="71"/>
        <v>22556.833333333332</v>
      </c>
    </row>
    <row r="1502" spans="1:23" x14ac:dyDescent="0.3">
      <c r="A1502" s="13" t="str" cm="1">
        <f t="array" ref="A1502:B1502">INDEX(BenchmarkResults!$B$1:$D$35,SUMPRODUCT((T1502&gt;=BenchmarkResults!$F$3:$F$35)*(mongodb_hardware_log!T1502&lt;BenchmarkResults!$G$3:$G$35)*ROW(BenchmarkResults!$F$3:$F$35)),{1,3})</f>
        <v>q4_category_revenue</v>
      </c>
      <c r="B1502">
        <v>1</v>
      </c>
      <c r="C1502" s="13">
        <v>0</v>
      </c>
      <c r="D1502" s="13">
        <v>1</v>
      </c>
      <c r="E1502" s="13">
        <v>121088</v>
      </c>
      <c r="F1502" s="13">
        <v>116028</v>
      </c>
      <c r="G1502" s="13">
        <v>1604</v>
      </c>
      <c r="H1502" s="13">
        <v>2202052</v>
      </c>
      <c r="I1502" s="13">
        <v>1</v>
      </c>
      <c r="J1502" s="13">
        <v>0</v>
      </c>
      <c r="K1502" s="13">
        <v>22044</v>
      </c>
      <c r="L1502" s="13">
        <v>28</v>
      </c>
      <c r="M1502" s="13">
        <v>3135</v>
      </c>
      <c r="N1502" s="13">
        <v>2256</v>
      </c>
      <c r="O1502" s="13">
        <v>22</v>
      </c>
      <c r="P1502" s="13">
        <v>7</v>
      </c>
      <c r="Q1502" s="13">
        <v>46</v>
      </c>
      <c r="R1502" s="13">
        <v>24</v>
      </c>
      <c r="S1502" s="13">
        <v>0</v>
      </c>
      <c r="T1502" s="23">
        <v>46247.65792824074</v>
      </c>
      <c r="U1502" s="55">
        <f t="shared" si="69"/>
        <v>0.5</v>
      </c>
      <c r="V1502" s="55">
        <f t="shared" si="70"/>
        <v>0.5</v>
      </c>
      <c r="W1502" s="56">
        <f t="shared" si="71"/>
        <v>21413.5</v>
      </c>
    </row>
    <row r="1503" spans="1:23" x14ac:dyDescent="0.3">
      <c r="A1503" s="13" t="str" cm="1">
        <f t="array" ref="A1503:B1503">INDEX(BenchmarkResults!$B$1:$D$35,SUMPRODUCT((T1503&gt;=BenchmarkResults!$F$3:$F$35)*(mongodb_hardware_log!T1503&lt;BenchmarkResults!$G$3:$G$35)*ROW(BenchmarkResults!$F$3:$F$35)),{1,3})</f>
        <v>q4_category_revenue</v>
      </c>
      <c r="B1503">
        <v>1</v>
      </c>
      <c r="C1503" s="13">
        <v>1</v>
      </c>
      <c r="D1503" s="13">
        <v>0</v>
      </c>
      <c r="E1503" s="13">
        <v>121088</v>
      </c>
      <c r="F1503" s="13">
        <v>134180</v>
      </c>
      <c r="G1503" s="13">
        <v>1612</v>
      </c>
      <c r="H1503" s="13">
        <v>2190168</v>
      </c>
      <c r="I1503" s="13">
        <v>0</v>
      </c>
      <c r="J1503" s="13">
        <v>0</v>
      </c>
      <c r="K1503" s="13">
        <v>26802</v>
      </c>
      <c r="L1503" s="13">
        <v>22</v>
      </c>
      <c r="M1503" s="13">
        <v>3259</v>
      </c>
      <c r="N1503" s="13">
        <v>2321</v>
      </c>
      <c r="O1503" s="13">
        <v>20</v>
      </c>
      <c r="P1503" s="13">
        <v>7</v>
      </c>
      <c r="Q1503" s="13">
        <v>46</v>
      </c>
      <c r="R1503" s="13">
        <v>26</v>
      </c>
      <c r="S1503" s="13">
        <v>0</v>
      </c>
      <c r="T1503" s="23">
        <v>46247.658043981479</v>
      </c>
      <c r="U1503" s="55">
        <f t="shared" si="69"/>
        <v>0.5</v>
      </c>
      <c r="V1503" s="55">
        <f t="shared" si="70"/>
        <v>0.5</v>
      </c>
      <c r="W1503" s="56">
        <f t="shared" si="71"/>
        <v>22080.5</v>
      </c>
    </row>
    <row r="1504" spans="1:23" x14ac:dyDescent="0.3">
      <c r="A1504" s="13" t="str" cm="1">
        <f t="array" ref="A1504:B1504">INDEX(BenchmarkResults!$B$1:$D$35,SUMPRODUCT((T1504&gt;=BenchmarkResults!$F$3:$F$35)*(mongodb_hardware_log!T1504&lt;BenchmarkResults!$G$3:$G$35)*ROW(BenchmarkResults!$F$3:$F$35)),{1,3})</f>
        <v>q4_category_revenue</v>
      </c>
      <c r="B1504">
        <v>1</v>
      </c>
      <c r="C1504" s="13">
        <v>4</v>
      </c>
      <c r="D1504" s="13">
        <v>0</v>
      </c>
      <c r="E1504" s="13">
        <v>121088</v>
      </c>
      <c r="F1504" s="13">
        <v>141124</v>
      </c>
      <c r="G1504" s="13">
        <v>1620</v>
      </c>
      <c r="H1504" s="13">
        <v>2180768</v>
      </c>
      <c r="I1504" s="13">
        <v>0</v>
      </c>
      <c r="J1504" s="13">
        <v>0</v>
      </c>
      <c r="K1504" s="13">
        <v>27060</v>
      </c>
      <c r="L1504" s="13">
        <v>12</v>
      </c>
      <c r="M1504" s="13">
        <v>3625</v>
      </c>
      <c r="N1504" s="13">
        <v>2583</v>
      </c>
      <c r="O1504" s="13">
        <v>19</v>
      </c>
      <c r="P1504" s="13">
        <v>8</v>
      </c>
      <c r="Q1504" s="13">
        <v>46</v>
      </c>
      <c r="R1504" s="13">
        <v>27</v>
      </c>
      <c r="S1504" s="13">
        <v>0</v>
      </c>
      <c r="T1504" s="23">
        <v>46247.658159722225</v>
      </c>
      <c r="U1504" s="55">
        <f t="shared" si="69"/>
        <v>1</v>
      </c>
      <c r="V1504" s="55">
        <f t="shared" si="70"/>
        <v>0.5</v>
      </c>
      <c r="W1504" s="56">
        <f t="shared" si="71"/>
        <v>23509.833333333332</v>
      </c>
    </row>
    <row r="1505" spans="1:23" x14ac:dyDescent="0.3">
      <c r="A1505" s="13" t="str" cm="1">
        <f t="array" ref="A1505:B1505">INDEX(BenchmarkResults!$B$1:$D$35,SUMPRODUCT((T1505&gt;=BenchmarkResults!$F$3:$F$35)*(mongodb_hardware_log!T1505&lt;BenchmarkResults!$G$3:$G$35)*ROW(BenchmarkResults!$F$3:$F$35)),{1,3})</f>
        <v>q4_category_revenue</v>
      </c>
      <c r="B1505">
        <v>1</v>
      </c>
      <c r="C1505" s="13">
        <v>1</v>
      </c>
      <c r="D1505" s="13">
        <v>0</v>
      </c>
      <c r="E1505" s="13">
        <v>121088</v>
      </c>
      <c r="F1505" s="13">
        <v>144740</v>
      </c>
      <c r="G1505" s="13">
        <v>1628</v>
      </c>
      <c r="H1505" s="13">
        <v>2169596</v>
      </c>
      <c r="I1505" s="13">
        <v>0</v>
      </c>
      <c r="J1505" s="13">
        <v>0</v>
      </c>
      <c r="K1505" s="13">
        <v>15644</v>
      </c>
      <c r="L1505" s="13">
        <v>12</v>
      </c>
      <c r="M1505" s="13">
        <v>3075</v>
      </c>
      <c r="N1505" s="13">
        <v>2100</v>
      </c>
      <c r="O1505" s="13">
        <v>23</v>
      </c>
      <c r="P1505" s="13">
        <v>7</v>
      </c>
      <c r="Q1505" s="13">
        <v>46</v>
      </c>
      <c r="R1505" s="13">
        <v>23</v>
      </c>
      <c r="S1505" s="13">
        <v>1</v>
      </c>
      <c r="T1505" s="23">
        <v>46247.658275462964</v>
      </c>
      <c r="U1505" s="55">
        <f t="shared" si="69"/>
        <v>1.1666666666666667</v>
      </c>
      <c r="V1505" s="55">
        <f t="shared" si="70"/>
        <v>0.33333333333333331</v>
      </c>
      <c r="W1505" s="56">
        <f t="shared" si="71"/>
        <v>22114.333333333332</v>
      </c>
    </row>
    <row r="1506" spans="1:23" x14ac:dyDescent="0.3">
      <c r="A1506" s="13" t="str" cm="1">
        <f t="array" ref="A1506:B1506">INDEX(BenchmarkResults!$B$1:$D$35,SUMPRODUCT((T1506&gt;=BenchmarkResults!$F$3:$F$35)*(mongodb_hardware_log!T1506&lt;BenchmarkResults!$G$3:$G$35)*ROW(BenchmarkResults!$F$3:$F$35)),{1,3})</f>
        <v>q4_category_revenue</v>
      </c>
      <c r="B1506">
        <v>1</v>
      </c>
      <c r="C1506" s="13">
        <v>0</v>
      </c>
      <c r="D1506" s="13">
        <v>1</v>
      </c>
      <c r="E1506" s="13">
        <v>121088</v>
      </c>
      <c r="F1506" s="13">
        <v>130580</v>
      </c>
      <c r="G1506" s="13">
        <v>1636</v>
      </c>
      <c r="H1506" s="13">
        <v>2184868</v>
      </c>
      <c r="I1506" s="13">
        <v>0</v>
      </c>
      <c r="J1506" s="13">
        <v>0</v>
      </c>
      <c r="K1506" s="13">
        <v>23869</v>
      </c>
      <c r="L1506" s="13">
        <v>28</v>
      </c>
      <c r="M1506" s="13">
        <v>3515</v>
      </c>
      <c r="N1506" s="13">
        <v>2435</v>
      </c>
      <c r="O1506" s="13">
        <v>21</v>
      </c>
      <c r="P1506" s="13">
        <v>8</v>
      </c>
      <c r="Q1506" s="13">
        <v>46</v>
      </c>
      <c r="R1506" s="13">
        <v>25</v>
      </c>
      <c r="S1506" s="13">
        <v>1</v>
      </c>
      <c r="T1506" s="23">
        <v>46247.658391203702</v>
      </c>
      <c r="U1506" s="55">
        <f t="shared" si="69"/>
        <v>1</v>
      </c>
      <c r="V1506" s="55">
        <f t="shared" si="70"/>
        <v>0.5</v>
      </c>
      <c r="W1506" s="56">
        <f t="shared" si="71"/>
        <v>22301.166666666668</v>
      </c>
    </row>
    <row r="1507" spans="1:23" x14ac:dyDescent="0.3">
      <c r="A1507" s="13" t="str" cm="1">
        <f t="array" ref="A1507:B1507">INDEX(BenchmarkResults!$B$1:$D$35,SUMPRODUCT((T1507&gt;=BenchmarkResults!$F$3:$F$35)*(mongodb_hardware_log!T1507&lt;BenchmarkResults!$G$3:$G$35)*ROW(BenchmarkResults!$F$3:$F$35)),{1,3})</f>
        <v>q4_category_revenue</v>
      </c>
      <c r="B1507">
        <v>1</v>
      </c>
      <c r="C1507" s="13">
        <v>1</v>
      </c>
      <c r="D1507" s="13">
        <v>0</v>
      </c>
      <c r="E1507" s="13">
        <v>121088</v>
      </c>
      <c r="F1507" s="13">
        <v>131000</v>
      </c>
      <c r="G1507" s="13">
        <v>1668</v>
      </c>
      <c r="H1507" s="13">
        <v>2182556</v>
      </c>
      <c r="I1507" s="13">
        <v>0</v>
      </c>
      <c r="J1507" s="13">
        <v>0</v>
      </c>
      <c r="K1507" s="13">
        <v>27695</v>
      </c>
      <c r="L1507" s="13">
        <v>32</v>
      </c>
      <c r="M1507" s="13">
        <v>3036</v>
      </c>
      <c r="N1507" s="13">
        <v>2144</v>
      </c>
      <c r="O1507" s="13">
        <v>19</v>
      </c>
      <c r="P1507" s="13">
        <v>7</v>
      </c>
      <c r="Q1507" s="13">
        <v>47</v>
      </c>
      <c r="R1507" s="13">
        <v>27</v>
      </c>
      <c r="S1507" s="13">
        <v>1</v>
      </c>
      <c r="T1507" s="23">
        <v>46247.658506944441</v>
      </c>
      <c r="U1507" s="55">
        <f t="shared" si="69"/>
        <v>1.1666666666666667</v>
      </c>
      <c r="V1507" s="55">
        <f t="shared" si="70"/>
        <v>0.33333333333333331</v>
      </c>
      <c r="W1507" s="56">
        <f t="shared" si="71"/>
        <v>23852.333333333332</v>
      </c>
    </row>
    <row r="1508" spans="1:23" x14ac:dyDescent="0.3">
      <c r="A1508" s="13" t="str" cm="1">
        <f t="array" ref="A1508:B1508">INDEX(BenchmarkResults!$B$1:$D$35,SUMPRODUCT((T1508&gt;=BenchmarkResults!$F$3:$F$35)*(mongodb_hardware_log!T1508&lt;BenchmarkResults!$G$3:$G$35)*ROW(BenchmarkResults!$F$3:$F$35)),{1,3})</f>
        <v>q4_category_revenue</v>
      </c>
      <c r="B1508">
        <v>1</v>
      </c>
      <c r="C1508" s="13">
        <v>0</v>
      </c>
      <c r="D1508" s="13">
        <v>1</v>
      </c>
      <c r="E1508" s="13">
        <v>121088</v>
      </c>
      <c r="F1508" s="13">
        <v>156932</v>
      </c>
      <c r="G1508" s="13">
        <v>1676</v>
      </c>
      <c r="H1508" s="13">
        <v>2163660</v>
      </c>
      <c r="I1508" s="13">
        <v>1</v>
      </c>
      <c r="J1508" s="13">
        <v>0</v>
      </c>
      <c r="K1508" s="13">
        <v>20474</v>
      </c>
      <c r="L1508" s="13">
        <v>9</v>
      </c>
      <c r="M1508" s="13">
        <v>3638</v>
      </c>
      <c r="N1508" s="13">
        <v>2553</v>
      </c>
      <c r="O1508" s="13">
        <v>23</v>
      </c>
      <c r="P1508" s="13">
        <v>8</v>
      </c>
      <c r="Q1508" s="13">
        <v>46</v>
      </c>
      <c r="R1508" s="13">
        <v>23</v>
      </c>
      <c r="S1508" s="13">
        <v>0</v>
      </c>
      <c r="T1508" s="23">
        <v>46247.658622685187</v>
      </c>
      <c r="U1508" s="55">
        <f t="shared" si="69"/>
        <v>1.1666666666666667</v>
      </c>
      <c r="V1508" s="55">
        <f t="shared" si="70"/>
        <v>0.33333333333333331</v>
      </c>
      <c r="W1508" s="56">
        <f t="shared" si="71"/>
        <v>23590.666666666668</v>
      </c>
    </row>
    <row r="1509" spans="1:23" x14ac:dyDescent="0.3">
      <c r="A1509" s="13" t="str" cm="1">
        <f t="array" ref="A1509:B1509">INDEX(BenchmarkResults!$B$1:$D$35,SUMPRODUCT((T1509&gt;=BenchmarkResults!$F$3:$F$35)*(mongodb_hardware_log!T1509&lt;BenchmarkResults!$G$3:$G$35)*ROW(BenchmarkResults!$F$3:$F$35)),{1,3})</f>
        <v>q4_category_revenue</v>
      </c>
      <c r="B1509">
        <v>1</v>
      </c>
      <c r="C1509" s="13">
        <v>1</v>
      </c>
      <c r="D1509" s="13">
        <v>0</v>
      </c>
      <c r="E1509" s="13">
        <v>121088</v>
      </c>
      <c r="F1509" s="13">
        <v>155784</v>
      </c>
      <c r="G1509" s="13">
        <v>1684</v>
      </c>
      <c r="H1509" s="13">
        <v>2158360</v>
      </c>
      <c r="I1509" s="13">
        <v>0</v>
      </c>
      <c r="J1509" s="13">
        <v>0</v>
      </c>
      <c r="K1509" s="13">
        <v>21781</v>
      </c>
      <c r="L1509" s="13">
        <v>20</v>
      </c>
      <c r="M1509" s="13">
        <v>3556</v>
      </c>
      <c r="N1509" s="13">
        <v>2566</v>
      </c>
      <c r="O1509" s="13">
        <v>23</v>
      </c>
      <c r="P1509" s="13">
        <v>8</v>
      </c>
      <c r="Q1509" s="13">
        <v>46</v>
      </c>
      <c r="R1509" s="13">
        <v>23</v>
      </c>
      <c r="S1509" s="13">
        <v>0</v>
      </c>
      <c r="T1509" s="23">
        <v>46247.658738425926</v>
      </c>
      <c r="U1509" s="55">
        <f t="shared" si="69"/>
        <v>1.1666666666666667</v>
      </c>
      <c r="V1509" s="55">
        <f t="shared" si="70"/>
        <v>0.33333333333333331</v>
      </c>
      <c r="W1509" s="56">
        <f t="shared" si="71"/>
        <v>22753.833333333332</v>
      </c>
    </row>
    <row r="1510" spans="1:23" x14ac:dyDescent="0.3">
      <c r="A1510" s="13" t="str" cm="1">
        <f t="array" ref="A1510:B1510">INDEX(BenchmarkResults!$B$1:$D$35,SUMPRODUCT((T1510&gt;=BenchmarkResults!$F$3:$F$35)*(mongodb_hardware_log!T1510&lt;BenchmarkResults!$G$3:$G$35)*ROW(BenchmarkResults!$F$3:$F$35)),{1,3})</f>
        <v>q4_category_revenue</v>
      </c>
      <c r="B1510">
        <v>1</v>
      </c>
      <c r="C1510" s="13">
        <v>1</v>
      </c>
      <c r="D1510" s="13">
        <v>0</v>
      </c>
      <c r="E1510" s="13">
        <v>121088</v>
      </c>
      <c r="F1510" s="13">
        <v>117148</v>
      </c>
      <c r="G1510" s="13">
        <v>1692</v>
      </c>
      <c r="H1510" s="13">
        <v>2200388</v>
      </c>
      <c r="I1510" s="13">
        <v>0</v>
      </c>
      <c r="J1510" s="13">
        <v>0</v>
      </c>
      <c r="K1510" s="13">
        <v>26621</v>
      </c>
      <c r="L1510" s="13">
        <v>14</v>
      </c>
      <c r="M1510" s="13">
        <v>3374</v>
      </c>
      <c r="N1510" s="13">
        <v>2298</v>
      </c>
      <c r="O1510" s="13">
        <v>20</v>
      </c>
      <c r="P1510" s="13">
        <v>7</v>
      </c>
      <c r="Q1510" s="13">
        <v>46</v>
      </c>
      <c r="R1510" s="13">
        <v>26</v>
      </c>
      <c r="S1510" s="13">
        <v>0</v>
      </c>
      <c r="T1510" s="23">
        <v>46247.658854166664</v>
      </c>
      <c r="U1510" s="55">
        <f t="shared" si="69"/>
        <v>0.66666666666666663</v>
      </c>
      <c r="V1510" s="55">
        <f t="shared" si="70"/>
        <v>0.33333333333333331</v>
      </c>
      <c r="W1510" s="56">
        <f t="shared" si="71"/>
        <v>22680.666666666668</v>
      </c>
    </row>
    <row r="1511" spans="1:23" x14ac:dyDescent="0.3">
      <c r="A1511" s="13" t="str" cm="1">
        <f t="array" ref="A1511:B1511">INDEX(BenchmarkResults!$B$1:$D$35,SUMPRODUCT((T1511&gt;=BenchmarkResults!$F$3:$F$35)*(mongodb_hardware_log!T1511&lt;BenchmarkResults!$G$3:$G$35)*ROW(BenchmarkResults!$F$3:$F$35)),{1,3})</f>
        <v>q4_category_revenue</v>
      </c>
      <c r="B1511">
        <v>1</v>
      </c>
      <c r="C1511" s="13">
        <v>1</v>
      </c>
      <c r="D1511" s="13">
        <v>0</v>
      </c>
      <c r="E1511" s="13">
        <v>121088</v>
      </c>
      <c r="F1511" s="13">
        <v>120112</v>
      </c>
      <c r="G1511" s="13">
        <v>1700</v>
      </c>
      <c r="H1511" s="13">
        <v>2190976</v>
      </c>
      <c r="I1511" s="13">
        <v>0</v>
      </c>
      <c r="J1511" s="13">
        <v>0</v>
      </c>
      <c r="K1511" s="13">
        <v>26954</v>
      </c>
      <c r="L1511" s="13">
        <v>13</v>
      </c>
      <c r="M1511" s="13">
        <v>3302</v>
      </c>
      <c r="N1511" s="13">
        <v>2299</v>
      </c>
      <c r="O1511" s="13">
        <v>19</v>
      </c>
      <c r="P1511" s="13">
        <v>7</v>
      </c>
      <c r="Q1511" s="13">
        <v>46</v>
      </c>
      <c r="R1511" s="13">
        <v>26</v>
      </c>
      <c r="S1511" s="13">
        <v>0</v>
      </c>
      <c r="T1511" s="23">
        <v>46247.65896990741</v>
      </c>
      <c r="U1511" s="55">
        <f t="shared" si="69"/>
        <v>0.66666666666666663</v>
      </c>
      <c r="V1511" s="55">
        <f t="shared" si="70"/>
        <v>0.33333333333333331</v>
      </c>
      <c r="W1511" s="56">
        <f t="shared" si="71"/>
        <v>24565.666666666668</v>
      </c>
    </row>
    <row r="1512" spans="1:23" x14ac:dyDescent="0.3">
      <c r="A1512" s="13" t="str" cm="1">
        <f t="array" ref="A1512:B1512">INDEX(BenchmarkResults!$B$1:$D$35,SUMPRODUCT((T1512&gt;=BenchmarkResults!$F$3:$F$35)*(mongodb_hardware_log!T1512&lt;BenchmarkResults!$G$3:$G$35)*ROW(BenchmarkResults!$F$3:$F$35)),{1,3})</f>
        <v>q4_category_revenue</v>
      </c>
      <c r="B1512">
        <v>1</v>
      </c>
      <c r="C1512" s="13">
        <v>0</v>
      </c>
      <c r="D1512" s="13">
        <v>1</v>
      </c>
      <c r="E1512" s="13">
        <v>121088</v>
      </c>
      <c r="F1512" s="13">
        <v>140028</v>
      </c>
      <c r="G1512" s="13">
        <v>1716</v>
      </c>
      <c r="H1512" s="13">
        <v>2173708</v>
      </c>
      <c r="I1512" s="13">
        <v>1</v>
      </c>
      <c r="J1512" s="13">
        <v>0</v>
      </c>
      <c r="K1512" s="13">
        <v>20565</v>
      </c>
      <c r="L1512" s="13">
        <v>39</v>
      </c>
      <c r="M1512" s="13">
        <v>3524</v>
      </c>
      <c r="N1512" s="13">
        <v>2471</v>
      </c>
      <c r="O1512" s="13">
        <v>23</v>
      </c>
      <c r="P1512" s="13">
        <v>8</v>
      </c>
      <c r="Q1512" s="13">
        <v>46</v>
      </c>
      <c r="R1512" s="13">
        <v>23</v>
      </c>
      <c r="S1512" s="13">
        <v>0</v>
      </c>
      <c r="T1512" s="23">
        <v>46247.659085648149</v>
      </c>
      <c r="U1512" s="55">
        <f t="shared" si="69"/>
        <v>0.66666666666666663</v>
      </c>
      <c r="V1512" s="55">
        <f t="shared" si="70"/>
        <v>0.33333333333333331</v>
      </c>
      <c r="W1512" s="56">
        <f t="shared" si="71"/>
        <v>24015</v>
      </c>
    </row>
    <row r="1513" spans="1:23" x14ac:dyDescent="0.3">
      <c r="A1513" s="13" t="str" cm="1">
        <f t="array" ref="A1513:B1513">INDEX(BenchmarkResults!$B$1:$D$35,SUMPRODUCT((T1513&gt;=BenchmarkResults!$F$3:$F$35)*(mongodb_hardware_log!T1513&lt;BenchmarkResults!$G$3:$G$35)*ROW(BenchmarkResults!$F$3:$F$35)),{1,3})</f>
        <v>q4_category_revenue</v>
      </c>
      <c r="B1513">
        <v>1</v>
      </c>
      <c r="C1513" s="13">
        <v>0</v>
      </c>
      <c r="D1513" s="13">
        <v>1</v>
      </c>
      <c r="E1513" s="13">
        <v>121088</v>
      </c>
      <c r="F1513" s="13">
        <v>136428</v>
      </c>
      <c r="G1513" s="13">
        <v>1796</v>
      </c>
      <c r="H1513" s="13">
        <v>2166140</v>
      </c>
      <c r="I1513" s="13">
        <v>0</v>
      </c>
      <c r="J1513" s="13">
        <v>0</v>
      </c>
      <c r="K1513" s="13">
        <v>21533</v>
      </c>
      <c r="L1513" s="13">
        <v>42</v>
      </c>
      <c r="M1513" s="13">
        <v>3313</v>
      </c>
      <c r="N1513" s="13">
        <v>2286</v>
      </c>
      <c r="O1513" s="13">
        <v>23</v>
      </c>
      <c r="P1513" s="13">
        <v>7</v>
      </c>
      <c r="Q1513" s="13">
        <v>46</v>
      </c>
      <c r="R1513" s="13">
        <v>23</v>
      </c>
      <c r="S1513" s="13">
        <v>0</v>
      </c>
      <c r="T1513" s="23">
        <v>46247.659201388888</v>
      </c>
      <c r="U1513" s="55">
        <f t="shared" si="69"/>
        <v>0.5</v>
      </c>
      <c r="V1513" s="55">
        <f t="shared" si="70"/>
        <v>0.5</v>
      </c>
      <c r="W1513" s="56">
        <f t="shared" si="71"/>
        <v>22988</v>
      </c>
    </row>
    <row r="1514" spans="1:23" x14ac:dyDescent="0.3">
      <c r="A1514" s="13" t="str" cm="1">
        <f t="array" ref="A1514:B1514">INDEX(BenchmarkResults!$B$1:$D$35,SUMPRODUCT((T1514&gt;=BenchmarkResults!$F$3:$F$35)*(mongodb_hardware_log!T1514&lt;BenchmarkResults!$G$3:$G$35)*ROW(BenchmarkResults!$F$3:$F$35)),{1,3})</f>
        <v>q4_category_revenue</v>
      </c>
      <c r="B1514">
        <v>1</v>
      </c>
      <c r="C1514" s="13">
        <v>2</v>
      </c>
      <c r="D1514" s="13">
        <v>0</v>
      </c>
      <c r="E1514" s="13">
        <v>121088</v>
      </c>
      <c r="F1514" s="13">
        <v>98364</v>
      </c>
      <c r="G1514" s="13">
        <v>1804</v>
      </c>
      <c r="H1514" s="13">
        <v>2203672</v>
      </c>
      <c r="I1514" s="13">
        <v>1</v>
      </c>
      <c r="J1514" s="13">
        <v>0</v>
      </c>
      <c r="K1514" s="13">
        <v>26068</v>
      </c>
      <c r="L1514" s="13">
        <v>5</v>
      </c>
      <c r="M1514" s="13">
        <v>3427</v>
      </c>
      <c r="N1514" s="13">
        <v>2387</v>
      </c>
      <c r="O1514" s="13">
        <v>20</v>
      </c>
      <c r="P1514" s="13">
        <v>7</v>
      </c>
      <c r="Q1514" s="13">
        <v>46</v>
      </c>
      <c r="R1514" s="13">
        <v>26</v>
      </c>
      <c r="S1514" s="13">
        <v>0</v>
      </c>
      <c r="T1514" s="23">
        <v>46247.659317129626</v>
      </c>
      <c r="U1514" s="55">
        <f t="shared" si="69"/>
        <v>0.83333333333333337</v>
      </c>
      <c r="V1514" s="55">
        <f t="shared" si="70"/>
        <v>0.33333333333333331</v>
      </c>
      <c r="W1514" s="56">
        <f t="shared" si="71"/>
        <v>23920.333333333332</v>
      </c>
    </row>
    <row r="1515" spans="1:23" x14ac:dyDescent="0.3">
      <c r="A1515" s="13" t="str" cm="1">
        <f t="array" ref="A1515:B1515">INDEX(BenchmarkResults!$B$1:$D$35,SUMPRODUCT((T1515&gt;=BenchmarkResults!$F$3:$F$35)*(mongodb_hardware_log!T1515&lt;BenchmarkResults!$G$3:$G$35)*ROW(BenchmarkResults!$F$3:$F$35)),{1,3})</f>
        <v>q4_category_revenue</v>
      </c>
      <c r="B1515">
        <v>1</v>
      </c>
      <c r="C1515" s="13">
        <v>1</v>
      </c>
      <c r="D1515" s="13">
        <v>0</v>
      </c>
      <c r="E1515" s="13">
        <v>121088</v>
      </c>
      <c r="F1515" s="13">
        <v>117932</v>
      </c>
      <c r="G1515" s="13">
        <v>1812</v>
      </c>
      <c r="H1515" s="13">
        <v>2187596</v>
      </c>
      <c r="I1515" s="13">
        <v>3</v>
      </c>
      <c r="J1515" s="13">
        <v>0</v>
      </c>
      <c r="K1515" s="13">
        <v>26271</v>
      </c>
      <c r="L1515" s="13">
        <v>14</v>
      </c>
      <c r="M1515" s="13">
        <v>3448</v>
      </c>
      <c r="N1515" s="13">
        <v>2442</v>
      </c>
      <c r="O1515" s="13">
        <v>20</v>
      </c>
      <c r="P1515" s="13">
        <v>8</v>
      </c>
      <c r="Q1515" s="13">
        <v>46</v>
      </c>
      <c r="R1515" s="13">
        <v>26</v>
      </c>
      <c r="S1515" s="13">
        <v>0</v>
      </c>
      <c r="T1515" s="23">
        <v>46247.659432870372</v>
      </c>
      <c r="U1515" s="55">
        <f t="shared" si="69"/>
        <v>0.83333333333333337</v>
      </c>
      <c r="V1515" s="55">
        <f t="shared" si="70"/>
        <v>0.33333333333333331</v>
      </c>
      <c r="W1515" s="56">
        <f t="shared" si="71"/>
        <v>24668.666666666668</v>
      </c>
    </row>
    <row r="1516" spans="1:23" x14ac:dyDescent="0.3">
      <c r="A1516" s="13" t="str" cm="1">
        <f t="array" ref="A1516:B1516">INDEX(BenchmarkResults!$B$1:$D$35,SUMPRODUCT((T1516&gt;=BenchmarkResults!$F$3:$F$35)*(mongodb_hardware_log!T1516&lt;BenchmarkResults!$G$3:$G$35)*ROW(BenchmarkResults!$F$3:$F$35)),{1,3})</f>
        <v>q4_category_revenue</v>
      </c>
      <c r="B1516">
        <v>1</v>
      </c>
      <c r="C1516" s="13">
        <v>0</v>
      </c>
      <c r="D1516" s="13">
        <v>1</v>
      </c>
      <c r="E1516" s="13">
        <v>121088</v>
      </c>
      <c r="F1516" s="13">
        <v>153316</v>
      </c>
      <c r="G1516" s="13">
        <v>1820</v>
      </c>
      <c r="H1516" s="13">
        <v>2155616</v>
      </c>
      <c r="I1516" s="13">
        <v>2</v>
      </c>
      <c r="J1516" s="13">
        <v>0</v>
      </c>
      <c r="K1516" s="13">
        <v>19121</v>
      </c>
      <c r="L1516" s="13">
        <v>9</v>
      </c>
      <c r="M1516" s="13">
        <v>3382</v>
      </c>
      <c r="N1516" s="13">
        <v>2339</v>
      </c>
      <c r="O1516" s="13">
        <v>23</v>
      </c>
      <c r="P1516" s="13">
        <v>8</v>
      </c>
      <c r="Q1516" s="13">
        <v>46</v>
      </c>
      <c r="R1516" s="13">
        <v>23</v>
      </c>
      <c r="S1516" s="13">
        <v>0</v>
      </c>
      <c r="T1516" s="23">
        <v>46247.659548611111</v>
      </c>
      <c r="U1516" s="55">
        <f t="shared" si="69"/>
        <v>0.66666666666666663</v>
      </c>
      <c r="V1516" s="55">
        <f t="shared" si="70"/>
        <v>0.5</v>
      </c>
      <c r="W1516" s="56">
        <f t="shared" si="71"/>
        <v>23418.666666666668</v>
      </c>
    </row>
    <row r="1517" spans="1:23" x14ac:dyDescent="0.3">
      <c r="A1517" s="13" t="str" cm="1">
        <f t="array" ref="A1517:B1517">INDEX(BenchmarkResults!$B$1:$D$35,SUMPRODUCT((T1517&gt;=BenchmarkResults!$F$3:$F$35)*(mongodb_hardware_log!T1517&lt;BenchmarkResults!$G$3:$G$35)*ROW(BenchmarkResults!$F$3:$F$35)),{1,3})</f>
        <v>q4_category_revenue</v>
      </c>
      <c r="B1517">
        <v>1</v>
      </c>
      <c r="C1517" s="13">
        <v>1</v>
      </c>
      <c r="D1517" s="13">
        <v>1</v>
      </c>
      <c r="E1517" s="13">
        <v>121088</v>
      </c>
      <c r="F1517" s="13">
        <v>118408</v>
      </c>
      <c r="G1517" s="13">
        <v>1836</v>
      </c>
      <c r="H1517" s="13">
        <v>2189068</v>
      </c>
      <c r="I1517" s="13">
        <v>1</v>
      </c>
      <c r="J1517" s="13">
        <v>0</v>
      </c>
      <c r="K1517" s="13">
        <v>20061</v>
      </c>
      <c r="L1517" s="13">
        <v>15</v>
      </c>
      <c r="M1517" s="13">
        <v>3325</v>
      </c>
      <c r="N1517" s="13">
        <v>2359</v>
      </c>
      <c r="O1517" s="13">
        <v>21</v>
      </c>
      <c r="P1517" s="13">
        <v>8</v>
      </c>
      <c r="Q1517" s="13">
        <v>46</v>
      </c>
      <c r="R1517" s="13">
        <v>24</v>
      </c>
      <c r="S1517" s="13">
        <v>1</v>
      </c>
      <c r="T1517" s="23">
        <v>46247.65966435185</v>
      </c>
      <c r="U1517" s="55">
        <f t="shared" si="69"/>
        <v>0.66666666666666663</v>
      </c>
      <c r="V1517" s="55">
        <f t="shared" si="70"/>
        <v>0.66666666666666663</v>
      </c>
      <c r="W1517" s="56">
        <f t="shared" si="71"/>
        <v>22269.833333333332</v>
      </c>
    </row>
    <row r="1518" spans="1:23" x14ac:dyDescent="0.3">
      <c r="A1518" s="13" t="str" cm="1">
        <f t="array" ref="A1518:B1518">INDEX(BenchmarkResults!$B$1:$D$35,SUMPRODUCT((T1518&gt;=BenchmarkResults!$F$3:$F$35)*(mongodb_hardware_log!T1518&lt;BenchmarkResults!$G$3:$G$35)*ROW(BenchmarkResults!$F$3:$F$35)),{1,3})</f>
        <v>q4_category_revenue</v>
      </c>
      <c r="B1518">
        <v>1</v>
      </c>
      <c r="C1518" s="13">
        <v>3</v>
      </c>
      <c r="D1518" s="13">
        <v>0</v>
      </c>
      <c r="E1518" s="13">
        <v>121088</v>
      </c>
      <c r="F1518" s="13">
        <v>149644</v>
      </c>
      <c r="G1518" s="13">
        <v>1844</v>
      </c>
      <c r="H1518" s="13">
        <v>2158332</v>
      </c>
      <c r="I1518" s="13">
        <v>0</v>
      </c>
      <c r="J1518" s="13">
        <v>0</v>
      </c>
      <c r="K1518" s="13">
        <v>24805</v>
      </c>
      <c r="L1518" s="13">
        <v>5</v>
      </c>
      <c r="M1518" s="13">
        <v>3046</v>
      </c>
      <c r="N1518" s="13">
        <v>2061</v>
      </c>
      <c r="O1518" s="13">
        <v>16</v>
      </c>
      <c r="P1518" s="13">
        <v>7</v>
      </c>
      <c r="Q1518" s="13">
        <v>47</v>
      </c>
      <c r="R1518" s="13">
        <v>29</v>
      </c>
      <c r="S1518" s="13">
        <v>1</v>
      </c>
      <c r="T1518" s="23">
        <v>46247.659791666665</v>
      </c>
      <c r="U1518" s="55">
        <f t="shared" si="69"/>
        <v>1.1666666666666667</v>
      </c>
      <c r="V1518" s="55">
        <f t="shared" si="70"/>
        <v>0.5</v>
      </c>
      <c r="W1518" s="56">
        <f t="shared" si="71"/>
        <v>22976.5</v>
      </c>
    </row>
    <row r="1519" spans="1:23" x14ac:dyDescent="0.3">
      <c r="A1519" s="13" t="str" cm="1">
        <f t="array" ref="A1519:B1519">INDEX(BenchmarkResults!$B$1:$D$35,SUMPRODUCT((T1519&gt;=BenchmarkResults!$F$3:$F$35)*(mongodb_hardware_log!T1519&lt;BenchmarkResults!$G$3:$G$35)*ROW(BenchmarkResults!$F$3:$F$35)),{1,3})</f>
        <v>q4_category_revenue</v>
      </c>
      <c r="B1519">
        <v>1</v>
      </c>
      <c r="C1519" s="13">
        <v>1</v>
      </c>
      <c r="D1519" s="13">
        <v>1</v>
      </c>
      <c r="E1519" s="13">
        <v>121088</v>
      </c>
      <c r="F1519" s="13">
        <v>118492</v>
      </c>
      <c r="G1519" s="13">
        <v>1876</v>
      </c>
      <c r="H1519" s="13">
        <v>2179444</v>
      </c>
      <c r="I1519" s="13">
        <v>1</v>
      </c>
      <c r="J1519" s="13">
        <v>0</v>
      </c>
      <c r="K1519" s="13">
        <v>18765</v>
      </c>
      <c r="L1519" s="13">
        <v>50</v>
      </c>
      <c r="M1519" s="13">
        <v>3013</v>
      </c>
      <c r="N1519" s="13">
        <v>2043</v>
      </c>
      <c r="O1519" s="13">
        <v>22</v>
      </c>
      <c r="P1519" s="13">
        <v>6</v>
      </c>
      <c r="Q1519" s="13">
        <v>47</v>
      </c>
      <c r="R1519" s="13">
        <v>24</v>
      </c>
      <c r="S1519" s="13">
        <v>1</v>
      </c>
      <c r="T1519" s="23">
        <v>46247.659907407404</v>
      </c>
      <c r="U1519" s="55">
        <f t="shared" si="69"/>
        <v>1.3333333333333333</v>
      </c>
      <c r="V1519" s="55">
        <f t="shared" si="70"/>
        <v>0.5</v>
      </c>
      <c r="W1519" s="56">
        <f t="shared" si="71"/>
        <v>22515.166666666668</v>
      </c>
    </row>
    <row r="1520" spans="1:23" x14ac:dyDescent="0.3">
      <c r="A1520" s="13" t="str" cm="1">
        <f t="array" ref="A1520:B1520">INDEX(BenchmarkResults!$B$1:$D$35,SUMPRODUCT((T1520&gt;=BenchmarkResults!$F$3:$F$35)*(mongodb_hardware_log!T1520&lt;BenchmarkResults!$G$3:$G$35)*ROW(BenchmarkResults!$F$3:$F$35)),{1,3})</f>
        <v>q4_category_revenue</v>
      </c>
      <c r="B1520">
        <v>1</v>
      </c>
      <c r="C1520" s="13">
        <v>1</v>
      </c>
      <c r="D1520" s="13">
        <v>1</v>
      </c>
      <c r="E1520" s="13">
        <v>121088</v>
      </c>
      <c r="F1520" s="13">
        <v>125596</v>
      </c>
      <c r="G1520" s="13">
        <v>1884</v>
      </c>
      <c r="H1520" s="13">
        <v>2169560</v>
      </c>
      <c r="I1520" s="13">
        <v>1</v>
      </c>
      <c r="J1520" s="13">
        <v>0</v>
      </c>
      <c r="K1520" s="13">
        <v>21258</v>
      </c>
      <c r="L1520" s="13">
        <v>8</v>
      </c>
      <c r="M1520" s="13">
        <v>3267</v>
      </c>
      <c r="N1520" s="13">
        <v>2215</v>
      </c>
      <c r="O1520" s="13">
        <v>22</v>
      </c>
      <c r="P1520" s="13">
        <v>7</v>
      </c>
      <c r="Q1520" s="13">
        <v>46</v>
      </c>
      <c r="R1520" s="13">
        <v>24</v>
      </c>
      <c r="S1520" s="13">
        <v>1</v>
      </c>
      <c r="T1520" s="23">
        <v>46247.66002314815</v>
      </c>
      <c r="U1520" s="55">
        <f t="shared" si="69"/>
        <v>1.1666666666666667</v>
      </c>
      <c r="V1520" s="55">
        <f t="shared" si="70"/>
        <v>0.66666666666666663</v>
      </c>
      <c r="W1520" s="56">
        <f t="shared" si="71"/>
        <v>21713.5</v>
      </c>
    </row>
    <row r="1521" spans="1:23" x14ac:dyDescent="0.3">
      <c r="A1521" s="13" t="str" cm="1">
        <f t="array" ref="A1521:B1521">INDEX(BenchmarkResults!$B$1:$D$35,SUMPRODUCT((T1521&gt;=BenchmarkResults!$F$3:$F$35)*(mongodb_hardware_log!T1521&lt;BenchmarkResults!$G$3:$G$35)*ROW(BenchmarkResults!$F$3:$F$35)),{1,3})</f>
        <v>q4_category_revenue</v>
      </c>
      <c r="B1521">
        <v>1</v>
      </c>
      <c r="C1521" s="13">
        <v>5</v>
      </c>
      <c r="D1521" s="13">
        <v>0</v>
      </c>
      <c r="E1521" s="13">
        <v>121088</v>
      </c>
      <c r="F1521" s="13">
        <v>135296</v>
      </c>
      <c r="G1521" s="13">
        <v>1892</v>
      </c>
      <c r="H1521" s="13">
        <v>2166688</v>
      </c>
      <c r="I1521" s="13">
        <v>0</v>
      </c>
      <c r="J1521" s="13">
        <v>0</v>
      </c>
      <c r="K1521" s="13">
        <v>27357</v>
      </c>
      <c r="L1521" s="13">
        <v>10</v>
      </c>
      <c r="M1521" s="13">
        <v>3509</v>
      </c>
      <c r="N1521" s="13">
        <v>2496</v>
      </c>
      <c r="O1521" s="13">
        <v>21</v>
      </c>
      <c r="P1521" s="13">
        <v>7</v>
      </c>
      <c r="Q1521" s="13">
        <v>46</v>
      </c>
      <c r="R1521" s="13">
        <v>25</v>
      </c>
      <c r="S1521" s="13">
        <v>0</v>
      </c>
      <c r="T1521" s="23">
        <v>46247.660138888888</v>
      </c>
      <c r="U1521" s="55">
        <f t="shared" si="69"/>
        <v>1.8333333333333333</v>
      </c>
      <c r="V1521" s="55">
        <f t="shared" si="70"/>
        <v>0.66666666666666663</v>
      </c>
      <c r="W1521" s="56">
        <f t="shared" si="71"/>
        <v>21894.5</v>
      </c>
    </row>
    <row r="1522" spans="1:23" x14ac:dyDescent="0.3">
      <c r="A1522" s="13" t="str" cm="1">
        <f t="array" ref="A1522:B1522">INDEX(BenchmarkResults!$B$1:$D$35,SUMPRODUCT((T1522&gt;=BenchmarkResults!$F$3:$F$35)*(mongodb_hardware_log!T1522&lt;BenchmarkResults!$G$3:$G$35)*ROW(BenchmarkResults!$F$3:$F$35)),{1,3})</f>
        <v>q4_category_revenue</v>
      </c>
      <c r="B1522">
        <v>1</v>
      </c>
      <c r="C1522" s="13">
        <v>2</v>
      </c>
      <c r="D1522" s="13">
        <v>0</v>
      </c>
      <c r="E1522" s="13">
        <v>121088</v>
      </c>
      <c r="F1522" s="13">
        <v>120660</v>
      </c>
      <c r="G1522" s="13">
        <v>1900</v>
      </c>
      <c r="H1522" s="13">
        <v>2216712</v>
      </c>
      <c r="I1522" s="13">
        <v>0</v>
      </c>
      <c r="J1522" s="13">
        <v>0</v>
      </c>
      <c r="K1522" s="13">
        <v>21715</v>
      </c>
      <c r="L1522" s="13">
        <v>10</v>
      </c>
      <c r="M1522" s="13">
        <v>3368</v>
      </c>
      <c r="N1522" s="13">
        <v>2399</v>
      </c>
      <c r="O1522" s="13">
        <v>20</v>
      </c>
      <c r="P1522" s="13">
        <v>7</v>
      </c>
      <c r="Q1522" s="13">
        <v>46</v>
      </c>
      <c r="R1522" s="13">
        <v>26</v>
      </c>
      <c r="S1522" s="13">
        <v>0</v>
      </c>
      <c r="T1522" s="23">
        <v>46247.660254629627</v>
      </c>
      <c r="U1522" s="55">
        <f t="shared" si="69"/>
        <v>2.1666666666666665</v>
      </c>
      <c r="V1522" s="55">
        <f t="shared" si="70"/>
        <v>0.5</v>
      </c>
      <c r="W1522" s="56">
        <f t="shared" si="71"/>
        <v>22326.833333333332</v>
      </c>
    </row>
    <row r="1523" spans="1:23" x14ac:dyDescent="0.3">
      <c r="A1523" s="13" t="str" cm="1">
        <f t="array" ref="A1523:B1523">INDEX(BenchmarkResults!$B$1:$D$35,SUMPRODUCT((T1523&gt;=BenchmarkResults!$F$3:$F$35)*(mongodb_hardware_log!T1523&lt;BenchmarkResults!$G$3:$G$35)*ROW(BenchmarkResults!$F$3:$F$35)),{1,3})</f>
        <v>q4_category_revenue</v>
      </c>
      <c r="B1523">
        <v>1</v>
      </c>
      <c r="C1523" s="13">
        <v>2</v>
      </c>
      <c r="D1523" s="13">
        <v>0</v>
      </c>
      <c r="E1523" s="13">
        <v>121088</v>
      </c>
      <c r="F1523" s="13">
        <v>133440</v>
      </c>
      <c r="G1523" s="13">
        <v>1916</v>
      </c>
      <c r="H1523" s="13">
        <v>2213304</v>
      </c>
      <c r="I1523" s="13">
        <v>0</v>
      </c>
      <c r="J1523" s="13">
        <v>0</v>
      </c>
      <c r="K1523" s="13">
        <v>19576</v>
      </c>
      <c r="L1523" s="13">
        <v>44</v>
      </c>
      <c r="M1523" s="13">
        <v>3452</v>
      </c>
      <c r="N1523" s="13">
        <v>2555</v>
      </c>
      <c r="O1523" s="13">
        <v>23</v>
      </c>
      <c r="P1523" s="13">
        <v>8</v>
      </c>
      <c r="Q1523" s="13">
        <v>45</v>
      </c>
      <c r="R1523" s="13">
        <v>23</v>
      </c>
      <c r="S1523" s="13">
        <v>0</v>
      </c>
      <c r="T1523" s="23">
        <v>46247.660370370373</v>
      </c>
      <c r="U1523" s="55">
        <f t="shared" si="69"/>
        <v>2.3333333333333335</v>
      </c>
      <c r="V1523" s="55">
        <f t="shared" si="70"/>
        <v>0.33333333333333331</v>
      </c>
      <c r="W1523" s="56">
        <f t="shared" si="71"/>
        <v>22246</v>
      </c>
    </row>
    <row r="1524" spans="1:23" x14ac:dyDescent="0.3">
      <c r="A1524" s="13" t="str" cm="1">
        <f t="array" ref="A1524:B1524">INDEX(BenchmarkResults!$B$1:$D$35,SUMPRODUCT((T1524&gt;=BenchmarkResults!$F$3:$F$35)*(mongodb_hardware_log!T1524&lt;BenchmarkResults!$G$3:$G$35)*ROW(BenchmarkResults!$F$3:$F$35)),{1,3})</f>
        <v>q4_category_revenue</v>
      </c>
      <c r="B1524">
        <v>1</v>
      </c>
      <c r="C1524" s="13">
        <v>2</v>
      </c>
      <c r="D1524" s="13">
        <v>0</v>
      </c>
      <c r="E1524" s="13">
        <v>121088</v>
      </c>
      <c r="F1524" s="13">
        <v>129120</v>
      </c>
      <c r="G1524" s="13">
        <v>1924</v>
      </c>
      <c r="H1524" s="13">
        <v>2219252</v>
      </c>
      <c r="I1524" s="13">
        <v>0</v>
      </c>
      <c r="J1524" s="13">
        <v>0</v>
      </c>
      <c r="K1524" s="13">
        <v>19863</v>
      </c>
      <c r="L1524" s="13">
        <v>10</v>
      </c>
      <c r="M1524" s="13">
        <v>3428</v>
      </c>
      <c r="N1524" s="13">
        <v>2573</v>
      </c>
      <c r="O1524" s="13">
        <v>24</v>
      </c>
      <c r="P1524" s="13">
        <v>8</v>
      </c>
      <c r="Q1524" s="13">
        <v>46</v>
      </c>
      <c r="R1524" s="13">
        <v>22</v>
      </c>
      <c r="S1524" s="13">
        <v>0</v>
      </c>
      <c r="T1524" s="23">
        <v>46247.660486111112</v>
      </c>
      <c r="U1524" s="55">
        <f t="shared" si="69"/>
        <v>2.1666666666666665</v>
      </c>
      <c r="V1524" s="55">
        <f t="shared" si="70"/>
        <v>0.33333333333333331</v>
      </c>
      <c r="W1524" s="56">
        <f t="shared" si="71"/>
        <v>21422.333333333332</v>
      </c>
    </row>
    <row r="1525" spans="1:23" x14ac:dyDescent="0.3">
      <c r="A1525" s="13" t="str" cm="1">
        <f t="array" ref="A1525:B1525">INDEX(BenchmarkResults!$B$1:$D$35,SUMPRODUCT((T1525&gt;=BenchmarkResults!$F$3:$F$35)*(mongodb_hardware_log!T1525&lt;BenchmarkResults!$G$3:$G$35)*ROW(BenchmarkResults!$F$3:$F$35)),{1,3})</f>
        <v>q4_category_revenue</v>
      </c>
      <c r="B1525">
        <v>1</v>
      </c>
      <c r="C1525" s="13">
        <v>0</v>
      </c>
      <c r="D1525" s="13">
        <v>1</v>
      </c>
      <c r="E1525" s="13">
        <v>121088</v>
      </c>
      <c r="F1525" s="13">
        <v>151328</v>
      </c>
      <c r="G1525" s="13">
        <v>1964</v>
      </c>
      <c r="H1525" s="13">
        <v>2198416</v>
      </c>
      <c r="I1525" s="13">
        <v>0</v>
      </c>
      <c r="J1525" s="13">
        <v>0</v>
      </c>
      <c r="K1525" s="13">
        <v>23604</v>
      </c>
      <c r="L1525" s="13">
        <v>33</v>
      </c>
      <c r="M1525" s="13">
        <v>3363</v>
      </c>
      <c r="N1525" s="13">
        <v>2374</v>
      </c>
      <c r="O1525" s="13">
        <v>21</v>
      </c>
      <c r="P1525" s="13">
        <v>8</v>
      </c>
      <c r="Q1525" s="13">
        <v>46</v>
      </c>
      <c r="R1525" s="13">
        <v>24</v>
      </c>
      <c r="S1525" s="13">
        <v>0</v>
      </c>
      <c r="T1525" s="23">
        <v>46247.660601851851</v>
      </c>
      <c r="U1525" s="55">
        <f t="shared" si="69"/>
        <v>2</v>
      </c>
      <c r="V1525" s="55">
        <f t="shared" si="70"/>
        <v>0.33333333333333331</v>
      </c>
      <c r="W1525" s="56">
        <f t="shared" si="71"/>
        <v>22228.833333333332</v>
      </c>
    </row>
    <row r="1526" spans="1:23" x14ac:dyDescent="0.3">
      <c r="A1526" s="13" t="str" cm="1">
        <f t="array" ref="A1526:B1526">INDEX(BenchmarkResults!$B$1:$D$35,SUMPRODUCT((T1526&gt;=BenchmarkResults!$F$3:$F$35)*(mongodb_hardware_log!T1526&lt;BenchmarkResults!$G$3:$G$35)*ROW(BenchmarkResults!$F$3:$F$35)),{1,3})</f>
        <v>q4_category_revenue</v>
      </c>
      <c r="B1526">
        <v>1</v>
      </c>
      <c r="C1526" s="13">
        <v>1</v>
      </c>
      <c r="D1526" s="13">
        <v>0</v>
      </c>
      <c r="E1526" s="13">
        <v>121088</v>
      </c>
      <c r="F1526" s="13">
        <v>133588</v>
      </c>
      <c r="G1526" s="13">
        <v>1976</v>
      </c>
      <c r="H1526" s="13">
        <v>2214400</v>
      </c>
      <c r="I1526" s="13">
        <v>0</v>
      </c>
      <c r="J1526" s="13">
        <v>0</v>
      </c>
      <c r="K1526" s="13">
        <v>25278</v>
      </c>
      <c r="L1526" s="13">
        <v>33</v>
      </c>
      <c r="M1526" s="13">
        <v>3461</v>
      </c>
      <c r="N1526" s="13">
        <v>2382</v>
      </c>
      <c r="O1526" s="13">
        <v>19</v>
      </c>
      <c r="P1526" s="13">
        <v>7</v>
      </c>
      <c r="Q1526" s="13">
        <v>46</v>
      </c>
      <c r="R1526" s="13">
        <v>26</v>
      </c>
      <c r="S1526" s="13">
        <v>0</v>
      </c>
      <c r="T1526" s="23">
        <v>46247.660717592589</v>
      </c>
      <c r="U1526" s="55">
        <f t="shared" si="69"/>
        <v>2</v>
      </c>
      <c r="V1526" s="55">
        <f t="shared" si="70"/>
        <v>0.16666666666666666</v>
      </c>
      <c r="W1526" s="56">
        <f t="shared" si="71"/>
        <v>22898.833333333332</v>
      </c>
    </row>
    <row r="1527" spans="1:23" x14ac:dyDescent="0.3">
      <c r="A1527" s="13" t="str" cm="1">
        <f t="array" ref="A1527:B1527">INDEX(BenchmarkResults!$B$1:$D$35,SUMPRODUCT((T1527&gt;=BenchmarkResults!$F$3:$F$35)*(mongodb_hardware_log!T1527&lt;BenchmarkResults!$G$3:$G$35)*ROW(BenchmarkResults!$F$3:$F$35)),{1,3})</f>
        <v>q4_category_revenue</v>
      </c>
      <c r="B1527">
        <v>1</v>
      </c>
      <c r="C1527" s="13">
        <v>0</v>
      </c>
      <c r="D1527" s="13">
        <v>1</v>
      </c>
      <c r="E1527" s="13">
        <v>121088</v>
      </c>
      <c r="F1527" s="13">
        <v>119560</v>
      </c>
      <c r="G1527" s="13">
        <v>1984</v>
      </c>
      <c r="H1527" s="13">
        <v>2231968</v>
      </c>
      <c r="I1527" s="13">
        <v>2</v>
      </c>
      <c r="J1527" s="13">
        <v>0</v>
      </c>
      <c r="K1527" s="13">
        <v>19634</v>
      </c>
      <c r="L1527" s="13">
        <v>18</v>
      </c>
      <c r="M1527" s="13">
        <v>3287</v>
      </c>
      <c r="N1527" s="13">
        <v>2345</v>
      </c>
      <c r="O1527" s="13">
        <v>22</v>
      </c>
      <c r="P1527" s="13">
        <v>7</v>
      </c>
      <c r="Q1527" s="13">
        <v>46</v>
      </c>
      <c r="R1527" s="13">
        <v>24</v>
      </c>
      <c r="S1527" s="13">
        <v>0</v>
      </c>
      <c r="T1527" s="23">
        <v>46247.660833333335</v>
      </c>
      <c r="U1527" s="55">
        <f t="shared" si="69"/>
        <v>1.1666666666666667</v>
      </c>
      <c r="V1527" s="55">
        <f t="shared" si="70"/>
        <v>0.33333333333333331</v>
      </c>
      <c r="W1527" s="56">
        <f t="shared" si="71"/>
        <v>21611.666666666668</v>
      </c>
    </row>
    <row r="1528" spans="1:23" x14ac:dyDescent="0.3">
      <c r="A1528" s="13" t="str" cm="1">
        <f t="array" ref="A1528:B1528">INDEX(BenchmarkResults!$B$1:$D$35,SUMPRODUCT((T1528&gt;=BenchmarkResults!$F$3:$F$35)*(mongodb_hardware_log!T1528&lt;BenchmarkResults!$G$3:$G$35)*ROW(BenchmarkResults!$F$3:$F$35)),{1,3})</f>
        <v>q4_category_revenue</v>
      </c>
      <c r="B1528">
        <v>1</v>
      </c>
      <c r="C1528" s="13">
        <v>1</v>
      </c>
      <c r="D1528" s="13">
        <v>0</v>
      </c>
      <c r="E1528" s="13">
        <v>121088</v>
      </c>
      <c r="F1528" s="13">
        <v>116372</v>
      </c>
      <c r="G1528" s="13">
        <v>2008</v>
      </c>
      <c r="H1528" s="13">
        <v>2228580</v>
      </c>
      <c r="I1528" s="13">
        <v>0</v>
      </c>
      <c r="J1528" s="13">
        <v>0</v>
      </c>
      <c r="K1528" s="13">
        <v>17714</v>
      </c>
      <c r="L1528" s="13">
        <v>50</v>
      </c>
      <c r="M1528" s="13">
        <v>2834</v>
      </c>
      <c r="N1528" s="13">
        <v>1921</v>
      </c>
      <c r="O1528" s="13">
        <v>23</v>
      </c>
      <c r="P1528" s="13">
        <v>7</v>
      </c>
      <c r="Q1528" s="13">
        <v>47</v>
      </c>
      <c r="R1528" s="13">
        <v>23</v>
      </c>
      <c r="S1528" s="13">
        <v>1</v>
      </c>
      <c r="T1528" s="23">
        <v>46247.660949074074</v>
      </c>
      <c r="U1528" s="55">
        <f t="shared" si="69"/>
        <v>1</v>
      </c>
      <c r="V1528" s="55">
        <f t="shared" si="70"/>
        <v>0.33333333333333331</v>
      </c>
      <c r="W1528" s="56">
        <f t="shared" si="71"/>
        <v>20944.833333333332</v>
      </c>
    </row>
    <row r="1529" spans="1:23" x14ac:dyDescent="0.3">
      <c r="A1529" s="13" t="str" cm="1">
        <f t="array" ref="A1529:B1529">INDEX(BenchmarkResults!$B$1:$D$35,SUMPRODUCT((T1529&gt;=BenchmarkResults!$F$3:$F$35)*(mongodb_hardware_log!T1529&lt;BenchmarkResults!$G$3:$G$35)*ROW(BenchmarkResults!$F$3:$F$35)),{1,3})</f>
        <v>q4_category_revenue</v>
      </c>
      <c r="B1529">
        <v>1</v>
      </c>
      <c r="C1529" s="13">
        <v>1</v>
      </c>
      <c r="D1529" s="13">
        <v>0</v>
      </c>
      <c r="E1529" s="13">
        <v>121088</v>
      </c>
      <c r="F1529" s="13">
        <v>128908</v>
      </c>
      <c r="G1529" s="13">
        <v>2016</v>
      </c>
      <c r="H1529" s="13">
        <v>2215308</v>
      </c>
      <c r="I1529" s="13">
        <v>0</v>
      </c>
      <c r="J1529" s="13">
        <v>0</v>
      </c>
      <c r="K1529" s="13">
        <v>21891</v>
      </c>
      <c r="L1529" s="13">
        <v>8</v>
      </c>
      <c r="M1529" s="13">
        <v>2898</v>
      </c>
      <c r="N1529" s="13">
        <v>1941</v>
      </c>
      <c r="O1529" s="13">
        <v>17</v>
      </c>
      <c r="P1529" s="13">
        <v>7</v>
      </c>
      <c r="Q1529" s="13">
        <v>47</v>
      </c>
      <c r="R1529" s="13">
        <v>29</v>
      </c>
      <c r="S1529" s="13">
        <v>1</v>
      </c>
      <c r="T1529" s="23">
        <v>46247.661064814813</v>
      </c>
      <c r="U1529" s="55">
        <f t="shared" si="69"/>
        <v>0.83333333333333337</v>
      </c>
      <c r="V1529" s="55">
        <f t="shared" si="70"/>
        <v>0.33333333333333331</v>
      </c>
      <c r="W1529" s="56">
        <f t="shared" si="71"/>
        <v>21330.666666666668</v>
      </c>
    </row>
    <row r="1530" spans="1:23" x14ac:dyDescent="0.3">
      <c r="A1530" s="13" t="str" cm="1">
        <f t="array" ref="A1530:B1530">INDEX(BenchmarkResults!$B$1:$D$35,SUMPRODUCT((T1530&gt;=BenchmarkResults!$F$3:$F$35)*(mongodb_hardware_log!T1530&lt;BenchmarkResults!$G$3:$G$35)*ROW(BenchmarkResults!$F$3:$F$35)),{1,3})</f>
        <v>q4_category_revenue</v>
      </c>
      <c r="B1530">
        <v>1</v>
      </c>
      <c r="C1530" s="13">
        <v>0</v>
      </c>
      <c r="D1530" s="13">
        <v>1</v>
      </c>
      <c r="E1530" s="13">
        <v>121088</v>
      </c>
      <c r="F1530" s="13">
        <v>132104</v>
      </c>
      <c r="G1530" s="13">
        <v>2024</v>
      </c>
      <c r="H1530" s="13">
        <v>2216392</v>
      </c>
      <c r="I1530" s="13">
        <v>0</v>
      </c>
      <c r="J1530" s="13">
        <v>0</v>
      </c>
      <c r="K1530" s="13">
        <v>14466</v>
      </c>
      <c r="L1530" s="13">
        <v>12</v>
      </c>
      <c r="M1530" s="13">
        <v>2741</v>
      </c>
      <c r="N1530" s="13">
        <v>1770</v>
      </c>
      <c r="O1530" s="13">
        <v>19</v>
      </c>
      <c r="P1530" s="13">
        <v>6</v>
      </c>
      <c r="Q1530" s="13">
        <v>47</v>
      </c>
      <c r="R1530" s="13">
        <v>27</v>
      </c>
      <c r="S1530" s="13">
        <v>2</v>
      </c>
      <c r="T1530" s="23">
        <v>46247.661180555559</v>
      </c>
      <c r="U1530" s="55">
        <f t="shared" si="69"/>
        <v>0.5</v>
      </c>
      <c r="V1530" s="55">
        <f t="shared" si="70"/>
        <v>0.5</v>
      </c>
      <c r="W1530" s="56">
        <f t="shared" si="71"/>
        <v>20431.166666666668</v>
      </c>
    </row>
    <row r="1531" spans="1:23" x14ac:dyDescent="0.3">
      <c r="A1531" s="13" t="str" cm="1">
        <f t="array" ref="A1531:B1531">INDEX(BenchmarkResults!$B$1:$D$35,SUMPRODUCT((T1531&gt;=BenchmarkResults!$F$3:$F$35)*(mongodb_hardware_log!T1531&lt;BenchmarkResults!$G$3:$G$35)*ROW(BenchmarkResults!$F$3:$F$35)),{1,3})</f>
        <v>q4_category_revenue</v>
      </c>
      <c r="B1531">
        <v>1</v>
      </c>
      <c r="C1531" s="13">
        <v>1</v>
      </c>
      <c r="D1531" s="13">
        <v>0</v>
      </c>
      <c r="E1531" s="13">
        <v>121088</v>
      </c>
      <c r="F1531" s="13">
        <v>131064</v>
      </c>
      <c r="G1531" s="13">
        <v>2056</v>
      </c>
      <c r="H1531" s="13">
        <v>2215788</v>
      </c>
      <c r="I1531" s="13">
        <v>1</v>
      </c>
      <c r="J1531" s="13">
        <v>0</v>
      </c>
      <c r="K1531" s="13">
        <v>17724</v>
      </c>
      <c r="L1531" s="13">
        <v>35</v>
      </c>
      <c r="M1531" s="13">
        <v>2777</v>
      </c>
      <c r="N1531" s="13">
        <v>1816</v>
      </c>
      <c r="O1531" s="13">
        <v>19</v>
      </c>
      <c r="P1531" s="13">
        <v>6</v>
      </c>
      <c r="Q1531" s="13">
        <v>47</v>
      </c>
      <c r="R1531" s="13">
        <v>27</v>
      </c>
      <c r="S1531" s="13">
        <v>1</v>
      </c>
      <c r="T1531" s="23">
        <v>46247.661296296297</v>
      </c>
      <c r="U1531" s="55">
        <f t="shared" si="69"/>
        <v>0.66666666666666663</v>
      </c>
      <c r="V1531" s="55">
        <f t="shared" si="70"/>
        <v>0.33333333333333331</v>
      </c>
      <c r="W1531" s="56">
        <f t="shared" si="71"/>
        <v>19451.166666666668</v>
      </c>
    </row>
    <row r="1532" spans="1:23" x14ac:dyDescent="0.3">
      <c r="A1532" s="13" t="str" cm="1">
        <f t="array" ref="A1532:B1532">INDEX(BenchmarkResults!$B$1:$D$35,SUMPRODUCT((T1532&gt;=BenchmarkResults!$F$3:$F$35)*(mongodb_hardware_log!T1532&lt;BenchmarkResults!$G$3:$G$35)*ROW(BenchmarkResults!$F$3:$F$35)),{1,3})</f>
        <v>q4_category_revenue</v>
      </c>
      <c r="B1532">
        <v>1</v>
      </c>
      <c r="C1532" s="13">
        <v>0</v>
      </c>
      <c r="D1532" s="13">
        <v>1</v>
      </c>
      <c r="E1532" s="13">
        <v>121088</v>
      </c>
      <c r="F1532" s="13">
        <v>131436</v>
      </c>
      <c r="G1532" s="13">
        <v>2064</v>
      </c>
      <c r="H1532" s="13">
        <v>2213380</v>
      </c>
      <c r="I1532" s="13">
        <v>1</v>
      </c>
      <c r="J1532" s="13">
        <v>0</v>
      </c>
      <c r="K1532" s="13">
        <v>25445</v>
      </c>
      <c r="L1532" s="13">
        <v>8</v>
      </c>
      <c r="M1532" s="13">
        <v>3367</v>
      </c>
      <c r="N1532" s="13">
        <v>2370</v>
      </c>
      <c r="O1532" s="13">
        <v>20</v>
      </c>
      <c r="P1532" s="13">
        <v>8</v>
      </c>
      <c r="Q1532" s="13">
        <v>46</v>
      </c>
      <c r="R1532" s="13">
        <v>26</v>
      </c>
      <c r="S1532" s="13">
        <v>0</v>
      </c>
      <c r="T1532" s="23">
        <v>46247.661412037036</v>
      </c>
      <c r="U1532" s="55">
        <f t="shared" si="69"/>
        <v>0.5</v>
      </c>
      <c r="V1532" s="55">
        <f t="shared" si="70"/>
        <v>0.5</v>
      </c>
      <c r="W1532" s="56">
        <f t="shared" si="71"/>
        <v>19479</v>
      </c>
    </row>
    <row r="1533" spans="1:23" x14ac:dyDescent="0.3">
      <c r="A1533" s="13" t="str" cm="1">
        <f t="array" ref="A1533:B1533">INDEX(BenchmarkResults!$B$1:$D$35,SUMPRODUCT((T1533&gt;=BenchmarkResults!$F$3:$F$35)*(mongodb_hardware_log!T1533&lt;BenchmarkResults!$G$3:$G$35)*ROW(BenchmarkResults!$F$3:$F$35)),{1,3})</f>
        <v>q4_category_revenue</v>
      </c>
      <c r="B1533">
        <v>1</v>
      </c>
      <c r="C1533" s="13">
        <v>1</v>
      </c>
      <c r="D1533" s="13">
        <v>0</v>
      </c>
      <c r="E1533" s="13">
        <v>146176</v>
      </c>
      <c r="F1533" s="13">
        <v>158888</v>
      </c>
      <c r="G1533" s="13">
        <v>296</v>
      </c>
      <c r="H1533" s="13">
        <v>2211104</v>
      </c>
      <c r="I1533" s="13">
        <v>0</v>
      </c>
      <c r="J1533" s="13">
        <v>2515</v>
      </c>
      <c r="K1533" s="13">
        <v>22630</v>
      </c>
      <c r="L1533" s="13">
        <v>2541</v>
      </c>
      <c r="M1533" s="13">
        <v>3465</v>
      </c>
      <c r="N1533" s="13">
        <v>2323</v>
      </c>
      <c r="O1533" s="13">
        <v>22</v>
      </c>
      <c r="P1533" s="13">
        <v>8</v>
      </c>
      <c r="Q1533" s="13">
        <v>46</v>
      </c>
      <c r="R1533" s="13">
        <v>24</v>
      </c>
      <c r="S1533" s="13">
        <v>0</v>
      </c>
      <c r="T1533" s="23">
        <v>46247.661527777775</v>
      </c>
      <c r="U1533" s="55">
        <f t="shared" si="69"/>
        <v>0.66666666666666663</v>
      </c>
      <c r="V1533" s="55">
        <f t="shared" si="70"/>
        <v>0.33333333333333331</v>
      </c>
      <c r="W1533" s="56">
        <f t="shared" si="71"/>
        <v>19978.333333333332</v>
      </c>
    </row>
    <row r="1534" spans="1:23" x14ac:dyDescent="0.3">
      <c r="A1534" s="13" t="str" cm="1">
        <f t="array" ref="A1534:B1534">INDEX(BenchmarkResults!$B$1:$D$35,SUMPRODUCT((T1534&gt;=BenchmarkResults!$F$3:$F$35)*(mongodb_hardware_log!T1534&lt;BenchmarkResults!$G$3:$G$35)*ROW(BenchmarkResults!$F$3:$F$35)),{1,3})</f>
        <v>q4_category_revenue</v>
      </c>
      <c r="B1534">
        <v>1</v>
      </c>
      <c r="C1534" s="13">
        <v>0</v>
      </c>
      <c r="D1534" s="13">
        <v>1</v>
      </c>
      <c r="E1534" s="13">
        <v>158976</v>
      </c>
      <c r="F1534" s="13">
        <v>143156</v>
      </c>
      <c r="G1534" s="13">
        <v>268</v>
      </c>
      <c r="H1534" s="13">
        <v>2240352</v>
      </c>
      <c r="I1534" s="13">
        <v>4</v>
      </c>
      <c r="J1534" s="13">
        <v>1302</v>
      </c>
      <c r="K1534" s="13">
        <v>18128</v>
      </c>
      <c r="L1534" s="13">
        <v>1316</v>
      </c>
      <c r="M1534" s="13">
        <v>3404</v>
      </c>
      <c r="N1534" s="13">
        <v>2470</v>
      </c>
      <c r="O1534" s="13">
        <v>24</v>
      </c>
      <c r="P1534" s="13">
        <v>8</v>
      </c>
      <c r="Q1534" s="13">
        <v>45</v>
      </c>
      <c r="R1534" s="13">
        <v>22</v>
      </c>
      <c r="S1534" s="13">
        <v>0</v>
      </c>
      <c r="T1534" s="23">
        <v>46247.661643518521</v>
      </c>
      <c r="U1534" s="55">
        <f t="shared" si="69"/>
        <v>0.5</v>
      </c>
      <c r="V1534" s="55">
        <f t="shared" si="70"/>
        <v>0.5</v>
      </c>
      <c r="W1534" s="56">
        <f t="shared" si="71"/>
        <v>20047.333333333332</v>
      </c>
    </row>
    <row r="1535" spans="1:23" x14ac:dyDescent="0.3">
      <c r="A1535" s="13" t="str" cm="1">
        <f t="array" ref="A1535:B1535">INDEX(BenchmarkResults!$B$1:$D$35,SUMPRODUCT((T1535&gt;=BenchmarkResults!$F$3:$F$35)*(mongodb_hardware_log!T1535&lt;BenchmarkResults!$G$3:$G$35)*ROW(BenchmarkResults!$F$3:$F$35)),{1,3})</f>
        <v>q4_category_revenue</v>
      </c>
      <c r="B1535">
        <v>1</v>
      </c>
      <c r="C1535" s="13">
        <v>0</v>
      </c>
      <c r="D1535" s="13">
        <v>1</v>
      </c>
      <c r="E1535" s="13">
        <v>158976</v>
      </c>
      <c r="F1535" s="13">
        <v>137908</v>
      </c>
      <c r="G1535" s="13">
        <v>284</v>
      </c>
      <c r="H1535" s="13">
        <v>2237464</v>
      </c>
      <c r="I1535" s="13">
        <v>6</v>
      </c>
      <c r="J1535" s="13">
        <v>0</v>
      </c>
      <c r="K1535" s="13">
        <v>22168</v>
      </c>
      <c r="L1535" s="13">
        <v>31</v>
      </c>
      <c r="M1535" s="13">
        <v>3260</v>
      </c>
      <c r="N1535" s="13">
        <v>2308</v>
      </c>
      <c r="O1535" s="13">
        <v>22</v>
      </c>
      <c r="P1535" s="13">
        <v>7</v>
      </c>
      <c r="Q1535" s="13">
        <v>46</v>
      </c>
      <c r="R1535" s="13">
        <v>24</v>
      </c>
      <c r="S1535" s="13">
        <v>1</v>
      </c>
      <c r="T1535" s="23">
        <v>46247.661759259259</v>
      </c>
      <c r="U1535" s="55">
        <f t="shared" si="69"/>
        <v>0.33333333333333331</v>
      </c>
      <c r="V1535" s="55">
        <f t="shared" si="70"/>
        <v>0.66666666666666663</v>
      </c>
      <c r="W1535" s="56">
        <f t="shared" si="71"/>
        <v>20093.5</v>
      </c>
    </row>
    <row r="1536" spans="1:23" x14ac:dyDescent="0.3">
      <c r="A1536" s="13" t="str" cm="1">
        <f t="array" ref="A1536:B1536">INDEX(BenchmarkResults!$B$1:$D$35,SUMPRODUCT((T1536&gt;=BenchmarkResults!$F$3:$F$35)*(mongodb_hardware_log!T1536&lt;BenchmarkResults!$G$3:$G$35)*ROW(BenchmarkResults!$F$3:$F$35)),{1,3})</f>
        <v>q4_category_revenue</v>
      </c>
      <c r="B1536">
        <v>1</v>
      </c>
      <c r="C1536" s="13">
        <v>2</v>
      </c>
      <c r="D1536" s="13">
        <v>0</v>
      </c>
      <c r="E1536" s="13">
        <v>158720</v>
      </c>
      <c r="F1536" s="13">
        <v>122224</v>
      </c>
      <c r="G1536" s="13">
        <v>292</v>
      </c>
      <c r="H1536" s="13">
        <v>2254452</v>
      </c>
      <c r="I1536" s="13">
        <v>28</v>
      </c>
      <c r="J1536" s="13">
        <v>0</v>
      </c>
      <c r="K1536" s="13">
        <v>24189</v>
      </c>
      <c r="L1536" s="13">
        <v>8</v>
      </c>
      <c r="M1536" s="13">
        <v>3738</v>
      </c>
      <c r="N1536" s="13">
        <v>2726</v>
      </c>
      <c r="O1536" s="13">
        <v>21</v>
      </c>
      <c r="P1536" s="13">
        <v>8</v>
      </c>
      <c r="Q1536" s="13">
        <v>45</v>
      </c>
      <c r="R1536" s="13">
        <v>25</v>
      </c>
      <c r="S1536" s="13">
        <v>1</v>
      </c>
      <c r="T1536" s="23">
        <v>46247.661874999998</v>
      </c>
      <c r="U1536" s="55">
        <f t="shared" si="69"/>
        <v>0.66666666666666663</v>
      </c>
      <c r="V1536" s="55">
        <f t="shared" si="70"/>
        <v>0.5</v>
      </c>
      <c r="W1536" s="56">
        <f t="shared" si="71"/>
        <v>21714</v>
      </c>
    </row>
    <row r="1537" spans="1:23" x14ac:dyDescent="0.3">
      <c r="A1537" s="13" t="str" cm="1">
        <f t="array" ref="A1537:B1537">INDEX(BenchmarkResults!$B$1:$D$35,SUMPRODUCT((T1537&gt;=BenchmarkResults!$F$3:$F$35)*(mongodb_hardware_log!T1537&lt;BenchmarkResults!$G$3:$G$35)*ROW(BenchmarkResults!$F$3:$F$35)),{1,3})</f>
        <v>q4_category_revenue</v>
      </c>
      <c r="B1537">
        <v>1</v>
      </c>
      <c r="C1537" s="13">
        <v>0</v>
      </c>
      <c r="D1537" s="13">
        <v>1</v>
      </c>
      <c r="E1537" s="13">
        <v>158720</v>
      </c>
      <c r="F1537" s="13">
        <v>121672</v>
      </c>
      <c r="G1537" s="13">
        <v>324</v>
      </c>
      <c r="H1537" s="13">
        <v>2241288</v>
      </c>
      <c r="I1537" s="13">
        <v>1</v>
      </c>
      <c r="J1537" s="13">
        <v>0</v>
      </c>
      <c r="K1537" s="13">
        <v>21129</v>
      </c>
      <c r="L1537" s="13">
        <v>32</v>
      </c>
      <c r="M1537" s="13">
        <v>2998</v>
      </c>
      <c r="N1537" s="13">
        <v>2005</v>
      </c>
      <c r="O1537" s="13">
        <v>20</v>
      </c>
      <c r="P1537" s="13">
        <v>7</v>
      </c>
      <c r="Q1537" s="13">
        <v>47</v>
      </c>
      <c r="R1537" s="13">
        <v>26</v>
      </c>
      <c r="S1537" s="13">
        <v>1</v>
      </c>
      <c r="T1537" s="23">
        <v>46247.661990740744</v>
      </c>
      <c r="U1537" s="55">
        <f t="shared" si="69"/>
        <v>0.5</v>
      </c>
      <c r="V1537" s="55">
        <f t="shared" si="70"/>
        <v>0.66666666666666663</v>
      </c>
      <c r="W1537" s="56">
        <f t="shared" si="71"/>
        <v>22281.5</v>
      </c>
    </row>
    <row r="1538" spans="1:23" x14ac:dyDescent="0.3">
      <c r="A1538" s="13" t="str" cm="1">
        <f t="array" ref="A1538:B1538">INDEX(BenchmarkResults!$B$1:$D$35,SUMPRODUCT((T1538&gt;=BenchmarkResults!$F$3:$F$35)*(mongodb_hardware_log!T1538&lt;BenchmarkResults!$G$3:$G$35)*ROW(BenchmarkResults!$F$3:$F$35)),{1,3})</f>
        <v>q4_category_revenue</v>
      </c>
      <c r="B1538">
        <v>1</v>
      </c>
      <c r="C1538" s="13">
        <v>1</v>
      </c>
      <c r="D1538" s="13">
        <v>0</v>
      </c>
      <c r="E1538" s="13">
        <v>158720</v>
      </c>
      <c r="F1538" s="13">
        <v>141536</v>
      </c>
      <c r="G1538" s="13">
        <v>332</v>
      </c>
      <c r="H1538" s="13">
        <v>2229796</v>
      </c>
      <c r="I1538" s="13">
        <v>0</v>
      </c>
      <c r="J1538" s="13">
        <v>0</v>
      </c>
      <c r="K1538" s="13">
        <v>15660</v>
      </c>
      <c r="L1538" s="13">
        <v>18</v>
      </c>
      <c r="M1538" s="13">
        <v>3232</v>
      </c>
      <c r="N1538" s="13">
        <v>2287</v>
      </c>
      <c r="O1538" s="13">
        <v>24</v>
      </c>
      <c r="P1538" s="13">
        <v>8</v>
      </c>
      <c r="Q1538" s="13">
        <v>46</v>
      </c>
      <c r="R1538" s="13">
        <v>22</v>
      </c>
      <c r="S1538" s="13">
        <v>1</v>
      </c>
      <c r="T1538" s="23">
        <v>46247.662106481483</v>
      </c>
      <c r="U1538" s="55">
        <f t="shared" si="69"/>
        <v>0.66666666666666663</v>
      </c>
      <c r="V1538" s="55">
        <f t="shared" si="70"/>
        <v>0.5</v>
      </c>
      <c r="W1538" s="56">
        <f t="shared" si="71"/>
        <v>20650.666666666668</v>
      </c>
    </row>
    <row r="1539" spans="1:23" x14ac:dyDescent="0.3">
      <c r="A1539" s="13" t="str" cm="1">
        <f t="array" ref="A1539:B1539">INDEX(BenchmarkResults!$B$1:$D$35,SUMPRODUCT((T1539&gt;=BenchmarkResults!$F$3:$F$35)*(mongodb_hardware_log!T1539&lt;BenchmarkResults!$G$3:$G$35)*ROW(BenchmarkResults!$F$3:$F$35)),{1,3})</f>
        <v>q4_category_revenue</v>
      </c>
      <c r="B1539">
        <v>1</v>
      </c>
      <c r="C1539" s="13">
        <v>1</v>
      </c>
      <c r="D1539" s="13">
        <v>0</v>
      </c>
      <c r="E1539" s="13">
        <v>158720</v>
      </c>
      <c r="F1539" s="13">
        <v>145940</v>
      </c>
      <c r="G1539" s="13">
        <v>348</v>
      </c>
      <c r="H1539" s="13">
        <v>2226300</v>
      </c>
      <c r="I1539" s="13">
        <v>11</v>
      </c>
      <c r="J1539" s="13">
        <v>0</v>
      </c>
      <c r="K1539" s="13">
        <v>22132</v>
      </c>
      <c r="L1539" s="13">
        <v>39</v>
      </c>
      <c r="M1539" s="13">
        <v>3378</v>
      </c>
      <c r="N1539" s="13">
        <v>2324</v>
      </c>
      <c r="O1539" s="13">
        <v>23</v>
      </c>
      <c r="P1539" s="13">
        <v>7</v>
      </c>
      <c r="Q1539" s="13">
        <v>46</v>
      </c>
      <c r="R1539" s="13">
        <v>23</v>
      </c>
      <c r="S1539" s="13">
        <v>0</v>
      </c>
      <c r="T1539" s="23">
        <v>46247.662222222221</v>
      </c>
      <c r="U1539" s="55">
        <f t="shared" si="69"/>
        <v>0.66666666666666663</v>
      </c>
      <c r="V1539" s="55">
        <f t="shared" si="70"/>
        <v>0.5</v>
      </c>
      <c r="W1539" s="56">
        <f t="shared" si="71"/>
        <v>20567.666666666668</v>
      </c>
    </row>
    <row r="1540" spans="1:23" x14ac:dyDescent="0.3">
      <c r="A1540" s="13" t="str" cm="1">
        <f t="array" ref="A1540:B1540">INDEX(BenchmarkResults!$B$1:$D$35,SUMPRODUCT((T1540&gt;=BenchmarkResults!$F$3:$F$35)*(mongodb_hardware_log!T1540&lt;BenchmarkResults!$G$3:$G$35)*ROW(BenchmarkResults!$F$3:$F$35)),{1,3})</f>
        <v>q4_category_revenue</v>
      </c>
      <c r="B1540">
        <v>1</v>
      </c>
      <c r="C1540" s="13">
        <v>0</v>
      </c>
      <c r="D1540" s="13">
        <v>1</v>
      </c>
      <c r="E1540" s="13">
        <v>158720</v>
      </c>
      <c r="F1540" s="13">
        <v>120844</v>
      </c>
      <c r="G1540" s="13">
        <v>356</v>
      </c>
      <c r="H1540" s="13">
        <v>2242828</v>
      </c>
      <c r="I1540" s="13">
        <v>2</v>
      </c>
      <c r="J1540" s="13">
        <v>0</v>
      </c>
      <c r="K1540" s="13">
        <v>24120</v>
      </c>
      <c r="L1540" s="13">
        <v>14</v>
      </c>
      <c r="M1540" s="13">
        <v>3491</v>
      </c>
      <c r="N1540" s="13">
        <v>2486</v>
      </c>
      <c r="O1540" s="13">
        <v>21</v>
      </c>
      <c r="P1540" s="13">
        <v>8</v>
      </c>
      <c r="Q1540" s="13">
        <v>46</v>
      </c>
      <c r="R1540" s="13">
        <v>25</v>
      </c>
      <c r="S1540" s="13">
        <v>0</v>
      </c>
      <c r="T1540" s="23">
        <v>46247.66233796296</v>
      </c>
      <c r="U1540" s="55">
        <f t="shared" si="69"/>
        <v>0.66666666666666663</v>
      </c>
      <c r="V1540" s="55">
        <f t="shared" si="70"/>
        <v>0.5</v>
      </c>
      <c r="W1540" s="56">
        <f t="shared" si="71"/>
        <v>21566.333333333332</v>
      </c>
    </row>
    <row r="1541" spans="1:23" x14ac:dyDescent="0.3">
      <c r="A1541" s="13" t="str" cm="1">
        <f t="array" ref="A1541:B1541">INDEX(BenchmarkResults!$B$1:$D$35,SUMPRODUCT((T1541&gt;=BenchmarkResults!$F$3:$F$35)*(mongodb_hardware_log!T1541&lt;BenchmarkResults!$G$3:$G$35)*ROW(BenchmarkResults!$F$3:$F$35)),{1,3})</f>
        <v>q4_category_revenue</v>
      </c>
      <c r="B1541">
        <v>1</v>
      </c>
      <c r="C1541" s="13">
        <v>1</v>
      </c>
      <c r="D1541" s="13">
        <v>0</v>
      </c>
      <c r="E1541" s="13">
        <v>158720</v>
      </c>
      <c r="F1541" s="13">
        <v>108884</v>
      </c>
      <c r="G1541" s="13">
        <v>364</v>
      </c>
      <c r="H1541" s="13">
        <v>2255524</v>
      </c>
      <c r="I1541" s="13">
        <v>5</v>
      </c>
      <c r="J1541" s="13">
        <v>0</v>
      </c>
      <c r="K1541" s="13">
        <v>23690</v>
      </c>
      <c r="L1541" s="13">
        <v>13</v>
      </c>
      <c r="M1541" s="13">
        <v>3189</v>
      </c>
      <c r="N1541" s="13">
        <v>2120</v>
      </c>
      <c r="O1541" s="13">
        <v>22</v>
      </c>
      <c r="P1541" s="13">
        <v>6</v>
      </c>
      <c r="Q1541" s="13">
        <v>47</v>
      </c>
      <c r="R1541" s="13">
        <v>25</v>
      </c>
      <c r="S1541" s="13">
        <v>0</v>
      </c>
      <c r="T1541" s="23">
        <v>46247.662453703706</v>
      </c>
      <c r="U1541" s="55">
        <f t="shared" si="69"/>
        <v>0.83333333333333337</v>
      </c>
      <c r="V1541" s="55">
        <f t="shared" si="70"/>
        <v>0.33333333333333331</v>
      </c>
      <c r="W1541" s="56">
        <f t="shared" si="71"/>
        <v>21820</v>
      </c>
    </row>
    <row r="1542" spans="1:23" x14ac:dyDescent="0.3">
      <c r="A1542" s="13" t="str" cm="1">
        <f t="array" ref="A1542:B1542">INDEX(BenchmarkResults!$B$1:$D$35,SUMPRODUCT((T1542&gt;=BenchmarkResults!$F$3:$F$35)*(mongodb_hardware_log!T1542&lt;BenchmarkResults!$G$3:$G$35)*ROW(BenchmarkResults!$F$3:$F$35)),{1,3})</f>
        <v>q4_category_revenue</v>
      </c>
      <c r="B1542">
        <v>1</v>
      </c>
      <c r="C1542" s="13">
        <v>1</v>
      </c>
      <c r="D1542" s="13">
        <v>0</v>
      </c>
      <c r="E1542" s="13">
        <v>158208</v>
      </c>
      <c r="F1542" s="13">
        <v>107576</v>
      </c>
      <c r="G1542" s="13">
        <v>372</v>
      </c>
      <c r="H1542" s="13">
        <v>2277820</v>
      </c>
      <c r="I1542" s="13">
        <v>9</v>
      </c>
      <c r="J1542" s="13">
        <v>0</v>
      </c>
      <c r="K1542" s="13">
        <v>19083</v>
      </c>
      <c r="L1542" s="13">
        <v>7</v>
      </c>
      <c r="M1542" s="13">
        <v>3316</v>
      </c>
      <c r="N1542" s="13">
        <v>2407</v>
      </c>
      <c r="O1542" s="13">
        <v>25</v>
      </c>
      <c r="P1542" s="13">
        <v>8</v>
      </c>
      <c r="Q1542" s="13">
        <v>46</v>
      </c>
      <c r="R1542" s="13">
        <v>21</v>
      </c>
      <c r="S1542" s="13">
        <v>0</v>
      </c>
      <c r="T1542" s="23">
        <v>46247.662569444445</v>
      </c>
      <c r="U1542" s="55">
        <f t="shared" si="69"/>
        <v>0.66666666666666663</v>
      </c>
      <c r="V1542" s="55">
        <f t="shared" si="70"/>
        <v>0.33333333333333331</v>
      </c>
      <c r="W1542" s="56">
        <f t="shared" si="71"/>
        <v>20969</v>
      </c>
    </row>
    <row r="1543" spans="1:23" x14ac:dyDescent="0.3">
      <c r="A1543" s="13" t="str" cm="1">
        <f t="array" ref="A1543:B1543">INDEX(BenchmarkResults!$B$1:$D$35,SUMPRODUCT((T1543&gt;=BenchmarkResults!$F$3:$F$35)*(mongodb_hardware_log!T1543&lt;BenchmarkResults!$G$3:$G$35)*ROW(BenchmarkResults!$F$3:$F$35)),{1,3})</f>
        <v>q4_category_revenue</v>
      </c>
      <c r="B1543">
        <v>1</v>
      </c>
      <c r="C1543" s="13">
        <v>6</v>
      </c>
      <c r="D1543" s="13">
        <v>0</v>
      </c>
      <c r="E1543" s="13">
        <v>158208</v>
      </c>
      <c r="F1543" s="13">
        <v>120352</v>
      </c>
      <c r="G1543" s="13">
        <v>420</v>
      </c>
      <c r="H1543" s="13">
        <v>2265668</v>
      </c>
      <c r="I1543" s="13">
        <v>4</v>
      </c>
      <c r="J1543" s="13">
        <v>0</v>
      </c>
      <c r="K1543" s="13">
        <v>15646</v>
      </c>
      <c r="L1543" s="13">
        <v>35</v>
      </c>
      <c r="M1543" s="13">
        <v>2615</v>
      </c>
      <c r="N1543" s="13">
        <v>1916</v>
      </c>
      <c r="O1543" s="13">
        <v>22</v>
      </c>
      <c r="P1543" s="13">
        <v>7</v>
      </c>
      <c r="Q1543" s="13">
        <v>51</v>
      </c>
      <c r="R1543" s="13">
        <v>20</v>
      </c>
      <c r="S1543" s="13">
        <v>0</v>
      </c>
      <c r="T1543" s="23">
        <v>46247.662685185183</v>
      </c>
      <c r="U1543" s="55">
        <f t="shared" si="69"/>
        <v>1.6666666666666667</v>
      </c>
      <c r="V1543" s="55">
        <f t="shared" si="70"/>
        <v>0.16666666666666666</v>
      </c>
      <c r="W1543" s="56">
        <f t="shared" si="71"/>
        <v>20055.166666666668</v>
      </c>
    </row>
    <row r="1544" spans="1:23" x14ac:dyDescent="0.3">
      <c r="A1544" s="13" t="str" cm="1">
        <f t="array" ref="A1544:B1544">INDEX(BenchmarkResults!$B$1:$D$35,SUMPRODUCT((T1544&gt;=BenchmarkResults!$F$3:$F$35)*(mongodb_hardware_log!T1544&lt;BenchmarkResults!$G$3:$G$35)*ROW(BenchmarkResults!$F$3:$F$35)),{1,3})</f>
        <v>q4_category_revenue</v>
      </c>
      <c r="B1544">
        <v>1</v>
      </c>
      <c r="C1544" s="13">
        <v>2</v>
      </c>
      <c r="D1544" s="13">
        <v>0</v>
      </c>
      <c r="E1544" s="13">
        <v>158208</v>
      </c>
      <c r="F1544" s="13">
        <v>150528</v>
      </c>
      <c r="G1544" s="13">
        <v>428</v>
      </c>
      <c r="H1544" s="13">
        <v>2233424</v>
      </c>
      <c r="I1544" s="13">
        <v>4</v>
      </c>
      <c r="J1544" s="13">
        <v>0</v>
      </c>
      <c r="K1544" s="13">
        <v>19306</v>
      </c>
      <c r="L1544" s="13">
        <v>4</v>
      </c>
      <c r="M1544" s="13">
        <v>2896</v>
      </c>
      <c r="N1544" s="13">
        <v>2076</v>
      </c>
      <c r="O1544" s="13">
        <v>20</v>
      </c>
      <c r="P1544" s="13">
        <v>7</v>
      </c>
      <c r="Q1544" s="13">
        <v>49</v>
      </c>
      <c r="R1544" s="13">
        <v>23</v>
      </c>
      <c r="S1544" s="13">
        <v>0</v>
      </c>
      <c r="T1544" s="23">
        <v>46247.662800925929</v>
      </c>
      <c r="U1544" s="55">
        <f t="shared" si="69"/>
        <v>1.8333333333333333</v>
      </c>
      <c r="V1544" s="55">
        <f t="shared" si="70"/>
        <v>0.16666666666666666</v>
      </c>
      <c r="W1544" s="56">
        <f t="shared" si="71"/>
        <v>20662.833333333332</v>
      </c>
    </row>
    <row r="1545" spans="1:23" x14ac:dyDescent="0.3">
      <c r="A1545" s="13" t="str" cm="1">
        <f t="array" ref="A1545:B1545">INDEX(BenchmarkResults!$B$1:$D$35,SUMPRODUCT((T1545&gt;=BenchmarkResults!$F$3:$F$35)*(mongodb_hardware_log!T1545&lt;BenchmarkResults!$G$3:$G$35)*ROW(BenchmarkResults!$F$3:$F$35)),{1,3})</f>
        <v>q4_category_revenue</v>
      </c>
      <c r="B1545">
        <v>1</v>
      </c>
      <c r="C1545" s="13">
        <v>0</v>
      </c>
      <c r="D1545" s="13">
        <v>1</v>
      </c>
      <c r="E1545" s="13">
        <v>158208</v>
      </c>
      <c r="F1545" s="13">
        <v>144356</v>
      </c>
      <c r="G1545" s="13">
        <v>436</v>
      </c>
      <c r="H1545" s="13">
        <v>2234836</v>
      </c>
      <c r="I1545" s="13">
        <v>5</v>
      </c>
      <c r="J1545" s="13">
        <v>0</v>
      </c>
      <c r="K1545" s="13">
        <v>17039</v>
      </c>
      <c r="L1545" s="13">
        <v>25</v>
      </c>
      <c r="M1545" s="13">
        <v>2948</v>
      </c>
      <c r="N1545" s="13">
        <v>2144</v>
      </c>
      <c r="O1545" s="13">
        <v>21</v>
      </c>
      <c r="P1545" s="13">
        <v>7</v>
      </c>
      <c r="Q1545" s="13">
        <v>51</v>
      </c>
      <c r="R1545" s="13">
        <v>21</v>
      </c>
      <c r="S1545" s="13">
        <v>0</v>
      </c>
      <c r="T1545" s="23">
        <v>46247.662916666668</v>
      </c>
      <c r="U1545" s="55">
        <f t="shared" ref="U1545:U1608" si="72">AVERAGE(C1540:C1545)</f>
        <v>1.6666666666666667</v>
      </c>
      <c r="V1545" s="55">
        <f t="shared" ref="V1545:V1608" si="73">AVERAGE(D1540:D1545)</f>
        <v>0.33333333333333331</v>
      </c>
      <c r="W1545" s="56">
        <f t="shared" ref="W1545:W1608" si="74">AVERAGE(K1540:K1545)</f>
        <v>19814</v>
      </c>
    </row>
    <row r="1546" spans="1:23" x14ac:dyDescent="0.3">
      <c r="A1546" s="13" t="str" cm="1">
        <f t="array" ref="A1546:B1546">INDEX(BenchmarkResults!$B$1:$D$35,SUMPRODUCT((T1546&gt;=BenchmarkResults!$F$3:$F$35)*(mongodb_hardware_log!T1546&lt;BenchmarkResults!$G$3:$G$35)*ROW(BenchmarkResults!$F$3:$F$35)),{1,3})</f>
        <v>q4_category_revenue</v>
      </c>
      <c r="B1546">
        <v>1</v>
      </c>
      <c r="C1546" s="13">
        <v>3</v>
      </c>
      <c r="D1546" s="13">
        <v>0</v>
      </c>
      <c r="E1546" s="13">
        <v>157952</v>
      </c>
      <c r="F1546" s="13">
        <v>155652</v>
      </c>
      <c r="G1546" s="13">
        <v>452</v>
      </c>
      <c r="H1546" s="13">
        <v>2225136</v>
      </c>
      <c r="I1546" s="13">
        <v>6</v>
      </c>
      <c r="J1546" s="13">
        <v>0</v>
      </c>
      <c r="K1546" s="13">
        <v>10243</v>
      </c>
      <c r="L1546" s="13">
        <v>31</v>
      </c>
      <c r="M1546" s="13">
        <v>2401</v>
      </c>
      <c r="N1546" s="13">
        <v>1743</v>
      </c>
      <c r="O1546" s="13">
        <v>23</v>
      </c>
      <c r="P1546" s="13">
        <v>6</v>
      </c>
      <c r="Q1546" s="13">
        <v>52</v>
      </c>
      <c r="R1546" s="13">
        <v>18</v>
      </c>
      <c r="S1546" s="13">
        <v>1</v>
      </c>
      <c r="T1546" s="23">
        <v>46247.663032407407</v>
      </c>
      <c r="U1546" s="55">
        <f t="shared" si="72"/>
        <v>2.1666666666666665</v>
      </c>
      <c r="V1546" s="55">
        <f t="shared" si="73"/>
        <v>0.16666666666666666</v>
      </c>
      <c r="W1546" s="56">
        <f t="shared" si="74"/>
        <v>17501.166666666668</v>
      </c>
    </row>
    <row r="1547" spans="1:23" x14ac:dyDescent="0.3">
      <c r="A1547" s="13" t="str" cm="1">
        <f t="array" ref="A1547:B1547">INDEX(BenchmarkResults!$B$1:$D$35,SUMPRODUCT((T1547&gt;=BenchmarkResults!$F$3:$F$35)*(mongodb_hardware_log!T1547&lt;BenchmarkResults!$G$3:$G$35)*ROW(BenchmarkResults!$F$3:$F$35)),{1,3})</f>
        <v>q4_category_revenue</v>
      </c>
      <c r="B1547">
        <v>1</v>
      </c>
      <c r="C1547" s="13">
        <v>1</v>
      </c>
      <c r="D1547" s="13">
        <v>1</v>
      </c>
      <c r="E1547" s="13">
        <v>157952</v>
      </c>
      <c r="F1547" s="13">
        <v>151968</v>
      </c>
      <c r="G1547" s="13">
        <v>460</v>
      </c>
      <c r="H1547" s="13">
        <v>2233340</v>
      </c>
      <c r="I1547" s="13">
        <v>3</v>
      </c>
      <c r="J1547" s="13">
        <v>0</v>
      </c>
      <c r="K1547" s="13">
        <v>16952</v>
      </c>
      <c r="L1547" s="13">
        <v>8</v>
      </c>
      <c r="M1547" s="13">
        <v>2835</v>
      </c>
      <c r="N1547" s="13">
        <v>2023</v>
      </c>
      <c r="O1547" s="13">
        <v>19</v>
      </c>
      <c r="P1547" s="13">
        <v>7</v>
      </c>
      <c r="Q1547" s="13">
        <v>49</v>
      </c>
      <c r="R1547" s="13">
        <v>25</v>
      </c>
      <c r="S1547" s="13">
        <v>1</v>
      </c>
      <c r="T1547" s="23">
        <v>46247.663148148145</v>
      </c>
      <c r="U1547" s="55">
        <f t="shared" si="72"/>
        <v>2.1666666666666665</v>
      </c>
      <c r="V1547" s="55">
        <f t="shared" si="73"/>
        <v>0.33333333333333331</v>
      </c>
      <c r="W1547" s="56">
        <f t="shared" si="74"/>
        <v>16378.166666666666</v>
      </c>
    </row>
    <row r="1548" spans="1:23" x14ac:dyDescent="0.3">
      <c r="A1548" s="13" t="str" cm="1">
        <f t="array" ref="A1548:B1548">INDEX(BenchmarkResults!$B$1:$D$35,SUMPRODUCT((T1548&gt;=BenchmarkResults!$F$3:$F$35)*(mongodb_hardware_log!T1548&lt;BenchmarkResults!$G$3:$G$35)*ROW(BenchmarkResults!$F$3:$F$35)),{1,3})</f>
        <v>q4_category_revenue</v>
      </c>
      <c r="B1548">
        <v>1</v>
      </c>
      <c r="C1548" s="13">
        <v>0</v>
      </c>
      <c r="D1548" s="13">
        <v>1</v>
      </c>
      <c r="E1548" s="13">
        <v>157952</v>
      </c>
      <c r="F1548" s="13">
        <v>141412</v>
      </c>
      <c r="G1548" s="13">
        <v>476</v>
      </c>
      <c r="H1548" s="13">
        <v>2248688</v>
      </c>
      <c r="I1548" s="13">
        <v>4</v>
      </c>
      <c r="J1548" s="13">
        <v>0</v>
      </c>
      <c r="K1548" s="13">
        <v>12358</v>
      </c>
      <c r="L1548" s="13">
        <v>16</v>
      </c>
      <c r="M1548" s="13">
        <v>2238</v>
      </c>
      <c r="N1548" s="13">
        <v>1378</v>
      </c>
      <c r="O1548" s="13">
        <v>20</v>
      </c>
      <c r="P1548" s="13">
        <v>5</v>
      </c>
      <c r="Q1548" s="13">
        <v>51</v>
      </c>
      <c r="R1548" s="13">
        <v>23</v>
      </c>
      <c r="S1548" s="13">
        <v>1</v>
      </c>
      <c r="T1548" s="23">
        <v>46247.663263888891</v>
      </c>
      <c r="U1548" s="55">
        <f t="shared" si="72"/>
        <v>2</v>
      </c>
      <c r="V1548" s="55">
        <f t="shared" si="73"/>
        <v>0.5</v>
      </c>
      <c r="W1548" s="56">
        <f t="shared" si="74"/>
        <v>15257.333333333334</v>
      </c>
    </row>
    <row r="1549" spans="1:23" x14ac:dyDescent="0.3">
      <c r="A1549" s="13" t="str" cm="1">
        <f t="array" ref="A1549:B1549">INDEX(BenchmarkResults!$B$1:$D$35,SUMPRODUCT((T1549&gt;=BenchmarkResults!$F$3:$F$35)*(mongodb_hardware_log!T1549&lt;BenchmarkResults!$G$3:$G$35)*ROW(BenchmarkResults!$F$3:$F$35)),{1,3})</f>
        <v>q4_category_revenue</v>
      </c>
      <c r="B1549">
        <v>1</v>
      </c>
      <c r="C1549" s="13">
        <v>3</v>
      </c>
      <c r="D1549" s="13">
        <v>1</v>
      </c>
      <c r="E1549" s="13">
        <v>157952</v>
      </c>
      <c r="F1549" s="13">
        <v>151368</v>
      </c>
      <c r="G1549" s="13">
        <v>508</v>
      </c>
      <c r="H1549" s="13">
        <v>2235092</v>
      </c>
      <c r="I1549" s="13">
        <v>6</v>
      </c>
      <c r="J1549" s="13">
        <v>0</v>
      </c>
      <c r="K1549" s="13">
        <v>14358</v>
      </c>
      <c r="L1549" s="13">
        <v>33</v>
      </c>
      <c r="M1549" s="13">
        <v>2696</v>
      </c>
      <c r="N1549" s="13">
        <v>1858</v>
      </c>
      <c r="O1549" s="13">
        <v>22</v>
      </c>
      <c r="P1549" s="13">
        <v>6</v>
      </c>
      <c r="Q1549" s="13">
        <v>48</v>
      </c>
      <c r="R1549" s="13">
        <v>23</v>
      </c>
      <c r="S1549" s="13">
        <v>1</v>
      </c>
      <c r="T1549" s="23">
        <v>46247.66337962963</v>
      </c>
      <c r="U1549" s="55">
        <f t="shared" si="72"/>
        <v>1.5</v>
      </c>
      <c r="V1549" s="55">
        <f t="shared" si="73"/>
        <v>0.66666666666666663</v>
      </c>
      <c r="W1549" s="56">
        <f t="shared" si="74"/>
        <v>15042.666666666666</v>
      </c>
    </row>
    <row r="1550" spans="1:23" x14ac:dyDescent="0.3">
      <c r="A1550" s="13" t="str" cm="1">
        <f t="array" ref="A1550:B1550">INDEX(BenchmarkResults!$B$1:$D$35,SUMPRODUCT((T1550&gt;=BenchmarkResults!$F$3:$F$35)*(mongodb_hardware_log!T1550&lt;BenchmarkResults!$G$3:$G$35)*ROW(BenchmarkResults!$F$3:$F$35)),{1,3})</f>
        <v>q4_category_revenue</v>
      </c>
      <c r="B1550">
        <v>1</v>
      </c>
      <c r="C1550" s="13">
        <v>0</v>
      </c>
      <c r="D1550" s="13">
        <v>1</v>
      </c>
      <c r="E1550" s="13">
        <v>157952</v>
      </c>
      <c r="F1550" s="13">
        <v>141036</v>
      </c>
      <c r="G1550" s="13">
        <v>516</v>
      </c>
      <c r="H1550" s="13">
        <v>2245544</v>
      </c>
      <c r="I1550" s="13">
        <v>8</v>
      </c>
      <c r="J1550" s="13">
        <v>0</v>
      </c>
      <c r="K1550" s="13">
        <v>21069</v>
      </c>
      <c r="L1550" s="13">
        <v>5</v>
      </c>
      <c r="M1550" s="13">
        <v>2837</v>
      </c>
      <c r="N1550" s="13">
        <v>1882</v>
      </c>
      <c r="O1550" s="13">
        <v>18</v>
      </c>
      <c r="P1550" s="13">
        <v>6</v>
      </c>
      <c r="Q1550" s="13">
        <v>48</v>
      </c>
      <c r="R1550" s="13">
        <v>27</v>
      </c>
      <c r="S1550" s="13">
        <v>1</v>
      </c>
      <c r="T1550" s="23">
        <v>46247.663495370369</v>
      </c>
      <c r="U1550" s="55">
        <f t="shared" si="72"/>
        <v>1.1666666666666667</v>
      </c>
      <c r="V1550" s="55">
        <f t="shared" si="73"/>
        <v>0.83333333333333337</v>
      </c>
      <c r="W1550" s="56">
        <f t="shared" si="74"/>
        <v>15336.5</v>
      </c>
    </row>
    <row r="1551" spans="1:23" x14ac:dyDescent="0.3">
      <c r="A1551" s="13" t="str" cm="1">
        <f t="array" ref="A1551:B1551">INDEX(BenchmarkResults!$B$1:$D$35,SUMPRODUCT((T1551&gt;=BenchmarkResults!$F$3:$F$35)*(mongodb_hardware_log!T1551&lt;BenchmarkResults!$G$3:$G$35)*ROW(BenchmarkResults!$F$3:$F$35)),{1,3})</f>
        <v>q4_category_revenue</v>
      </c>
      <c r="B1551">
        <v>1</v>
      </c>
      <c r="C1551" s="13">
        <v>1</v>
      </c>
      <c r="D1551" s="13">
        <v>0</v>
      </c>
      <c r="E1551" s="13">
        <v>157952</v>
      </c>
      <c r="F1551" s="13">
        <v>116380</v>
      </c>
      <c r="G1551" s="13">
        <v>532</v>
      </c>
      <c r="H1551" s="13">
        <v>2266276</v>
      </c>
      <c r="I1551" s="13">
        <v>2</v>
      </c>
      <c r="J1551" s="13">
        <v>0</v>
      </c>
      <c r="K1551" s="13">
        <v>11899</v>
      </c>
      <c r="L1551" s="13">
        <v>29</v>
      </c>
      <c r="M1551" s="13">
        <v>2452</v>
      </c>
      <c r="N1551" s="13">
        <v>1704</v>
      </c>
      <c r="O1551" s="13">
        <v>22</v>
      </c>
      <c r="P1551" s="13">
        <v>6</v>
      </c>
      <c r="Q1551" s="13">
        <v>52</v>
      </c>
      <c r="R1551" s="13">
        <v>19</v>
      </c>
      <c r="S1551" s="13">
        <v>1</v>
      </c>
      <c r="T1551" s="23">
        <v>46247.663611111115</v>
      </c>
      <c r="U1551" s="55">
        <f t="shared" si="72"/>
        <v>1.3333333333333333</v>
      </c>
      <c r="V1551" s="55">
        <f t="shared" si="73"/>
        <v>0.66666666666666663</v>
      </c>
      <c r="W1551" s="56">
        <f t="shared" si="74"/>
        <v>14479.833333333334</v>
      </c>
    </row>
    <row r="1552" spans="1:23" x14ac:dyDescent="0.3">
      <c r="A1552" s="13" t="str" cm="1">
        <f t="array" ref="A1552:B1552">INDEX(BenchmarkResults!$B$1:$D$35,SUMPRODUCT((T1552&gt;=BenchmarkResults!$F$3:$F$35)*(mongodb_hardware_log!T1552&lt;BenchmarkResults!$G$3:$G$35)*ROW(BenchmarkResults!$F$3:$F$35)),{1,3})</f>
        <v>q4_category_revenue</v>
      </c>
      <c r="B1552">
        <v>1</v>
      </c>
      <c r="C1552" s="13">
        <v>4</v>
      </c>
      <c r="D1552" s="13">
        <v>0</v>
      </c>
      <c r="E1552" s="13">
        <v>157952</v>
      </c>
      <c r="F1552" s="13">
        <v>132864</v>
      </c>
      <c r="G1552" s="13">
        <v>540</v>
      </c>
      <c r="H1552" s="13">
        <v>2256532</v>
      </c>
      <c r="I1552" s="13">
        <v>1</v>
      </c>
      <c r="J1552" s="13">
        <v>0</v>
      </c>
      <c r="K1552" s="13">
        <v>17763</v>
      </c>
      <c r="L1552" s="13">
        <v>14</v>
      </c>
      <c r="M1552" s="13">
        <v>2648</v>
      </c>
      <c r="N1552" s="13">
        <v>1758</v>
      </c>
      <c r="O1552" s="13">
        <v>18</v>
      </c>
      <c r="P1552" s="13">
        <v>6</v>
      </c>
      <c r="Q1552" s="13">
        <v>49</v>
      </c>
      <c r="R1552" s="13">
        <v>26</v>
      </c>
      <c r="S1552" s="13">
        <v>1</v>
      </c>
      <c r="T1552" s="23">
        <v>46247.663726851853</v>
      </c>
      <c r="U1552" s="55">
        <f t="shared" si="72"/>
        <v>1.5</v>
      </c>
      <c r="V1552" s="55">
        <f t="shared" si="73"/>
        <v>0.66666666666666663</v>
      </c>
      <c r="W1552" s="56">
        <f t="shared" si="74"/>
        <v>15733.166666666666</v>
      </c>
    </row>
    <row r="1553" spans="1:23" x14ac:dyDescent="0.3">
      <c r="A1553" s="13" t="str" cm="1">
        <f t="array" ref="A1553:B1553">INDEX(BenchmarkResults!$B$1:$D$35,SUMPRODUCT((T1553&gt;=BenchmarkResults!$F$3:$F$35)*(mongodb_hardware_log!T1553&lt;BenchmarkResults!$G$3:$G$35)*ROW(BenchmarkResults!$F$3:$F$35)),{1,3})</f>
        <v>q4_category_revenue</v>
      </c>
      <c r="B1553">
        <v>1</v>
      </c>
      <c r="C1553" s="13">
        <v>4</v>
      </c>
      <c r="D1553" s="13">
        <v>1</v>
      </c>
      <c r="E1553" s="13">
        <v>177920</v>
      </c>
      <c r="F1553" s="13">
        <v>633220</v>
      </c>
      <c r="G1553" s="13">
        <v>216</v>
      </c>
      <c r="H1553" s="13">
        <v>1646468</v>
      </c>
      <c r="I1553" s="13">
        <v>4</v>
      </c>
      <c r="J1553" s="13">
        <v>2026</v>
      </c>
      <c r="K1553" s="13">
        <v>8336</v>
      </c>
      <c r="L1553" s="13">
        <v>2037</v>
      </c>
      <c r="M1553" s="13">
        <v>2112</v>
      </c>
      <c r="N1553" s="13">
        <v>1323</v>
      </c>
      <c r="O1553" s="13">
        <v>20</v>
      </c>
      <c r="P1553" s="13">
        <v>17</v>
      </c>
      <c r="Q1553" s="13">
        <v>38</v>
      </c>
      <c r="R1553" s="13">
        <v>23</v>
      </c>
      <c r="S1553" s="13">
        <v>2</v>
      </c>
      <c r="T1553" s="23">
        <v>46247.663842592592</v>
      </c>
      <c r="U1553" s="55">
        <f t="shared" si="72"/>
        <v>2</v>
      </c>
      <c r="V1553" s="55">
        <f t="shared" si="73"/>
        <v>0.66666666666666663</v>
      </c>
      <c r="W1553" s="56">
        <f t="shared" si="74"/>
        <v>14297.166666666666</v>
      </c>
    </row>
    <row r="1554" spans="1:23" x14ac:dyDescent="0.3">
      <c r="A1554" s="13" t="str" cm="1">
        <f t="array" ref="A1554:B1554">INDEX(BenchmarkResults!$B$1:$D$35,SUMPRODUCT((T1554&gt;=BenchmarkResults!$F$3:$F$35)*(mongodb_hardware_log!T1554&lt;BenchmarkResults!$G$3:$G$35)*ROW(BenchmarkResults!$F$3:$F$35)),{1,3})</f>
        <v>q4_category_revenue</v>
      </c>
      <c r="B1554">
        <v>1</v>
      </c>
      <c r="C1554" s="13">
        <v>0</v>
      </c>
      <c r="D1554" s="13">
        <v>0</v>
      </c>
      <c r="E1554" s="13">
        <v>177920</v>
      </c>
      <c r="F1554" s="13">
        <v>571736</v>
      </c>
      <c r="G1554" s="13">
        <v>232</v>
      </c>
      <c r="H1554" s="13">
        <v>1829592</v>
      </c>
      <c r="I1554" s="13">
        <v>4</v>
      </c>
      <c r="J1554" s="13">
        <v>0</v>
      </c>
      <c r="K1554" s="13">
        <v>18309</v>
      </c>
      <c r="L1554" s="13">
        <v>34</v>
      </c>
      <c r="M1554" s="13">
        <v>2058</v>
      </c>
      <c r="N1554" s="13">
        <v>1229</v>
      </c>
      <c r="O1554" s="13">
        <v>9</v>
      </c>
      <c r="P1554" s="13">
        <v>13</v>
      </c>
      <c r="Q1554" s="13">
        <v>42</v>
      </c>
      <c r="R1554" s="13">
        <v>33</v>
      </c>
      <c r="S1554" s="13">
        <v>2</v>
      </c>
      <c r="T1554" s="23">
        <v>46247.663958333331</v>
      </c>
      <c r="U1554" s="55">
        <f t="shared" si="72"/>
        <v>2</v>
      </c>
      <c r="V1554" s="55">
        <f t="shared" si="73"/>
        <v>0.5</v>
      </c>
      <c r="W1554" s="56">
        <f t="shared" si="74"/>
        <v>15289</v>
      </c>
    </row>
    <row r="1555" spans="1:23" x14ac:dyDescent="0.3">
      <c r="A1555" s="13" t="str" cm="1">
        <f t="array" ref="A1555:B1555">INDEX(BenchmarkResults!$B$1:$D$35,SUMPRODUCT((T1555&gt;=BenchmarkResults!$F$3:$F$35)*(mongodb_hardware_log!T1555&lt;BenchmarkResults!$G$3:$G$35)*ROW(BenchmarkResults!$F$3:$F$35)),{1,3})</f>
        <v>q4_category_revenue</v>
      </c>
      <c r="B1555">
        <v>1</v>
      </c>
      <c r="C1555" s="13">
        <v>1</v>
      </c>
      <c r="D1555" s="13">
        <v>0</v>
      </c>
      <c r="E1555" s="13">
        <v>177920</v>
      </c>
      <c r="F1555" s="13">
        <v>369380</v>
      </c>
      <c r="G1555" s="13">
        <v>276</v>
      </c>
      <c r="H1555" s="13">
        <v>2026332</v>
      </c>
      <c r="I1555" s="13">
        <v>8</v>
      </c>
      <c r="J1555" s="13">
        <v>0</v>
      </c>
      <c r="K1555" s="13">
        <v>19677</v>
      </c>
      <c r="L1555" s="13">
        <v>41</v>
      </c>
      <c r="M1555" s="13">
        <v>2467</v>
      </c>
      <c r="N1555" s="13">
        <v>1509</v>
      </c>
      <c r="O1555" s="13">
        <v>13</v>
      </c>
      <c r="P1555" s="13">
        <v>6</v>
      </c>
      <c r="Q1555" s="13">
        <v>48</v>
      </c>
      <c r="R1555" s="13">
        <v>32</v>
      </c>
      <c r="S1555" s="13">
        <v>1</v>
      </c>
      <c r="T1555" s="23">
        <v>46247.664074074077</v>
      </c>
      <c r="U1555" s="55">
        <f t="shared" si="72"/>
        <v>1.6666666666666667</v>
      </c>
      <c r="V1555" s="55">
        <f t="shared" si="73"/>
        <v>0.33333333333333331</v>
      </c>
      <c r="W1555" s="56">
        <f t="shared" si="74"/>
        <v>16175.5</v>
      </c>
    </row>
    <row r="1556" spans="1:23" x14ac:dyDescent="0.3">
      <c r="A1556" s="13" t="str" cm="1">
        <f t="array" ref="A1556:B1556">INDEX(BenchmarkResults!$B$1:$D$35,SUMPRODUCT((T1556&gt;=BenchmarkResults!$F$3:$F$35)*(mongodb_hardware_log!T1556&lt;BenchmarkResults!$G$3:$G$35)*ROW(BenchmarkResults!$F$3:$F$35)),{1,3})</f>
        <v>q4_category_revenue</v>
      </c>
      <c r="B1556">
        <v>1</v>
      </c>
      <c r="C1556" s="13">
        <v>0</v>
      </c>
      <c r="D1556" s="13">
        <v>1</v>
      </c>
      <c r="E1556" s="13">
        <v>177408</v>
      </c>
      <c r="F1556" s="13">
        <v>130168</v>
      </c>
      <c r="G1556" s="13">
        <v>284</v>
      </c>
      <c r="H1556" s="13">
        <v>2264872</v>
      </c>
      <c r="I1556" s="13">
        <v>8</v>
      </c>
      <c r="J1556" s="13">
        <v>0</v>
      </c>
      <c r="K1556" s="13">
        <v>23862</v>
      </c>
      <c r="L1556" s="13">
        <v>6</v>
      </c>
      <c r="M1556" s="13">
        <v>2969</v>
      </c>
      <c r="N1556" s="13">
        <v>2168</v>
      </c>
      <c r="O1556" s="13">
        <v>16</v>
      </c>
      <c r="P1556" s="13">
        <v>8</v>
      </c>
      <c r="Q1556" s="13">
        <v>47</v>
      </c>
      <c r="R1556" s="13">
        <v>29</v>
      </c>
      <c r="S1556" s="13">
        <v>1</v>
      </c>
      <c r="T1556" s="23">
        <v>46247.664189814815</v>
      </c>
      <c r="U1556" s="55">
        <f t="shared" si="72"/>
        <v>1.6666666666666667</v>
      </c>
      <c r="V1556" s="55">
        <f t="shared" si="73"/>
        <v>0.33333333333333331</v>
      </c>
      <c r="W1556" s="56">
        <f t="shared" si="74"/>
        <v>16641</v>
      </c>
    </row>
    <row r="1557" spans="1:23" x14ac:dyDescent="0.3">
      <c r="A1557" s="13" t="str" cm="1">
        <f t="array" ref="A1557:B1557">INDEX(BenchmarkResults!$B$1:$D$35,SUMPRODUCT((T1557&gt;=BenchmarkResults!$F$3:$F$35)*(mongodb_hardware_log!T1557&lt;BenchmarkResults!$G$3:$G$35)*ROW(BenchmarkResults!$F$3:$F$35)),{1,3})</f>
        <v>q4_category_revenue</v>
      </c>
      <c r="B1557">
        <v>1</v>
      </c>
      <c r="C1557" s="13">
        <v>2</v>
      </c>
      <c r="D1557" s="13">
        <v>0</v>
      </c>
      <c r="E1557" s="13">
        <v>177408</v>
      </c>
      <c r="F1557" s="13">
        <v>118288</v>
      </c>
      <c r="G1557" s="13">
        <v>300</v>
      </c>
      <c r="H1557" s="13">
        <v>2280564</v>
      </c>
      <c r="I1557" s="13">
        <v>8</v>
      </c>
      <c r="J1557" s="13">
        <v>0</v>
      </c>
      <c r="K1557" s="13">
        <v>18474</v>
      </c>
      <c r="L1557" s="13">
        <v>32</v>
      </c>
      <c r="M1557" s="13">
        <v>3163</v>
      </c>
      <c r="N1557" s="13">
        <v>2173</v>
      </c>
      <c r="O1557" s="13">
        <v>24</v>
      </c>
      <c r="P1557" s="13">
        <v>7</v>
      </c>
      <c r="Q1557" s="13">
        <v>46</v>
      </c>
      <c r="R1557" s="13">
        <v>23</v>
      </c>
      <c r="S1557" s="13">
        <v>0</v>
      </c>
      <c r="T1557" s="23">
        <v>46247.664305555554</v>
      </c>
      <c r="U1557" s="55">
        <f t="shared" si="72"/>
        <v>1.8333333333333333</v>
      </c>
      <c r="V1557" s="55">
        <f t="shared" si="73"/>
        <v>0.33333333333333331</v>
      </c>
      <c r="W1557" s="56">
        <f t="shared" si="74"/>
        <v>17736.833333333332</v>
      </c>
    </row>
    <row r="1558" spans="1:23" x14ac:dyDescent="0.3">
      <c r="A1558" s="13" t="str" cm="1">
        <f t="array" ref="A1558:B1558">INDEX(BenchmarkResults!$B$1:$D$35,SUMPRODUCT((T1558&gt;=BenchmarkResults!$F$3:$F$35)*(mongodb_hardware_log!T1558&lt;BenchmarkResults!$G$3:$G$35)*ROW(BenchmarkResults!$F$3:$F$35)),{1,3})</f>
        <v>q4_category_revenue</v>
      </c>
      <c r="B1558">
        <v>1</v>
      </c>
      <c r="C1558" s="13">
        <v>0</v>
      </c>
      <c r="D1558" s="13">
        <v>1</v>
      </c>
      <c r="E1558" s="13">
        <v>177408</v>
      </c>
      <c r="F1558" s="13">
        <v>119624</v>
      </c>
      <c r="G1558" s="13">
        <v>316</v>
      </c>
      <c r="H1558" s="13">
        <v>2285388</v>
      </c>
      <c r="I1558" s="13">
        <v>5</v>
      </c>
      <c r="J1558" s="13">
        <v>0</v>
      </c>
      <c r="K1558" s="13">
        <v>21524</v>
      </c>
      <c r="L1558" s="13">
        <v>14</v>
      </c>
      <c r="M1558" s="13">
        <v>3500</v>
      </c>
      <c r="N1558" s="13">
        <v>2590</v>
      </c>
      <c r="O1558" s="13">
        <v>22</v>
      </c>
      <c r="P1558" s="13">
        <v>8</v>
      </c>
      <c r="Q1558" s="13">
        <v>46</v>
      </c>
      <c r="R1558" s="13">
        <v>23</v>
      </c>
      <c r="S1558" s="13">
        <v>0</v>
      </c>
      <c r="T1558" s="23">
        <v>46247.664421296293</v>
      </c>
      <c r="U1558" s="55">
        <f t="shared" si="72"/>
        <v>1.1666666666666667</v>
      </c>
      <c r="V1558" s="55">
        <f t="shared" si="73"/>
        <v>0.5</v>
      </c>
      <c r="W1558" s="56">
        <f t="shared" si="74"/>
        <v>18363.666666666668</v>
      </c>
    </row>
    <row r="1559" spans="1:23" x14ac:dyDescent="0.3">
      <c r="A1559" s="13" t="str" cm="1">
        <f t="array" ref="A1559:B1559">INDEX(BenchmarkResults!$B$1:$D$35,SUMPRODUCT((T1559&gt;=BenchmarkResults!$F$3:$F$35)*(mongodb_hardware_log!T1559&lt;BenchmarkResults!$G$3:$G$35)*ROW(BenchmarkResults!$F$3:$F$35)),{1,3})</f>
        <v>q4_category_revenue</v>
      </c>
      <c r="B1559">
        <v>1</v>
      </c>
      <c r="C1559" s="13">
        <v>0</v>
      </c>
      <c r="D1559" s="13">
        <v>1</v>
      </c>
      <c r="E1559" s="13">
        <v>177408</v>
      </c>
      <c r="F1559" s="13">
        <v>114292</v>
      </c>
      <c r="G1559" s="13">
        <v>324</v>
      </c>
      <c r="H1559" s="13">
        <v>2279364</v>
      </c>
      <c r="I1559" s="13">
        <v>4</v>
      </c>
      <c r="J1559" s="13">
        <v>0</v>
      </c>
      <c r="K1559" s="13">
        <v>20521</v>
      </c>
      <c r="L1559" s="13">
        <v>10</v>
      </c>
      <c r="M1559" s="13">
        <v>3523</v>
      </c>
      <c r="N1559" s="13">
        <v>2600</v>
      </c>
      <c r="O1559" s="13">
        <v>22</v>
      </c>
      <c r="P1559" s="13">
        <v>9</v>
      </c>
      <c r="Q1559" s="13">
        <v>45</v>
      </c>
      <c r="R1559" s="13">
        <v>23</v>
      </c>
      <c r="S1559" s="13">
        <v>1</v>
      </c>
      <c r="T1559" s="23">
        <v>46247.664537037039</v>
      </c>
      <c r="U1559" s="55">
        <f t="shared" si="72"/>
        <v>0.5</v>
      </c>
      <c r="V1559" s="55">
        <f t="shared" si="73"/>
        <v>0.5</v>
      </c>
      <c r="W1559" s="56">
        <f t="shared" si="74"/>
        <v>20394.5</v>
      </c>
    </row>
    <row r="1560" spans="1:23" x14ac:dyDescent="0.3">
      <c r="A1560" s="13" t="str" cm="1">
        <f t="array" ref="A1560:B1560">INDEX(BenchmarkResults!$B$1:$D$35,SUMPRODUCT((T1560&gt;=BenchmarkResults!$F$3:$F$35)*(mongodb_hardware_log!T1560&lt;BenchmarkResults!$G$3:$G$35)*ROW(BenchmarkResults!$F$3:$F$35)),{1,3})</f>
        <v>q4_category_revenue</v>
      </c>
      <c r="B1560">
        <v>1</v>
      </c>
      <c r="C1560" s="13">
        <v>4</v>
      </c>
      <c r="D1560" s="13">
        <v>0</v>
      </c>
      <c r="E1560" s="13">
        <v>177408</v>
      </c>
      <c r="F1560" s="13">
        <v>141712</v>
      </c>
      <c r="G1560" s="13">
        <v>332</v>
      </c>
      <c r="H1560" s="13">
        <v>2258860</v>
      </c>
      <c r="I1560" s="13">
        <v>4</v>
      </c>
      <c r="J1560" s="13">
        <v>0</v>
      </c>
      <c r="K1560" s="13">
        <v>21681</v>
      </c>
      <c r="L1560" s="13">
        <v>14</v>
      </c>
      <c r="M1560" s="13">
        <v>2997</v>
      </c>
      <c r="N1560" s="13">
        <v>1916</v>
      </c>
      <c r="O1560" s="13">
        <v>21</v>
      </c>
      <c r="P1560" s="13">
        <v>7</v>
      </c>
      <c r="Q1560" s="13">
        <v>47</v>
      </c>
      <c r="R1560" s="13">
        <v>25</v>
      </c>
      <c r="S1560" s="13">
        <v>1</v>
      </c>
      <c r="T1560" s="23">
        <v>46247.664652777778</v>
      </c>
      <c r="U1560" s="55">
        <f t="shared" si="72"/>
        <v>1.1666666666666667</v>
      </c>
      <c r="V1560" s="55">
        <f t="shared" si="73"/>
        <v>0.5</v>
      </c>
      <c r="W1560" s="56">
        <f t="shared" si="74"/>
        <v>20956.5</v>
      </c>
    </row>
    <row r="1561" spans="1:23" x14ac:dyDescent="0.3">
      <c r="A1561" s="13" t="str" cm="1">
        <f t="array" ref="A1561:B1561">INDEX(BenchmarkResults!$B$1:$D$35,SUMPRODUCT((T1561&gt;=BenchmarkResults!$F$3:$F$35)*(mongodb_hardware_log!T1561&lt;BenchmarkResults!$G$3:$G$35)*ROW(BenchmarkResults!$F$3:$F$35)),{1,3})</f>
        <v>q4_category_revenue</v>
      </c>
      <c r="B1561">
        <v>1</v>
      </c>
      <c r="C1561" s="13">
        <v>0</v>
      </c>
      <c r="D1561" s="13">
        <v>1</v>
      </c>
      <c r="E1561" s="13">
        <v>177408</v>
      </c>
      <c r="F1561" s="13">
        <v>145900</v>
      </c>
      <c r="G1561" s="13">
        <v>364</v>
      </c>
      <c r="H1561" s="13">
        <v>2265308</v>
      </c>
      <c r="I1561" s="13">
        <v>4</v>
      </c>
      <c r="J1561" s="13">
        <v>0</v>
      </c>
      <c r="K1561" s="13">
        <v>13929</v>
      </c>
      <c r="L1561" s="13">
        <v>49</v>
      </c>
      <c r="M1561" s="13">
        <v>2554</v>
      </c>
      <c r="N1561" s="13">
        <v>1724</v>
      </c>
      <c r="O1561" s="13">
        <v>19</v>
      </c>
      <c r="P1561" s="13">
        <v>7</v>
      </c>
      <c r="Q1561" s="13">
        <v>50</v>
      </c>
      <c r="R1561" s="13">
        <v>23</v>
      </c>
      <c r="S1561" s="13">
        <v>1</v>
      </c>
      <c r="T1561" s="23">
        <v>46247.664768518516</v>
      </c>
      <c r="U1561" s="55">
        <f t="shared" si="72"/>
        <v>1</v>
      </c>
      <c r="V1561" s="55">
        <f t="shared" si="73"/>
        <v>0.66666666666666663</v>
      </c>
      <c r="W1561" s="56">
        <f t="shared" si="74"/>
        <v>19998.5</v>
      </c>
    </row>
    <row r="1562" spans="1:23" x14ac:dyDescent="0.3">
      <c r="A1562" s="13" t="str" cm="1">
        <f t="array" ref="A1562:B1562">INDEX(BenchmarkResults!$B$1:$D$35,SUMPRODUCT((T1562&gt;=BenchmarkResults!$F$3:$F$35)*(mongodb_hardware_log!T1562&lt;BenchmarkResults!$G$3:$G$35)*ROW(BenchmarkResults!$F$3:$F$35)),{1,3})</f>
        <v>q4_category_revenue</v>
      </c>
      <c r="B1562">
        <v>1</v>
      </c>
      <c r="C1562" s="13">
        <v>2</v>
      </c>
      <c r="D1562" s="13">
        <v>0</v>
      </c>
      <c r="E1562" s="13">
        <v>177408</v>
      </c>
      <c r="F1562" s="13">
        <v>116012</v>
      </c>
      <c r="G1562" s="13">
        <v>368</v>
      </c>
      <c r="H1562" s="13">
        <v>2280496</v>
      </c>
      <c r="I1562" s="13">
        <v>2</v>
      </c>
      <c r="J1562" s="13">
        <v>0</v>
      </c>
      <c r="K1562" s="13">
        <v>18335</v>
      </c>
      <c r="L1562" s="13">
        <v>8</v>
      </c>
      <c r="M1562" s="13">
        <v>2882</v>
      </c>
      <c r="N1562" s="13">
        <v>1988</v>
      </c>
      <c r="O1562" s="13">
        <v>19</v>
      </c>
      <c r="P1562" s="13">
        <v>8</v>
      </c>
      <c r="Q1562" s="13">
        <v>48</v>
      </c>
      <c r="R1562" s="13">
        <v>25</v>
      </c>
      <c r="S1562" s="13">
        <v>1</v>
      </c>
      <c r="T1562" s="23">
        <v>46247.664884259262</v>
      </c>
      <c r="U1562" s="55">
        <f t="shared" si="72"/>
        <v>1.3333333333333333</v>
      </c>
      <c r="V1562" s="55">
        <f t="shared" si="73"/>
        <v>0.5</v>
      </c>
      <c r="W1562" s="56">
        <f t="shared" si="74"/>
        <v>19077.333333333332</v>
      </c>
    </row>
    <row r="1563" spans="1:23" x14ac:dyDescent="0.3">
      <c r="A1563" s="13" t="str" cm="1">
        <f t="array" ref="A1563:B1563">INDEX(BenchmarkResults!$B$1:$D$35,SUMPRODUCT((T1563&gt;=BenchmarkResults!$F$3:$F$35)*(mongodb_hardware_log!T1563&lt;BenchmarkResults!$G$3:$G$35)*ROW(BenchmarkResults!$F$3:$F$35)),{1,3})</f>
        <v>q4_category_revenue</v>
      </c>
      <c r="B1563">
        <v>1</v>
      </c>
      <c r="C1563" s="13">
        <v>1</v>
      </c>
      <c r="D1563" s="13">
        <v>0</v>
      </c>
      <c r="E1563" s="13">
        <v>177152</v>
      </c>
      <c r="F1563" s="13">
        <v>110988</v>
      </c>
      <c r="G1563" s="13">
        <v>376</v>
      </c>
      <c r="H1563" s="13">
        <v>2298748</v>
      </c>
      <c r="I1563" s="13">
        <v>4</v>
      </c>
      <c r="J1563" s="13">
        <v>0</v>
      </c>
      <c r="K1563" s="13">
        <v>19599</v>
      </c>
      <c r="L1563" s="13">
        <v>20</v>
      </c>
      <c r="M1563" s="13">
        <v>2908</v>
      </c>
      <c r="N1563" s="13">
        <v>1925</v>
      </c>
      <c r="O1563" s="13">
        <v>16</v>
      </c>
      <c r="P1563" s="13">
        <v>7</v>
      </c>
      <c r="Q1563" s="13">
        <v>47</v>
      </c>
      <c r="R1563" s="13">
        <v>29</v>
      </c>
      <c r="S1563" s="13">
        <v>1</v>
      </c>
      <c r="T1563" s="23">
        <v>46247.665000000001</v>
      </c>
      <c r="U1563" s="55">
        <f t="shared" si="72"/>
        <v>1.1666666666666667</v>
      </c>
      <c r="V1563" s="55">
        <f t="shared" si="73"/>
        <v>0.5</v>
      </c>
      <c r="W1563" s="56">
        <f t="shared" si="74"/>
        <v>19264.833333333332</v>
      </c>
    </row>
    <row r="1564" spans="1:23" x14ac:dyDescent="0.3">
      <c r="A1564" s="13" t="str" cm="1">
        <f t="array" ref="A1564:B1564">INDEX(BenchmarkResults!$B$1:$D$35,SUMPRODUCT((T1564&gt;=BenchmarkResults!$F$3:$F$35)*(mongodb_hardware_log!T1564&lt;BenchmarkResults!$G$3:$G$35)*ROW(BenchmarkResults!$F$3:$F$35)),{1,3})</f>
        <v>q4_category_revenue</v>
      </c>
      <c r="B1564">
        <v>1</v>
      </c>
      <c r="C1564" s="13">
        <v>1</v>
      </c>
      <c r="D1564" s="13">
        <v>0</v>
      </c>
      <c r="E1564" s="13">
        <v>177152</v>
      </c>
      <c r="F1564" s="13">
        <v>118952</v>
      </c>
      <c r="G1564" s="13">
        <v>388</v>
      </c>
      <c r="H1564" s="13">
        <v>2285568</v>
      </c>
      <c r="I1564" s="13">
        <v>15</v>
      </c>
      <c r="J1564" s="13">
        <v>0</v>
      </c>
      <c r="K1564" s="13">
        <v>19893</v>
      </c>
      <c r="L1564" s="13">
        <v>14</v>
      </c>
      <c r="M1564" s="13">
        <v>3301</v>
      </c>
      <c r="N1564" s="13">
        <v>2335</v>
      </c>
      <c r="O1564" s="13">
        <v>21</v>
      </c>
      <c r="P1564" s="13">
        <v>8</v>
      </c>
      <c r="Q1564" s="13">
        <v>46</v>
      </c>
      <c r="R1564" s="13">
        <v>24</v>
      </c>
      <c r="S1564" s="13">
        <v>0</v>
      </c>
      <c r="T1564" s="23">
        <v>46247.66511574074</v>
      </c>
      <c r="U1564" s="55">
        <f t="shared" si="72"/>
        <v>1.3333333333333333</v>
      </c>
      <c r="V1564" s="55">
        <f t="shared" si="73"/>
        <v>0.33333333333333331</v>
      </c>
      <c r="W1564" s="56">
        <f t="shared" si="74"/>
        <v>18993</v>
      </c>
    </row>
    <row r="1565" spans="1:23" x14ac:dyDescent="0.3">
      <c r="A1565" s="13" t="str" cm="1">
        <f t="array" ref="A1565:B1565">INDEX(BenchmarkResults!$B$1:$D$35,SUMPRODUCT((T1565&gt;=BenchmarkResults!$F$3:$F$35)*(mongodb_hardware_log!T1565&lt;BenchmarkResults!$G$3:$G$35)*ROW(BenchmarkResults!$F$3:$F$35)),{1,3})</f>
        <v>q4_category_revenue</v>
      </c>
      <c r="B1565">
        <v>1</v>
      </c>
      <c r="C1565" s="13">
        <v>1</v>
      </c>
      <c r="D1565" s="13">
        <v>0</v>
      </c>
      <c r="E1565" s="13">
        <v>176384</v>
      </c>
      <c r="F1565" s="13">
        <v>108284</v>
      </c>
      <c r="G1565" s="13">
        <v>396</v>
      </c>
      <c r="H1565" s="13">
        <v>2295104</v>
      </c>
      <c r="I1565" s="13">
        <v>57</v>
      </c>
      <c r="J1565" s="13">
        <v>0</v>
      </c>
      <c r="K1565" s="13">
        <v>19835</v>
      </c>
      <c r="L1565" s="13">
        <v>12</v>
      </c>
      <c r="M1565" s="13">
        <v>3219</v>
      </c>
      <c r="N1565" s="13">
        <v>2191</v>
      </c>
      <c r="O1565" s="13">
        <v>19</v>
      </c>
      <c r="P1565" s="13">
        <v>7</v>
      </c>
      <c r="Q1565" s="13">
        <v>46</v>
      </c>
      <c r="R1565" s="13">
        <v>26</v>
      </c>
      <c r="S1565" s="13">
        <v>1</v>
      </c>
      <c r="T1565" s="23">
        <v>46247.665231481478</v>
      </c>
      <c r="U1565" s="55">
        <f t="shared" si="72"/>
        <v>1.5</v>
      </c>
      <c r="V1565" s="55">
        <f t="shared" si="73"/>
        <v>0.16666666666666666</v>
      </c>
      <c r="W1565" s="56">
        <f t="shared" si="74"/>
        <v>18878.666666666668</v>
      </c>
    </row>
    <row r="1566" spans="1:23" x14ac:dyDescent="0.3">
      <c r="A1566" s="13" t="str" cm="1">
        <f t="array" ref="A1566:B1566">INDEX(BenchmarkResults!$B$1:$D$35,SUMPRODUCT((T1566&gt;=BenchmarkResults!$F$3:$F$35)*(mongodb_hardware_log!T1566&lt;BenchmarkResults!$G$3:$G$35)*ROW(BenchmarkResults!$F$3:$F$35)),{1,3})</f>
        <v>q4_category_revenue</v>
      </c>
      <c r="B1566">
        <v>1</v>
      </c>
      <c r="C1566" s="13">
        <v>0</v>
      </c>
      <c r="D1566" s="13">
        <v>1</v>
      </c>
      <c r="E1566" s="13">
        <v>176640</v>
      </c>
      <c r="F1566" s="13">
        <v>149472</v>
      </c>
      <c r="G1566" s="13">
        <v>224</v>
      </c>
      <c r="H1566" s="13">
        <v>2258064</v>
      </c>
      <c r="I1566" s="13">
        <v>10</v>
      </c>
      <c r="J1566" s="13">
        <v>32</v>
      </c>
      <c r="K1566" s="13">
        <v>18376</v>
      </c>
      <c r="L1566" s="13">
        <v>60</v>
      </c>
      <c r="M1566" s="13">
        <v>3242</v>
      </c>
      <c r="N1566" s="13">
        <v>2187</v>
      </c>
      <c r="O1566" s="13">
        <v>20</v>
      </c>
      <c r="P1566" s="13">
        <v>7</v>
      </c>
      <c r="Q1566" s="13">
        <v>46</v>
      </c>
      <c r="R1566" s="13">
        <v>26</v>
      </c>
      <c r="S1566" s="13">
        <v>1</v>
      </c>
      <c r="T1566" s="23">
        <v>46247.665347222224</v>
      </c>
      <c r="U1566" s="55">
        <f t="shared" si="72"/>
        <v>0.83333333333333337</v>
      </c>
      <c r="V1566" s="55">
        <f t="shared" si="73"/>
        <v>0.33333333333333331</v>
      </c>
      <c r="W1566" s="56">
        <f t="shared" si="74"/>
        <v>18327.833333333332</v>
      </c>
    </row>
    <row r="1567" spans="1:23" x14ac:dyDescent="0.3">
      <c r="A1567" s="13" t="str" cm="1">
        <f t="array" ref="A1567:B1567">INDEX(BenchmarkResults!$B$1:$D$35,SUMPRODUCT((T1567&gt;=BenchmarkResults!$F$3:$F$35)*(mongodb_hardware_log!T1567&lt;BenchmarkResults!$G$3:$G$35)*ROW(BenchmarkResults!$F$3:$F$35)),{1,3})</f>
        <v>q4_category_revenue</v>
      </c>
      <c r="B1567">
        <v>1</v>
      </c>
      <c r="C1567" s="13">
        <v>1</v>
      </c>
      <c r="D1567" s="13">
        <v>0</v>
      </c>
      <c r="E1567" s="13">
        <v>176640</v>
      </c>
      <c r="F1567" s="13">
        <v>116888</v>
      </c>
      <c r="G1567" s="13">
        <v>260</v>
      </c>
      <c r="H1567" s="13">
        <v>2291112</v>
      </c>
      <c r="I1567" s="13">
        <v>31</v>
      </c>
      <c r="J1567" s="13">
        <v>76</v>
      </c>
      <c r="K1567" s="13">
        <v>18192</v>
      </c>
      <c r="L1567" s="13">
        <v>117</v>
      </c>
      <c r="M1567" s="13">
        <v>2900</v>
      </c>
      <c r="N1567" s="13">
        <v>2152</v>
      </c>
      <c r="O1567" s="13">
        <v>19</v>
      </c>
      <c r="P1567" s="13">
        <v>7</v>
      </c>
      <c r="Q1567" s="13">
        <v>49</v>
      </c>
      <c r="R1567" s="13">
        <v>24</v>
      </c>
      <c r="S1567" s="13">
        <v>0</v>
      </c>
      <c r="T1567" s="23">
        <v>46247.665462962963</v>
      </c>
      <c r="U1567" s="55">
        <f t="shared" si="72"/>
        <v>1</v>
      </c>
      <c r="V1567" s="55">
        <f t="shared" si="73"/>
        <v>0.16666666666666666</v>
      </c>
      <c r="W1567" s="56">
        <f t="shared" si="74"/>
        <v>19038.333333333332</v>
      </c>
    </row>
    <row r="1568" spans="1:23" x14ac:dyDescent="0.3">
      <c r="A1568" s="13" t="str" cm="1">
        <f t="array" ref="A1568:B1568">INDEX(BenchmarkResults!$B$1:$D$35,SUMPRODUCT((T1568&gt;=BenchmarkResults!$F$3:$F$35)*(mongodb_hardware_log!T1568&lt;BenchmarkResults!$G$3:$G$35)*ROW(BenchmarkResults!$F$3:$F$35)),{1,3})</f>
        <v>q4_category_revenue</v>
      </c>
      <c r="B1568">
        <v>1</v>
      </c>
      <c r="C1568" s="13">
        <v>0</v>
      </c>
      <c r="D1568" s="13">
        <v>1</v>
      </c>
      <c r="E1568" s="13">
        <v>177152</v>
      </c>
      <c r="F1568" s="13">
        <v>111032</v>
      </c>
      <c r="G1568" s="13">
        <v>272</v>
      </c>
      <c r="H1568" s="13">
        <v>2295384</v>
      </c>
      <c r="I1568" s="13">
        <v>4</v>
      </c>
      <c r="J1568" s="13">
        <v>44</v>
      </c>
      <c r="K1568" s="13">
        <v>19099</v>
      </c>
      <c r="L1568" s="13">
        <v>56</v>
      </c>
      <c r="M1568" s="13">
        <v>3125</v>
      </c>
      <c r="N1568" s="13">
        <v>2133</v>
      </c>
      <c r="O1568" s="13">
        <v>19</v>
      </c>
      <c r="P1568" s="13">
        <v>8</v>
      </c>
      <c r="Q1568" s="13">
        <v>48</v>
      </c>
      <c r="R1568" s="13">
        <v>25</v>
      </c>
      <c r="S1568" s="13">
        <v>0</v>
      </c>
      <c r="T1568" s="23">
        <v>46247.665578703702</v>
      </c>
      <c r="U1568" s="55">
        <f t="shared" si="72"/>
        <v>0.66666666666666663</v>
      </c>
      <c r="V1568" s="55">
        <f t="shared" si="73"/>
        <v>0.33333333333333331</v>
      </c>
      <c r="W1568" s="56">
        <f t="shared" si="74"/>
        <v>19165.666666666668</v>
      </c>
    </row>
    <row r="1569" spans="1:23" x14ac:dyDescent="0.3">
      <c r="A1569" s="13" t="str" cm="1">
        <f t="array" ref="A1569:B1569">INDEX(BenchmarkResults!$B$1:$D$35,SUMPRODUCT((T1569&gt;=BenchmarkResults!$F$3:$F$35)*(mongodb_hardware_log!T1569&lt;BenchmarkResults!$G$3:$G$35)*ROW(BenchmarkResults!$F$3:$F$35)),{1,3})</f>
        <v>q4_category_revenue</v>
      </c>
      <c r="B1569">
        <v>1</v>
      </c>
      <c r="C1569" s="13">
        <v>2</v>
      </c>
      <c r="D1569" s="13">
        <v>0</v>
      </c>
      <c r="E1569" s="13">
        <v>177152</v>
      </c>
      <c r="F1569" s="13">
        <v>110764</v>
      </c>
      <c r="G1569" s="13">
        <v>280</v>
      </c>
      <c r="H1569" s="13">
        <v>2290592</v>
      </c>
      <c r="I1569" s="13">
        <v>8</v>
      </c>
      <c r="J1569" s="13">
        <v>0</v>
      </c>
      <c r="K1569" s="13">
        <v>15762</v>
      </c>
      <c r="L1569" s="13">
        <v>15</v>
      </c>
      <c r="M1569" s="13">
        <v>2655</v>
      </c>
      <c r="N1569" s="13">
        <v>1862</v>
      </c>
      <c r="O1569" s="13">
        <v>21</v>
      </c>
      <c r="P1569" s="13">
        <v>7</v>
      </c>
      <c r="Q1569" s="13">
        <v>51</v>
      </c>
      <c r="R1569" s="13">
        <v>21</v>
      </c>
      <c r="S1569" s="13">
        <v>0</v>
      </c>
      <c r="T1569" s="23">
        <v>46247.665694444448</v>
      </c>
      <c r="U1569" s="55">
        <f t="shared" si="72"/>
        <v>0.83333333333333337</v>
      </c>
      <c r="V1569" s="55">
        <f t="shared" si="73"/>
        <v>0.33333333333333331</v>
      </c>
      <c r="W1569" s="56">
        <f t="shared" si="74"/>
        <v>18526.166666666668</v>
      </c>
    </row>
    <row r="1570" spans="1:23" x14ac:dyDescent="0.3">
      <c r="A1570" s="13" t="str" cm="1">
        <f t="array" ref="A1570:B1570">INDEX(BenchmarkResults!$B$1:$D$35,SUMPRODUCT((T1570&gt;=BenchmarkResults!$F$3:$F$35)*(mongodb_hardware_log!T1570&lt;BenchmarkResults!$G$3:$G$35)*ROW(BenchmarkResults!$F$3:$F$35)),{1,3})</f>
        <v>q4_category_revenue</v>
      </c>
      <c r="B1570">
        <v>1</v>
      </c>
      <c r="C1570" s="13">
        <v>1</v>
      </c>
      <c r="D1570" s="13">
        <v>0</v>
      </c>
      <c r="E1570" s="13">
        <v>177152</v>
      </c>
      <c r="F1570" s="13">
        <v>132204</v>
      </c>
      <c r="G1570" s="13">
        <v>288</v>
      </c>
      <c r="H1570" s="13">
        <v>2272632</v>
      </c>
      <c r="I1570" s="13">
        <v>4</v>
      </c>
      <c r="J1570" s="13">
        <v>0</v>
      </c>
      <c r="K1570" s="13">
        <v>17233</v>
      </c>
      <c r="L1570" s="13">
        <v>15</v>
      </c>
      <c r="M1570" s="13">
        <v>2968</v>
      </c>
      <c r="N1570" s="13">
        <v>2095</v>
      </c>
      <c r="O1570" s="13">
        <v>19</v>
      </c>
      <c r="P1570" s="13">
        <v>7</v>
      </c>
      <c r="Q1570" s="13">
        <v>49</v>
      </c>
      <c r="R1570" s="13">
        <v>24</v>
      </c>
      <c r="S1570" s="13">
        <v>0</v>
      </c>
      <c r="T1570" s="23">
        <v>46247.665810185186</v>
      </c>
      <c r="U1570" s="55">
        <f t="shared" si="72"/>
        <v>0.83333333333333337</v>
      </c>
      <c r="V1570" s="55">
        <f t="shared" si="73"/>
        <v>0.33333333333333331</v>
      </c>
      <c r="W1570" s="56">
        <f t="shared" si="74"/>
        <v>18082.833333333332</v>
      </c>
    </row>
    <row r="1571" spans="1:23" x14ac:dyDescent="0.3">
      <c r="A1571" s="13" t="str" cm="1">
        <f t="array" ref="A1571:B1571">INDEX(BenchmarkResults!$B$1:$D$35,SUMPRODUCT((T1571&gt;=BenchmarkResults!$F$3:$F$35)*(mongodb_hardware_log!T1571&lt;BenchmarkResults!$G$3:$G$35)*ROW(BenchmarkResults!$F$3:$F$35)),{1,3})</f>
        <v>q4_category_revenue</v>
      </c>
      <c r="B1571">
        <v>1</v>
      </c>
      <c r="C1571" s="13">
        <v>0</v>
      </c>
      <c r="D1571" s="13">
        <v>1</v>
      </c>
      <c r="E1571" s="13">
        <v>177152</v>
      </c>
      <c r="F1571" s="13">
        <v>110880</v>
      </c>
      <c r="G1571" s="13">
        <v>304</v>
      </c>
      <c r="H1571" s="13">
        <v>2292760</v>
      </c>
      <c r="I1571" s="13">
        <v>0</v>
      </c>
      <c r="J1571" s="13">
        <v>0</v>
      </c>
      <c r="K1571" s="13">
        <v>18634</v>
      </c>
      <c r="L1571" s="13">
        <v>42</v>
      </c>
      <c r="M1571" s="13">
        <v>3096</v>
      </c>
      <c r="N1571" s="13">
        <v>2145</v>
      </c>
      <c r="O1571" s="13">
        <v>19</v>
      </c>
      <c r="P1571" s="13">
        <v>8</v>
      </c>
      <c r="Q1571" s="13">
        <v>49</v>
      </c>
      <c r="R1571" s="13">
        <v>24</v>
      </c>
      <c r="S1571" s="13">
        <v>0</v>
      </c>
      <c r="T1571" s="23">
        <v>46247.665925925925</v>
      </c>
      <c r="U1571" s="55">
        <f t="shared" si="72"/>
        <v>0.66666666666666663</v>
      </c>
      <c r="V1571" s="55">
        <f t="shared" si="73"/>
        <v>0.5</v>
      </c>
      <c r="W1571" s="56">
        <f t="shared" si="74"/>
        <v>17882.666666666668</v>
      </c>
    </row>
    <row r="1572" spans="1:23" x14ac:dyDescent="0.3">
      <c r="A1572" s="13" t="str" cm="1">
        <f t="array" ref="A1572:B1572">INDEX(BenchmarkResults!$B$1:$D$35,SUMPRODUCT((T1572&gt;=BenchmarkResults!$F$3:$F$35)*(mongodb_hardware_log!T1572&lt;BenchmarkResults!$G$3:$G$35)*ROW(BenchmarkResults!$F$3:$F$35)),{1,3})</f>
        <v>q4_category_revenue</v>
      </c>
      <c r="B1572">
        <v>1</v>
      </c>
      <c r="C1572" s="13">
        <v>1</v>
      </c>
      <c r="D1572" s="13">
        <v>0</v>
      </c>
      <c r="E1572" s="13">
        <v>177152</v>
      </c>
      <c r="F1572" s="13">
        <v>146544</v>
      </c>
      <c r="G1572" s="13">
        <v>440</v>
      </c>
      <c r="H1572" s="13">
        <v>2262604</v>
      </c>
      <c r="I1572" s="13">
        <v>5</v>
      </c>
      <c r="J1572" s="13">
        <v>0</v>
      </c>
      <c r="K1572" s="13">
        <v>17429</v>
      </c>
      <c r="L1572" s="13">
        <v>12</v>
      </c>
      <c r="M1572" s="13">
        <v>2652</v>
      </c>
      <c r="N1572" s="13">
        <v>1758</v>
      </c>
      <c r="O1572" s="13">
        <v>21</v>
      </c>
      <c r="P1572" s="13">
        <v>7</v>
      </c>
      <c r="Q1572" s="13">
        <v>50</v>
      </c>
      <c r="R1572" s="13">
        <v>22</v>
      </c>
      <c r="S1572" s="13">
        <v>0</v>
      </c>
      <c r="T1572" s="23">
        <v>46247.666041666664</v>
      </c>
      <c r="U1572" s="55">
        <f t="shared" si="72"/>
        <v>0.83333333333333337</v>
      </c>
      <c r="V1572" s="55">
        <f t="shared" si="73"/>
        <v>0.33333333333333331</v>
      </c>
      <c r="W1572" s="56">
        <f t="shared" si="74"/>
        <v>17724.833333333332</v>
      </c>
    </row>
    <row r="1573" spans="1:23" x14ac:dyDescent="0.3">
      <c r="A1573" s="13" t="str" cm="1">
        <f t="array" ref="A1573:B1573">INDEX(BenchmarkResults!$B$1:$D$35,SUMPRODUCT((T1573&gt;=BenchmarkResults!$F$3:$F$35)*(mongodb_hardware_log!T1573&lt;BenchmarkResults!$G$3:$G$35)*ROW(BenchmarkResults!$F$3:$F$35)),{1,3})</f>
        <v>q4_category_revenue</v>
      </c>
      <c r="B1573">
        <v>1</v>
      </c>
      <c r="C1573" s="13">
        <v>0</v>
      </c>
      <c r="D1573" s="13">
        <v>1</v>
      </c>
      <c r="E1573" s="13">
        <v>177152</v>
      </c>
      <c r="F1573" s="13">
        <v>111480</v>
      </c>
      <c r="G1573" s="13">
        <v>508</v>
      </c>
      <c r="H1573" s="13">
        <v>2291600</v>
      </c>
      <c r="I1573" s="13">
        <v>11</v>
      </c>
      <c r="J1573" s="13">
        <v>0</v>
      </c>
      <c r="K1573" s="13">
        <v>22584</v>
      </c>
      <c r="L1573" s="13">
        <v>40</v>
      </c>
      <c r="M1573" s="13">
        <v>3263</v>
      </c>
      <c r="N1573" s="13">
        <v>2246</v>
      </c>
      <c r="O1573" s="13">
        <v>19</v>
      </c>
      <c r="P1573" s="13">
        <v>8</v>
      </c>
      <c r="Q1573" s="13">
        <v>48</v>
      </c>
      <c r="R1573" s="13">
        <v>25</v>
      </c>
      <c r="S1573" s="13">
        <v>0</v>
      </c>
      <c r="T1573" s="23">
        <v>46247.66615740741</v>
      </c>
      <c r="U1573" s="55">
        <f t="shared" si="72"/>
        <v>0.66666666666666663</v>
      </c>
      <c r="V1573" s="55">
        <f t="shared" si="73"/>
        <v>0.5</v>
      </c>
      <c r="W1573" s="56">
        <f t="shared" si="74"/>
        <v>18456.833333333332</v>
      </c>
    </row>
    <row r="1574" spans="1:23" x14ac:dyDescent="0.3">
      <c r="A1574" s="13" t="str" cm="1">
        <f t="array" ref="A1574:B1574">INDEX(BenchmarkResults!$B$1:$D$35,SUMPRODUCT((T1574&gt;=BenchmarkResults!$F$3:$F$35)*(mongodb_hardware_log!T1574&lt;BenchmarkResults!$G$3:$G$35)*ROW(BenchmarkResults!$F$3:$F$35)),{1,3})</f>
        <v>q4_category_revenue</v>
      </c>
      <c r="B1574">
        <v>1</v>
      </c>
      <c r="C1574" s="13">
        <v>1</v>
      </c>
      <c r="D1574" s="13">
        <v>0</v>
      </c>
      <c r="E1574" s="13">
        <v>176896</v>
      </c>
      <c r="F1574" s="13">
        <v>134068</v>
      </c>
      <c r="G1574" s="13">
        <v>516</v>
      </c>
      <c r="H1574" s="13">
        <v>2267200</v>
      </c>
      <c r="I1574" s="13">
        <v>3</v>
      </c>
      <c r="J1574" s="13">
        <v>0</v>
      </c>
      <c r="K1574" s="13">
        <v>18095</v>
      </c>
      <c r="L1574" s="13">
        <v>20</v>
      </c>
      <c r="M1574" s="13">
        <v>2677</v>
      </c>
      <c r="N1574" s="13">
        <v>1764</v>
      </c>
      <c r="O1574" s="13">
        <v>19</v>
      </c>
      <c r="P1574" s="13">
        <v>7</v>
      </c>
      <c r="Q1574" s="13">
        <v>49</v>
      </c>
      <c r="R1574" s="13">
        <v>24</v>
      </c>
      <c r="S1574" s="13">
        <v>0</v>
      </c>
      <c r="T1574" s="23">
        <v>46247.666273148148</v>
      </c>
      <c r="U1574" s="55">
        <f t="shared" si="72"/>
        <v>0.83333333333333337</v>
      </c>
      <c r="V1574" s="55">
        <f t="shared" si="73"/>
        <v>0.33333333333333331</v>
      </c>
      <c r="W1574" s="56">
        <f t="shared" si="74"/>
        <v>18289.5</v>
      </c>
    </row>
    <row r="1575" spans="1:23" x14ac:dyDescent="0.3">
      <c r="A1575" s="13" t="str" cm="1">
        <f t="array" ref="A1575:B1575">INDEX(BenchmarkResults!$B$1:$D$35,SUMPRODUCT((T1575&gt;=BenchmarkResults!$F$3:$F$35)*(mongodb_hardware_log!T1575&lt;BenchmarkResults!$G$3:$G$35)*ROW(BenchmarkResults!$F$3:$F$35)),{1,3})</f>
        <v>q4_category_revenue</v>
      </c>
      <c r="B1575">
        <v>1</v>
      </c>
      <c r="C1575" s="13">
        <v>0</v>
      </c>
      <c r="D1575" s="13">
        <v>1</v>
      </c>
      <c r="E1575" s="13">
        <v>176640</v>
      </c>
      <c r="F1575" s="13">
        <v>125948</v>
      </c>
      <c r="G1575" s="13">
        <v>524</v>
      </c>
      <c r="H1575" s="13">
        <v>2284864</v>
      </c>
      <c r="I1575" s="13">
        <v>5</v>
      </c>
      <c r="J1575" s="13">
        <v>0</v>
      </c>
      <c r="K1575" s="13">
        <v>19765</v>
      </c>
      <c r="L1575" s="13">
        <v>8</v>
      </c>
      <c r="M1575" s="13">
        <v>3133</v>
      </c>
      <c r="N1575" s="13">
        <v>2169</v>
      </c>
      <c r="O1575" s="13">
        <v>19</v>
      </c>
      <c r="P1575" s="13">
        <v>9</v>
      </c>
      <c r="Q1575" s="13">
        <v>49</v>
      </c>
      <c r="R1575" s="13">
        <v>23</v>
      </c>
      <c r="S1575" s="13">
        <v>0</v>
      </c>
      <c r="T1575" s="23">
        <v>46247.666388888887</v>
      </c>
      <c r="U1575" s="55">
        <f t="shared" si="72"/>
        <v>0.5</v>
      </c>
      <c r="V1575" s="55">
        <f t="shared" si="73"/>
        <v>0.5</v>
      </c>
      <c r="W1575" s="56">
        <f t="shared" si="74"/>
        <v>18956.666666666668</v>
      </c>
    </row>
    <row r="1576" spans="1:23" x14ac:dyDescent="0.3">
      <c r="A1576" s="13" t="str" cm="1">
        <f t="array" ref="A1576:B1576">INDEX(BenchmarkResults!$B$1:$D$35,SUMPRODUCT((T1576&gt;=BenchmarkResults!$F$3:$F$35)*(mongodb_hardware_log!T1576&lt;BenchmarkResults!$G$3:$G$35)*ROW(BenchmarkResults!$F$3:$F$35)),{1,3})</f>
        <v>q4_category_revenue</v>
      </c>
      <c r="B1576">
        <v>1</v>
      </c>
      <c r="C1576" s="13">
        <v>0</v>
      </c>
      <c r="D1576" s="13">
        <v>1</v>
      </c>
      <c r="E1576" s="13">
        <v>176640</v>
      </c>
      <c r="F1576" s="13">
        <v>119792</v>
      </c>
      <c r="G1576" s="13">
        <v>536</v>
      </c>
      <c r="H1576" s="13">
        <v>2292400</v>
      </c>
      <c r="I1576" s="13">
        <v>2</v>
      </c>
      <c r="J1576" s="13">
        <v>0</v>
      </c>
      <c r="K1576" s="13">
        <v>17963</v>
      </c>
      <c r="L1576" s="13">
        <v>16</v>
      </c>
      <c r="M1576" s="13">
        <v>2664</v>
      </c>
      <c r="N1576" s="13">
        <v>1692</v>
      </c>
      <c r="O1576" s="13">
        <v>19</v>
      </c>
      <c r="P1576" s="13">
        <v>6</v>
      </c>
      <c r="Q1576" s="13">
        <v>49</v>
      </c>
      <c r="R1576" s="13">
        <v>25</v>
      </c>
      <c r="S1576" s="13">
        <v>0</v>
      </c>
      <c r="T1576" s="23">
        <v>46247.666504629633</v>
      </c>
      <c r="U1576" s="55">
        <f t="shared" si="72"/>
        <v>0.33333333333333331</v>
      </c>
      <c r="V1576" s="55">
        <f t="shared" si="73"/>
        <v>0.66666666666666663</v>
      </c>
      <c r="W1576" s="56">
        <f t="shared" si="74"/>
        <v>19078.333333333332</v>
      </c>
    </row>
    <row r="1577" spans="1:23" x14ac:dyDescent="0.3">
      <c r="A1577" s="13" t="str" cm="1">
        <f t="array" ref="A1577:B1577">INDEX(BenchmarkResults!$B$1:$D$35,SUMPRODUCT((T1577&gt;=BenchmarkResults!$F$3:$F$35)*(mongodb_hardware_log!T1577&lt;BenchmarkResults!$G$3:$G$35)*ROW(BenchmarkResults!$F$3:$F$35)),{1,3})</f>
        <v>q4_category_revenue</v>
      </c>
      <c r="B1577">
        <v>1</v>
      </c>
      <c r="C1577" s="13">
        <v>2</v>
      </c>
      <c r="D1577" s="13">
        <v>0</v>
      </c>
      <c r="E1577" s="13">
        <v>176640</v>
      </c>
      <c r="F1577" s="13">
        <v>154436</v>
      </c>
      <c r="G1577" s="13">
        <v>424</v>
      </c>
      <c r="H1577" s="13">
        <v>2258496</v>
      </c>
      <c r="I1577" s="13">
        <v>4</v>
      </c>
      <c r="J1577" s="13">
        <v>0</v>
      </c>
      <c r="K1577" s="13">
        <v>17458</v>
      </c>
      <c r="L1577" s="13">
        <v>13</v>
      </c>
      <c r="M1577" s="13">
        <v>2920</v>
      </c>
      <c r="N1577" s="13">
        <v>2041</v>
      </c>
      <c r="O1577" s="13">
        <v>19</v>
      </c>
      <c r="P1577" s="13">
        <v>7</v>
      </c>
      <c r="Q1577" s="13">
        <v>49</v>
      </c>
      <c r="R1577" s="13">
        <v>25</v>
      </c>
      <c r="S1577" s="13">
        <v>0</v>
      </c>
      <c r="T1577" s="23">
        <v>46247.666620370372</v>
      </c>
      <c r="U1577" s="55">
        <f t="shared" si="72"/>
        <v>0.66666666666666663</v>
      </c>
      <c r="V1577" s="55">
        <f t="shared" si="73"/>
        <v>0.5</v>
      </c>
      <c r="W1577" s="56">
        <f t="shared" si="74"/>
        <v>18882.333333333332</v>
      </c>
    </row>
    <row r="1578" spans="1:23" x14ac:dyDescent="0.3">
      <c r="A1578" s="13" t="str" cm="1">
        <f t="array" ref="A1578:B1578">INDEX(BenchmarkResults!$B$1:$D$35,SUMPRODUCT((T1578&gt;=BenchmarkResults!$F$3:$F$35)*(mongodb_hardware_log!T1578&lt;BenchmarkResults!$G$3:$G$35)*ROW(BenchmarkResults!$F$3:$F$35)),{1,3})</f>
        <v>q4_category_revenue</v>
      </c>
      <c r="B1578">
        <v>1</v>
      </c>
      <c r="C1578" s="13">
        <v>0</v>
      </c>
      <c r="D1578" s="13">
        <v>1</v>
      </c>
      <c r="E1578" s="13">
        <v>177152</v>
      </c>
      <c r="F1578" s="13">
        <v>134356</v>
      </c>
      <c r="G1578" s="13">
        <v>316</v>
      </c>
      <c r="H1578" s="13">
        <v>2278372</v>
      </c>
      <c r="I1578" s="13">
        <v>18</v>
      </c>
      <c r="J1578" s="13">
        <v>55</v>
      </c>
      <c r="K1578" s="13">
        <v>13972</v>
      </c>
      <c r="L1578" s="13">
        <v>64</v>
      </c>
      <c r="M1578" s="13">
        <v>2650</v>
      </c>
      <c r="N1578" s="13">
        <v>1705</v>
      </c>
      <c r="O1578" s="13">
        <v>16</v>
      </c>
      <c r="P1578" s="13">
        <v>7</v>
      </c>
      <c r="Q1578" s="13">
        <v>47</v>
      </c>
      <c r="R1578" s="13">
        <v>29</v>
      </c>
      <c r="S1578" s="13">
        <v>2</v>
      </c>
      <c r="T1578" s="23">
        <v>46247.66673611111</v>
      </c>
      <c r="U1578" s="55">
        <f t="shared" si="72"/>
        <v>0.5</v>
      </c>
      <c r="V1578" s="55">
        <f t="shared" si="73"/>
        <v>0.66666666666666663</v>
      </c>
      <c r="W1578" s="56">
        <f t="shared" si="74"/>
        <v>18306.166666666668</v>
      </c>
    </row>
    <row r="1579" spans="1:23" x14ac:dyDescent="0.3">
      <c r="A1579" s="13" t="str" cm="1">
        <f t="array" ref="A1579:B1579">INDEX(BenchmarkResults!$B$1:$D$35,SUMPRODUCT((T1579&gt;=BenchmarkResults!$F$3:$F$35)*(mongodb_hardware_log!T1579&lt;BenchmarkResults!$G$3:$G$35)*ROW(BenchmarkResults!$F$3:$F$35)),{1,3})</f>
        <v>q4_category_revenue</v>
      </c>
      <c r="B1579">
        <v>1</v>
      </c>
      <c r="C1579" s="13">
        <v>1</v>
      </c>
      <c r="D1579" s="13">
        <v>0</v>
      </c>
      <c r="E1579" s="13">
        <v>177408</v>
      </c>
      <c r="F1579" s="13">
        <v>134572</v>
      </c>
      <c r="G1579" s="13">
        <v>324</v>
      </c>
      <c r="H1579" s="13">
        <v>2272008</v>
      </c>
      <c r="I1579" s="13">
        <v>5</v>
      </c>
      <c r="J1579" s="13">
        <v>62</v>
      </c>
      <c r="K1579" s="13">
        <v>15112</v>
      </c>
      <c r="L1579" s="13">
        <v>105</v>
      </c>
      <c r="M1579" s="13">
        <v>2565</v>
      </c>
      <c r="N1579" s="13">
        <v>1636</v>
      </c>
      <c r="O1579" s="13">
        <v>18</v>
      </c>
      <c r="P1579" s="13">
        <v>6</v>
      </c>
      <c r="Q1579" s="13">
        <v>47</v>
      </c>
      <c r="R1579" s="13">
        <v>28</v>
      </c>
      <c r="S1579" s="13">
        <v>2</v>
      </c>
      <c r="T1579" s="23">
        <v>46247.666851851849</v>
      </c>
      <c r="U1579" s="55">
        <f t="shared" si="72"/>
        <v>0.66666666666666663</v>
      </c>
      <c r="V1579" s="55">
        <f t="shared" si="73"/>
        <v>0.5</v>
      </c>
      <c r="W1579" s="56">
        <f t="shared" si="74"/>
        <v>17060.833333333332</v>
      </c>
    </row>
    <row r="1580" spans="1:23" x14ac:dyDescent="0.3">
      <c r="A1580" s="13" t="str" cm="1">
        <f t="array" ref="A1580:B1580">INDEX(BenchmarkResults!$B$1:$D$35,SUMPRODUCT((T1580&gt;=BenchmarkResults!$F$3:$F$35)*(mongodb_hardware_log!T1580&lt;BenchmarkResults!$G$3:$G$35)*ROW(BenchmarkResults!$F$3:$F$35)),{1,3})</f>
        <v>q4_category_revenue</v>
      </c>
      <c r="B1580">
        <v>1</v>
      </c>
      <c r="C1580" s="13">
        <v>0</v>
      </c>
      <c r="D1580" s="13">
        <v>1</v>
      </c>
      <c r="E1580" s="13">
        <v>177408</v>
      </c>
      <c r="F1580" s="13">
        <v>138020</v>
      </c>
      <c r="G1580" s="13">
        <v>336</v>
      </c>
      <c r="H1580" s="13">
        <v>2272424</v>
      </c>
      <c r="I1580" s="13">
        <v>1</v>
      </c>
      <c r="J1580" s="13">
        <v>0</v>
      </c>
      <c r="K1580" s="13">
        <v>16291</v>
      </c>
      <c r="L1580" s="13">
        <v>27</v>
      </c>
      <c r="M1580" s="13">
        <v>2709</v>
      </c>
      <c r="N1580" s="13">
        <v>1703</v>
      </c>
      <c r="O1580" s="13">
        <v>18</v>
      </c>
      <c r="P1580" s="13">
        <v>7</v>
      </c>
      <c r="Q1580" s="13">
        <v>48</v>
      </c>
      <c r="R1580" s="13">
        <v>26</v>
      </c>
      <c r="S1580" s="13">
        <v>1</v>
      </c>
      <c r="T1580" s="23">
        <v>46247.666967592595</v>
      </c>
      <c r="U1580" s="55">
        <f t="shared" si="72"/>
        <v>0.5</v>
      </c>
      <c r="V1580" s="55">
        <f t="shared" si="73"/>
        <v>0.66666666666666663</v>
      </c>
      <c r="W1580" s="56">
        <f t="shared" si="74"/>
        <v>16760.166666666668</v>
      </c>
    </row>
    <row r="1581" spans="1:23" x14ac:dyDescent="0.3">
      <c r="A1581" s="13" t="str" cm="1">
        <f t="array" ref="A1581:B1581">INDEX(BenchmarkResults!$B$1:$D$35,SUMPRODUCT((T1581&gt;=BenchmarkResults!$F$3:$F$35)*(mongodb_hardware_log!T1581&lt;BenchmarkResults!$G$3:$G$35)*ROW(BenchmarkResults!$F$3:$F$35)),{1,3})</f>
        <v>q4_category_revenue</v>
      </c>
      <c r="B1581">
        <v>1</v>
      </c>
      <c r="C1581" s="13">
        <v>0</v>
      </c>
      <c r="D1581" s="13">
        <v>1</v>
      </c>
      <c r="E1581" s="13">
        <v>224512</v>
      </c>
      <c r="F1581" s="13">
        <v>115452</v>
      </c>
      <c r="G1581" s="13">
        <v>344</v>
      </c>
      <c r="H1581" s="13">
        <v>2329044</v>
      </c>
      <c r="I1581" s="13">
        <v>1</v>
      </c>
      <c r="J1581" s="13">
        <v>4922</v>
      </c>
      <c r="K1581" s="13">
        <v>16049</v>
      </c>
      <c r="L1581" s="13">
        <v>4940</v>
      </c>
      <c r="M1581" s="13">
        <v>3601</v>
      </c>
      <c r="N1581" s="13">
        <v>2070</v>
      </c>
      <c r="O1581" s="13">
        <v>19</v>
      </c>
      <c r="P1581" s="13">
        <v>8</v>
      </c>
      <c r="Q1581" s="13">
        <v>46</v>
      </c>
      <c r="R1581" s="13">
        <v>26</v>
      </c>
      <c r="S1581" s="13">
        <v>1</v>
      </c>
      <c r="T1581" s="23">
        <v>46247.667083333334</v>
      </c>
      <c r="U1581" s="55">
        <f t="shared" si="72"/>
        <v>0.5</v>
      </c>
      <c r="V1581" s="55">
        <f t="shared" si="73"/>
        <v>0.66666666666666663</v>
      </c>
      <c r="W1581" s="56">
        <f t="shared" si="74"/>
        <v>16140.833333333334</v>
      </c>
    </row>
    <row r="1582" spans="1:23" x14ac:dyDescent="0.3">
      <c r="A1582" s="13" t="str" cm="1">
        <f t="array" ref="A1582:B1582">INDEX(BenchmarkResults!$B$1:$D$35,SUMPRODUCT((T1582&gt;=BenchmarkResults!$F$3:$F$35)*(mongodb_hardware_log!T1582&lt;BenchmarkResults!$G$3:$G$35)*ROW(BenchmarkResults!$F$3:$F$35)),{1,3})</f>
        <v>q4_category_revenue</v>
      </c>
      <c r="B1582">
        <v>1</v>
      </c>
      <c r="C1582" s="13">
        <v>1</v>
      </c>
      <c r="D1582" s="13">
        <v>0</v>
      </c>
      <c r="E1582" s="13">
        <v>227328</v>
      </c>
      <c r="F1582" s="13">
        <v>153860</v>
      </c>
      <c r="G1582" s="13">
        <v>352</v>
      </c>
      <c r="H1582" s="13">
        <v>2313752</v>
      </c>
      <c r="I1582" s="13">
        <v>8</v>
      </c>
      <c r="J1582" s="13">
        <v>310</v>
      </c>
      <c r="K1582" s="13">
        <v>13728</v>
      </c>
      <c r="L1582" s="13">
        <v>320</v>
      </c>
      <c r="M1582" s="13">
        <v>2593</v>
      </c>
      <c r="N1582" s="13">
        <v>1642</v>
      </c>
      <c r="O1582" s="13">
        <v>19</v>
      </c>
      <c r="P1582" s="13">
        <v>6</v>
      </c>
      <c r="Q1582" s="13">
        <v>48</v>
      </c>
      <c r="R1582" s="13">
        <v>26</v>
      </c>
      <c r="S1582" s="13">
        <v>1</v>
      </c>
      <c r="T1582" s="23">
        <v>46247.667199074072</v>
      </c>
      <c r="U1582" s="55">
        <f t="shared" si="72"/>
        <v>0.66666666666666663</v>
      </c>
      <c r="V1582" s="55">
        <f t="shared" si="73"/>
        <v>0.5</v>
      </c>
      <c r="W1582" s="56">
        <f t="shared" si="74"/>
        <v>15435</v>
      </c>
    </row>
    <row r="1583" spans="1:23" x14ac:dyDescent="0.3">
      <c r="A1583" s="13" t="str" cm="1">
        <f t="array" ref="A1583:B1583">INDEX(BenchmarkResults!$B$1:$D$35,SUMPRODUCT((T1583&gt;=BenchmarkResults!$F$3:$F$35)*(mongodb_hardware_log!T1583&lt;BenchmarkResults!$G$3:$G$35)*ROW(BenchmarkResults!$F$3:$F$35)),{1,3})</f>
        <v>q4_category_revenue</v>
      </c>
      <c r="B1583">
        <v>1</v>
      </c>
      <c r="C1583" s="13">
        <v>1</v>
      </c>
      <c r="D1583" s="13">
        <v>0</v>
      </c>
      <c r="E1583" s="13">
        <v>227328</v>
      </c>
      <c r="F1583" s="13">
        <v>129428</v>
      </c>
      <c r="G1583" s="13">
        <v>360</v>
      </c>
      <c r="H1583" s="13">
        <v>2333304</v>
      </c>
      <c r="I1583" s="13">
        <v>10</v>
      </c>
      <c r="J1583" s="13">
        <v>0</v>
      </c>
      <c r="K1583" s="13">
        <v>12833</v>
      </c>
      <c r="L1583" s="13">
        <v>11</v>
      </c>
      <c r="M1583" s="13">
        <v>2589</v>
      </c>
      <c r="N1583" s="13">
        <v>1735</v>
      </c>
      <c r="O1583" s="13">
        <v>19</v>
      </c>
      <c r="P1583" s="13">
        <v>8</v>
      </c>
      <c r="Q1583" s="13">
        <v>48</v>
      </c>
      <c r="R1583" s="13">
        <v>24</v>
      </c>
      <c r="S1583" s="13">
        <v>1</v>
      </c>
      <c r="T1583" s="23">
        <v>46247.667314814818</v>
      </c>
      <c r="U1583" s="55">
        <f t="shared" si="72"/>
        <v>0.5</v>
      </c>
      <c r="V1583" s="55">
        <f t="shared" si="73"/>
        <v>0.5</v>
      </c>
      <c r="W1583" s="56">
        <f t="shared" si="74"/>
        <v>14664.166666666666</v>
      </c>
    </row>
    <row r="1584" spans="1:23" x14ac:dyDescent="0.3">
      <c r="A1584" s="13" t="str" cm="1">
        <f t="array" ref="A1584:B1584">INDEX(BenchmarkResults!$B$1:$D$35,SUMPRODUCT((T1584&gt;=BenchmarkResults!$F$3:$F$35)*(mongodb_hardware_log!T1584&lt;BenchmarkResults!$G$3:$G$35)*ROW(BenchmarkResults!$F$3:$F$35)),{1,3})</f>
        <v>q4_category_revenue</v>
      </c>
      <c r="B1584">
        <v>1</v>
      </c>
      <c r="C1584" s="13">
        <v>0</v>
      </c>
      <c r="D1584" s="13">
        <v>1</v>
      </c>
      <c r="E1584" s="13">
        <v>226816</v>
      </c>
      <c r="F1584" s="13">
        <v>138680</v>
      </c>
      <c r="G1584" s="13">
        <v>452</v>
      </c>
      <c r="H1584" s="13">
        <v>2317932</v>
      </c>
      <c r="I1584" s="13">
        <v>219</v>
      </c>
      <c r="J1584" s="13">
        <v>0</v>
      </c>
      <c r="K1584" s="13">
        <v>15090</v>
      </c>
      <c r="L1584" s="13">
        <v>48</v>
      </c>
      <c r="M1584" s="13">
        <v>2410</v>
      </c>
      <c r="N1584" s="13">
        <v>1639</v>
      </c>
      <c r="O1584" s="13">
        <v>20</v>
      </c>
      <c r="P1584" s="13">
        <v>7</v>
      </c>
      <c r="Q1584" s="13">
        <v>48</v>
      </c>
      <c r="R1584" s="13">
        <v>25</v>
      </c>
      <c r="S1584" s="13">
        <v>1</v>
      </c>
      <c r="T1584" s="23">
        <v>46247.667430555557</v>
      </c>
      <c r="U1584" s="55">
        <f t="shared" si="72"/>
        <v>0.5</v>
      </c>
      <c r="V1584" s="55">
        <f t="shared" si="73"/>
        <v>0.5</v>
      </c>
      <c r="W1584" s="56">
        <f t="shared" si="74"/>
        <v>14850.5</v>
      </c>
    </row>
    <row r="1585" spans="1:23" x14ac:dyDescent="0.3">
      <c r="A1585" s="13" t="str" cm="1">
        <f t="array" ref="A1585:B1585">INDEX(BenchmarkResults!$B$1:$D$35,SUMPRODUCT((T1585&gt;=BenchmarkResults!$F$3:$F$35)*(mongodb_hardware_log!T1585&lt;BenchmarkResults!$G$3:$G$35)*ROW(BenchmarkResults!$F$3:$F$35)),{1,3})</f>
        <v>q4_category_revenue</v>
      </c>
      <c r="B1585">
        <v>1</v>
      </c>
      <c r="C1585" s="13">
        <v>1</v>
      </c>
      <c r="D1585" s="13">
        <v>0</v>
      </c>
      <c r="E1585" s="13">
        <v>226560</v>
      </c>
      <c r="F1585" s="13">
        <v>107576</v>
      </c>
      <c r="G1585" s="13">
        <v>484</v>
      </c>
      <c r="H1585" s="13">
        <v>2339716</v>
      </c>
      <c r="I1585" s="13">
        <v>14</v>
      </c>
      <c r="J1585" s="13">
        <v>0</v>
      </c>
      <c r="K1585" s="13">
        <v>14117</v>
      </c>
      <c r="L1585" s="13">
        <v>34</v>
      </c>
      <c r="M1585" s="13">
        <v>2778</v>
      </c>
      <c r="N1585" s="13">
        <v>1969</v>
      </c>
      <c r="O1585" s="13">
        <v>20</v>
      </c>
      <c r="P1585" s="13">
        <v>7</v>
      </c>
      <c r="Q1585" s="13">
        <v>49</v>
      </c>
      <c r="R1585" s="13">
        <v>23</v>
      </c>
      <c r="S1585" s="13">
        <v>1</v>
      </c>
      <c r="T1585" s="23">
        <v>46247.667546296296</v>
      </c>
      <c r="U1585" s="55">
        <f t="shared" si="72"/>
        <v>0.5</v>
      </c>
      <c r="V1585" s="55">
        <f t="shared" si="73"/>
        <v>0.5</v>
      </c>
      <c r="W1585" s="56">
        <f t="shared" si="74"/>
        <v>14684.666666666666</v>
      </c>
    </row>
    <row r="1586" spans="1:23" x14ac:dyDescent="0.3">
      <c r="A1586" s="13" t="str" cm="1">
        <f t="array" ref="A1586:B1586">INDEX(BenchmarkResults!$B$1:$D$35,SUMPRODUCT((T1586&gt;=BenchmarkResults!$F$3:$F$35)*(mongodb_hardware_log!T1586&lt;BenchmarkResults!$G$3:$G$35)*ROW(BenchmarkResults!$F$3:$F$35)),{1,3})</f>
        <v>q4_category_revenue</v>
      </c>
      <c r="B1586">
        <v>1</v>
      </c>
      <c r="C1586" s="13">
        <v>1</v>
      </c>
      <c r="D1586" s="13">
        <v>0</v>
      </c>
      <c r="E1586" s="13">
        <v>226560</v>
      </c>
      <c r="F1586" s="13">
        <v>139664</v>
      </c>
      <c r="G1586" s="13">
        <v>492</v>
      </c>
      <c r="H1586" s="13">
        <v>2310452</v>
      </c>
      <c r="I1586" s="13">
        <v>10</v>
      </c>
      <c r="J1586" s="13">
        <v>0</v>
      </c>
      <c r="K1586" s="13">
        <v>12903</v>
      </c>
      <c r="L1586" s="13">
        <v>10</v>
      </c>
      <c r="M1586" s="13">
        <v>2454</v>
      </c>
      <c r="N1586" s="13">
        <v>1684</v>
      </c>
      <c r="O1586" s="13">
        <v>19</v>
      </c>
      <c r="P1586" s="13">
        <v>7</v>
      </c>
      <c r="Q1586" s="13">
        <v>49</v>
      </c>
      <c r="R1586" s="13">
        <v>24</v>
      </c>
      <c r="S1586" s="13">
        <v>1</v>
      </c>
      <c r="T1586" s="23">
        <v>46247.667662037034</v>
      </c>
      <c r="U1586" s="55">
        <f t="shared" si="72"/>
        <v>0.66666666666666663</v>
      </c>
      <c r="V1586" s="55">
        <f t="shared" si="73"/>
        <v>0.33333333333333331</v>
      </c>
      <c r="W1586" s="56">
        <f t="shared" si="74"/>
        <v>14120</v>
      </c>
    </row>
    <row r="1587" spans="1:23" x14ac:dyDescent="0.3">
      <c r="A1587" s="13" t="str" cm="1">
        <f t="array" ref="A1587:B1587">INDEX(BenchmarkResults!$B$1:$D$35,SUMPRODUCT((T1587&gt;=BenchmarkResults!$F$3:$F$35)*(mongodb_hardware_log!T1587&lt;BenchmarkResults!$G$3:$G$35)*ROW(BenchmarkResults!$F$3:$F$35)),{1,3})</f>
        <v>q4_category_revenue</v>
      </c>
      <c r="B1587">
        <v>1</v>
      </c>
      <c r="C1587" s="13">
        <v>1</v>
      </c>
      <c r="D1587" s="13">
        <v>0</v>
      </c>
      <c r="E1587" s="13">
        <v>226304</v>
      </c>
      <c r="F1587" s="13">
        <v>128128</v>
      </c>
      <c r="G1587" s="13">
        <v>500</v>
      </c>
      <c r="H1587" s="13">
        <v>2327508</v>
      </c>
      <c r="I1587" s="13">
        <v>5</v>
      </c>
      <c r="J1587" s="13">
        <v>0</v>
      </c>
      <c r="K1587" s="13">
        <v>14838</v>
      </c>
      <c r="L1587" s="13">
        <v>11</v>
      </c>
      <c r="M1587" s="13">
        <v>2544</v>
      </c>
      <c r="N1587" s="13">
        <v>1652</v>
      </c>
      <c r="O1587" s="13">
        <v>20</v>
      </c>
      <c r="P1587" s="13">
        <v>6</v>
      </c>
      <c r="Q1587" s="13">
        <v>49</v>
      </c>
      <c r="R1587" s="13">
        <v>24</v>
      </c>
      <c r="S1587" s="13">
        <v>1</v>
      </c>
      <c r="T1587" s="23">
        <v>46247.66777777778</v>
      </c>
      <c r="U1587" s="55">
        <f t="shared" si="72"/>
        <v>0.83333333333333337</v>
      </c>
      <c r="V1587" s="55">
        <f t="shared" si="73"/>
        <v>0.16666666666666666</v>
      </c>
      <c r="W1587" s="56">
        <f t="shared" si="74"/>
        <v>13918.166666666666</v>
      </c>
    </row>
    <row r="1588" spans="1:23" x14ac:dyDescent="0.3">
      <c r="A1588" s="13" t="str" cm="1">
        <f t="array" ref="A1588:B1588">INDEX(BenchmarkResults!$B$1:$D$35,SUMPRODUCT((T1588&gt;=BenchmarkResults!$F$3:$F$35)*(mongodb_hardware_log!T1588&lt;BenchmarkResults!$G$3:$G$35)*ROW(BenchmarkResults!$F$3:$F$35)),{1,3})</f>
        <v>q4_category_revenue</v>
      </c>
      <c r="B1588">
        <v>1</v>
      </c>
      <c r="C1588" s="13">
        <v>1</v>
      </c>
      <c r="D1588" s="13">
        <v>1</v>
      </c>
      <c r="E1588" s="13">
        <v>226048</v>
      </c>
      <c r="F1588" s="13">
        <v>122520</v>
      </c>
      <c r="G1588" s="13">
        <v>500</v>
      </c>
      <c r="H1588" s="13">
        <v>2335424</v>
      </c>
      <c r="I1588" s="13">
        <v>39</v>
      </c>
      <c r="J1588" s="13">
        <v>0</v>
      </c>
      <c r="K1588" s="13">
        <v>13172</v>
      </c>
      <c r="L1588" s="13">
        <v>20</v>
      </c>
      <c r="M1588" s="13">
        <v>2518</v>
      </c>
      <c r="N1588" s="13">
        <v>1747</v>
      </c>
      <c r="O1588" s="13">
        <v>20</v>
      </c>
      <c r="P1588" s="13">
        <v>8</v>
      </c>
      <c r="Q1588" s="13">
        <v>49</v>
      </c>
      <c r="R1588" s="13">
        <v>22</v>
      </c>
      <c r="S1588" s="13">
        <v>1</v>
      </c>
      <c r="T1588" s="23">
        <v>46247.667893518519</v>
      </c>
      <c r="U1588" s="55">
        <f t="shared" si="72"/>
        <v>0.83333333333333337</v>
      </c>
      <c r="V1588" s="55">
        <f t="shared" si="73"/>
        <v>0.33333333333333331</v>
      </c>
      <c r="W1588" s="56">
        <f t="shared" si="74"/>
        <v>13825.5</v>
      </c>
    </row>
    <row r="1589" spans="1:23" x14ac:dyDescent="0.3">
      <c r="A1589" s="13" t="str" cm="1">
        <f t="array" ref="A1589:B1589">INDEX(BenchmarkResults!$B$1:$D$35,SUMPRODUCT((T1589&gt;=BenchmarkResults!$F$3:$F$35)*(mongodb_hardware_log!T1589&lt;BenchmarkResults!$G$3:$G$35)*ROW(BenchmarkResults!$F$3:$F$35)),{1,3})</f>
        <v>q4_category_revenue</v>
      </c>
      <c r="B1589">
        <v>1</v>
      </c>
      <c r="C1589" s="13">
        <v>1</v>
      </c>
      <c r="D1589" s="13">
        <v>0</v>
      </c>
      <c r="E1589" s="13">
        <v>226048</v>
      </c>
      <c r="F1589" s="13">
        <v>116416</v>
      </c>
      <c r="G1589" s="13">
        <v>516</v>
      </c>
      <c r="H1589" s="13">
        <v>2341092</v>
      </c>
      <c r="I1589" s="13">
        <v>10</v>
      </c>
      <c r="J1589" s="13">
        <v>0</v>
      </c>
      <c r="K1589" s="13">
        <v>13592</v>
      </c>
      <c r="L1589" s="13">
        <v>15</v>
      </c>
      <c r="M1589" s="13">
        <v>2431</v>
      </c>
      <c r="N1589" s="13">
        <v>1721</v>
      </c>
      <c r="O1589" s="13">
        <v>18</v>
      </c>
      <c r="P1589" s="13">
        <v>7</v>
      </c>
      <c r="Q1589" s="13">
        <v>49</v>
      </c>
      <c r="R1589" s="13">
        <v>25</v>
      </c>
      <c r="S1589" s="13">
        <v>1</v>
      </c>
      <c r="T1589" s="23">
        <v>46247.668009259258</v>
      </c>
      <c r="U1589" s="55">
        <f t="shared" si="72"/>
        <v>0.83333333333333337</v>
      </c>
      <c r="V1589" s="55">
        <f t="shared" si="73"/>
        <v>0.33333333333333331</v>
      </c>
      <c r="W1589" s="56">
        <f t="shared" si="74"/>
        <v>13952</v>
      </c>
    </row>
    <row r="1590" spans="1:23" x14ac:dyDescent="0.3">
      <c r="A1590" s="13" t="str" cm="1">
        <f t="array" ref="A1590:B1590">INDEX(BenchmarkResults!$B$1:$D$35,SUMPRODUCT((T1590&gt;=BenchmarkResults!$F$3:$F$35)*(mongodb_hardware_log!T1590&lt;BenchmarkResults!$G$3:$G$35)*ROW(BenchmarkResults!$F$3:$F$35)),{1,3})</f>
        <v>q4_category_revenue</v>
      </c>
      <c r="B1590">
        <v>1</v>
      </c>
      <c r="C1590" s="13">
        <v>0</v>
      </c>
      <c r="D1590" s="13">
        <v>1</v>
      </c>
      <c r="E1590" s="13">
        <v>226048</v>
      </c>
      <c r="F1590" s="13">
        <v>120596</v>
      </c>
      <c r="G1590" s="13">
        <v>524</v>
      </c>
      <c r="H1590" s="13">
        <v>2335712</v>
      </c>
      <c r="I1590" s="13">
        <v>1</v>
      </c>
      <c r="J1590" s="13">
        <v>0</v>
      </c>
      <c r="K1590" s="13">
        <v>11399</v>
      </c>
      <c r="L1590" s="13">
        <v>8</v>
      </c>
      <c r="M1590" s="13">
        <v>2318</v>
      </c>
      <c r="N1590" s="13">
        <v>1404</v>
      </c>
      <c r="O1590" s="13">
        <v>16</v>
      </c>
      <c r="P1590" s="13">
        <v>6</v>
      </c>
      <c r="Q1590" s="13">
        <v>47</v>
      </c>
      <c r="R1590" s="13">
        <v>29</v>
      </c>
      <c r="S1590" s="13">
        <v>2</v>
      </c>
      <c r="T1590" s="23">
        <v>46247.668124999997</v>
      </c>
      <c r="U1590" s="55">
        <f t="shared" si="72"/>
        <v>0.83333333333333337</v>
      </c>
      <c r="V1590" s="55">
        <f t="shared" si="73"/>
        <v>0.33333333333333331</v>
      </c>
      <c r="W1590" s="56">
        <f t="shared" si="74"/>
        <v>13336.833333333334</v>
      </c>
    </row>
    <row r="1591" spans="1:23" x14ac:dyDescent="0.3">
      <c r="A1591" s="13" t="str" cm="1">
        <f t="array" ref="A1591:B1591">INDEX(BenchmarkResults!$B$1:$D$35,SUMPRODUCT((T1591&gt;=BenchmarkResults!$F$3:$F$35)*(mongodb_hardware_log!T1591&lt;BenchmarkResults!$G$3:$G$35)*ROW(BenchmarkResults!$F$3:$F$35)),{1,3})</f>
        <v>q4_category_revenue</v>
      </c>
      <c r="B1591">
        <v>1</v>
      </c>
      <c r="C1591" s="13">
        <v>1</v>
      </c>
      <c r="D1591" s="13">
        <v>0</v>
      </c>
      <c r="E1591" s="13">
        <v>226048</v>
      </c>
      <c r="F1591" s="13">
        <v>123040</v>
      </c>
      <c r="G1591" s="13">
        <v>380</v>
      </c>
      <c r="H1591" s="13">
        <v>2336184</v>
      </c>
      <c r="I1591" s="13">
        <v>3</v>
      </c>
      <c r="J1591" s="13">
        <v>32</v>
      </c>
      <c r="K1591" s="13">
        <v>14794</v>
      </c>
      <c r="L1591" s="13">
        <v>84</v>
      </c>
      <c r="M1591" s="13">
        <v>2742</v>
      </c>
      <c r="N1591" s="13">
        <v>1746</v>
      </c>
      <c r="O1591" s="13">
        <v>17</v>
      </c>
      <c r="P1591" s="13">
        <v>7</v>
      </c>
      <c r="Q1591" s="13">
        <v>46</v>
      </c>
      <c r="R1591" s="13">
        <v>28</v>
      </c>
      <c r="S1591" s="13">
        <v>1</v>
      </c>
      <c r="T1591" s="23">
        <v>46247.668240740742</v>
      </c>
      <c r="U1591" s="55">
        <f t="shared" si="72"/>
        <v>0.83333333333333337</v>
      </c>
      <c r="V1591" s="55">
        <f t="shared" si="73"/>
        <v>0.33333333333333331</v>
      </c>
      <c r="W1591" s="56">
        <f t="shared" si="74"/>
        <v>13449.666666666666</v>
      </c>
    </row>
    <row r="1592" spans="1:23" x14ac:dyDescent="0.3">
      <c r="A1592" s="13" t="str" cm="1">
        <f t="array" ref="A1592:B1592">INDEX(BenchmarkResults!$B$1:$D$35,SUMPRODUCT((T1592&gt;=BenchmarkResults!$F$3:$F$35)*(mongodb_hardware_log!T1592&lt;BenchmarkResults!$G$3:$G$35)*ROW(BenchmarkResults!$F$3:$F$35)),{1,3})</f>
        <v>q4_category_revenue</v>
      </c>
      <c r="B1592">
        <v>1</v>
      </c>
      <c r="C1592" s="13">
        <v>1</v>
      </c>
      <c r="D1592" s="13">
        <v>0</v>
      </c>
      <c r="E1592" s="13">
        <v>226048</v>
      </c>
      <c r="F1592" s="13">
        <v>117336</v>
      </c>
      <c r="G1592" s="13">
        <v>384</v>
      </c>
      <c r="H1592" s="13">
        <v>2342924</v>
      </c>
      <c r="I1592" s="13">
        <v>14</v>
      </c>
      <c r="J1592" s="13">
        <v>12</v>
      </c>
      <c r="K1592" s="13">
        <v>15740</v>
      </c>
      <c r="L1592" s="13">
        <v>26</v>
      </c>
      <c r="M1592" s="13">
        <v>3289</v>
      </c>
      <c r="N1592" s="13">
        <v>2252</v>
      </c>
      <c r="O1592" s="13">
        <v>20</v>
      </c>
      <c r="P1592" s="13">
        <v>8</v>
      </c>
      <c r="Q1592" s="13">
        <v>46</v>
      </c>
      <c r="R1592" s="13">
        <v>25</v>
      </c>
      <c r="S1592" s="13">
        <v>1</v>
      </c>
      <c r="T1592" s="23">
        <v>46247.668356481481</v>
      </c>
      <c r="U1592" s="55">
        <f t="shared" si="72"/>
        <v>0.83333333333333337</v>
      </c>
      <c r="V1592" s="55">
        <f t="shared" si="73"/>
        <v>0.33333333333333331</v>
      </c>
      <c r="W1592" s="56">
        <f t="shared" si="74"/>
        <v>13922.5</v>
      </c>
    </row>
    <row r="1593" spans="1:23" x14ac:dyDescent="0.3">
      <c r="A1593" s="13" t="str" cm="1">
        <f t="array" ref="A1593:B1593">INDEX(BenchmarkResults!$B$1:$D$35,SUMPRODUCT((T1593&gt;=BenchmarkResults!$F$3:$F$35)*(mongodb_hardware_log!T1593&lt;BenchmarkResults!$G$3:$G$35)*ROW(BenchmarkResults!$F$3:$F$35)),{1,3})</f>
        <v>q4_category_revenue</v>
      </c>
      <c r="B1593">
        <v>1</v>
      </c>
      <c r="C1593" s="13">
        <v>1</v>
      </c>
      <c r="D1593" s="13">
        <v>0</v>
      </c>
      <c r="E1593" s="13">
        <v>226048</v>
      </c>
      <c r="F1593" s="13">
        <v>135304</v>
      </c>
      <c r="G1593" s="13">
        <v>400</v>
      </c>
      <c r="H1593" s="13">
        <v>2324416</v>
      </c>
      <c r="I1593" s="13">
        <v>18</v>
      </c>
      <c r="J1593" s="13">
        <v>0</v>
      </c>
      <c r="K1593" s="13">
        <v>15114</v>
      </c>
      <c r="L1593" s="13">
        <v>36</v>
      </c>
      <c r="M1593" s="13">
        <v>3118</v>
      </c>
      <c r="N1593" s="13">
        <v>2155</v>
      </c>
      <c r="O1593" s="13">
        <v>19</v>
      </c>
      <c r="P1593" s="13">
        <v>8</v>
      </c>
      <c r="Q1593" s="13">
        <v>45</v>
      </c>
      <c r="R1593" s="13">
        <v>26</v>
      </c>
      <c r="S1593" s="13">
        <v>1</v>
      </c>
      <c r="T1593" s="23">
        <v>46247.66847222222</v>
      </c>
      <c r="U1593" s="55">
        <f t="shared" si="72"/>
        <v>0.83333333333333337</v>
      </c>
      <c r="V1593" s="55">
        <f t="shared" si="73"/>
        <v>0.33333333333333331</v>
      </c>
      <c r="W1593" s="56">
        <f t="shared" si="74"/>
        <v>13968.5</v>
      </c>
    </row>
    <row r="1594" spans="1:23" x14ac:dyDescent="0.3">
      <c r="A1594" s="13" t="str" cm="1">
        <f t="array" ref="A1594:B1594">INDEX(BenchmarkResults!$B$1:$D$35,SUMPRODUCT((T1594&gt;=BenchmarkResults!$F$3:$F$35)*(mongodb_hardware_log!T1594&lt;BenchmarkResults!$G$3:$G$35)*ROW(BenchmarkResults!$F$3:$F$35)),{1,3})</f>
        <v>q4_category_revenue</v>
      </c>
      <c r="B1594">
        <v>1</v>
      </c>
      <c r="C1594" s="13">
        <v>0</v>
      </c>
      <c r="D1594" s="13">
        <v>1</v>
      </c>
      <c r="E1594" s="13">
        <v>227072</v>
      </c>
      <c r="F1594" s="13">
        <v>189016</v>
      </c>
      <c r="G1594" s="13">
        <v>408</v>
      </c>
      <c r="H1594" s="13">
        <v>2261468</v>
      </c>
      <c r="I1594" s="13">
        <v>10</v>
      </c>
      <c r="J1594" s="13">
        <v>132</v>
      </c>
      <c r="K1594" s="13">
        <v>15472</v>
      </c>
      <c r="L1594" s="13">
        <v>142</v>
      </c>
      <c r="M1594" s="13">
        <v>2942</v>
      </c>
      <c r="N1594" s="13">
        <v>1951</v>
      </c>
      <c r="O1594" s="13">
        <v>20</v>
      </c>
      <c r="P1594" s="13">
        <v>7</v>
      </c>
      <c r="Q1594" s="13">
        <v>46</v>
      </c>
      <c r="R1594" s="13">
        <v>25</v>
      </c>
      <c r="S1594" s="13">
        <v>1</v>
      </c>
      <c r="T1594" s="23">
        <v>46247.668587962966</v>
      </c>
      <c r="U1594" s="55">
        <f t="shared" si="72"/>
        <v>0.66666666666666663</v>
      </c>
      <c r="V1594" s="55">
        <f t="shared" si="73"/>
        <v>0.33333333333333331</v>
      </c>
      <c r="W1594" s="56">
        <f t="shared" si="74"/>
        <v>14351.833333333334</v>
      </c>
    </row>
    <row r="1595" spans="1:23" x14ac:dyDescent="0.3">
      <c r="A1595" s="13" t="str" cm="1">
        <f t="array" ref="A1595:B1595">INDEX(BenchmarkResults!$B$1:$D$35,SUMPRODUCT((T1595&gt;=BenchmarkResults!$F$3:$F$35)*(mongodb_hardware_log!T1595&lt;BenchmarkResults!$G$3:$G$35)*ROW(BenchmarkResults!$F$3:$F$35)),{1,3})</f>
        <v>q4_category_revenue</v>
      </c>
      <c r="B1595">
        <v>1</v>
      </c>
      <c r="C1595" s="13">
        <v>0</v>
      </c>
      <c r="D1595" s="13">
        <v>1</v>
      </c>
      <c r="E1595" s="13">
        <v>227072</v>
      </c>
      <c r="F1595" s="13">
        <v>160560</v>
      </c>
      <c r="G1595" s="13">
        <v>416</v>
      </c>
      <c r="H1595" s="13">
        <v>2306024</v>
      </c>
      <c r="I1595" s="13">
        <v>8</v>
      </c>
      <c r="J1595" s="13">
        <v>0</v>
      </c>
      <c r="K1595" s="13">
        <v>15058</v>
      </c>
      <c r="L1595" s="13">
        <v>12</v>
      </c>
      <c r="M1595" s="13">
        <v>2894</v>
      </c>
      <c r="N1595" s="13">
        <v>2004</v>
      </c>
      <c r="O1595" s="13">
        <v>17</v>
      </c>
      <c r="P1595" s="13">
        <v>7</v>
      </c>
      <c r="Q1595" s="13">
        <v>46</v>
      </c>
      <c r="R1595" s="13">
        <v>28</v>
      </c>
      <c r="S1595" s="13">
        <v>2</v>
      </c>
      <c r="T1595" s="23">
        <v>46247.668703703705</v>
      </c>
      <c r="U1595" s="55">
        <f t="shared" si="72"/>
        <v>0.5</v>
      </c>
      <c r="V1595" s="55">
        <f t="shared" si="73"/>
        <v>0.5</v>
      </c>
      <c r="W1595" s="56">
        <f t="shared" si="74"/>
        <v>14596.166666666666</v>
      </c>
    </row>
    <row r="1596" spans="1:23" x14ac:dyDescent="0.3">
      <c r="A1596" s="13" t="str" cm="1">
        <f t="array" ref="A1596:B1596">INDEX(BenchmarkResults!$B$1:$D$35,SUMPRODUCT((T1596&gt;=BenchmarkResults!$F$3:$F$35)*(mongodb_hardware_log!T1596&lt;BenchmarkResults!$G$3:$G$35)*ROW(BenchmarkResults!$F$3:$F$35)),{1,3})</f>
        <v>q4_category_revenue</v>
      </c>
      <c r="B1596">
        <v>1</v>
      </c>
      <c r="C1596" s="13">
        <v>0</v>
      </c>
      <c r="D1596" s="13">
        <v>1</v>
      </c>
      <c r="E1596" s="13">
        <v>226816</v>
      </c>
      <c r="F1596" s="13">
        <v>141644</v>
      </c>
      <c r="G1596" s="13">
        <v>424</v>
      </c>
      <c r="H1596" s="13">
        <v>2320288</v>
      </c>
      <c r="I1596" s="13">
        <v>14</v>
      </c>
      <c r="J1596" s="13">
        <v>0</v>
      </c>
      <c r="K1596" s="13">
        <v>11943</v>
      </c>
      <c r="L1596" s="13">
        <v>14</v>
      </c>
      <c r="M1596" s="13">
        <v>2625</v>
      </c>
      <c r="N1596" s="13">
        <v>1622</v>
      </c>
      <c r="O1596" s="13">
        <v>19</v>
      </c>
      <c r="P1596" s="13">
        <v>6</v>
      </c>
      <c r="Q1596" s="13">
        <v>46</v>
      </c>
      <c r="R1596" s="13">
        <v>27</v>
      </c>
      <c r="S1596" s="13">
        <v>2</v>
      </c>
      <c r="T1596" s="23">
        <v>46247.668819444443</v>
      </c>
      <c r="U1596" s="55">
        <f t="shared" si="72"/>
        <v>0.5</v>
      </c>
      <c r="V1596" s="55">
        <f t="shared" si="73"/>
        <v>0.5</v>
      </c>
      <c r="W1596" s="56">
        <f t="shared" si="74"/>
        <v>14686.833333333334</v>
      </c>
    </row>
    <row r="1597" spans="1:23" x14ac:dyDescent="0.3">
      <c r="A1597" s="13" t="str" cm="1">
        <f t="array" ref="A1597:B1597">INDEX(BenchmarkResults!$B$1:$D$35,SUMPRODUCT((T1597&gt;=BenchmarkResults!$F$3:$F$35)*(mongodb_hardware_log!T1597&lt;BenchmarkResults!$G$3:$G$35)*ROW(BenchmarkResults!$F$3:$F$35)),{1,3})</f>
        <v>q4_category_revenue</v>
      </c>
      <c r="B1597">
        <v>1</v>
      </c>
      <c r="C1597" s="13">
        <v>0</v>
      </c>
      <c r="D1597" s="13">
        <v>1</v>
      </c>
      <c r="E1597" s="13">
        <v>226560</v>
      </c>
      <c r="F1597" s="13">
        <v>141132</v>
      </c>
      <c r="G1597" s="13">
        <v>456</v>
      </c>
      <c r="H1597" s="13">
        <v>2311976</v>
      </c>
      <c r="I1597" s="13">
        <v>24</v>
      </c>
      <c r="J1597" s="13">
        <v>0</v>
      </c>
      <c r="K1597" s="13">
        <v>15322</v>
      </c>
      <c r="L1597" s="13">
        <v>32</v>
      </c>
      <c r="M1597" s="13">
        <v>3142</v>
      </c>
      <c r="N1597" s="13">
        <v>2150</v>
      </c>
      <c r="O1597" s="13">
        <v>22</v>
      </c>
      <c r="P1597" s="13">
        <v>8</v>
      </c>
      <c r="Q1597" s="13">
        <v>46</v>
      </c>
      <c r="R1597" s="13">
        <v>24</v>
      </c>
      <c r="S1597" s="13">
        <v>1</v>
      </c>
      <c r="T1597" s="23">
        <v>46247.668935185182</v>
      </c>
      <c r="U1597" s="55">
        <f t="shared" si="72"/>
        <v>0.33333333333333331</v>
      </c>
      <c r="V1597" s="55">
        <f t="shared" si="73"/>
        <v>0.66666666666666663</v>
      </c>
      <c r="W1597" s="56">
        <f t="shared" si="74"/>
        <v>14774.833333333334</v>
      </c>
    </row>
    <row r="1598" spans="1:23" x14ac:dyDescent="0.3">
      <c r="A1598" s="13" t="str" cm="1">
        <f t="array" ref="A1598:B1598">INDEX(BenchmarkResults!$B$1:$D$35,SUMPRODUCT((T1598&gt;=BenchmarkResults!$F$3:$F$35)*(mongodb_hardware_log!T1598&lt;BenchmarkResults!$G$3:$G$35)*ROW(BenchmarkResults!$F$3:$F$35)),{1,3})</f>
        <v>q4_category_revenue</v>
      </c>
      <c r="B1598">
        <v>1</v>
      </c>
      <c r="C1598" s="13">
        <v>2</v>
      </c>
      <c r="D1598" s="13">
        <v>0</v>
      </c>
      <c r="E1598" s="13">
        <v>226304</v>
      </c>
      <c r="F1598" s="13">
        <v>139944</v>
      </c>
      <c r="G1598" s="13">
        <v>464</v>
      </c>
      <c r="H1598" s="13">
        <v>2320540</v>
      </c>
      <c r="I1598" s="13">
        <v>12</v>
      </c>
      <c r="J1598" s="13">
        <v>0</v>
      </c>
      <c r="K1598" s="13">
        <v>15886</v>
      </c>
      <c r="L1598" s="13">
        <v>9</v>
      </c>
      <c r="M1598" s="13">
        <v>3220</v>
      </c>
      <c r="N1598" s="13">
        <v>2218</v>
      </c>
      <c r="O1598" s="13">
        <v>21</v>
      </c>
      <c r="P1598" s="13">
        <v>8</v>
      </c>
      <c r="Q1598" s="13">
        <v>46</v>
      </c>
      <c r="R1598" s="13">
        <v>24</v>
      </c>
      <c r="S1598" s="13">
        <v>1</v>
      </c>
      <c r="T1598" s="23">
        <v>46247.669050925928</v>
      </c>
      <c r="U1598" s="55">
        <f t="shared" si="72"/>
        <v>0.5</v>
      </c>
      <c r="V1598" s="55">
        <f t="shared" si="73"/>
        <v>0.66666666666666663</v>
      </c>
      <c r="W1598" s="56">
        <f t="shared" si="74"/>
        <v>14799.166666666666</v>
      </c>
    </row>
    <row r="1599" spans="1:23" x14ac:dyDescent="0.3">
      <c r="A1599" s="13" t="str" cm="1">
        <f t="array" ref="A1599:B1599">INDEX(BenchmarkResults!$B$1:$D$35,SUMPRODUCT((T1599&gt;=BenchmarkResults!$F$3:$F$35)*(mongodb_hardware_log!T1599&lt;BenchmarkResults!$G$3:$G$35)*ROW(BenchmarkResults!$F$3:$F$35)),{1,3})</f>
        <v>q4_category_revenue</v>
      </c>
      <c r="B1599">
        <v>1</v>
      </c>
      <c r="C1599" s="13">
        <v>0</v>
      </c>
      <c r="D1599" s="13">
        <v>1</v>
      </c>
      <c r="E1599" s="13">
        <v>226304</v>
      </c>
      <c r="F1599" s="13">
        <v>150840</v>
      </c>
      <c r="G1599" s="13">
        <v>472</v>
      </c>
      <c r="H1599" s="13">
        <v>2302256</v>
      </c>
      <c r="I1599" s="13">
        <v>24</v>
      </c>
      <c r="J1599" s="13">
        <v>0</v>
      </c>
      <c r="K1599" s="13">
        <v>16721</v>
      </c>
      <c r="L1599" s="13">
        <v>19</v>
      </c>
      <c r="M1599" s="13">
        <v>3356</v>
      </c>
      <c r="N1599" s="13">
        <v>2345</v>
      </c>
      <c r="O1599" s="13">
        <v>22</v>
      </c>
      <c r="P1599" s="13">
        <v>9</v>
      </c>
      <c r="Q1599" s="13">
        <v>45</v>
      </c>
      <c r="R1599" s="13">
        <v>23</v>
      </c>
      <c r="S1599" s="13">
        <v>1</v>
      </c>
      <c r="T1599" s="23">
        <v>46247.669166666667</v>
      </c>
      <c r="U1599" s="55">
        <f t="shared" si="72"/>
        <v>0.33333333333333331</v>
      </c>
      <c r="V1599" s="55">
        <f t="shared" si="73"/>
        <v>0.83333333333333337</v>
      </c>
      <c r="W1599" s="56">
        <f t="shared" si="74"/>
        <v>15067</v>
      </c>
    </row>
    <row r="1600" spans="1:23" x14ac:dyDescent="0.3">
      <c r="A1600" s="13" t="str" cm="1">
        <f t="array" ref="A1600:B1600">INDEX(BenchmarkResults!$B$1:$D$35,SUMPRODUCT((T1600&gt;=BenchmarkResults!$F$3:$F$35)*(mongodb_hardware_log!T1600&lt;BenchmarkResults!$G$3:$G$35)*ROW(BenchmarkResults!$F$3:$F$35)),{1,3})</f>
        <v>q4_category_revenue</v>
      </c>
      <c r="B1600">
        <v>1</v>
      </c>
      <c r="C1600" s="13">
        <v>0</v>
      </c>
      <c r="D1600" s="13">
        <v>1</v>
      </c>
      <c r="E1600" s="13">
        <v>225024</v>
      </c>
      <c r="F1600" s="13">
        <v>138344</v>
      </c>
      <c r="G1600" s="13">
        <v>488</v>
      </c>
      <c r="H1600" s="13">
        <v>2323488</v>
      </c>
      <c r="I1600" s="13">
        <v>112</v>
      </c>
      <c r="J1600" s="13">
        <v>0</v>
      </c>
      <c r="K1600" s="13">
        <v>17001</v>
      </c>
      <c r="L1600" s="13">
        <v>39</v>
      </c>
      <c r="M1600" s="13">
        <v>3463</v>
      </c>
      <c r="N1600" s="13">
        <v>2467</v>
      </c>
      <c r="O1600" s="13">
        <v>21</v>
      </c>
      <c r="P1600" s="13">
        <v>9</v>
      </c>
      <c r="Q1600" s="13">
        <v>45</v>
      </c>
      <c r="R1600" s="13">
        <v>24</v>
      </c>
      <c r="S1600" s="13">
        <v>1</v>
      </c>
      <c r="T1600" s="23">
        <v>46247.669282407405</v>
      </c>
      <c r="U1600" s="55">
        <f t="shared" si="72"/>
        <v>0.33333333333333331</v>
      </c>
      <c r="V1600" s="55">
        <f t="shared" si="73"/>
        <v>0.83333333333333337</v>
      </c>
      <c r="W1600" s="56">
        <f t="shared" si="74"/>
        <v>15321.833333333334</v>
      </c>
    </row>
    <row r="1601" spans="1:23" x14ac:dyDescent="0.3">
      <c r="A1601" s="13" t="str" cm="1">
        <f t="array" ref="A1601:B1601">INDEX(BenchmarkResults!$B$1:$D$35,SUMPRODUCT((T1601&gt;=BenchmarkResults!$F$3:$F$35)*(mongodb_hardware_log!T1601&lt;BenchmarkResults!$G$3:$G$35)*ROW(BenchmarkResults!$F$3:$F$35)),{1,3})</f>
        <v>q4_category_revenue</v>
      </c>
      <c r="B1601">
        <v>1</v>
      </c>
      <c r="C1601" s="13">
        <v>0</v>
      </c>
      <c r="D1601" s="13">
        <v>1</v>
      </c>
      <c r="E1601" s="13">
        <v>225024</v>
      </c>
      <c r="F1601" s="13">
        <v>120416</v>
      </c>
      <c r="G1601" s="13">
        <v>496</v>
      </c>
      <c r="H1601" s="13">
        <v>2343424</v>
      </c>
      <c r="I1601" s="13">
        <v>10</v>
      </c>
      <c r="J1601" s="13">
        <v>0</v>
      </c>
      <c r="K1601" s="13">
        <v>18640</v>
      </c>
      <c r="L1601" s="13">
        <v>13</v>
      </c>
      <c r="M1601" s="13">
        <v>3237</v>
      </c>
      <c r="N1601" s="13">
        <v>2183</v>
      </c>
      <c r="O1601" s="13">
        <v>20</v>
      </c>
      <c r="P1601" s="13">
        <v>8</v>
      </c>
      <c r="Q1601" s="13">
        <v>46</v>
      </c>
      <c r="R1601" s="13">
        <v>25</v>
      </c>
      <c r="S1601" s="13">
        <v>1</v>
      </c>
      <c r="T1601" s="23">
        <v>46247.669398148151</v>
      </c>
      <c r="U1601" s="55">
        <f t="shared" si="72"/>
        <v>0.33333333333333331</v>
      </c>
      <c r="V1601" s="55">
        <f t="shared" si="73"/>
        <v>0.83333333333333337</v>
      </c>
      <c r="W1601" s="56">
        <f t="shared" si="74"/>
        <v>15918.833333333334</v>
      </c>
    </row>
    <row r="1602" spans="1:23" x14ac:dyDescent="0.3">
      <c r="A1602" s="13" t="str" cm="1">
        <f t="array" ref="A1602:B1602">INDEX(BenchmarkResults!$B$1:$D$35,SUMPRODUCT((T1602&gt;=BenchmarkResults!$F$3:$F$35)*(mongodb_hardware_log!T1602&lt;BenchmarkResults!$G$3:$G$35)*ROW(BenchmarkResults!$F$3:$F$35)),{1,3})</f>
        <v>q4_category_revenue</v>
      </c>
      <c r="B1602">
        <v>1</v>
      </c>
      <c r="C1602" s="13">
        <v>1</v>
      </c>
      <c r="D1602" s="13">
        <v>0</v>
      </c>
      <c r="E1602" s="13">
        <v>224768</v>
      </c>
      <c r="F1602" s="13">
        <v>121868</v>
      </c>
      <c r="G1602" s="13">
        <v>628</v>
      </c>
      <c r="H1602" s="13">
        <v>2334804</v>
      </c>
      <c r="I1602" s="13">
        <v>47</v>
      </c>
      <c r="J1602" s="13">
        <v>0</v>
      </c>
      <c r="K1602" s="13">
        <v>15096</v>
      </c>
      <c r="L1602" s="13">
        <v>5</v>
      </c>
      <c r="M1602" s="13">
        <v>2685</v>
      </c>
      <c r="N1602" s="13">
        <v>1717</v>
      </c>
      <c r="O1602" s="13">
        <v>18</v>
      </c>
      <c r="P1602" s="13">
        <v>7</v>
      </c>
      <c r="Q1602" s="13">
        <v>48</v>
      </c>
      <c r="R1602" s="13">
        <v>26</v>
      </c>
      <c r="S1602" s="13">
        <v>1</v>
      </c>
      <c r="T1602" s="23">
        <v>46247.66951388889</v>
      </c>
      <c r="U1602" s="55">
        <f t="shared" si="72"/>
        <v>0.5</v>
      </c>
      <c r="V1602" s="55">
        <f t="shared" si="73"/>
        <v>0.66666666666666663</v>
      </c>
      <c r="W1602" s="56">
        <f t="shared" si="74"/>
        <v>16444.333333333332</v>
      </c>
    </row>
    <row r="1603" spans="1:23" x14ac:dyDescent="0.3">
      <c r="A1603" s="13" t="str" cm="1">
        <f t="array" ref="A1603:B1603">INDEX(BenchmarkResults!$B$1:$D$35,SUMPRODUCT((T1603&gt;=BenchmarkResults!$F$3:$F$35)*(mongodb_hardware_log!T1603&lt;BenchmarkResults!$G$3:$G$35)*ROW(BenchmarkResults!$F$3:$F$35)),{1,3})</f>
        <v>q4_category_revenue</v>
      </c>
      <c r="B1603">
        <v>1</v>
      </c>
      <c r="C1603" s="13">
        <v>1</v>
      </c>
      <c r="D1603" s="13">
        <v>0</v>
      </c>
      <c r="E1603" s="13">
        <v>225024</v>
      </c>
      <c r="F1603" s="13">
        <v>121800</v>
      </c>
      <c r="G1603" s="13">
        <v>356</v>
      </c>
      <c r="H1603" s="13">
        <v>2339672</v>
      </c>
      <c r="I1603" s="13">
        <v>13</v>
      </c>
      <c r="J1603" s="13">
        <v>7</v>
      </c>
      <c r="K1603" s="13">
        <v>14363</v>
      </c>
      <c r="L1603" s="13">
        <v>60</v>
      </c>
      <c r="M1603" s="13">
        <v>2760</v>
      </c>
      <c r="N1603" s="13">
        <v>1953</v>
      </c>
      <c r="O1603" s="13">
        <v>20</v>
      </c>
      <c r="P1603" s="13">
        <v>8</v>
      </c>
      <c r="Q1603" s="13">
        <v>49</v>
      </c>
      <c r="R1603" s="13">
        <v>23</v>
      </c>
      <c r="S1603" s="13">
        <v>1</v>
      </c>
      <c r="T1603" s="23">
        <v>46247.669629629629</v>
      </c>
      <c r="U1603" s="55">
        <f t="shared" si="72"/>
        <v>0.66666666666666663</v>
      </c>
      <c r="V1603" s="55">
        <f t="shared" si="73"/>
        <v>0.5</v>
      </c>
      <c r="W1603" s="56">
        <f t="shared" si="74"/>
        <v>16284.5</v>
      </c>
    </row>
    <row r="1604" spans="1:23" x14ac:dyDescent="0.3">
      <c r="A1604" s="13" t="str" cm="1">
        <f t="array" ref="A1604:B1604">INDEX(BenchmarkResults!$B$1:$D$35,SUMPRODUCT((T1604&gt;=BenchmarkResults!$F$3:$F$35)*(mongodb_hardware_log!T1604&lt;BenchmarkResults!$G$3:$G$35)*ROW(BenchmarkResults!$F$3:$F$35)),{1,3})</f>
        <v>q4_category_revenue</v>
      </c>
      <c r="B1604">
        <v>1</v>
      </c>
      <c r="C1604" s="13">
        <v>2</v>
      </c>
      <c r="D1604" s="13">
        <v>0</v>
      </c>
      <c r="E1604" s="13">
        <v>224768</v>
      </c>
      <c r="F1604" s="13">
        <v>133112</v>
      </c>
      <c r="G1604" s="13">
        <v>368</v>
      </c>
      <c r="H1604" s="13">
        <v>2323708</v>
      </c>
      <c r="I1604" s="13">
        <v>11</v>
      </c>
      <c r="J1604" s="13">
        <v>4</v>
      </c>
      <c r="K1604" s="13">
        <v>14443</v>
      </c>
      <c r="L1604" s="13">
        <v>10</v>
      </c>
      <c r="M1604" s="13">
        <v>2748</v>
      </c>
      <c r="N1604" s="13">
        <v>1931</v>
      </c>
      <c r="O1604" s="13">
        <v>19</v>
      </c>
      <c r="P1604" s="13">
        <v>7</v>
      </c>
      <c r="Q1604" s="13">
        <v>49</v>
      </c>
      <c r="R1604" s="13">
        <v>24</v>
      </c>
      <c r="S1604" s="13">
        <v>1</v>
      </c>
      <c r="T1604" s="23">
        <v>46247.669745370367</v>
      </c>
      <c r="U1604" s="55">
        <f t="shared" si="72"/>
        <v>0.66666666666666663</v>
      </c>
      <c r="V1604" s="55">
        <f t="shared" si="73"/>
        <v>0.5</v>
      </c>
      <c r="W1604" s="56">
        <f t="shared" si="74"/>
        <v>16044</v>
      </c>
    </row>
    <row r="1605" spans="1:23" x14ac:dyDescent="0.3">
      <c r="A1605" s="13" t="str" cm="1">
        <f t="array" ref="A1605:B1605">INDEX(BenchmarkResults!$B$1:$D$35,SUMPRODUCT((T1605&gt;=BenchmarkResults!$F$3:$F$35)*(mongodb_hardware_log!T1605&lt;BenchmarkResults!$G$3:$G$35)*ROW(BenchmarkResults!$F$3:$F$35)),{1,3})</f>
        <v>q4_category_revenue</v>
      </c>
      <c r="B1605">
        <v>1</v>
      </c>
      <c r="C1605" s="13">
        <v>1</v>
      </c>
      <c r="D1605" s="13">
        <v>0</v>
      </c>
      <c r="E1605" s="13">
        <v>224768</v>
      </c>
      <c r="F1605" s="13">
        <v>108320</v>
      </c>
      <c r="G1605" s="13">
        <v>380</v>
      </c>
      <c r="H1605" s="13">
        <v>2345196</v>
      </c>
      <c r="I1605" s="13">
        <v>4</v>
      </c>
      <c r="J1605" s="13">
        <v>0</v>
      </c>
      <c r="K1605" s="13">
        <v>15282</v>
      </c>
      <c r="L1605" s="13">
        <v>16</v>
      </c>
      <c r="M1605" s="13">
        <v>2757</v>
      </c>
      <c r="N1605" s="13">
        <v>1854</v>
      </c>
      <c r="O1605" s="13">
        <v>19</v>
      </c>
      <c r="P1605" s="13">
        <v>7</v>
      </c>
      <c r="Q1605" s="13">
        <v>49</v>
      </c>
      <c r="R1605" s="13">
        <v>24</v>
      </c>
      <c r="S1605" s="13">
        <v>0</v>
      </c>
      <c r="T1605" s="23">
        <v>46247.669861111113</v>
      </c>
      <c r="U1605" s="55">
        <f t="shared" si="72"/>
        <v>0.83333333333333337</v>
      </c>
      <c r="V1605" s="55">
        <f t="shared" si="73"/>
        <v>0.33333333333333331</v>
      </c>
      <c r="W1605" s="56">
        <f t="shared" si="74"/>
        <v>15804.166666666666</v>
      </c>
    </row>
    <row r="1606" spans="1:23" x14ac:dyDescent="0.3">
      <c r="A1606" s="13" t="str" cm="1">
        <f t="array" ref="A1606:B1606">INDEX(BenchmarkResults!$B$1:$D$35,SUMPRODUCT((T1606&gt;=BenchmarkResults!$F$3:$F$35)*(mongodb_hardware_log!T1606&lt;BenchmarkResults!$G$3:$G$35)*ROW(BenchmarkResults!$F$3:$F$35)),{1,3})</f>
        <v>q4_category_revenue</v>
      </c>
      <c r="B1606">
        <v>1</v>
      </c>
      <c r="C1606" s="13">
        <v>1</v>
      </c>
      <c r="D1606" s="13">
        <v>0</v>
      </c>
      <c r="E1606" s="13">
        <v>224512</v>
      </c>
      <c r="F1606" s="13">
        <v>131080</v>
      </c>
      <c r="G1606" s="13">
        <v>268</v>
      </c>
      <c r="H1606" s="13">
        <v>2320484</v>
      </c>
      <c r="I1606" s="13">
        <v>5</v>
      </c>
      <c r="J1606" s="13">
        <v>0</v>
      </c>
      <c r="K1606" s="13">
        <v>14797</v>
      </c>
      <c r="L1606" s="13">
        <v>10</v>
      </c>
      <c r="M1606" s="13">
        <v>2861</v>
      </c>
      <c r="N1606" s="13">
        <v>2111</v>
      </c>
      <c r="O1606" s="13">
        <v>20</v>
      </c>
      <c r="P1606" s="13">
        <v>8</v>
      </c>
      <c r="Q1606" s="13">
        <v>48</v>
      </c>
      <c r="R1606" s="13">
        <v>24</v>
      </c>
      <c r="S1606" s="13">
        <v>0</v>
      </c>
      <c r="T1606" s="23">
        <v>46247.669976851852</v>
      </c>
      <c r="U1606" s="55">
        <f t="shared" si="72"/>
        <v>1</v>
      </c>
      <c r="V1606" s="55">
        <f t="shared" si="73"/>
        <v>0.16666666666666666</v>
      </c>
      <c r="W1606" s="56">
        <f t="shared" si="74"/>
        <v>15436.833333333334</v>
      </c>
    </row>
    <row r="1607" spans="1:23" x14ac:dyDescent="0.3">
      <c r="A1607" s="13" t="str" cm="1">
        <f t="array" ref="A1607:B1607">INDEX(BenchmarkResults!$B$1:$D$35,SUMPRODUCT((T1607&gt;=BenchmarkResults!$F$3:$F$35)*(mongodb_hardware_log!T1607&lt;BenchmarkResults!$G$3:$G$35)*ROW(BenchmarkResults!$F$3:$F$35)),{1,3})</f>
        <v>q4_category_revenue</v>
      </c>
      <c r="B1607">
        <v>1</v>
      </c>
      <c r="C1607" s="13">
        <v>1</v>
      </c>
      <c r="D1607" s="13">
        <v>0</v>
      </c>
      <c r="E1607" s="13">
        <v>224512</v>
      </c>
      <c r="F1607" s="13">
        <v>124452</v>
      </c>
      <c r="G1607" s="13">
        <v>276</v>
      </c>
      <c r="H1607" s="13">
        <v>2334284</v>
      </c>
      <c r="I1607" s="13">
        <v>4</v>
      </c>
      <c r="J1607" s="13">
        <v>0</v>
      </c>
      <c r="K1607" s="13">
        <v>13742</v>
      </c>
      <c r="L1607" s="13">
        <v>24</v>
      </c>
      <c r="M1607" s="13">
        <v>2664</v>
      </c>
      <c r="N1607" s="13">
        <v>1794</v>
      </c>
      <c r="O1607" s="13">
        <v>20</v>
      </c>
      <c r="P1607" s="13">
        <v>7</v>
      </c>
      <c r="Q1607" s="13">
        <v>50</v>
      </c>
      <c r="R1607" s="13">
        <v>23</v>
      </c>
      <c r="S1607" s="13">
        <v>1</v>
      </c>
      <c r="T1607" s="23">
        <v>46247.670092592591</v>
      </c>
      <c r="U1607" s="55">
        <f t="shared" si="72"/>
        <v>1.1666666666666667</v>
      </c>
      <c r="V1607" s="55">
        <f t="shared" si="73"/>
        <v>0</v>
      </c>
      <c r="W1607" s="56">
        <f t="shared" si="74"/>
        <v>14620.5</v>
      </c>
    </row>
    <row r="1608" spans="1:23" x14ac:dyDescent="0.3">
      <c r="A1608" s="13" t="str" cm="1">
        <f t="array" ref="A1608:B1608">INDEX(BenchmarkResults!$B$1:$D$35,SUMPRODUCT((T1608&gt;=BenchmarkResults!$F$3:$F$35)*(mongodb_hardware_log!T1608&lt;BenchmarkResults!$G$3:$G$35)*ROW(BenchmarkResults!$F$3:$F$35)),{1,3})</f>
        <v>q4_category_revenue</v>
      </c>
      <c r="B1608">
        <v>1</v>
      </c>
      <c r="C1608" s="13">
        <v>0</v>
      </c>
      <c r="D1608" s="13">
        <v>1</v>
      </c>
      <c r="E1608" s="13">
        <v>224512</v>
      </c>
      <c r="F1608" s="13">
        <v>149620</v>
      </c>
      <c r="G1608" s="13">
        <v>280</v>
      </c>
      <c r="H1608" s="13">
        <v>2299916</v>
      </c>
      <c r="I1608" s="13">
        <v>4</v>
      </c>
      <c r="J1608" s="13">
        <v>0</v>
      </c>
      <c r="K1608" s="13">
        <v>12696</v>
      </c>
      <c r="L1608" s="13">
        <v>11</v>
      </c>
      <c r="M1608" s="13">
        <v>2546</v>
      </c>
      <c r="N1608" s="13">
        <v>1720</v>
      </c>
      <c r="O1608" s="13">
        <v>20</v>
      </c>
      <c r="P1608" s="13">
        <v>7</v>
      </c>
      <c r="Q1608" s="13">
        <v>49</v>
      </c>
      <c r="R1608" s="13">
        <v>23</v>
      </c>
      <c r="S1608" s="13">
        <v>1</v>
      </c>
      <c r="T1608" s="23">
        <v>46247.670208333337</v>
      </c>
      <c r="U1608" s="55">
        <f t="shared" si="72"/>
        <v>1</v>
      </c>
      <c r="V1608" s="55">
        <f t="shared" si="73"/>
        <v>0.16666666666666666</v>
      </c>
      <c r="W1608" s="56">
        <f t="shared" si="74"/>
        <v>14220.5</v>
      </c>
    </row>
    <row r="1609" spans="1:23" x14ac:dyDescent="0.3">
      <c r="A1609" s="13" t="str" cm="1">
        <f t="array" ref="A1609:B1609">INDEX(BenchmarkResults!$B$1:$D$35,SUMPRODUCT((T1609&gt;=BenchmarkResults!$F$3:$F$35)*(mongodb_hardware_log!T1609&lt;BenchmarkResults!$G$3:$G$35)*ROW(BenchmarkResults!$F$3:$F$35)),{1,3})</f>
        <v>q4_category_revenue</v>
      </c>
      <c r="B1609">
        <v>1</v>
      </c>
      <c r="C1609" s="13">
        <v>1</v>
      </c>
      <c r="D1609" s="13">
        <v>0</v>
      </c>
      <c r="E1609" s="13">
        <v>224512</v>
      </c>
      <c r="F1609" s="13">
        <v>113336</v>
      </c>
      <c r="G1609" s="13">
        <v>320</v>
      </c>
      <c r="H1609" s="13">
        <v>2338180</v>
      </c>
      <c r="I1609" s="13">
        <v>4</v>
      </c>
      <c r="J1609" s="13">
        <v>0</v>
      </c>
      <c r="K1609" s="13">
        <v>14927</v>
      </c>
      <c r="L1609" s="13">
        <v>30</v>
      </c>
      <c r="M1609" s="13">
        <v>2667</v>
      </c>
      <c r="N1609" s="13">
        <v>1780</v>
      </c>
      <c r="O1609" s="13">
        <v>20</v>
      </c>
      <c r="P1609" s="13">
        <v>7</v>
      </c>
      <c r="Q1609" s="13">
        <v>50</v>
      </c>
      <c r="R1609" s="13">
        <v>23</v>
      </c>
      <c r="S1609" s="13">
        <v>0</v>
      </c>
      <c r="T1609" s="23">
        <v>46247.670324074075</v>
      </c>
      <c r="U1609" s="55">
        <f t="shared" ref="U1609:U1672" si="75">AVERAGE(C1604:C1609)</f>
        <v>1</v>
      </c>
      <c r="V1609" s="55">
        <f t="shared" ref="V1609:V1672" si="76">AVERAGE(D1604:D1609)</f>
        <v>0.16666666666666666</v>
      </c>
      <c r="W1609" s="56">
        <f t="shared" ref="W1609:W1672" si="77">AVERAGE(K1604:K1609)</f>
        <v>14314.5</v>
      </c>
    </row>
    <row r="1610" spans="1:23" x14ac:dyDescent="0.3">
      <c r="A1610" s="13" t="str" cm="1">
        <f t="array" ref="A1610:B1610">INDEX(BenchmarkResults!$B$1:$D$35,SUMPRODUCT((T1610&gt;=BenchmarkResults!$F$3:$F$35)*(mongodb_hardware_log!T1610&lt;BenchmarkResults!$G$3:$G$35)*ROW(BenchmarkResults!$F$3:$F$35)),{1,3})</f>
        <v>q4_category_revenue</v>
      </c>
      <c r="B1610">
        <v>1</v>
      </c>
      <c r="C1610" s="13">
        <v>1</v>
      </c>
      <c r="D1610" s="13">
        <v>0</v>
      </c>
      <c r="E1610" s="13">
        <v>224512</v>
      </c>
      <c r="F1610" s="13">
        <v>124656</v>
      </c>
      <c r="G1610" s="13">
        <v>328</v>
      </c>
      <c r="H1610" s="13">
        <v>2330492</v>
      </c>
      <c r="I1610" s="13">
        <v>4</v>
      </c>
      <c r="J1610" s="13">
        <v>0</v>
      </c>
      <c r="K1610" s="13">
        <v>14524</v>
      </c>
      <c r="L1610" s="13">
        <v>27</v>
      </c>
      <c r="M1610" s="13">
        <v>2832</v>
      </c>
      <c r="N1610" s="13">
        <v>1954</v>
      </c>
      <c r="O1610" s="13">
        <v>20</v>
      </c>
      <c r="P1610" s="13">
        <v>8</v>
      </c>
      <c r="Q1610" s="13">
        <v>49</v>
      </c>
      <c r="R1610" s="13">
        <v>22</v>
      </c>
      <c r="S1610" s="13">
        <v>1</v>
      </c>
      <c r="T1610" s="23">
        <v>46247.670439814814</v>
      </c>
      <c r="U1610" s="55">
        <f t="shared" si="75"/>
        <v>0.83333333333333337</v>
      </c>
      <c r="V1610" s="55">
        <f t="shared" si="76"/>
        <v>0.16666666666666666</v>
      </c>
      <c r="W1610" s="56">
        <f t="shared" si="77"/>
        <v>14328</v>
      </c>
    </row>
    <row r="1611" spans="1:23" x14ac:dyDescent="0.3">
      <c r="A1611" s="13" t="str" cm="1">
        <f t="array" ref="A1611:B1611">INDEX(BenchmarkResults!$B$1:$D$35,SUMPRODUCT((T1611&gt;=BenchmarkResults!$F$3:$F$35)*(mongodb_hardware_log!T1611&lt;BenchmarkResults!$G$3:$G$35)*ROW(BenchmarkResults!$F$3:$F$35)),{1,3})</f>
        <v>q4_category_revenue</v>
      </c>
      <c r="B1611">
        <v>1</v>
      </c>
      <c r="C1611" s="13">
        <v>1</v>
      </c>
      <c r="D1611" s="13">
        <v>0</v>
      </c>
      <c r="E1611" s="13">
        <v>224256</v>
      </c>
      <c r="F1611" s="13">
        <v>145560</v>
      </c>
      <c r="G1611" s="13">
        <v>336</v>
      </c>
      <c r="H1611" s="13">
        <v>2303080</v>
      </c>
      <c r="I1611" s="13">
        <v>3</v>
      </c>
      <c r="J1611" s="13">
        <v>0</v>
      </c>
      <c r="K1611" s="13">
        <v>15940</v>
      </c>
      <c r="L1611" s="13">
        <v>11</v>
      </c>
      <c r="M1611" s="13">
        <v>2726</v>
      </c>
      <c r="N1611" s="13">
        <v>1820</v>
      </c>
      <c r="O1611" s="13">
        <v>20</v>
      </c>
      <c r="P1611" s="13">
        <v>8</v>
      </c>
      <c r="Q1611" s="13">
        <v>50</v>
      </c>
      <c r="R1611" s="13">
        <v>22</v>
      </c>
      <c r="S1611" s="13">
        <v>0</v>
      </c>
      <c r="T1611" s="23">
        <v>46247.670555555553</v>
      </c>
      <c r="U1611" s="55">
        <f t="shared" si="75"/>
        <v>0.83333333333333337</v>
      </c>
      <c r="V1611" s="55">
        <f t="shared" si="76"/>
        <v>0.16666666666666666</v>
      </c>
      <c r="W1611" s="56">
        <f t="shared" si="77"/>
        <v>14437.666666666666</v>
      </c>
    </row>
    <row r="1612" spans="1:23" x14ac:dyDescent="0.3">
      <c r="A1612" s="13" t="str" cm="1">
        <f t="array" ref="A1612:B1612">INDEX(BenchmarkResults!$B$1:$D$35,SUMPRODUCT((T1612&gt;=BenchmarkResults!$F$3:$F$35)*(mongodb_hardware_log!T1612&lt;BenchmarkResults!$G$3:$G$35)*ROW(BenchmarkResults!$F$3:$F$35)),{1,3})</f>
        <v>q4_category_revenue</v>
      </c>
      <c r="B1612">
        <v>1</v>
      </c>
      <c r="C1612" s="13">
        <v>0</v>
      </c>
      <c r="D1612" s="13">
        <v>1</v>
      </c>
      <c r="E1612" s="13">
        <v>224256</v>
      </c>
      <c r="F1612" s="13">
        <v>119552</v>
      </c>
      <c r="G1612" s="13">
        <v>344</v>
      </c>
      <c r="H1612" s="13">
        <v>2329812</v>
      </c>
      <c r="I1612" s="13">
        <v>6</v>
      </c>
      <c r="J1612" s="13">
        <v>0</v>
      </c>
      <c r="K1612" s="13">
        <v>15607</v>
      </c>
      <c r="L1612" s="13">
        <v>11</v>
      </c>
      <c r="M1612" s="13">
        <v>2948</v>
      </c>
      <c r="N1612" s="13">
        <v>2100</v>
      </c>
      <c r="O1612" s="13">
        <v>19</v>
      </c>
      <c r="P1612" s="13">
        <v>8</v>
      </c>
      <c r="Q1612" s="13">
        <v>49</v>
      </c>
      <c r="R1612" s="13">
        <v>23</v>
      </c>
      <c r="S1612" s="13">
        <v>0</v>
      </c>
      <c r="T1612" s="23">
        <v>46247.670671296299</v>
      </c>
      <c r="U1612" s="55">
        <f t="shared" si="75"/>
        <v>0.66666666666666663</v>
      </c>
      <c r="V1612" s="55">
        <f t="shared" si="76"/>
        <v>0.33333333333333331</v>
      </c>
      <c r="W1612" s="56">
        <f t="shared" si="77"/>
        <v>14572.666666666666</v>
      </c>
    </row>
    <row r="1613" spans="1:23" x14ac:dyDescent="0.3">
      <c r="A1613" s="13" t="str" cm="1">
        <f t="array" ref="A1613:B1613">INDEX(BenchmarkResults!$B$1:$D$35,SUMPRODUCT((T1613&gt;=BenchmarkResults!$F$3:$F$35)*(mongodb_hardware_log!T1613&lt;BenchmarkResults!$G$3:$G$35)*ROW(BenchmarkResults!$F$3:$F$35)),{1,3})</f>
        <v>q4_category_revenue</v>
      </c>
      <c r="B1613">
        <v>1</v>
      </c>
      <c r="C1613" s="13">
        <v>1</v>
      </c>
      <c r="D1613" s="13">
        <v>0</v>
      </c>
      <c r="E1613" s="13">
        <v>224256</v>
      </c>
      <c r="F1613" s="13">
        <v>100884</v>
      </c>
      <c r="G1613" s="13">
        <v>360</v>
      </c>
      <c r="H1613" s="13">
        <v>2353016</v>
      </c>
      <c r="I1613" s="13">
        <v>5</v>
      </c>
      <c r="J1613" s="13">
        <v>0</v>
      </c>
      <c r="K1613" s="13">
        <v>14100</v>
      </c>
      <c r="L1613" s="13">
        <v>11</v>
      </c>
      <c r="M1613" s="13">
        <v>2746</v>
      </c>
      <c r="N1613" s="13">
        <v>1919</v>
      </c>
      <c r="O1613" s="13">
        <v>20</v>
      </c>
      <c r="P1613" s="13">
        <v>8</v>
      </c>
      <c r="Q1613" s="13">
        <v>49</v>
      </c>
      <c r="R1613" s="13">
        <v>23</v>
      </c>
      <c r="S1613" s="13">
        <v>0</v>
      </c>
      <c r="T1613" s="23">
        <v>46247.670787037037</v>
      </c>
      <c r="U1613" s="55">
        <f t="shared" si="75"/>
        <v>0.66666666666666663</v>
      </c>
      <c r="V1613" s="55">
        <f t="shared" si="76"/>
        <v>0.33333333333333331</v>
      </c>
      <c r="W1613" s="56">
        <f t="shared" si="77"/>
        <v>14632.333333333334</v>
      </c>
    </row>
    <row r="1614" spans="1:23" x14ac:dyDescent="0.3">
      <c r="A1614" s="13" t="str" cm="1">
        <f t="array" ref="A1614:B1614">INDEX(BenchmarkResults!$B$1:$D$35,SUMPRODUCT((T1614&gt;=BenchmarkResults!$F$3:$F$35)*(mongodb_hardware_log!T1614&lt;BenchmarkResults!$G$3:$G$35)*ROW(BenchmarkResults!$F$3:$F$35)),{1,3})</f>
        <v>q4_category_revenue</v>
      </c>
      <c r="B1614">
        <v>1</v>
      </c>
      <c r="C1614" s="13">
        <v>1</v>
      </c>
      <c r="D1614" s="13">
        <v>0</v>
      </c>
      <c r="E1614" s="13">
        <v>224512</v>
      </c>
      <c r="F1614" s="13">
        <v>699080</v>
      </c>
      <c r="G1614" s="13">
        <v>200</v>
      </c>
      <c r="H1614" s="13">
        <v>1736312</v>
      </c>
      <c r="I1614" s="13">
        <v>0</v>
      </c>
      <c r="J1614" s="13">
        <v>38</v>
      </c>
      <c r="K1614" s="13">
        <v>12857</v>
      </c>
      <c r="L1614" s="13">
        <v>54</v>
      </c>
      <c r="M1614" s="13">
        <v>2429</v>
      </c>
      <c r="N1614" s="13">
        <v>1694</v>
      </c>
      <c r="O1614" s="13">
        <v>19</v>
      </c>
      <c r="P1614" s="13">
        <v>16</v>
      </c>
      <c r="Q1614" s="13">
        <v>41</v>
      </c>
      <c r="R1614" s="13">
        <v>23</v>
      </c>
      <c r="S1614" s="13">
        <v>0</v>
      </c>
      <c r="T1614" s="23">
        <v>46247.670902777776</v>
      </c>
      <c r="U1614" s="55">
        <f t="shared" si="75"/>
        <v>0.83333333333333337</v>
      </c>
      <c r="V1614" s="55">
        <f t="shared" si="76"/>
        <v>0.16666666666666666</v>
      </c>
      <c r="W1614" s="56">
        <f t="shared" si="77"/>
        <v>14659.166666666666</v>
      </c>
    </row>
    <row r="1615" spans="1:23" x14ac:dyDescent="0.3">
      <c r="A1615" s="13" t="str" cm="1">
        <f t="array" ref="A1615:B1615">INDEX(BenchmarkResults!$B$1:$D$35,SUMPRODUCT((T1615&gt;=BenchmarkResults!$F$3:$F$35)*(mongodb_hardware_log!T1615&lt;BenchmarkResults!$G$3:$G$35)*ROW(BenchmarkResults!$F$3:$F$35)),{1,3})</f>
        <v>q4_category_revenue</v>
      </c>
      <c r="B1615">
        <v>1</v>
      </c>
      <c r="C1615" s="13">
        <v>1</v>
      </c>
      <c r="D1615" s="13">
        <v>0</v>
      </c>
      <c r="E1615" s="13">
        <v>224512</v>
      </c>
      <c r="F1615" s="13">
        <v>518244</v>
      </c>
      <c r="G1615" s="13">
        <v>376</v>
      </c>
      <c r="H1615" s="13">
        <v>1936152</v>
      </c>
      <c r="I1615" s="13">
        <v>5</v>
      </c>
      <c r="J1615" s="13">
        <v>0</v>
      </c>
      <c r="K1615" s="13">
        <v>19986</v>
      </c>
      <c r="L1615" s="13">
        <v>51</v>
      </c>
      <c r="M1615" s="13">
        <v>2855</v>
      </c>
      <c r="N1615" s="13">
        <v>2031</v>
      </c>
      <c r="O1615" s="13">
        <v>14</v>
      </c>
      <c r="P1615" s="13">
        <v>11</v>
      </c>
      <c r="Q1615" s="13">
        <v>48</v>
      </c>
      <c r="R1615" s="13">
        <v>27</v>
      </c>
      <c r="S1615" s="13">
        <v>0</v>
      </c>
      <c r="T1615" s="23">
        <v>46247.671018518522</v>
      </c>
      <c r="U1615" s="55">
        <f t="shared" si="75"/>
        <v>0.83333333333333337</v>
      </c>
      <c r="V1615" s="55">
        <f t="shared" si="76"/>
        <v>0.16666666666666666</v>
      </c>
      <c r="W1615" s="56">
        <f t="shared" si="77"/>
        <v>15502.333333333334</v>
      </c>
    </row>
    <row r="1616" spans="1:23" x14ac:dyDescent="0.3">
      <c r="A1616" s="13" t="str" cm="1">
        <f t="array" ref="A1616:B1616">INDEX(BenchmarkResults!$B$1:$D$35,SUMPRODUCT((T1616&gt;=BenchmarkResults!$F$3:$F$35)*(mongodb_hardware_log!T1616&lt;BenchmarkResults!$G$3:$G$35)*ROW(BenchmarkResults!$F$3:$F$35)),{1,3})</f>
        <v>q4_category_revenue</v>
      </c>
      <c r="B1616">
        <v>1</v>
      </c>
      <c r="C1616" s="13">
        <v>1</v>
      </c>
      <c r="D1616" s="13">
        <v>0</v>
      </c>
      <c r="E1616" s="13">
        <v>224512</v>
      </c>
      <c r="F1616" s="13">
        <v>331036</v>
      </c>
      <c r="G1616" s="13">
        <v>384</v>
      </c>
      <c r="H1616" s="13">
        <v>2123660</v>
      </c>
      <c r="I1616" s="13">
        <v>2</v>
      </c>
      <c r="J1616" s="13">
        <v>0</v>
      </c>
      <c r="K1616" s="13">
        <v>18752</v>
      </c>
      <c r="L1616" s="13">
        <v>14</v>
      </c>
      <c r="M1616" s="13">
        <v>2673</v>
      </c>
      <c r="N1616" s="13">
        <v>1693</v>
      </c>
      <c r="O1616" s="13">
        <v>14</v>
      </c>
      <c r="P1616" s="13">
        <v>9</v>
      </c>
      <c r="Q1616" s="13">
        <v>49</v>
      </c>
      <c r="R1616" s="13">
        <v>27</v>
      </c>
      <c r="S1616" s="13">
        <v>1</v>
      </c>
      <c r="T1616" s="23">
        <v>46247.671134259261</v>
      </c>
      <c r="U1616" s="55">
        <f t="shared" si="75"/>
        <v>0.83333333333333337</v>
      </c>
      <c r="V1616" s="55">
        <f t="shared" si="76"/>
        <v>0.16666666666666666</v>
      </c>
      <c r="W1616" s="56">
        <f t="shared" si="77"/>
        <v>16207</v>
      </c>
    </row>
    <row r="1617" spans="1:23" x14ac:dyDescent="0.3">
      <c r="A1617" s="13" t="str" cm="1">
        <f t="array" ref="A1617:B1617">INDEX(BenchmarkResults!$B$1:$D$35,SUMPRODUCT((T1617&gt;=BenchmarkResults!$F$3:$F$35)*(mongodb_hardware_log!T1617&lt;BenchmarkResults!$G$3:$G$35)*ROW(BenchmarkResults!$F$3:$F$35)),{1,3})</f>
        <v>q4_category_revenue</v>
      </c>
      <c r="B1617">
        <v>1</v>
      </c>
      <c r="C1617" s="13">
        <v>1</v>
      </c>
      <c r="D1617" s="13">
        <v>0</v>
      </c>
      <c r="E1617" s="13">
        <v>224512</v>
      </c>
      <c r="F1617" s="13">
        <v>145564</v>
      </c>
      <c r="G1617" s="13">
        <v>392</v>
      </c>
      <c r="H1617" s="13">
        <v>2305324</v>
      </c>
      <c r="I1617" s="13">
        <v>0</v>
      </c>
      <c r="J1617" s="13">
        <v>0</v>
      </c>
      <c r="K1617" s="13">
        <v>18167</v>
      </c>
      <c r="L1617" s="13">
        <v>12</v>
      </c>
      <c r="M1617" s="13">
        <v>2745</v>
      </c>
      <c r="N1617" s="13">
        <v>1795</v>
      </c>
      <c r="O1617" s="13">
        <v>17</v>
      </c>
      <c r="P1617" s="13">
        <v>8</v>
      </c>
      <c r="Q1617" s="13">
        <v>50</v>
      </c>
      <c r="R1617" s="13">
        <v>25</v>
      </c>
      <c r="S1617" s="13">
        <v>0</v>
      </c>
      <c r="T1617" s="23">
        <v>46247.671249999999</v>
      </c>
      <c r="U1617" s="55">
        <f t="shared" si="75"/>
        <v>0.83333333333333337</v>
      </c>
      <c r="V1617" s="55">
        <f t="shared" si="76"/>
        <v>0.16666666666666666</v>
      </c>
      <c r="W1617" s="56">
        <f t="shared" si="77"/>
        <v>16578.166666666668</v>
      </c>
    </row>
    <row r="1618" spans="1:23" x14ac:dyDescent="0.3">
      <c r="A1618" s="13" t="str" cm="1">
        <f t="array" ref="A1618:B1618">INDEX(BenchmarkResults!$B$1:$D$35,SUMPRODUCT((T1618&gt;=BenchmarkResults!$F$3:$F$35)*(mongodb_hardware_log!T1618&lt;BenchmarkResults!$G$3:$G$35)*ROW(BenchmarkResults!$F$3:$F$35)),{1,3})</f>
        <v>q4_category_revenue</v>
      </c>
      <c r="B1618">
        <v>1</v>
      </c>
      <c r="C1618" s="13">
        <v>0</v>
      </c>
      <c r="D1618" s="13">
        <v>1</v>
      </c>
      <c r="E1618" s="13">
        <v>222720</v>
      </c>
      <c r="F1618" s="13">
        <v>146932</v>
      </c>
      <c r="G1618" s="13">
        <v>400</v>
      </c>
      <c r="H1618" s="13">
        <v>2295476</v>
      </c>
      <c r="I1618" s="13">
        <v>51</v>
      </c>
      <c r="J1618" s="13">
        <v>52</v>
      </c>
      <c r="K1618" s="13">
        <v>18132</v>
      </c>
      <c r="L1618" s="13">
        <v>63</v>
      </c>
      <c r="M1618" s="13">
        <v>2831</v>
      </c>
      <c r="N1618" s="13">
        <v>1904</v>
      </c>
      <c r="O1618" s="13">
        <v>19</v>
      </c>
      <c r="P1618" s="13">
        <v>7</v>
      </c>
      <c r="Q1618" s="13">
        <v>49</v>
      </c>
      <c r="R1618" s="13">
        <v>25</v>
      </c>
      <c r="S1618" s="13">
        <v>0</v>
      </c>
      <c r="T1618" s="23">
        <v>46247.671365740738</v>
      </c>
      <c r="U1618" s="55">
        <f t="shared" si="75"/>
        <v>0.83333333333333337</v>
      </c>
      <c r="V1618" s="55">
        <f t="shared" si="76"/>
        <v>0.16666666666666666</v>
      </c>
      <c r="W1618" s="56">
        <f t="shared" si="77"/>
        <v>16999</v>
      </c>
    </row>
    <row r="1619" spans="1:23" x14ac:dyDescent="0.3">
      <c r="A1619" s="13" t="str" cm="1">
        <f t="array" ref="A1619:B1619">INDEX(BenchmarkResults!$B$1:$D$35,SUMPRODUCT((T1619&gt;=BenchmarkResults!$F$3:$F$35)*(mongodb_hardware_log!T1619&lt;BenchmarkResults!$G$3:$G$35)*ROW(BenchmarkResults!$F$3:$F$35)),{1,3})</f>
        <v>q4_category_revenue</v>
      </c>
      <c r="B1619">
        <v>1</v>
      </c>
      <c r="C1619" s="13">
        <v>0</v>
      </c>
      <c r="D1619" s="13">
        <v>1</v>
      </c>
      <c r="E1619" s="13">
        <v>221696</v>
      </c>
      <c r="F1619" s="13">
        <v>125184</v>
      </c>
      <c r="G1619" s="13">
        <v>416</v>
      </c>
      <c r="H1619" s="13">
        <v>2323372</v>
      </c>
      <c r="I1619" s="13">
        <v>76</v>
      </c>
      <c r="J1619" s="13">
        <v>0</v>
      </c>
      <c r="K1619" s="13">
        <v>13075</v>
      </c>
      <c r="L1619" s="13">
        <v>27</v>
      </c>
      <c r="M1619" s="13">
        <v>2707</v>
      </c>
      <c r="N1619" s="13">
        <v>1844</v>
      </c>
      <c r="O1619" s="13">
        <v>20</v>
      </c>
      <c r="P1619" s="13">
        <v>7</v>
      </c>
      <c r="Q1619" s="13">
        <v>50</v>
      </c>
      <c r="R1619" s="13">
        <v>22</v>
      </c>
      <c r="S1619" s="13">
        <v>1</v>
      </c>
      <c r="T1619" s="23">
        <v>46247.671481481484</v>
      </c>
      <c r="U1619" s="55">
        <f t="shared" si="75"/>
        <v>0.66666666666666663</v>
      </c>
      <c r="V1619" s="55">
        <f t="shared" si="76"/>
        <v>0.33333333333333331</v>
      </c>
      <c r="W1619" s="56">
        <f t="shared" si="77"/>
        <v>16828.166666666668</v>
      </c>
    </row>
    <row r="1620" spans="1:23" x14ac:dyDescent="0.3">
      <c r="A1620" s="13" t="str" cm="1">
        <f t="array" ref="A1620:B1620">INDEX(BenchmarkResults!$B$1:$D$35,SUMPRODUCT((T1620&gt;=BenchmarkResults!$F$3:$F$35)*(mongodb_hardware_log!T1620&lt;BenchmarkResults!$G$3:$G$35)*ROW(BenchmarkResults!$F$3:$F$35)),{1,3})</f>
        <v>q4_category_revenue</v>
      </c>
      <c r="B1620">
        <v>1</v>
      </c>
      <c r="C1620" s="13">
        <v>0</v>
      </c>
      <c r="D1620" s="13">
        <v>1</v>
      </c>
      <c r="E1620" s="13">
        <v>221696</v>
      </c>
      <c r="F1620" s="13">
        <v>143332</v>
      </c>
      <c r="G1620" s="13">
        <v>432</v>
      </c>
      <c r="H1620" s="13">
        <v>2311400</v>
      </c>
      <c r="I1620" s="13">
        <v>12</v>
      </c>
      <c r="J1620" s="13">
        <v>0</v>
      </c>
      <c r="K1620" s="13">
        <v>14700</v>
      </c>
      <c r="L1620" s="13">
        <v>19</v>
      </c>
      <c r="M1620" s="13">
        <v>2752</v>
      </c>
      <c r="N1620" s="13">
        <v>1905</v>
      </c>
      <c r="O1620" s="13">
        <v>20</v>
      </c>
      <c r="P1620" s="13">
        <v>8</v>
      </c>
      <c r="Q1620" s="13">
        <v>48</v>
      </c>
      <c r="R1620" s="13">
        <v>24</v>
      </c>
      <c r="S1620" s="13">
        <v>1</v>
      </c>
      <c r="T1620" s="23">
        <v>46247.671597222223</v>
      </c>
      <c r="U1620" s="55">
        <f t="shared" si="75"/>
        <v>0.5</v>
      </c>
      <c r="V1620" s="55">
        <f t="shared" si="76"/>
        <v>0.5</v>
      </c>
      <c r="W1620" s="56">
        <f t="shared" si="77"/>
        <v>17135.333333333332</v>
      </c>
    </row>
    <row r="1621" spans="1:23" x14ac:dyDescent="0.3">
      <c r="A1621" s="13" t="str" cm="1">
        <f t="array" ref="A1621:B1621">INDEX(BenchmarkResults!$B$1:$D$35,SUMPRODUCT((T1621&gt;=BenchmarkResults!$F$3:$F$35)*(mongodb_hardware_log!T1621&lt;BenchmarkResults!$G$3:$G$35)*ROW(BenchmarkResults!$F$3:$F$35)),{1,3})</f>
        <v>q4_category_revenue</v>
      </c>
      <c r="B1621">
        <v>1</v>
      </c>
      <c r="C1621" s="13">
        <v>0</v>
      </c>
      <c r="D1621" s="13">
        <v>1</v>
      </c>
      <c r="E1621" s="13">
        <v>221696</v>
      </c>
      <c r="F1621" s="13">
        <v>133420</v>
      </c>
      <c r="G1621" s="13">
        <v>460</v>
      </c>
      <c r="H1621" s="13">
        <v>2308988</v>
      </c>
      <c r="I1621" s="13">
        <v>11</v>
      </c>
      <c r="J1621" s="13">
        <v>0</v>
      </c>
      <c r="K1621" s="13">
        <v>14812</v>
      </c>
      <c r="L1621" s="13">
        <v>33</v>
      </c>
      <c r="M1621" s="13">
        <v>2601</v>
      </c>
      <c r="N1621" s="13">
        <v>1837</v>
      </c>
      <c r="O1621" s="13">
        <v>20</v>
      </c>
      <c r="P1621" s="13">
        <v>7</v>
      </c>
      <c r="Q1621" s="13">
        <v>50</v>
      </c>
      <c r="R1621" s="13">
        <v>22</v>
      </c>
      <c r="S1621" s="13">
        <v>0</v>
      </c>
      <c r="T1621" s="23">
        <v>46247.671712962961</v>
      </c>
      <c r="U1621" s="55">
        <f t="shared" si="75"/>
        <v>0.33333333333333331</v>
      </c>
      <c r="V1621" s="55">
        <f t="shared" si="76"/>
        <v>0.66666666666666663</v>
      </c>
      <c r="W1621" s="56">
        <f t="shared" si="77"/>
        <v>16273</v>
      </c>
    </row>
    <row r="1622" spans="1:23" x14ac:dyDescent="0.3">
      <c r="A1622" s="13" t="str" cm="1">
        <f t="array" ref="A1622:B1622">INDEX(BenchmarkResults!$B$1:$D$35,SUMPRODUCT((T1622&gt;=BenchmarkResults!$F$3:$F$35)*(mongodb_hardware_log!T1622&lt;BenchmarkResults!$G$3:$G$35)*ROW(BenchmarkResults!$F$3:$F$35)),{1,3})</f>
        <v>q4_category_revenue</v>
      </c>
      <c r="B1622">
        <v>1</v>
      </c>
      <c r="C1622" s="13">
        <v>1</v>
      </c>
      <c r="D1622" s="13">
        <v>0</v>
      </c>
      <c r="E1622" s="13">
        <v>221440</v>
      </c>
      <c r="F1622" s="13">
        <v>109944</v>
      </c>
      <c r="G1622" s="13">
        <v>476</v>
      </c>
      <c r="H1622" s="13">
        <v>2339856</v>
      </c>
      <c r="I1622" s="13">
        <v>7</v>
      </c>
      <c r="J1622" s="13">
        <v>0</v>
      </c>
      <c r="K1622" s="13">
        <v>13172</v>
      </c>
      <c r="L1622" s="13">
        <v>38</v>
      </c>
      <c r="M1622" s="13">
        <v>2552</v>
      </c>
      <c r="N1622" s="13">
        <v>1699</v>
      </c>
      <c r="O1622" s="13">
        <v>21</v>
      </c>
      <c r="P1622" s="13">
        <v>7</v>
      </c>
      <c r="Q1622" s="13">
        <v>49</v>
      </c>
      <c r="R1622" s="13">
        <v>23</v>
      </c>
      <c r="S1622" s="13">
        <v>1</v>
      </c>
      <c r="T1622" s="23">
        <v>46247.6718287037</v>
      </c>
      <c r="U1622" s="55">
        <f t="shared" si="75"/>
        <v>0.33333333333333331</v>
      </c>
      <c r="V1622" s="55">
        <f t="shared" si="76"/>
        <v>0.66666666666666663</v>
      </c>
      <c r="W1622" s="56">
        <f t="shared" si="77"/>
        <v>15343</v>
      </c>
    </row>
    <row r="1623" spans="1:23" x14ac:dyDescent="0.3">
      <c r="A1623" s="13" t="str" cm="1">
        <f t="array" ref="A1623:B1623">INDEX(BenchmarkResults!$B$1:$D$35,SUMPRODUCT((T1623&gt;=BenchmarkResults!$F$3:$F$35)*(mongodb_hardware_log!T1623&lt;BenchmarkResults!$G$3:$G$35)*ROW(BenchmarkResults!$F$3:$F$35)),{1,3})</f>
        <v>q4_category_revenue</v>
      </c>
      <c r="B1623">
        <v>1</v>
      </c>
      <c r="C1623" s="13">
        <v>1</v>
      </c>
      <c r="D1623" s="13">
        <v>0</v>
      </c>
      <c r="E1623" s="13">
        <v>221440</v>
      </c>
      <c r="F1623" s="13">
        <v>108024</v>
      </c>
      <c r="G1623" s="13">
        <v>484</v>
      </c>
      <c r="H1623" s="13">
        <v>2346988</v>
      </c>
      <c r="I1623" s="13">
        <v>4</v>
      </c>
      <c r="J1623" s="13">
        <v>0</v>
      </c>
      <c r="K1623" s="13">
        <v>14816</v>
      </c>
      <c r="L1623" s="13">
        <v>12</v>
      </c>
      <c r="M1623" s="13">
        <v>2682</v>
      </c>
      <c r="N1623" s="13">
        <v>1862</v>
      </c>
      <c r="O1623" s="13">
        <v>19</v>
      </c>
      <c r="P1623" s="13">
        <v>7</v>
      </c>
      <c r="Q1623" s="13">
        <v>49</v>
      </c>
      <c r="R1623" s="13">
        <v>25</v>
      </c>
      <c r="S1623" s="13">
        <v>1</v>
      </c>
      <c r="T1623" s="23">
        <v>46247.671944444446</v>
      </c>
      <c r="U1623" s="55">
        <f t="shared" si="75"/>
        <v>0.33333333333333331</v>
      </c>
      <c r="V1623" s="55">
        <f t="shared" si="76"/>
        <v>0.66666666666666663</v>
      </c>
      <c r="W1623" s="56">
        <f t="shared" si="77"/>
        <v>14784.5</v>
      </c>
    </row>
    <row r="1624" spans="1:23" x14ac:dyDescent="0.3">
      <c r="A1624" s="13" t="str" cm="1">
        <f t="array" ref="A1624:B1624">INDEX(BenchmarkResults!$B$1:$D$35,SUMPRODUCT((T1624&gt;=BenchmarkResults!$F$3:$F$35)*(mongodb_hardware_log!T1624&lt;BenchmarkResults!$G$3:$G$35)*ROW(BenchmarkResults!$F$3:$F$35)),{1,3})</f>
        <v>q4_category_revenue</v>
      </c>
      <c r="B1624">
        <v>1</v>
      </c>
      <c r="C1624" s="13">
        <v>1</v>
      </c>
      <c r="D1624" s="13">
        <v>1</v>
      </c>
      <c r="E1624" s="13">
        <v>221440</v>
      </c>
      <c r="F1624" s="13">
        <v>113240</v>
      </c>
      <c r="G1624" s="13">
        <v>492</v>
      </c>
      <c r="H1624" s="13">
        <v>2339312</v>
      </c>
      <c r="I1624" s="13">
        <v>14</v>
      </c>
      <c r="J1624" s="13">
        <v>0</v>
      </c>
      <c r="K1624" s="13">
        <v>13710</v>
      </c>
      <c r="L1624" s="13">
        <v>12</v>
      </c>
      <c r="M1624" s="13">
        <v>2594</v>
      </c>
      <c r="N1624" s="13">
        <v>1781</v>
      </c>
      <c r="O1624" s="13">
        <v>21</v>
      </c>
      <c r="P1624" s="13">
        <v>8</v>
      </c>
      <c r="Q1624" s="13">
        <v>50</v>
      </c>
      <c r="R1624" s="13">
        <v>21</v>
      </c>
      <c r="S1624" s="13">
        <v>1</v>
      </c>
      <c r="T1624" s="23">
        <v>46247.672060185185</v>
      </c>
      <c r="U1624" s="55">
        <f t="shared" si="75"/>
        <v>0.5</v>
      </c>
      <c r="V1624" s="55">
        <f t="shared" si="76"/>
        <v>0.66666666666666663</v>
      </c>
      <c r="W1624" s="56">
        <f t="shared" si="77"/>
        <v>14047.5</v>
      </c>
    </row>
    <row r="1625" spans="1:23" x14ac:dyDescent="0.3">
      <c r="A1625" s="13" t="str" cm="1">
        <f t="array" ref="A1625:B1625">INDEX(BenchmarkResults!$B$1:$D$35,SUMPRODUCT((T1625&gt;=BenchmarkResults!$F$3:$F$35)*(mongodb_hardware_log!T1625&lt;BenchmarkResults!$G$3:$G$35)*ROW(BenchmarkResults!$F$3:$F$35)),{1,3})</f>
        <v>q4_category_revenue</v>
      </c>
      <c r="B1625">
        <v>1</v>
      </c>
      <c r="C1625" s="13">
        <v>1</v>
      </c>
      <c r="D1625" s="13">
        <v>0</v>
      </c>
      <c r="E1625" s="13">
        <v>221440</v>
      </c>
      <c r="F1625" s="13">
        <v>129420</v>
      </c>
      <c r="G1625" s="13">
        <v>500</v>
      </c>
      <c r="H1625" s="13">
        <v>2330776</v>
      </c>
      <c r="I1625" s="13">
        <v>3</v>
      </c>
      <c r="J1625" s="13">
        <v>0</v>
      </c>
      <c r="K1625" s="13">
        <v>15674</v>
      </c>
      <c r="L1625" s="13">
        <v>21</v>
      </c>
      <c r="M1625" s="13">
        <v>2556</v>
      </c>
      <c r="N1625" s="13">
        <v>1650</v>
      </c>
      <c r="O1625" s="13">
        <v>20</v>
      </c>
      <c r="P1625" s="13">
        <v>6</v>
      </c>
      <c r="Q1625" s="13">
        <v>50</v>
      </c>
      <c r="R1625" s="13">
        <v>24</v>
      </c>
      <c r="S1625" s="13">
        <v>0</v>
      </c>
      <c r="T1625" s="23">
        <v>46247.672175925924</v>
      </c>
      <c r="U1625" s="55">
        <f t="shared" si="75"/>
        <v>0.66666666666666663</v>
      </c>
      <c r="V1625" s="55">
        <f t="shared" si="76"/>
        <v>0.5</v>
      </c>
      <c r="W1625" s="56">
        <f t="shared" si="77"/>
        <v>14480.666666666666</v>
      </c>
    </row>
    <row r="1626" spans="1:23" x14ac:dyDescent="0.3">
      <c r="A1626" s="13" t="str" cm="1">
        <f t="array" ref="A1626:B1626">INDEX(BenchmarkResults!$B$1:$D$35,SUMPRODUCT((T1626&gt;=BenchmarkResults!$F$3:$F$35)*(mongodb_hardware_log!T1626&lt;BenchmarkResults!$G$3:$G$35)*ROW(BenchmarkResults!$F$3:$F$35)),{1,3})</f>
        <v>q4_category_revenue</v>
      </c>
      <c r="B1626">
        <v>1</v>
      </c>
      <c r="C1626" s="13">
        <v>1</v>
      </c>
      <c r="D1626" s="13">
        <v>0</v>
      </c>
      <c r="E1626" s="13">
        <v>221184</v>
      </c>
      <c r="F1626" s="13">
        <v>123544</v>
      </c>
      <c r="G1626" s="13">
        <v>508</v>
      </c>
      <c r="H1626" s="13">
        <v>2330008</v>
      </c>
      <c r="I1626" s="13">
        <v>11</v>
      </c>
      <c r="J1626" s="13">
        <v>0</v>
      </c>
      <c r="K1626" s="13">
        <v>15650</v>
      </c>
      <c r="L1626" s="13">
        <v>16</v>
      </c>
      <c r="M1626" s="13">
        <v>2651</v>
      </c>
      <c r="N1626" s="13">
        <v>1707</v>
      </c>
      <c r="O1626" s="13">
        <v>17</v>
      </c>
      <c r="P1626" s="13">
        <v>7</v>
      </c>
      <c r="Q1626" s="13">
        <v>47</v>
      </c>
      <c r="R1626" s="13">
        <v>26</v>
      </c>
      <c r="S1626" s="13">
        <v>2</v>
      </c>
      <c r="T1626" s="23">
        <v>46247.672291666669</v>
      </c>
      <c r="U1626" s="55">
        <f t="shared" si="75"/>
        <v>0.83333333333333337</v>
      </c>
      <c r="V1626" s="55">
        <f t="shared" si="76"/>
        <v>0.33333333333333331</v>
      </c>
      <c r="W1626" s="56">
        <f t="shared" si="77"/>
        <v>14639</v>
      </c>
    </row>
    <row r="1627" spans="1:23" x14ac:dyDescent="0.3">
      <c r="A1627" s="13" t="str" cm="1">
        <f t="array" ref="A1627:B1627">INDEX(BenchmarkResults!$B$1:$D$35,SUMPRODUCT((T1627&gt;=BenchmarkResults!$F$3:$F$35)*(mongodb_hardware_log!T1627&lt;BenchmarkResults!$G$3:$G$35)*ROW(BenchmarkResults!$F$3:$F$35)),{1,3})</f>
        <v>q4_category_revenue</v>
      </c>
      <c r="B1627">
        <v>1</v>
      </c>
      <c r="C1627" s="13">
        <v>1</v>
      </c>
      <c r="D1627" s="13">
        <v>0</v>
      </c>
      <c r="E1627" s="13">
        <v>221184</v>
      </c>
      <c r="F1627" s="13">
        <v>113176</v>
      </c>
      <c r="G1627" s="13">
        <v>540</v>
      </c>
      <c r="H1627" s="13">
        <v>2348016</v>
      </c>
      <c r="I1627" s="13">
        <v>2</v>
      </c>
      <c r="J1627" s="13">
        <v>0</v>
      </c>
      <c r="K1627" s="13">
        <v>14982</v>
      </c>
      <c r="L1627" s="13">
        <v>31</v>
      </c>
      <c r="M1627" s="13">
        <v>2534</v>
      </c>
      <c r="N1627" s="13">
        <v>1521</v>
      </c>
      <c r="O1627" s="13">
        <v>18</v>
      </c>
      <c r="P1627" s="13">
        <v>6</v>
      </c>
      <c r="Q1627" s="13">
        <v>48</v>
      </c>
      <c r="R1627" s="13">
        <v>27</v>
      </c>
      <c r="S1627" s="13">
        <v>1</v>
      </c>
      <c r="T1627" s="23">
        <v>46247.672407407408</v>
      </c>
      <c r="U1627" s="55">
        <f t="shared" si="75"/>
        <v>1</v>
      </c>
      <c r="V1627" s="55">
        <f t="shared" si="76"/>
        <v>0.16666666666666666</v>
      </c>
      <c r="W1627" s="56">
        <f t="shared" si="77"/>
        <v>14667.333333333334</v>
      </c>
    </row>
    <row r="1628" spans="1:23" x14ac:dyDescent="0.3">
      <c r="A1628" s="13" t="str" cm="1">
        <f t="array" ref="A1628:B1628">INDEX(BenchmarkResults!$B$1:$D$35,SUMPRODUCT((T1628&gt;=BenchmarkResults!$F$3:$F$35)*(mongodb_hardware_log!T1628&lt;BenchmarkResults!$G$3:$G$35)*ROW(BenchmarkResults!$F$3:$F$35)),{1,3})</f>
        <v>q4_category_revenue</v>
      </c>
      <c r="B1628">
        <v>1</v>
      </c>
      <c r="C1628" s="13">
        <v>0</v>
      </c>
      <c r="D1628" s="13">
        <v>1</v>
      </c>
      <c r="E1628" s="13">
        <v>221696</v>
      </c>
      <c r="F1628" s="13">
        <v>136484</v>
      </c>
      <c r="G1628" s="13">
        <v>336</v>
      </c>
      <c r="H1628" s="13">
        <v>2323268</v>
      </c>
      <c r="I1628" s="13">
        <v>2</v>
      </c>
      <c r="J1628" s="13">
        <v>70</v>
      </c>
      <c r="K1628" s="13">
        <v>14169</v>
      </c>
      <c r="L1628" s="13">
        <v>79</v>
      </c>
      <c r="M1628" s="13">
        <v>2486</v>
      </c>
      <c r="N1628" s="13">
        <v>1574</v>
      </c>
      <c r="O1628" s="13">
        <v>19</v>
      </c>
      <c r="P1628" s="13">
        <v>7</v>
      </c>
      <c r="Q1628" s="13">
        <v>49</v>
      </c>
      <c r="R1628" s="13">
        <v>24</v>
      </c>
      <c r="S1628" s="13">
        <v>1</v>
      </c>
      <c r="T1628" s="23">
        <v>46247.672523148147</v>
      </c>
      <c r="U1628" s="55">
        <f t="shared" si="75"/>
        <v>0.83333333333333337</v>
      </c>
      <c r="V1628" s="55">
        <f t="shared" si="76"/>
        <v>0.33333333333333331</v>
      </c>
      <c r="W1628" s="56">
        <f t="shared" si="77"/>
        <v>14833.5</v>
      </c>
    </row>
    <row r="1629" spans="1:23" x14ac:dyDescent="0.3">
      <c r="A1629" s="13" t="str" cm="1">
        <f t="array" ref="A1629:B1629">INDEX(BenchmarkResults!$B$1:$D$35,SUMPRODUCT((T1629&gt;=BenchmarkResults!$F$3:$F$35)*(mongodb_hardware_log!T1629&lt;BenchmarkResults!$G$3:$G$35)*ROW(BenchmarkResults!$F$3:$F$35)),{1,3})</f>
        <v>q4_category_revenue</v>
      </c>
      <c r="B1629">
        <v>1</v>
      </c>
      <c r="C1629" s="13">
        <v>1</v>
      </c>
      <c r="D1629" s="13">
        <v>0</v>
      </c>
      <c r="E1629" s="13">
        <v>221696</v>
      </c>
      <c r="F1629" s="13">
        <v>119616</v>
      </c>
      <c r="G1629" s="13">
        <v>332</v>
      </c>
      <c r="H1629" s="13">
        <v>2338488</v>
      </c>
      <c r="I1629" s="13">
        <v>2</v>
      </c>
      <c r="J1629" s="13">
        <v>0</v>
      </c>
      <c r="K1629" s="13">
        <v>13942</v>
      </c>
      <c r="L1629" s="13">
        <v>12</v>
      </c>
      <c r="M1629" s="13">
        <v>2684</v>
      </c>
      <c r="N1629" s="13">
        <v>1818</v>
      </c>
      <c r="O1629" s="13">
        <v>20</v>
      </c>
      <c r="P1629" s="13">
        <v>7</v>
      </c>
      <c r="Q1629" s="13">
        <v>48</v>
      </c>
      <c r="R1629" s="13">
        <v>24</v>
      </c>
      <c r="S1629" s="13">
        <v>1</v>
      </c>
      <c r="T1629" s="23">
        <v>46247.672638888886</v>
      </c>
      <c r="U1629" s="55">
        <f t="shared" si="75"/>
        <v>0.83333333333333337</v>
      </c>
      <c r="V1629" s="55">
        <f t="shared" si="76"/>
        <v>0.33333333333333331</v>
      </c>
      <c r="W1629" s="56">
        <f t="shared" si="77"/>
        <v>14687.833333333334</v>
      </c>
    </row>
    <row r="1630" spans="1:23" x14ac:dyDescent="0.3">
      <c r="A1630" s="13" t="str" cm="1">
        <f t="array" ref="A1630:B1630">INDEX(BenchmarkResults!$B$1:$D$35,SUMPRODUCT((T1630&gt;=BenchmarkResults!$F$3:$F$35)*(mongodb_hardware_log!T1630&lt;BenchmarkResults!$G$3:$G$35)*ROW(BenchmarkResults!$F$3:$F$35)),{1,3})</f>
        <v>q4_category_revenue</v>
      </c>
      <c r="B1630">
        <v>1</v>
      </c>
      <c r="C1630" s="13">
        <v>1</v>
      </c>
      <c r="D1630" s="13">
        <v>0</v>
      </c>
      <c r="E1630" s="13">
        <v>221440</v>
      </c>
      <c r="F1630" s="13">
        <v>111756</v>
      </c>
      <c r="G1630" s="13">
        <v>340</v>
      </c>
      <c r="H1630" s="13">
        <v>2348856</v>
      </c>
      <c r="I1630" s="13">
        <v>4</v>
      </c>
      <c r="J1630" s="13">
        <v>0</v>
      </c>
      <c r="K1630" s="13">
        <v>15699</v>
      </c>
      <c r="L1630" s="13">
        <v>20</v>
      </c>
      <c r="M1630" s="13">
        <v>2765</v>
      </c>
      <c r="N1630" s="13">
        <v>1891</v>
      </c>
      <c r="O1630" s="13">
        <v>19</v>
      </c>
      <c r="P1630" s="13">
        <v>7</v>
      </c>
      <c r="Q1630" s="13">
        <v>49</v>
      </c>
      <c r="R1630" s="13">
        <v>24</v>
      </c>
      <c r="S1630" s="13">
        <v>1</v>
      </c>
      <c r="T1630" s="23">
        <v>46247.672754629632</v>
      </c>
      <c r="U1630" s="55">
        <f t="shared" si="75"/>
        <v>0.83333333333333337</v>
      </c>
      <c r="V1630" s="55">
        <f t="shared" si="76"/>
        <v>0.16666666666666666</v>
      </c>
      <c r="W1630" s="56">
        <f t="shared" si="77"/>
        <v>15019.333333333334</v>
      </c>
    </row>
    <row r="1631" spans="1:23" x14ac:dyDescent="0.3">
      <c r="A1631" s="13" t="str" cm="1">
        <f t="array" ref="A1631:B1631">INDEX(BenchmarkResults!$B$1:$D$35,SUMPRODUCT((T1631&gt;=BenchmarkResults!$F$3:$F$35)*(mongodb_hardware_log!T1631&lt;BenchmarkResults!$G$3:$G$35)*ROW(BenchmarkResults!$F$3:$F$35)),{1,3})</f>
        <v>q4_category_revenue</v>
      </c>
      <c r="B1631">
        <v>1</v>
      </c>
      <c r="C1631" s="13">
        <v>1</v>
      </c>
      <c r="D1631" s="13">
        <v>0</v>
      </c>
      <c r="E1631" s="13">
        <v>221952</v>
      </c>
      <c r="F1631" s="13">
        <v>127560</v>
      </c>
      <c r="G1631" s="13">
        <v>484</v>
      </c>
      <c r="H1631" s="13">
        <v>2326316</v>
      </c>
      <c r="I1631" s="13">
        <v>17</v>
      </c>
      <c r="J1631" s="13">
        <v>62</v>
      </c>
      <c r="K1631" s="13">
        <v>13835</v>
      </c>
      <c r="L1631" s="13">
        <v>74</v>
      </c>
      <c r="M1631" s="13">
        <v>2591</v>
      </c>
      <c r="N1631" s="13">
        <v>1785</v>
      </c>
      <c r="O1631" s="13">
        <v>20</v>
      </c>
      <c r="P1631" s="13">
        <v>7</v>
      </c>
      <c r="Q1631" s="13">
        <v>49</v>
      </c>
      <c r="R1631" s="13">
        <v>24</v>
      </c>
      <c r="S1631" s="13">
        <v>1</v>
      </c>
      <c r="T1631" s="23">
        <v>46247.67287037037</v>
      </c>
      <c r="U1631" s="55">
        <f t="shared" si="75"/>
        <v>0.83333333333333337</v>
      </c>
      <c r="V1631" s="55">
        <f t="shared" si="76"/>
        <v>0.16666666666666666</v>
      </c>
      <c r="W1631" s="56">
        <f t="shared" si="77"/>
        <v>14712.833333333334</v>
      </c>
    </row>
    <row r="1632" spans="1:23" x14ac:dyDescent="0.3">
      <c r="A1632" s="13" t="str" cm="1">
        <f t="array" ref="A1632:B1632">INDEX(BenchmarkResults!$B$1:$D$35,SUMPRODUCT((T1632&gt;=BenchmarkResults!$F$3:$F$35)*(mongodb_hardware_log!T1632&lt;BenchmarkResults!$G$3:$G$35)*ROW(BenchmarkResults!$F$3:$F$35)),{1,3})</f>
        <v>q4_category_revenue</v>
      </c>
      <c r="B1632">
        <v>1</v>
      </c>
      <c r="C1632" s="13">
        <v>0</v>
      </c>
      <c r="D1632" s="13">
        <v>1</v>
      </c>
      <c r="E1632" s="13">
        <v>221696</v>
      </c>
      <c r="F1632" s="13">
        <v>111260</v>
      </c>
      <c r="G1632" s="13">
        <v>536</v>
      </c>
      <c r="H1632" s="13">
        <v>2336036</v>
      </c>
      <c r="I1632" s="13">
        <v>45</v>
      </c>
      <c r="J1632" s="13">
        <v>0</v>
      </c>
      <c r="K1632" s="13">
        <v>16458</v>
      </c>
      <c r="L1632" s="13">
        <v>33</v>
      </c>
      <c r="M1632" s="13">
        <v>2712</v>
      </c>
      <c r="N1632" s="13">
        <v>1784</v>
      </c>
      <c r="O1632" s="13">
        <v>19</v>
      </c>
      <c r="P1632" s="13">
        <v>6</v>
      </c>
      <c r="Q1632" s="13">
        <v>47</v>
      </c>
      <c r="R1632" s="13">
        <v>26</v>
      </c>
      <c r="S1632" s="13">
        <v>1</v>
      </c>
      <c r="T1632" s="23">
        <v>46247.672986111109</v>
      </c>
      <c r="U1632" s="55">
        <f t="shared" si="75"/>
        <v>0.66666666666666663</v>
      </c>
      <c r="V1632" s="55">
        <f t="shared" si="76"/>
        <v>0.33333333333333331</v>
      </c>
      <c r="W1632" s="56">
        <f t="shared" si="77"/>
        <v>14847.5</v>
      </c>
    </row>
    <row r="1633" spans="1:23" x14ac:dyDescent="0.3">
      <c r="A1633" s="13" t="str" cm="1">
        <f t="array" ref="A1633:B1633">INDEX(BenchmarkResults!$B$1:$D$35,SUMPRODUCT((T1633&gt;=BenchmarkResults!$F$3:$F$35)*(mongodb_hardware_log!T1633&lt;BenchmarkResults!$G$3:$G$35)*ROW(BenchmarkResults!$F$3:$F$35)),{1,3})</f>
        <v>q4_category_revenue</v>
      </c>
      <c r="B1633">
        <v>1</v>
      </c>
      <c r="C1633" s="13">
        <v>0</v>
      </c>
      <c r="D1633" s="13">
        <v>1</v>
      </c>
      <c r="E1633" s="13">
        <v>219392</v>
      </c>
      <c r="F1633" s="13">
        <v>124588</v>
      </c>
      <c r="G1633" s="13">
        <v>608</v>
      </c>
      <c r="H1633" s="13">
        <v>2319704</v>
      </c>
      <c r="I1633" s="13">
        <v>262</v>
      </c>
      <c r="J1633" s="13">
        <v>0</v>
      </c>
      <c r="K1633" s="13">
        <v>14952</v>
      </c>
      <c r="L1633" s="13">
        <v>35</v>
      </c>
      <c r="M1633" s="13">
        <v>2396</v>
      </c>
      <c r="N1633" s="13">
        <v>1631</v>
      </c>
      <c r="O1633" s="13">
        <v>21</v>
      </c>
      <c r="P1633" s="13">
        <v>6</v>
      </c>
      <c r="Q1633" s="13">
        <v>50</v>
      </c>
      <c r="R1633" s="13">
        <v>22</v>
      </c>
      <c r="S1633" s="13">
        <v>0</v>
      </c>
      <c r="T1633" s="23">
        <v>46247.673101851855</v>
      </c>
      <c r="U1633" s="55">
        <f t="shared" si="75"/>
        <v>0.5</v>
      </c>
      <c r="V1633" s="55">
        <f t="shared" si="76"/>
        <v>0.5</v>
      </c>
      <c r="W1633" s="56">
        <f t="shared" si="77"/>
        <v>14842.5</v>
      </c>
    </row>
    <row r="1634" spans="1:23" x14ac:dyDescent="0.3">
      <c r="A1634" s="13" t="str" cm="1">
        <f t="array" ref="A1634:B1634">INDEX(BenchmarkResults!$B$1:$D$35,SUMPRODUCT((T1634&gt;=BenchmarkResults!$F$3:$F$35)*(mongodb_hardware_log!T1634&lt;BenchmarkResults!$G$3:$G$35)*ROW(BenchmarkResults!$F$3:$F$35)),{1,3})</f>
        <v>q4_category_revenue</v>
      </c>
      <c r="B1634">
        <v>1</v>
      </c>
      <c r="C1634" s="13">
        <v>1</v>
      </c>
      <c r="D1634" s="13">
        <v>0</v>
      </c>
      <c r="E1634" s="13">
        <v>219392</v>
      </c>
      <c r="F1634" s="13">
        <v>150744</v>
      </c>
      <c r="G1634" s="13">
        <v>616</v>
      </c>
      <c r="H1634" s="13">
        <v>2298520</v>
      </c>
      <c r="I1634" s="13">
        <v>10</v>
      </c>
      <c r="J1634" s="13">
        <v>0</v>
      </c>
      <c r="K1634" s="13">
        <v>18443</v>
      </c>
      <c r="L1634" s="13">
        <v>14</v>
      </c>
      <c r="M1634" s="13">
        <v>3059</v>
      </c>
      <c r="N1634" s="13">
        <v>2004</v>
      </c>
      <c r="O1634" s="13">
        <v>21</v>
      </c>
      <c r="P1634" s="13">
        <v>8</v>
      </c>
      <c r="Q1634" s="13">
        <v>47</v>
      </c>
      <c r="R1634" s="13">
        <v>23</v>
      </c>
      <c r="S1634" s="13">
        <v>1</v>
      </c>
      <c r="T1634" s="23">
        <v>46247.673217592594</v>
      </c>
      <c r="U1634" s="55">
        <f t="shared" si="75"/>
        <v>0.66666666666666663</v>
      </c>
      <c r="V1634" s="55">
        <f t="shared" si="76"/>
        <v>0.33333333333333331</v>
      </c>
      <c r="W1634" s="56">
        <f t="shared" si="77"/>
        <v>15554.833333333334</v>
      </c>
    </row>
    <row r="1635" spans="1:23" x14ac:dyDescent="0.3">
      <c r="A1635" s="13" t="str" cm="1">
        <f t="array" ref="A1635:B1635">INDEX(BenchmarkResults!$B$1:$D$35,SUMPRODUCT((T1635&gt;=BenchmarkResults!$F$3:$F$35)*(mongodb_hardware_log!T1635&lt;BenchmarkResults!$G$3:$G$35)*ROW(BenchmarkResults!$F$3:$F$35)),{1,3})</f>
        <v>q4_category_revenue</v>
      </c>
      <c r="B1635">
        <v>1</v>
      </c>
      <c r="C1635" s="13">
        <v>1</v>
      </c>
      <c r="D1635" s="13">
        <v>0</v>
      </c>
      <c r="E1635" s="13">
        <v>219392</v>
      </c>
      <c r="F1635" s="13">
        <v>104104</v>
      </c>
      <c r="G1635" s="13">
        <v>628</v>
      </c>
      <c r="H1635" s="13">
        <v>2339648</v>
      </c>
      <c r="I1635" s="13">
        <v>1</v>
      </c>
      <c r="J1635" s="13">
        <v>0</v>
      </c>
      <c r="K1635" s="13">
        <v>18010</v>
      </c>
      <c r="L1635" s="13">
        <v>32</v>
      </c>
      <c r="M1635" s="13">
        <v>2896</v>
      </c>
      <c r="N1635" s="13">
        <v>2027</v>
      </c>
      <c r="O1635" s="13">
        <v>19</v>
      </c>
      <c r="P1635" s="13">
        <v>8</v>
      </c>
      <c r="Q1635" s="13">
        <v>49</v>
      </c>
      <c r="R1635" s="13">
        <v>23</v>
      </c>
      <c r="S1635" s="13">
        <v>0</v>
      </c>
      <c r="T1635" s="23">
        <v>46247.673333333332</v>
      </c>
      <c r="U1635" s="55">
        <f t="shared" si="75"/>
        <v>0.66666666666666663</v>
      </c>
      <c r="V1635" s="55">
        <f t="shared" si="76"/>
        <v>0.33333333333333331</v>
      </c>
      <c r="W1635" s="56">
        <f t="shared" si="77"/>
        <v>16232.833333333334</v>
      </c>
    </row>
    <row r="1636" spans="1:23" x14ac:dyDescent="0.3">
      <c r="A1636" s="13" t="str" cm="1">
        <f t="array" ref="A1636:B1636">INDEX(BenchmarkResults!$B$1:$D$35,SUMPRODUCT((T1636&gt;=BenchmarkResults!$F$3:$F$35)*(mongodb_hardware_log!T1636&lt;BenchmarkResults!$G$3:$G$35)*ROW(BenchmarkResults!$F$3:$F$35)),{1,3})</f>
        <v>q4_category_revenue</v>
      </c>
      <c r="B1636">
        <v>1</v>
      </c>
      <c r="C1636" s="13">
        <v>1</v>
      </c>
      <c r="D1636" s="13">
        <v>0</v>
      </c>
      <c r="E1636" s="13">
        <v>218880</v>
      </c>
      <c r="F1636" s="13">
        <v>106536</v>
      </c>
      <c r="G1636" s="13">
        <v>636</v>
      </c>
      <c r="H1636" s="13">
        <v>2348568</v>
      </c>
      <c r="I1636" s="13">
        <v>13</v>
      </c>
      <c r="J1636" s="13">
        <v>0</v>
      </c>
      <c r="K1636" s="13">
        <v>15835</v>
      </c>
      <c r="L1636" s="13">
        <v>10</v>
      </c>
      <c r="M1636" s="13">
        <v>2897</v>
      </c>
      <c r="N1636" s="13">
        <v>1953</v>
      </c>
      <c r="O1636" s="13">
        <v>19</v>
      </c>
      <c r="P1636" s="13">
        <v>8</v>
      </c>
      <c r="Q1636" s="13">
        <v>49</v>
      </c>
      <c r="R1636" s="13">
        <v>24</v>
      </c>
      <c r="S1636" s="13">
        <v>0</v>
      </c>
      <c r="T1636" s="23">
        <v>46247.673449074071</v>
      </c>
      <c r="U1636" s="55">
        <f t="shared" si="75"/>
        <v>0.66666666666666663</v>
      </c>
      <c r="V1636" s="55">
        <f t="shared" si="76"/>
        <v>0.33333333333333331</v>
      </c>
      <c r="W1636" s="56">
        <f t="shared" si="77"/>
        <v>16255.5</v>
      </c>
    </row>
    <row r="1637" spans="1:23" x14ac:dyDescent="0.3">
      <c r="A1637" s="13" t="str" cm="1">
        <f t="array" ref="A1637:B1637">INDEX(BenchmarkResults!$B$1:$D$35,SUMPRODUCT((T1637&gt;=BenchmarkResults!$F$3:$F$35)*(mongodb_hardware_log!T1637&lt;BenchmarkResults!$G$3:$G$35)*ROW(BenchmarkResults!$F$3:$F$35)),{1,3})</f>
        <v>q4_category_revenue</v>
      </c>
      <c r="B1637">
        <v>1</v>
      </c>
      <c r="C1637" s="13">
        <v>1</v>
      </c>
      <c r="D1637" s="13">
        <v>0</v>
      </c>
      <c r="E1637" s="13">
        <v>218880</v>
      </c>
      <c r="F1637" s="13">
        <v>121336</v>
      </c>
      <c r="G1637" s="13">
        <v>644</v>
      </c>
      <c r="H1637" s="13">
        <v>2333464</v>
      </c>
      <c r="I1637" s="13">
        <v>4</v>
      </c>
      <c r="J1637" s="13">
        <v>0</v>
      </c>
      <c r="K1637" s="13">
        <v>16592</v>
      </c>
      <c r="L1637" s="13">
        <v>9</v>
      </c>
      <c r="M1637" s="13">
        <v>2776</v>
      </c>
      <c r="N1637" s="13">
        <v>1829</v>
      </c>
      <c r="O1637" s="13">
        <v>20</v>
      </c>
      <c r="P1637" s="13">
        <v>7</v>
      </c>
      <c r="Q1637" s="13">
        <v>50</v>
      </c>
      <c r="R1637" s="13">
        <v>23</v>
      </c>
      <c r="S1637" s="13">
        <v>0</v>
      </c>
      <c r="T1637" s="23">
        <v>46247.673564814817</v>
      </c>
      <c r="U1637" s="55">
        <f t="shared" si="75"/>
        <v>0.66666666666666663</v>
      </c>
      <c r="V1637" s="55">
        <f t="shared" si="76"/>
        <v>0.33333333333333331</v>
      </c>
      <c r="W1637" s="56">
        <f t="shared" si="77"/>
        <v>16715</v>
      </c>
    </row>
    <row r="1638" spans="1:23" x14ac:dyDescent="0.3">
      <c r="A1638" s="13" t="str" cm="1">
        <f t="array" ref="A1638:B1638">INDEX(BenchmarkResults!$B$1:$D$35,SUMPRODUCT((T1638&gt;=BenchmarkResults!$F$3:$F$35)*(mongodb_hardware_log!T1638&lt;BenchmarkResults!$G$3:$G$35)*ROW(BenchmarkResults!$F$3:$F$35)),{1,3})</f>
        <v>q4_category_revenue</v>
      </c>
      <c r="B1638">
        <v>1</v>
      </c>
      <c r="C1638" s="13">
        <v>0</v>
      </c>
      <c r="D1638" s="13">
        <v>1</v>
      </c>
      <c r="E1638" s="13">
        <v>218880</v>
      </c>
      <c r="F1638" s="13">
        <v>131912</v>
      </c>
      <c r="G1638" s="13">
        <v>652</v>
      </c>
      <c r="H1638" s="13">
        <v>2312844</v>
      </c>
      <c r="I1638" s="13">
        <v>8</v>
      </c>
      <c r="J1638" s="13">
        <v>0</v>
      </c>
      <c r="K1638" s="13">
        <v>16804</v>
      </c>
      <c r="L1638" s="13">
        <v>15</v>
      </c>
      <c r="M1638" s="13">
        <v>2942</v>
      </c>
      <c r="N1638" s="13">
        <v>1986</v>
      </c>
      <c r="O1638" s="13">
        <v>19</v>
      </c>
      <c r="P1638" s="13">
        <v>8</v>
      </c>
      <c r="Q1638" s="13">
        <v>49</v>
      </c>
      <c r="R1638" s="13">
        <v>24</v>
      </c>
      <c r="S1638" s="13">
        <v>1</v>
      </c>
      <c r="T1638" s="23">
        <v>46247.673680555556</v>
      </c>
      <c r="U1638" s="55">
        <f t="shared" si="75"/>
        <v>0.66666666666666663</v>
      </c>
      <c r="V1638" s="55">
        <f t="shared" si="76"/>
        <v>0.33333333333333331</v>
      </c>
      <c r="W1638" s="56">
        <f t="shared" si="77"/>
        <v>16772.666666666668</v>
      </c>
    </row>
    <row r="1639" spans="1:23" x14ac:dyDescent="0.3">
      <c r="A1639" s="13" t="str" cm="1">
        <f t="array" ref="A1639:B1639">INDEX(BenchmarkResults!$B$1:$D$35,SUMPRODUCT((T1639&gt;=BenchmarkResults!$F$3:$F$35)*(mongodb_hardware_log!T1639&lt;BenchmarkResults!$G$3:$G$35)*ROW(BenchmarkResults!$F$3:$F$35)),{1,3})</f>
        <v>q4_category_revenue</v>
      </c>
      <c r="B1639">
        <v>1</v>
      </c>
      <c r="C1639" s="13">
        <v>0</v>
      </c>
      <c r="D1639" s="13">
        <v>1</v>
      </c>
      <c r="E1639" s="13">
        <v>218880</v>
      </c>
      <c r="F1639" s="13">
        <v>150140</v>
      </c>
      <c r="G1639" s="13">
        <v>372</v>
      </c>
      <c r="H1639" s="13">
        <v>2309548</v>
      </c>
      <c r="I1639" s="13">
        <v>2</v>
      </c>
      <c r="J1639" s="13">
        <v>10</v>
      </c>
      <c r="K1639" s="13">
        <v>15618</v>
      </c>
      <c r="L1639" s="13">
        <v>60</v>
      </c>
      <c r="M1639" s="13">
        <v>2656</v>
      </c>
      <c r="N1639" s="13">
        <v>1727</v>
      </c>
      <c r="O1639" s="13">
        <v>19</v>
      </c>
      <c r="P1639" s="13">
        <v>7</v>
      </c>
      <c r="Q1639" s="13">
        <v>49</v>
      </c>
      <c r="R1639" s="13">
        <v>24</v>
      </c>
      <c r="S1639" s="13">
        <v>1</v>
      </c>
      <c r="T1639" s="23">
        <v>46247.673796296294</v>
      </c>
      <c r="U1639" s="55">
        <f t="shared" si="75"/>
        <v>0.66666666666666663</v>
      </c>
      <c r="V1639" s="55">
        <f t="shared" si="76"/>
        <v>0.33333333333333331</v>
      </c>
      <c r="W1639" s="56">
        <f t="shared" si="77"/>
        <v>16883.666666666668</v>
      </c>
    </row>
    <row r="1640" spans="1:23" x14ac:dyDescent="0.3">
      <c r="A1640" s="13" t="str" cm="1">
        <f t="array" ref="A1640:B1640">INDEX(BenchmarkResults!$B$1:$D$35,SUMPRODUCT((T1640&gt;=BenchmarkResults!$F$3:$F$35)*(mongodb_hardware_log!T1640&lt;BenchmarkResults!$G$3:$G$35)*ROW(BenchmarkResults!$F$3:$F$35)),{1,3})</f>
        <v>q4_category_revenue</v>
      </c>
      <c r="B1640">
        <v>1</v>
      </c>
      <c r="C1640" s="13">
        <v>0</v>
      </c>
      <c r="D1640" s="13">
        <v>1</v>
      </c>
      <c r="E1640" s="13">
        <v>218624</v>
      </c>
      <c r="F1640" s="13">
        <v>142952</v>
      </c>
      <c r="G1640" s="13">
        <v>380</v>
      </c>
      <c r="H1640" s="13">
        <v>2314904</v>
      </c>
      <c r="I1640" s="13">
        <v>8</v>
      </c>
      <c r="J1640" s="13">
        <v>3</v>
      </c>
      <c r="K1640" s="13">
        <v>16107</v>
      </c>
      <c r="L1640" s="13">
        <v>9</v>
      </c>
      <c r="M1640" s="13">
        <v>2816</v>
      </c>
      <c r="N1640" s="13">
        <v>1883</v>
      </c>
      <c r="O1640" s="13">
        <v>20</v>
      </c>
      <c r="P1640" s="13">
        <v>7</v>
      </c>
      <c r="Q1640" s="13">
        <v>49</v>
      </c>
      <c r="R1640" s="13">
        <v>24</v>
      </c>
      <c r="S1640" s="13">
        <v>0</v>
      </c>
      <c r="T1640" s="23">
        <v>46247.67391203704</v>
      </c>
      <c r="U1640" s="55">
        <f t="shared" si="75"/>
        <v>0.5</v>
      </c>
      <c r="V1640" s="55">
        <f t="shared" si="76"/>
        <v>0.5</v>
      </c>
      <c r="W1640" s="56">
        <f t="shared" si="77"/>
        <v>16494.333333333332</v>
      </c>
    </row>
    <row r="1641" spans="1:23" x14ac:dyDescent="0.3">
      <c r="A1641" s="13" t="str" cm="1">
        <f t="array" ref="A1641:B1641">INDEX(BenchmarkResults!$B$1:$D$35,SUMPRODUCT((T1641&gt;=BenchmarkResults!$F$3:$F$35)*(mongodb_hardware_log!T1641&lt;BenchmarkResults!$G$3:$G$35)*ROW(BenchmarkResults!$F$3:$F$35)),{1,3})</f>
        <v>q4_category_revenue</v>
      </c>
      <c r="B1641">
        <v>1</v>
      </c>
      <c r="C1641" s="13">
        <v>1</v>
      </c>
      <c r="D1641" s="13">
        <v>0</v>
      </c>
      <c r="E1641" s="13">
        <v>218624</v>
      </c>
      <c r="F1641" s="13">
        <v>140936</v>
      </c>
      <c r="G1641" s="13">
        <v>388</v>
      </c>
      <c r="H1641" s="13">
        <v>2313832</v>
      </c>
      <c r="I1641" s="13">
        <v>1</v>
      </c>
      <c r="J1641" s="13">
        <v>0</v>
      </c>
      <c r="K1641" s="13">
        <v>16307</v>
      </c>
      <c r="L1641" s="13">
        <v>9</v>
      </c>
      <c r="M1641" s="13">
        <v>2683</v>
      </c>
      <c r="N1641" s="13">
        <v>1851</v>
      </c>
      <c r="O1641" s="13">
        <v>20</v>
      </c>
      <c r="P1641" s="13">
        <v>7</v>
      </c>
      <c r="Q1641" s="13">
        <v>50</v>
      </c>
      <c r="R1641" s="13">
        <v>23</v>
      </c>
      <c r="S1641" s="13">
        <v>0</v>
      </c>
      <c r="T1641" s="23">
        <v>46247.674027777779</v>
      </c>
      <c r="U1641" s="55">
        <f t="shared" si="75"/>
        <v>0.5</v>
      </c>
      <c r="V1641" s="55">
        <f t="shared" si="76"/>
        <v>0.5</v>
      </c>
      <c r="W1641" s="56">
        <f t="shared" si="77"/>
        <v>16210.5</v>
      </c>
    </row>
    <row r="1642" spans="1:23" x14ac:dyDescent="0.3">
      <c r="A1642" s="13" t="str" cm="1">
        <f t="array" ref="A1642:B1642">INDEX(BenchmarkResults!$B$1:$D$35,SUMPRODUCT((T1642&gt;=BenchmarkResults!$F$3:$F$35)*(mongodb_hardware_log!T1642&lt;BenchmarkResults!$G$3:$G$35)*ROW(BenchmarkResults!$F$3:$F$35)),{1,3})</f>
        <v>q4_category_revenue</v>
      </c>
      <c r="B1642">
        <v>1</v>
      </c>
      <c r="C1642" s="13">
        <v>2</v>
      </c>
      <c r="D1642" s="13">
        <v>0</v>
      </c>
      <c r="E1642" s="13">
        <v>218624</v>
      </c>
      <c r="F1642" s="13">
        <v>108800</v>
      </c>
      <c r="G1642" s="13">
        <v>404</v>
      </c>
      <c r="H1642" s="13">
        <v>2341276</v>
      </c>
      <c r="I1642" s="13">
        <v>5</v>
      </c>
      <c r="J1642" s="13">
        <v>2</v>
      </c>
      <c r="K1642" s="13">
        <v>15786</v>
      </c>
      <c r="L1642" s="13">
        <v>36</v>
      </c>
      <c r="M1642" s="13">
        <v>2937</v>
      </c>
      <c r="N1642" s="13">
        <v>2093</v>
      </c>
      <c r="O1642" s="13">
        <v>19</v>
      </c>
      <c r="P1642" s="13">
        <v>8</v>
      </c>
      <c r="Q1642" s="13">
        <v>48</v>
      </c>
      <c r="R1642" s="13">
        <v>24</v>
      </c>
      <c r="S1642" s="13">
        <v>1</v>
      </c>
      <c r="T1642" s="23">
        <v>46247.674143518518</v>
      </c>
      <c r="U1642" s="55">
        <f t="shared" si="75"/>
        <v>0.66666666666666663</v>
      </c>
      <c r="V1642" s="55">
        <f t="shared" si="76"/>
        <v>0.5</v>
      </c>
      <c r="W1642" s="56">
        <f t="shared" si="77"/>
        <v>16202.333333333334</v>
      </c>
    </row>
    <row r="1643" spans="1:23" x14ac:dyDescent="0.3">
      <c r="A1643" s="13" t="str" cm="1">
        <f t="array" ref="A1643:B1643">INDEX(BenchmarkResults!$B$1:$D$35,SUMPRODUCT((T1643&gt;=BenchmarkResults!$F$3:$F$35)*(mongodb_hardware_log!T1643&lt;BenchmarkResults!$G$3:$G$35)*ROW(BenchmarkResults!$F$3:$F$35)),{1,3})</f>
        <v>q4_category_revenue</v>
      </c>
      <c r="B1643">
        <v>1</v>
      </c>
      <c r="C1643" s="13">
        <v>1</v>
      </c>
      <c r="D1643" s="13">
        <v>0</v>
      </c>
      <c r="E1643" s="13">
        <v>219136</v>
      </c>
      <c r="F1643" s="13">
        <v>147548</v>
      </c>
      <c r="G1643" s="13">
        <v>420</v>
      </c>
      <c r="H1643" s="13">
        <v>2298760</v>
      </c>
      <c r="I1643" s="13">
        <v>22</v>
      </c>
      <c r="J1643" s="13">
        <v>82</v>
      </c>
      <c r="K1643" s="13">
        <v>16388</v>
      </c>
      <c r="L1643" s="13">
        <v>90</v>
      </c>
      <c r="M1643" s="13">
        <v>2680</v>
      </c>
      <c r="N1643" s="13">
        <v>1750</v>
      </c>
      <c r="O1643" s="13">
        <v>18</v>
      </c>
      <c r="P1643" s="13">
        <v>9</v>
      </c>
      <c r="Q1643" s="13">
        <v>46</v>
      </c>
      <c r="R1643" s="13">
        <v>26</v>
      </c>
      <c r="S1643" s="13">
        <v>0</v>
      </c>
      <c r="T1643" s="23">
        <v>46247.674259259256</v>
      </c>
      <c r="U1643" s="55">
        <f t="shared" si="75"/>
        <v>0.66666666666666663</v>
      </c>
      <c r="V1643" s="55">
        <f t="shared" si="76"/>
        <v>0.5</v>
      </c>
      <c r="W1643" s="56">
        <f t="shared" si="77"/>
        <v>16168.333333333334</v>
      </c>
    </row>
    <row r="1644" spans="1:23" x14ac:dyDescent="0.3">
      <c r="A1644" s="13" t="str" cm="1">
        <f t="array" ref="A1644:B1644">INDEX(BenchmarkResults!$B$1:$D$35,SUMPRODUCT((T1644&gt;=BenchmarkResults!$F$3:$F$35)*(mongodb_hardware_log!T1644&lt;BenchmarkResults!$G$3:$G$35)*ROW(BenchmarkResults!$F$3:$F$35)),{1,3})</f>
        <v>q4_category_revenue</v>
      </c>
      <c r="B1644">
        <v>1</v>
      </c>
      <c r="C1644" s="13">
        <v>0</v>
      </c>
      <c r="D1644" s="13">
        <v>1</v>
      </c>
      <c r="E1644" s="13">
        <v>219136</v>
      </c>
      <c r="F1644" s="13">
        <v>168188</v>
      </c>
      <c r="G1644" s="13">
        <v>428</v>
      </c>
      <c r="H1644" s="13">
        <v>2287636</v>
      </c>
      <c r="I1644" s="13">
        <v>11</v>
      </c>
      <c r="J1644" s="13">
        <v>0</v>
      </c>
      <c r="K1644" s="13">
        <v>15151</v>
      </c>
      <c r="L1644" s="13">
        <v>10</v>
      </c>
      <c r="M1644" s="13">
        <v>2908</v>
      </c>
      <c r="N1644" s="13">
        <v>2031</v>
      </c>
      <c r="O1644" s="13">
        <v>20</v>
      </c>
      <c r="P1644" s="13">
        <v>8</v>
      </c>
      <c r="Q1644" s="13">
        <v>49</v>
      </c>
      <c r="R1644" s="13">
        <v>22</v>
      </c>
      <c r="S1644" s="13">
        <v>1</v>
      </c>
      <c r="T1644" s="23">
        <v>46247.674375000002</v>
      </c>
      <c r="U1644" s="55">
        <f t="shared" si="75"/>
        <v>0.66666666666666663</v>
      </c>
      <c r="V1644" s="55">
        <f t="shared" si="76"/>
        <v>0.5</v>
      </c>
      <c r="W1644" s="56">
        <f t="shared" si="77"/>
        <v>15892.833333333334</v>
      </c>
    </row>
    <row r="1645" spans="1:23" x14ac:dyDescent="0.3">
      <c r="A1645" s="13" t="str" cm="1">
        <f t="array" ref="A1645:B1645">INDEX(BenchmarkResults!$B$1:$D$35,SUMPRODUCT((T1645&gt;=BenchmarkResults!$F$3:$F$35)*(mongodb_hardware_log!T1645&lt;BenchmarkResults!$G$3:$G$35)*ROW(BenchmarkResults!$F$3:$F$35)),{1,3})</f>
        <v>q4_category_revenue</v>
      </c>
      <c r="B1645">
        <v>1</v>
      </c>
      <c r="C1645" s="13">
        <v>1</v>
      </c>
      <c r="D1645" s="13">
        <v>0</v>
      </c>
      <c r="E1645" s="13">
        <v>219136</v>
      </c>
      <c r="F1645" s="13">
        <v>142848</v>
      </c>
      <c r="G1645" s="13">
        <v>476</v>
      </c>
      <c r="H1645" s="13">
        <v>2302944</v>
      </c>
      <c r="I1645" s="13">
        <v>7</v>
      </c>
      <c r="J1645" s="13">
        <v>0</v>
      </c>
      <c r="K1645" s="13">
        <v>17140</v>
      </c>
      <c r="L1645" s="13">
        <v>41</v>
      </c>
      <c r="M1645" s="13">
        <v>2760</v>
      </c>
      <c r="N1645" s="13">
        <v>1884</v>
      </c>
      <c r="O1645" s="13">
        <v>19</v>
      </c>
      <c r="P1645" s="13">
        <v>7</v>
      </c>
      <c r="Q1645" s="13">
        <v>50</v>
      </c>
      <c r="R1645" s="13">
        <v>23</v>
      </c>
      <c r="S1645" s="13">
        <v>0</v>
      </c>
      <c r="T1645" s="23">
        <v>46247.674490740741</v>
      </c>
      <c r="U1645" s="55">
        <f t="shared" si="75"/>
        <v>0.83333333333333337</v>
      </c>
      <c r="V1645" s="55">
        <f t="shared" si="76"/>
        <v>0.33333333333333331</v>
      </c>
      <c r="W1645" s="56">
        <f t="shared" si="77"/>
        <v>16146.5</v>
      </c>
    </row>
    <row r="1646" spans="1:23" x14ac:dyDescent="0.3">
      <c r="A1646" s="13" t="str" cm="1">
        <f t="array" ref="A1646:B1646">INDEX(BenchmarkResults!$B$1:$D$35,SUMPRODUCT((T1646&gt;=BenchmarkResults!$F$3:$F$35)*(mongodb_hardware_log!T1646&lt;BenchmarkResults!$G$3:$G$35)*ROW(BenchmarkResults!$F$3:$F$35)),{1,3})</f>
        <v>q4_category_revenue</v>
      </c>
      <c r="B1646">
        <v>1</v>
      </c>
      <c r="C1646" s="13">
        <v>0</v>
      </c>
      <c r="D1646" s="13">
        <v>1</v>
      </c>
      <c r="E1646" s="13">
        <v>218624</v>
      </c>
      <c r="F1646" s="13">
        <v>123152</v>
      </c>
      <c r="G1646" s="13">
        <v>476</v>
      </c>
      <c r="H1646" s="13">
        <v>2328964</v>
      </c>
      <c r="I1646" s="13">
        <v>15</v>
      </c>
      <c r="J1646" s="13">
        <v>0</v>
      </c>
      <c r="K1646" s="13">
        <v>15924</v>
      </c>
      <c r="L1646" s="13">
        <v>23</v>
      </c>
      <c r="M1646" s="13">
        <v>2688</v>
      </c>
      <c r="N1646" s="13">
        <v>1808</v>
      </c>
      <c r="O1646" s="13">
        <v>21</v>
      </c>
      <c r="P1646" s="13">
        <v>7</v>
      </c>
      <c r="Q1646" s="13">
        <v>50</v>
      </c>
      <c r="R1646" s="13">
        <v>21</v>
      </c>
      <c r="S1646" s="13">
        <v>1</v>
      </c>
      <c r="T1646" s="23">
        <v>46247.67460648148</v>
      </c>
      <c r="U1646" s="55">
        <f t="shared" si="75"/>
        <v>0.83333333333333337</v>
      </c>
      <c r="V1646" s="55">
        <f t="shared" si="76"/>
        <v>0.33333333333333331</v>
      </c>
      <c r="W1646" s="56">
        <f t="shared" si="77"/>
        <v>16116</v>
      </c>
    </row>
    <row r="1647" spans="1:23" x14ac:dyDescent="0.3">
      <c r="A1647" s="13" t="str" cm="1">
        <f t="array" ref="A1647:B1647">INDEX(BenchmarkResults!$B$1:$D$35,SUMPRODUCT((T1647&gt;=BenchmarkResults!$F$3:$F$35)*(mongodb_hardware_log!T1647&lt;BenchmarkResults!$G$3:$G$35)*ROW(BenchmarkResults!$F$3:$F$35)),{1,3})</f>
        <v>q4_category_revenue</v>
      </c>
      <c r="B1647">
        <v>1</v>
      </c>
      <c r="C1647" s="13">
        <v>1</v>
      </c>
      <c r="D1647" s="13">
        <v>0</v>
      </c>
      <c r="E1647" s="13">
        <v>218112</v>
      </c>
      <c r="F1647" s="13">
        <v>136760</v>
      </c>
      <c r="G1647" s="13">
        <v>624</v>
      </c>
      <c r="H1647" s="13">
        <v>2309104</v>
      </c>
      <c r="I1647" s="13">
        <v>225</v>
      </c>
      <c r="J1647" s="13">
        <v>0</v>
      </c>
      <c r="K1647" s="13">
        <v>18525</v>
      </c>
      <c r="L1647" s="13">
        <v>49</v>
      </c>
      <c r="M1647" s="13">
        <v>2719</v>
      </c>
      <c r="N1647" s="13">
        <v>1928</v>
      </c>
      <c r="O1647" s="13">
        <v>21</v>
      </c>
      <c r="P1647" s="13">
        <v>8</v>
      </c>
      <c r="Q1647" s="13">
        <v>47</v>
      </c>
      <c r="R1647" s="13">
        <v>24</v>
      </c>
      <c r="S1647" s="13">
        <v>0</v>
      </c>
      <c r="T1647" s="23">
        <v>46247.674722222226</v>
      </c>
      <c r="U1647" s="55">
        <f t="shared" si="75"/>
        <v>0.83333333333333337</v>
      </c>
      <c r="V1647" s="55">
        <f t="shared" si="76"/>
        <v>0.33333333333333331</v>
      </c>
      <c r="W1647" s="56">
        <f t="shared" si="77"/>
        <v>16485.666666666668</v>
      </c>
    </row>
    <row r="1648" spans="1:23" x14ac:dyDescent="0.3">
      <c r="A1648" s="13" t="str" cm="1">
        <f t="array" ref="A1648:B1648">INDEX(BenchmarkResults!$B$1:$D$35,SUMPRODUCT((T1648&gt;=BenchmarkResults!$F$3:$F$35)*(mongodb_hardware_log!T1648&lt;BenchmarkResults!$G$3:$G$35)*ROW(BenchmarkResults!$F$3:$F$35)),{1,3})</f>
        <v>q4_category_revenue</v>
      </c>
      <c r="B1648">
        <v>1</v>
      </c>
      <c r="C1648" s="13">
        <v>1</v>
      </c>
      <c r="D1648" s="13">
        <v>0</v>
      </c>
      <c r="E1648" s="13">
        <v>218112</v>
      </c>
      <c r="F1648" s="13">
        <v>109564</v>
      </c>
      <c r="G1648" s="13">
        <v>632</v>
      </c>
      <c r="H1648" s="13">
        <v>2341712</v>
      </c>
      <c r="I1648" s="13">
        <v>8</v>
      </c>
      <c r="J1648" s="13">
        <v>0</v>
      </c>
      <c r="K1648" s="13">
        <v>18753</v>
      </c>
      <c r="L1648" s="13">
        <v>9</v>
      </c>
      <c r="M1648" s="13">
        <v>2987</v>
      </c>
      <c r="N1648" s="13">
        <v>2042</v>
      </c>
      <c r="O1648" s="13">
        <v>19</v>
      </c>
      <c r="P1648" s="13">
        <v>8</v>
      </c>
      <c r="Q1648" s="13">
        <v>49</v>
      </c>
      <c r="R1648" s="13">
        <v>24</v>
      </c>
      <c r="S1648" s="13">
        <v>0</v>
      </c>
      <c r="T1648" s="23">
        <v>46247.674837962964</v>
      </c>
      <c r="U1648" s="55">
        <f t="shared" si="75"/>
        <v>0.66666666666666663</v>
      </c>
      <c r="V1648" s="55">
        <f t="shared" si="76"/>
        <v>0.33333333333333331</v>
      </c>
      <c r="W1648" s="56">
        <f t="shared" si="77"/>
        <v>16980.166666666668</v>
      </c>
    </row>
    <row r="1649" spans="1:23" x14ac:dyDescent="0.3">
      <c r="A1649" s="13" t="str" cm="1">
        <f t="array" ref="A1649:B1649">INDEX(BenchmarkResults!$B$1:$D$35,SUMPRODUCT((T1649&gt;=BenchmarkResults!$F$3:$F$35)*(mongodb_hardware_log!T1649&lt;BenchmarkResults!$G$3:$G$35)*ROW(BenchmarkResults!$F$3:$F$35)),{1,3})</f>
        <v>q4_category_revenue</v>
      </c>
      <c r="B1649">
        <v>1</v>
      </c>
      <c r="C1649" s="13">
        <v>1</v>
      </c>
      <c r="D1649" s="13">
        <v>1</v>
      </c>
      <c r="E1649" s="13">
        <v>218112</v>
      </c>
      <c r="F1649" s="13">
        <v>112144</v>
      </c>
      <c r="G1649" s="13">
        <v>640</v>
      </c>
      <c r="H1649" s="13">
        <v>2344932</v>
      </c>
      <c r="I1649" s="13">
        <v>4</v>
      </c>
      <c r="J1649" s="13">
        <v>0</v>
      </c>
      <c r="K1649" s="13">
        <v>18089</v>
      </c>
      <c r="L1649" s="13">
        <v>12</v>
      </c>
      <c r="M1649" s="13">
        <v>2958</v>
      </c>
      <c r="N1649" s="13">
        <v>2098</v>
      </c>
      <c r="O1649" s="13">
        <v>17</v>
      </c>
      <c r="P1649" s="13">
        <v>9</v>
      </c>
      <c r="Q1649" s="13">
        <v>47</v>
      </c>
      <c r="R1649" s="13">
        <v>26</v>
      </c>
      <c r="S1649" s="13">
        <v>1</v>
      </c>
      <c r="T1649" s="23">
        <v>46247.674953703703</v>
      </c>
      <c r="U1649" s="55">
        <f t="shared" si="75"/>
        <v>0.66666666666666663</v>
      </c>
      <c r="V1649" s="55">
        <f t="shared" si="76"/>
        <v>0.5</v>
      </c>
      <c r="W1649" s="56">
        <f t="shared" si="77"/>
        <v>17263.666666666668</v>
      </c>
    </row>
    <row r="1650" spans="1:23" x14ac:dyDescent="0.3">
      <c r="A1650" s="13" t="str" cm="1">
        <f t="array" ref="A1650:B1650">INDEX(BenchmarkResults!$B$1:$D$35,SUMPRODUCT((T1650&gt;=BenchmarkResults!$F$3:$F$35)*(mongodb_hardware_log!T1650&lt;BenchmarkResults!$G$3:$G$35)*ROW(BenchmarkResults!$F$3:$F$35)),{1,3})</f>
        <v>q4_category_revenue</v>
      </c>
      <c r="B1650">
        <v>1</v>
      </c>
      <c r="C1650" s="13">
        <v>2</v>
      </c>
      <c r="D1650" s="13">
        <v>0</v>
      </c>
      <c r="E1650" s="13">
        <v>218112</v>
      </c>
      <c r="F1650" s="13">
        <v>109596</v>
      </c>
      <c r="G1650" s="13">
        <v>664</v>
      </c>
      <c r="H1650" s="13">
        <v>2344132</v>
      </c>
      <c r="I1650" s="13">
        <v>2</v>
      </c>
      <c r="J1650" s="13">
        <v>0</v>
      </c>
      <c r="K1650" s="13">
        <v>16202</v>
      </c>
      <c r="L1650" s="13">
        <v>34</v>
      </c>
      <c r="M1650" s="13">
        <v>2859</v>
      </c>
      <c r="N1650" s="13">
        <v>1872</v>
      </c>
      <c r="O1650" s="13">
        <v>18</v>
      </c>
      <c r="P1650" s="13">
        <v>7</v>
      </c>
      <c r="Q1650" s="13">
        <v>48</v>
      </c>
      <c r="R1650" s="13">
        <v>26</v>
      </c>
      <c r="S1650" s="13">
        <v>1</v>
      </c>
      <c r="T1650" s="23">
        <v>46247.675069444442</v>
      </c>
      <c r="U1650" s="55">
        <f t="shared" si="75"/>
        <v>1</v>
      </c>
      <c r="V1650" s="55">
        <f t="shared" si="76"/>
        <v>0.33333333333333331</v>
      </c>
      <c r="W1650" s="56">
        <f t="shared" si="77"/>
        <v>17438.833333333332</v>
      </c>
    </row>
    <row r="1651" spans="1:23" x14ac:dyDescent="0.3">
      <c r="A1651" s="13" t="str" cm="1">
        <f t="array" ref="A1651:B1651">INDEX(BenchmarkResults!$B$1:$D$35,SUMPRODUCT((T1651&gt;=BenchmarkResults!$F$3:$F$35)*(mongodb_hardware_log!T1651&lt;BenchmarkResults!$G$3:$G$35)*ROW(BenchmarkResults!$F$3:$F$35)),{1,3})</f>
        <v>q4_category_revenue</v>
      </c>
      <c r="B1651">
        <v>1</v>
      </c>
      <c r="C1651" s="13">
        <v>0</v>
      </c>
      <c r="D1651" s="13">
        <v>1</v>
      </c>
      <c r="E1651" s="13">
        <v>217856</v>
      </c>
      <c r="F1651" s="13">
        <v>120852</v>
      </c>
      <c r="G1651" s="13">
        <v>372</v>
      </c>
      <c r="H1651" s="13">
        <v>2331280</v>
      </c>
      <c r="I1651" s="13">
        <v>9</v>
      </c>
      <c r="J1651" s="13">
        <v>2</v>
      </c>
      <c r="K1651" s="13">
        <v>14685</v>
      </c>
      <c r="L1651" s="13">
        <v>32</v>
      </c>
      <c r="M1651" s="13">
        <v>2677</v>
      </c>
      <c r="N1651" s="13">
        <v>1914</v>
      </c>
      <c r="O1651" s="13">
        <v>19</v>
      </c>
      <c r="P1651" s="13">
        <v>7</v>
      </c>
      <c r="Q1651" s="13">
        <v>49</v>
      </c>
      <c r="R1651" s="13">
        <v>24</v>
      </c>
      <c r="S1651" s="13">
        <v>1</v>
      </c>
      <c r="T1651" s="23">
        <v>46247.675185185188</v>
      </c>
      <c r="U1651" s="55">
        <f t="shared" si="75"/>
        <v>0.83333333333333337</v>
      </c>
      <c r="V1651" s="55">
        <f t="shared" si="76"/>
        <v>0.5</v>
      </c>
      <c r="W1651" s="56">
        <f t="shared" si="77"/>
        <v>17029.666666666668</v>
      </c>
    </row>
    <row r="1652" spans="1:23" x14ac:dyDescent="0.3">
      <c r="A1652" s="13" t="str" cm="1">
        <f t="array" ref="A1652:B1652">INDEX(BenchmarkResults!$B$1:$D$35,SUMPRODUCT((T1652&gt;=BenchmarkResults!$F$3:$F$35)*(mongodb_hardware_log!T1652&lt;BenchmarkResults!$G$3:$G$35)*ROW(BenchmarkResults!$F$3:$F$35)),{1,3})</f>
        <v>q4_category_revenue</v>
      </c>
      <c r="B1652">
        <v>1</v>
      </c>
      <c r="C1652" s="13">
        <v>0</v>
      </c>
      <c r="D1652" s="13">
        <v>1</v>
      </c>
      <c r="E1652" s="13">
        <v>217600</v>
      </c>
      <c r="F1652" s="13">
        <v>119192</v>
      </c>
      <c r="G1652" s="13">
        <v>380</v>
      </c>
      <c r="H1652" s="13">
        <v>2327924</v>
      </c>
      <c r="I1652" s="13">
        <v>3</v>
      </c>
      <c r="J1652" s="13">
        <v>1</v>
      </c>
      <c r="K1652" s="13">
        <v>16344</v>
      </c>
      <c r="L1652" s="13">
        <v>11</v>
      </c>
      <c r="M1652" s="13">
        <v>2816</v>
      </c>
      <c r="N1652" s="13">
        <v>1903</v>
      </c>
      <c r="O1652" s="13">
        <v>17</v>
      </c>
      <c r="P1652" s="13">
        <v>7</v>
      </c>
      <c r="Q1652" s="13">
        <v>48</v>
      </c>
      <c r="R1652" s="13">
        <v>26</v>
      </c>
      <c r="S1652" s="13">
        <v>1</v>
      </c>
      <c r="T1652" s="23">
        <v>46247.675300925926</v>
      </c>
      <c r="U1652" s="55">
        <f t="shared" si="75"/>
        <v>0.83333333333333337</v>
      </c>
      <c r="V1652" s="55">
        <f t="shared" si="76"/>
        <v>0.5</v>
      </c>
      <c r="W1652" s="56">
        <f t="shared" si="77"/>
        <v>17099.666666666668</v>
      </c>
    </row>
    <row r="1653" spans="1:23" x14ac:dyDescent="0.3">
      <c r="A1653" s="13" t="str" cm="1">
        <f t="array" ref="A1653:B1653">INDEX(BenchmarkResults!$B$1:$D$35,SUMPRODUCT((T1653&gt;=BenchmarkResults!$F$3:$F$35)*(mongodb_hardware_log!T1653&lt;BenchmarkResults!$G$3:$G$35)*ROW(BenchmarkResults!$F$3:$F$35)),{1,3})</f>
        <v>q4_category_revenue</v>
      </c>
      <c r="B1653">
        <v>1</v>
      </c>
      <c r="C1653" s="13">
        <v>1</v>
      </c>
      <c r="D1653" s="13">
        <v>0</v>
      </c>
      <c r="E1653" s="13">
        <v>217600</v>
      </c>
      <c r="F1653" s="13">
        <v>137404</v>
      </c>
      <c r="G1653" s="13">
        <v>388</v>
      </c>
      <c r="H1653" s="13">
        <v>2313220</v>
      </c>
      <c r="I1653" s="13">
        <v>2</v>
      </c>
      <c r="J1653" s="13">
        <v>0</v>
      </c>
      <c r="K1653" s="13">
        <v>15742</v>
      </c>
      <c r="L1653" s="13">
        <v>13</v>
      </c>
      <c r="M1653" s="13">
        <v>2783</v>
      </c>
      <c r="N1653" s="13">
        <v>1906</v>
      </c>
      <c r="O1653" s="13">
        <v>19</v>
      </c>
      <c r="P1653" s="13">
        <v>7</v>
      </c>
      <c r="Q1653" s="13">
        <v>49</v>
      </c>
      <c r="R1653" s="13">
        <v>24</v>
      </c>
      <c r="S1653" s="13">
        <v>1</v>
      </c>
      <c r="T1653" s="23">
        <v>46247.675416666665</v>
      </c>
      <c r="U1653" s="55">
        <f t="shared" si="75"/>
        <v>0.83333333333333337</v>
      </c>
      <c r="V1653" s="55">
        <f t="shared" si="76"/>
        <v>0.5</v>
      </c>
      <c r="W1653" s="56">
        <f t="shared" si="77"/>
        <v>16635.833333333332</v>
      </c>
    </row>
    <row r="1654" spans="1:23" x14ac:dyDescent="0.3">
      <c r="A1654" s="13" t="str" cm="1">
        <f t="array" ref="A1654:B1654">INDEX(BenchmarkResults!$B$1:$D$35,SUMPRODUCT((T1654&gt;=BenchmarkResults!$F$3:$F$35)*(mongodb_hardware_log!T1654&lt;BenchmarkResults!$G$3:$G$35)*ROW(BenchmarkResults!$F$3:$F$35)),{1,3})</f>
        <v>q4_category_revenue</v>
      </c>
      <c r="B1654">
        <v>1</v>
      </c>
      <c r="C1654" s="13">
        <v>1</v>
      </c>
      <c r="D1654" s="13">
        <v>0</v>
      </c>
      <c r="E1654" s="13">
        <v>224000</v>
      </c>
      <c r="F1654" s="13">
        <v>194232</v>
      </c>
      <c r="G1654" s="13">
        <v>384</v>
      </c>
      <c r="H1654" s="13">
        <v>2270448</v>
      </c>
      <c r="I1654" s="13">
        <v>8</v>
      </c>
      <c r="J1654" s="13">
        <v>644</v>
      </c>
      <c r="K1654" s="13">
        <v>15447</v>
      </c>
      <c r="L1654" s="13">
        <v>661</v>
      </c>
      <c r="M1654" s="13">
        <v>2636</v>
      </c>
      <c r="N1654" s="13">
        <v>1737</v>
      </c>
      <c r="O1654" s="13">
        <v>20</v>
      </c>
      <c r="P1654" s="13">
        <v>7</v>
      </c>
      <c r="Q1654" s="13">
        <v>50</v>
      </c>
      <c r="R1654" s="13">
        <v>23</v>
      </c>
      <c r="S1654" s="13">
        <v>0</v>
      </c>
      <c r="T1654" s="23">
        <v>46247.675532407404</v>
      </c>
      <c r="U1654" s="55">
        <f t="shared" si="75"/>
        <v>0.83333333333333337</v>
      </c>
      <c r="V1654" s="55">
        <f t="shared" si="76"/>
        <v>0.5</v>
      </c>
      <c r="W1654" s="56">
        <f t="shared" si="77"/>
        <v>16084.833333333334</v>
      </c>
    </row>
    <row r="1655" spans="1:23" x14ac:dyDescent="0.3">
      <c r="A1655" s="13" t="str" cm="1">
        <f t="array" ref="A1655:B1655">INDEX(BenchmarkResults!$B$1:$D$35,SUMPRODUCT((T1655&gt;=BenchmarkResults!$F$3:$F$35)*(mongodb_hardware_log!T1655&lt;BenchmarkResults!$G$3:$G$35)*ROW(BenchmarkResults!$F$3:$F$35)),{1,3})</f>
        <v>q4_category_revenue</v>
      </c>
      <c r="B1655">
        <v>1</v>
      </c>
      <c r="C1655" s="13">
        <v>1</v>
      </c>
      <c r="D1655" s="13">
        <v>0</v>
      </c>
      <c r="E1655" s="13">
        <v>224000</v>
      </c>
      <c r="F1655" s="13">
        <v>124460</v>
      </c>
      <c r="G1655" s="13">
        <v>392</v>
      </c>
      <c r="H1655" s="13">
        <v>2337944</v>
      </c>
      <c r="I1655" s="13">
        <v>14</v>
      </c>
      <c r="J1655" s="13">
        <v>0</v>
      </c>
      <c r="K1655" s="13">
        <v>17333</v>
      </c>
      <c r="L1655" s="13">
        <v>11</v>
      </c>
      <c r="M1655" s="13">
        <v>2819</v>
      </c>
      <c r="N1655" s="13">
        <v>1850</v>
      </c>
      <c r="O1655" s="13">
        <v>19</v>
      </c>
      <c r="P1655" s="13">
        <v>7</v>
      </c>
      <c r="Q1655" s="13">
        <v>49</v>
      </c>
      <c r="R1655" s="13">
        <v>25</v>
      </c>
      <c r="S1655" s="13">
        <v>1</v>
      </c>
      <c r="T1655" s="23">
        <v>46247.67564814815</v>
      </c>
      <c r="U1655" s="55">
        <f t="shared" si="75"/>
        <v>0.83333333333333337</v>
      </c>
      <c r="V1655" s="55">
        <f t="shared" si="76"/>
        <v>0.33333333333333331</v>
      </c>
      <c r="W1655" s="56">
        <f t="shared" si="77"/>
        <v>15958.833333333334</v>
      </c>
    </row>
    <row r="1656" spans="1:23" x14ac:dyDescent="0.3">
      <c r="A1656" s="13" t="str" cm="1">
        <f t="array" ref="A1656:B1656">INDEX(BenchmarkResults!$B$1:$D$35,SUMPRODUCT((T1656&gt;=BenchmarkResults!$F$3:$F$35)*(mongodb_hardware_log!T1656&lt;BenchmarkResults!$G$3:$G$35)*ROW(BenchmarkResults!$F$3:$F$35)),{1,3})</f>
        <v>q4_category_revenue</v>
      </c>
      <c r="B1656">
        <v>1</v>
      </c>
      <c r="C1656" s="13">
        <v>1</v>
      </c>
      <c r="D1656" s="13">
        <v>0</v>
      </c>
      <c r="E1656" s="13">
        <v>224000</v>
      </c>
      <c r="F1656" s="13">
        <v>138952</v>
      </c>
      <c r="G1656" s="13">
        <v>400</v>
      </c>
      <c r="H1656" s="13">
        <v>2315460</v>
      </c>
      <c r="I1656" s="13">
        <v>16</v>
      </c>
      <c r="J1656" s="13">
        <v>0</v>
      </c>
      <c r="K1656" s="13">
        <v>13930</v>
      </c>
      <c r="L1656" s="13">
        <v>18</v>
      </c>
      <c r="M1656" s="13">
        <v>2538</v>
      </c>
      <c r="N1656" s="13">
        <v>1698</v>
      </c>
      <c r="O1656" s="13">
        <v>21</v>
      </c>
      <c r="P1656" s="13">
        <v>7</v>
      </c>
      <c r="Q1656" s="13">
        <v>50</v>
      </c>
      <c r="R1656" s="13">
        <v>21</v>
      </c>
      <c r="S1656" s="13">
        <v>1</v>
      </c>
      <c r="T1656" s="23">
        <v>46247.675763888888</v>
      </c>
      <c r="U1656" s="55">
        <f t="shared" si="75"/>
        <v>0.66666666666666663</v>
      </c>
      <c r="V1656" s="55">
        <f t="shared" si="76"/>
        <v>0.33333333333333331</v>
      </c>
      <c r="W1656" s="56">
        <f t="shared" si="77"/>
        <v>15580.166666666666</v>
      </c>
    </row>
    <row r="1657" spans="1:23" x14ac:dyDescent="0.3">
      <c r="A1657" s="13" t="str" cm="1">
        <f t="array" ref="A1657:B1657">INDEX(BenchmarkResults!$B$1:$D$35,SUMPRODUCT((T1657&gt;=BenchmarkResults!$F$3:$F$35)*(mongodb_hardware_log!T1657&lt;BenchmarkResults!$G$3:$G$35)*ROW(BenchmarkResults!$F$3:$F$35)),{1,3})</f>
        <v>q4_category_revenue</v>
      </c>
      <c r="B1657">
        <v>1</v>
      </c>
      <c r="C1657" s="13">
        <v>0</v>
      </c>
      <c r="D1657" s="13">
        <v>1</v>
      </c>
      <c r="E1657" s="13">
        <v>223488</v>
      </c>
      <c r="F1657" s="13">
        <v>143696</v>
      </c>
      <c r="G1657" s="13">
        <v>432</v>
      </c>
      <c r="H1657" s="13">
        <v>2307724</v>
      </c>
      <c r="I1657" s="13">
        <v>14</v>
      </c>
      <c r="J1657" s="13">
        <v>0</v>
      </c>
      <c r="K1657" s="13">
        <v>15464</v>
      </c>
      <c r="L1657" s="13">
        <v>31</v>
      </c>
      <c r="M1657" s="13">
        <v>2849</v>
      </c>
      <c r="N1657" s="13">
        <v>1990</v>
      </c>
      <c r="O1657" s="13">
        <v>20</v>
      </c>
      <c r="P1657" s="13">
        <v>8</v>
      </c>
      <c r="Q1657" s="13">
        <v>49</v>
      </c>
      <c r="R1657" s="13">
        <v>23</v>
      </c>
      <c r="S1657" s="13">
        <v>0</v>
      </c>
      <c r="T1657" s="23">
        <v>46247.675879629627</v>
      </c>
      <c r="U1657" s="55">
        <f t="shared" si="75"/>
        <v>0.66666666666666663</v>
      </c>
      <c r="V1657" s="55">
        <f t="shared" si="76"/>
        <v>0.33333333333333331</v>
      </c>
      <c r="W1657" s="56">
        <f t="shared" si="77"/>
        <v>15710</v>
      </c>
    </row>
    <row r="1658" spans="1:23" x14ac:dyDescent="0.3">
      <c r="A1658" s="13" t="str" cm="1">
        <f t="array" ref="A1658:B1658">INDEX(BenchmarkResults!$B$1:$D$35,SUMPRODUCT((T1658&gt;=BenchmarkResults!$F$3:$F$35)*(mongodb_hardware_log!T1658&lt;BenchmarkResults!$G$3:$G$35)*ROW(BenchmarkResults!$F$3:$F$35)),{1,3})</f>
        <v>q4_category_revenue</v>
      </c>
      <c r="B1658">
        <v>1</v>
      </c>
      <c r="C1658" s="13">
        <v>0</v>
      </c>
      <c r="D1658" s="13">
        <v>1</v>
      </c>
      <c r="E1658" s="13">
        <v>223488</v>
      </c>
      <c r="F1658" s="13">
        <v>142856</v>
      </c>
      <c r="G1658" s="13">
        <v>440</v>
      </c>
      <c r="H1658" s="13">
        <v>2313140</v>
      </c>
      <c r="I1658" s="13">
        <v>21</v>
      </c>
      <c r="J1658" s="13">
        <v>0</v>
      </c>
      <c r="K1658" s="13">
        <v>13785</v>
      </c>
      <c r="L1658" s="13">
        <v>27</v>
      </c>
      <c r="M1658" s="13">
        <v>2541</v>
      </c>
      <c r="N1658" s="13">
        <v>1769</v>
      </c>
      <c r="O1658" s="13">
        <v>19</v>
      </c>
      <c r="P1658" s="13">
        <v>7</v>
      </c>
      <c r="Q1658" s="13">
        <v>49</v>
      </c>
      <c r="R1658" s="13">
        <v>24</v>
      </c>
      <c r="S1658" s="13">
        <v>1</v>
      </c>
      <c r="T1658" s="23">
        <v>46247.675995370373</v>
      </c>
      <c r="U1658" s="55">
        <f t="shared" si="75"/>
        <v>0.66666666666666663</v>
      </c>
      <c r="V1658" s="55">
        <f t="shared" si="76"/>
        <v>0.33333333333333331</v>
      </c>
      <c r="W1658" s="56">
        <f t="shared" si="77"/>
        <v>15283.5</v>
      </c>
    </row>
    <row r="1659" spans="1:23" x14ac:dyDescent="0.3">
      <c r="A1659" s="13" t="str" cm="1">
        <f t="array" ref="A1659:B1659">INDEX(BenchmarkResults!$B$1:$D$35,SUMPRODUCT((T1659&gt;=BenchmarkResults!$F$3:$F$35)*(mongodb_hardware_log!T1659&lt;BenchmarkResults!$G$3:$G$35)*ROW(BenchmarkResults!$F$3:$F$35)),{1,3})</f>
        <v>q4_category_revenue</v>
      </c>
      <c r="B1659">
        <v>1</v>
      </c>
      <c r="C1659" s="13">
        <v>1</v>
      </c>
      <c r="D1659" s="13">
        <v>0</v>
      </c>
      <c r="E1659" s="13">
        <v>223488</v>
      </c>
      <c r="F1659" s="13">
        <v>152368</v>
      </c>
      <c r="G1659" s="13">
        <v>448</v>
      </c>
      <c r="H1659" s="13">
        <v>2303016</v>
      </c>
      <c r="I1659" s="13">
        <v>6</v>
      </c>
      <c r="J1659" s="13">
        <v>0</v>
      </c>
      <c r="K1659" s="13">
        <v>14895</v>
      </c>
      <c r="L1659" s="13">
        <v>13</v>
      </c>
      <c r="M1659" s="13">
        <v>2820</v>
      </c>
      <c r="N1659" s="13">
        <v>1930</v>
      </c>
      <c r="O1659" s="13">
        <v>19</v>
      </c>
      <c r="P1659" s="13">
        <v>8</v>
      </c>
      <c r="Q1659" s="13">
        <v>49</v>
      </c>
      <c r="R1659" s="13">
        <v>23</v>
      </c>
      <c r="S1659" s="13">
        <v>1</v>
      </c>
      <c r="T1659" s="23">
        <v>46247.676111111112</v>
      </c>
      <c r="U1659" s="55">
        <f t="shared" si="75"/>
        <v>0.66666666666666663</v>
      </c>
      <c r="V1659" s="55">
        <f t="shared" si="76"/>
        <v>0.33333333333333331</v>
      </c>
      <c r="W1659" s="56">
        <f t="shared" si="77"/>
        <v>15142.333333333334</v>
      </c>
    </row>
    <row r="1660" spans="1:23" x14ac:dyDescent="0.3">
      <c r="A1660" s="13" t="str" cm="1">
        <f t="array" ref="A1660:B1660">INDEX(BenchmarkResults!$B$1:$D$35,SUMPRODUCT((T1660&gt;=BenchmarkResults!$F$3:$F$35)*(mongodb_hardware_log!T1660&lt;BenchmarkResults!$G$3:$G$35)*ROW(BenchmarkResults!$F$3:$F$35)),{1,3})</f>
        <v>q4_category_revenue</v>
      </c>
      <c r="B1660">
        <v>1</v>
      </c>
      <c r="C1660" s="13">
        <v>1</v>
      </c>
      <c r="D1660" s="13">
        <v>0</v>
      </c>
      <c r="E1660" s="13">
        <v>222976</v>
      </c>
      <c r="F1660" s="13">
        <v>106776</v>
      </c>
      <c r="G1660" s="13">
        <v>456</v>
      </c>
      <c r="H1660" s="13">
        <v>2344648</v>
      </c>
      <c r="I1660" s="13">
        <v>30</v>
      </c>
      <c r="J1660" s="13">
        <v>0</v>
      </c>
      <c r="K1660" s="13">
        <v>15437</v>
      </c>
      <c r="L1660" s="13">
        <v>22</v>
      </c>
      <c r="M1660" s="13">
        <v>2693</v>
      </c>
      <c r="N1660" s="13">
        <v>1883</v>
      </c>
      <c r="O1660" s="13">
        <v>19</v>
      </c>
      <c r="P1660" s="13">
        <v>8</v>
      </c>
      <c r="Q1660" s="13">
        <v>50</v>
      </c>
      <c r="R1660" s="13">
        <v>23</v>
      </c>
      <c r="S1660" s="13">
        <v>1</v>
      </c>
      <c r="T1660" s="23">
        <v>46247.676226851851</v>
      </c>
      <c r="U1660" s="55">
        <f t="shared" si="75"/>
        <v>0.66666666666666663</v>
      </c>
      <c r="V1660" s="55">
        <f t="shared" si="76"/>
        <v>0.33333333333333331</v>
      </c>
      <c r="W1660" s="56">
        <f t="shared" si="77"/>
        <v>15140.666666666666</v>
      </c>
    </row>
    <row r="1661" spans="1:23" x14ac:dyDescent="0.3">
      <c r="A1661" s="13" t="str" cm="1">
        <f t="array" ref="A1661:B1661">INDEX(BenchmarkResults!$B$1:$D$35,SUMPRODUCT((T1661&gt;=BenchmarkResults!$F$3:$F$35)*(mongodb_hardware_log!T1661&lt;BenchmarkResults!$G$3:$G$35)*ROW(BenchmarkResults!$F$3:$F$35)),{1,3})</f>
        <v>q4_category_revenue</v>
      </c>
      <c r="B1661">
        <v>2</v>
      </c>
      <c r="C1661" s="13">
        <v>1</v>
      </c>
      <c r="D1661" s="13">
        <v>0</v>
      </c>
      <c r="E1661" s="13">
        <v>222720</v>
      </c>
      <c r="F1661" s="13">
        <v>121056</v>
      </c>
      <c r="G1661" s="13">
        <v>480</v>
      </c>
      <c r="H1661" s="13">
        <v>2338228</v>
      </c>
      <c r="I1661" s="13">
        <v>90</v>
      </c>
      <c r="J1661" s="13">
        <v>0</v>
      </c>
      <c r="K1661" s="13">
        <v>16681</v>
      </c>
      <c r="L1661" s="13">
        <v>19</v>
      </c>
      <c r="M1661" s="13">
        <v>2952</v>
      </c>
      <c r="N1661" s="13">
        <v>2000</v>
      </c>
      <c r="O1661" s="13">
        <v>18</v>
      </c>
      <c r="P1661" s="13">
        <v>8</v>
      </c>
      <c r="Q1661" s="13">
        <v>48</v>
      </c>
      <c r="R1661" s="13">
        <v>25</v>
      </c>
      <c r="S1661" s="13">
        <v>1</v>
      </c>
      <c r="T1661" s="23">
        <v>46247.676342592589</v>
      </c>
      <c r="U1661" s="55">
        <f t="shared" si="75"/>
        <v>0.66666666666666663</v>
      </c>
      <c r="V1661" s="55">
        <f t="shared" si="76"/>
        <v>0.33333333333333331</v>
      </c>
      <c r="W1661" s="56">
        <f t="shared" si="77"/>
        <v>15032</v>
      </c>
    </row>
    <row r="1662" spans="1:23" x14ac:dyDescent="0.3">
      <c r="A1662" s="13" t="str" cm="1">
        <f t="array" ref="A1662:B1662">INDEX(BenchmarkResults!$B$1:$D$35,SUMPRODUCT((T1662&gt;=BenchmarkResults!$F$3:$F$35)*(mongodb_hardware_log!T1662&lt;BenchmarkResults!$G$3:$G$35)*ROW(BenchmarkResults!$F$3:$F$35)),{1,3})</f>
        <v>q4_category_revenue</v>
      </c>
      <c r="B1662">
        <v>2</v>
      </c>
      <c r="C1662" s="13">
        <v>0</v>
      </c>
      <c r="D1662" s="13">
        <v>1</v>
      </c>
      <c r="E1662" s="13">
        <v>222464</v>
      </c>
      <c r="F1662" s="13">
        <v>129692</v>
      </c>
      <c r="G1662" s="13">
        <v>488</v>
      </c>
      <c r="H1662" s="13">
        <v>2328104</v>
      </c>
      <c r="I1662" s="13">
        <v>44</v>
      </c>
      <c r="J1662" s="13">
        <v>0</v>
      </c>
      <c r="K1662" s="13">
        <v>15907</v>
      </c>
      <c r="L1662" s="13">
        <v>6</v>
      </c>
      <c r="M1662" s="13">
        <v>2726</v>
      </c>
      <c r="N1662" s="13">
        <v>1812</v>
      </c>
      <c r="O1662" s="13">
        <v>20</v>
      </c>
      <c r="P1662" s="13">
        <v>8</v>
      </c>
      <c r="Q1662" s="13">
        <v>49</v>
      </c>
      <c r="R1662" s="13">
        <v>23</v>
      </c>
      <c r="S1662" s="13">
        <v>0</v>
      </c>
      <c r="T1662" s="23">
        <v>46247.676458333335</v>
      </c>
      <c r="U1662" s="55">
        <f t="shared" si="75"/>
        <v>0.5</v>
      </c>
      <c r="V1662" s="55">
        <f t="shared" si="76"/>
        <v>0.5</v>
      </c>
      <c r="W1662" s="56">
        <f t="shared" si="77"/>
        <v>15361.5</v>
      </c>
    </row>
    <row r="1663" spans="1:23" x14ac:dyDescent="0.3">
      <c r="A1663" s="13" t="str" cm="1">
        <f t="array" ref="A1663:B1663">INDEX(BenchmarkResults!$B$1:$D$35,SUMPRODUCT((T1663&gt;=BenchmarkResults!$F$3:$F$35)*(mongodb_hardware_log!T1663&lt;BenchmarkResults!$G$3:$G$35)*ROW(BenchmarkResults!$F$3:$F$35)),{1,3})</f>
        <v>q4_category_revenue</v>
      </c>
      <c r="B1663">
        <v>2</v>
      </c>
      <c r="C1663" s="13">
        <v>1</v>
      </c>
      <c r="D1663" s="13">
        <v>0</v>
      </c>
      <c r="E1663" s="13">
        <v>222464</v>
      </c>
      <c r="F1663" s="13">
        <v>126148</v>
      </c>
      <c r="G1663" s="13">
        <v>516</v>
      </c>
      <c r="H1663" s="13">
        <v>2334796</v>
      </c>
      <c r="I1663" s="13">
        <v>18</v>
      </c>
      <c r="J1663" s="13">
        <v>0</v>
      </c>
      <c r="K1663" s="13">
        <v>16285</v>
      </c>
      <c r="L1663" s="13">
        <v>44</v>
      </c>
      <c r="M1663" s="13">
        <v>2939</v>
      </c>
      <c r="N1663" s="13">
        <v>2050</v>
      </c>
      <c r="O1663" s="13">
        <v>20</v>
      </c>
      <c r="P1663" s="13">
        <v>8</v>
      </c>
      <c r="Q1663" s="13">
        <v>48</v>
      </c>
      <c r="R1663" s="13">
        <v>23</v>
      </c>
      <c r="S1663" s="13">
        <v>0</v>
      </c>
      <c r="T1663" s="23">
        <v>46247.676574074074</v>
      </c>
      <c r="U1663" s="55">
        <f t="shared" si="75"/>
        <v>0.66666666666666663</v>
      </c>
      <c r="V1663" s="55">
        <f t="shared" si="76"/>
        <v>0.33333333333333331</v>
      </c>
      <c r="W1663" s="56">
        <f t="shared" si="77"/>
        <v>15498.333333333334</v>
      </c>
    </row>
    <row r="1664" spans="1:23" x14ac:dyDescent="0.3">
      <c r="A1664" s="13" t="str" cm="1">
        <f t="array" ref="A1664:B1664">INDEX(BenchmarkResults!$B$1:$D$35,SUMPRODUCT((T1664&gt;=BenchmarkResults!$F$3:$F$35)*(mongodb_hardware_log!T1664&lt;BenchmarkResults!$G$3:$G$35)*ROW(BenchmarkResults!$F$3:$F$35)),{1,3})</f>
        <v>q4_category_revenue</v>
      </c>
      <c r="B1664">
        <v>2</v>
      </c>
      <c r="C1664" s="13">
        <v>1</v>
      </c>
      <c r="D1664" s="13">
        <v>0</v>
      </c>
      <c r="E1664" s="13">
        <v>222720</v>
      </c>
      <c r="F1664" s="13">
        <v>119532</v>
      </c>
      <c r="G1664" s="13">
        <v>540</v>
      </c>
      <c r="H1664" s="13">
        <v>2332296</v>
      </c>
      <c r="I1664" s="13">
        <v>4</v>
      </c>
      <c r="J1664" s="13">
        <v>8</v>
      </c>
      <c r="K1664" s="13">
        <v>15198</v>
      </c>
      <c r="L1664" s="13">
        <v>30</v>
      </c>
      <c r="M1664" s="13">
        <v>2756</v>
      </c>
      <c r="N1664" s="13">
        <v>1954</v>
      </c>
      <c r="O1664" s="13">
        <v>21</v>
      </c>
      <c r="P1664" s="13">
        <v>7</v>
      </c>
      <c r="Q1664" s="13">
        <v>50</v>
      </c>
      <c r="R1664" s="13">
        <v>22</v>
      </c>
      <c r="S1664" s="13">
        <v>0</v>
      </c>
      <c r="T1664" s="23">
        <v>46247.676689814813</v>
      </c>
      <c r="U1664" s="55">
        <f t="shared" si="75"/>
        <v>0.83333333333333337</v>
      </c>
      <c r="V1664" s="55">
        <f t="shared" si="76"/>
        <v>0.16666666666666666</v>
      </c>
      <c r="W1664" s="56">
        <f t="shared" si="77"/>
        <v>15733.833333333334</v>
      </c>
    </row>
    <row r="1665" spans="1:23" x14ac:dyDescent="0.3">
      <c r="A1665" s="13" t="str" cm="1">
        <f t="array" ref="A1665:B1665">INDEX(BenchmarkResults!$B$1:$D$35,SUMPRODUCT((T1665&gt;=BenchmarkResults!$F$3:$F$35)*(mongodb_hardware_log!T1665&lt;BenchmarkResults!$G$3:$G$35)*ROW(BenchmarkResults!$F$3:$F$35)),{1,3})</f>
        <v>q4_category_revenue</v>
      </c>
      <c r="B1665">
        <v>2</v>
      </c>
      <c r="C1665" s="13">
        <v>1</v>
      </c>
      <c r="D1665" s="13">
        <v>0</v>
      </c>
      <c r="E1665" s="13">
        <v>221184</v>
      </c>
      <c r="F1665" s="13">
        <v>118300</v>
      </c>
      <c r="G1665" s="13">
        <v>552</v>
      </c>
      <c r="H1665" s="13">
        <v>2334252</v>
      </c>
      <c r="I1665" s="13">
        <v>134</v>
      </c>
      <c r="J1665" s="13">
        <v>1</v>
      </c>
      <c r="K1665" s="13">
        <v>16866</v>
      </c>
      <c r="L1665" s="13">
        <v>34</v>
      </c>
      <c r="M1665" s="13">
        <v>3083</v>
      </c>
      <c r="N1665" s="13">
        <v>2222</v>
      </c>
      <c r="O1665" s="13">
        <v>20</v>
      </c>
      <c r="P1665" s="13">
        <v>8</v>
      </c>
      <c r="Q1665" s="13">
        <v>49</v>
      </c>
      <c r="R1665" s="13">
        <v>23</v>
      </c>
      <c r="S1665" s="13">
        <v>0</v>
      </c>
      <c r="T1665" s="23">
        <v>46247.676805555559</v>
      </c>
      <c r="U1665" s="55">
        <f t="shared" si="75"/>
        <v>0.83333333333333337</v>
      </c>
      <c r="V1665" s="55">
        <f t="shared" si="76"/>
        <v>0.16666666666666666</v>
      </c>
      <c r="W1665" s="56">
        <f t="shared" si="77"/>
        <v>16062.333333333334</v>
      </c>
    </row>
    <row r="1666" spans="1:23" x14ac:dyDescent="0.3">
      <c r="A1666" s="13" t="str" cm="1">
        <f t="array" ref="A1666:B1666">INDEX(BenchmarkResults!$B$1:$D$35,SUMPRODUCT((T1666&gt;=BenchmarkResults!$F$3:$F$35)*(mongodb_hardware_log!T1666&lt;BenchmarkResults!$G$3:$G$35)*ROW(BenchmarkResults!$F$3:$F$35)),{1,3})</f>
        <v>q4_category_revenue</v>
      </c>
      <c r="B1666">
        <v>2</v>
      </c>
      <c r="C1666" s="13">
        <v>1</v>
      </c>
      <c r="D1666" s="13">
        <v>0</v>
      </c>
      <c r="E1666" s="13">
        <v>221184</v>
      </c>
      <c r="F1666" s="13">
        <v>106824</v>
      </c>
      <c r="G1666" s="13">
        <v>560</v>
      </c>
      <c r="H1666" s="13">
        <v>2334508</v>
      </c>
      <c r="I1666" s="13">
        <v>6</v>
      </c>
      <c r="J1666" s="13">
        <v>0</v>
      </c>
      <c r="K1666" s="13">
        <v>14759</v>
      </c>
      <c r="L1666" s="13">
        <v>10</v>
      </c>
      <c r="M1666" s="13">
        <v>2721</v>
      </c>
      <c r="N1666" s="13">
        <v>1858</v>
      </c>
      <c r="O1666" s="13">
        <v>21</v>
      </c>
      <c r="P1666" s="13">
        <v>7</v>
      </c>
      <c r="Q1666" s="13">
        <v>49</v>
      </c>
      <c r="R1666" s="13">
        <v>23</v>
      </c>
      <c r="S1666" s="13">
        <v>0</v>
      </c>
      <c r="T1666" s="23">
        <v>46247.676921296297</v>
      </c>
      <c r="U1666" s="55">
        <f t="shared" si="75"/>
        <v>0.83333333333333337</v>
      </c>
      <c r="V1666" s="55">
        <f t="shared" si="76"/>
        <v>0.16666666666666666</v>
      </c>
      <c r="W1666" s="56">
        <f t="shared" si="77"/>
        <v>15949.333333333334</v>
      </c>
    </row>
    <row r="1667" spans="1:23" x14ac:dyDescent="0.3">
      <c r="A1667" s="13" t="str" cm="1">
        <f t="array" ref="A1667:B1667">INDEX(BenchmarkResults!$B$1:$D$35,SUMPRODUCT((T1667&gt;=BenchmarkResults!$F$3:$F$35)*(mongodb_hardware_log!T1667&lt;BenchmarkResults!$G$3:$G$35)*ROW(BenchmarkResults!$F$3:$F$35)),{1,3})</f>
        <v>q4_category_revenue</v>
      </c>
      <c r="B1667">
        <v>2</v>
      </c>
      <c r="C1667" s="13">
        <v>1</v>
      </c>
      <c r="D1667" s="13">
        <v>0</v>
      </c>
      <c r="E1667" s="13">
        <v>221184</v>
      </c>
      <c r="F1667" s="13">
        <v>174488</v>
      </c>
      <c r="G1667" s="13">
        <v>572</v>
      </c>
      <c r="H1667" s="13">
        <v>2286120</v>
      </c>
      <c r="I1667" s="13">
        <v>3</v>
      </c>
      <c r="J1667" s="13">
        <v>0</v>
      </c>
      <c r="K1667" s="13">
        <v>16362</v>
      </c>
      <c r="L1667" s="13">
        <v>28</v>
      </c>
      <c r="M1667" s="13">
        <v>2775</v>
      </c>
      <c r="N1667" s="13">
        <v>1978</v>
      </c>
      <c r="O1667" s="13">
        <v>19</v>
      </c>
      <c r="P1667" s="13">
        <v>8</v>
      </c>
      <c r="Q1667" s="13">
        <v>50</v>
      </c>
      <c r="R1667" s="13">
        <v>23</v>
      </c>
      <c r="S1667" s="13">
        <v>0</v>
      </c>
      <c r="T1667" s="23">
        <v>46247.677037037036</v>
      </c>
      <c r="U1667" s="55">
        <f t="shared" si="75"/>
        <v>0.83333333333333337</v>
      </c>
      <c r="V1667" s="55">
        <f t="shared" si="76"/>
        <v>0.16666666666666666</v>
      </c>
      <c r="W1667" s="56">
        <f t="shared" si="77"/>
        <v>15896.166666666666</v>
      </c>
    </row>
    <row r="1668" spans="1:23" x14ac:dyDescent="0.3">
      <c r="A1668" s="13" t="str" cm="1">
        <f t="array" ref="A1668:B1668">INDEX(BenchmarkResults!$B$1:$D$35,SUMPRODUCT((T1668&gt;=BenchmarkResults!$F$3:$F$35)*(mongodb_hardware_log!T1668&lt;BenchmarkResults!$G$3:$G$35)*ROW(BenchmarkResults!$F$3:$F$35)),{1,3})</f>
        <v>q4_category_revenue</v>
      </c>
      <c r="B1668">
        <v>2</v>
      </c>
      <c r="C1668" s="13">
        <v>1</v>
      </c>
      <c r="D1668" s="13">
        <v>0</v>
      </c>
      <c r="E1668" s="13">
        <v>221184</v>
      </c>
      <c r="F1668" s="13">
        <v>132188</v>
      </c>
      <c r="G1668" s="13">
        <v>572</v>
      </c>
      <c r="H1668" s="13">
        <v>2315868</v>
      </c>
      <c r="I1668" s="13">
        <v>7</v>
      </c>
      <c r="J1668" s="13">
        <v>0</v>
      </c>
      <c r="K1668" s="13">
        <v>13832</v>
      </c>
      <c r="L1668" s="13">
        <v>13</v>
      </c>
      <c r="M1668" s="13">
        <v>2817</v>
      </c>
      <c r="N1668" s="13">
        <v>2018</v>
      </c>
      <c r="O1668" s="13">
        <v>20</v>
      </c>
      <c r="P1668" s="13">
        <v>8</v>
      </c>
      <c r="Q1668" s="13">
        <v>50</v>
      </c>
      <c r="R1668" s="13">
        <v>22</v>
      </c>
      <c r="S1668" s="13">
        <v>1</v>
      </c>
      <c r="T1668" s="23">
        <v>46247.677152777775</v>
      </c>
      <c r="U1668" s="55">
        <f t="shared" si="75"/>
        <v>1</v>
      </c>
      <c r="V1668" s="55">
        <f t="shared" si="76"/>
        <v>0</v>
      </c>
      <c r="W1668" s="56">
        <f t="shared" si="77"/>
        <v>15550.333333333334</v>
      </c>
    </row>
    <row r="1669" spans="1:23" x14ac:dyDescent="0.3">
      <c r="A1669" s="13" t="str" cm="1">
        <f t="array" ref="A1669:B1669">INDEX(BenchmarkResults!$B$1:$D$35,SUMPRODUCT((T1669&gt;=BenchmarkResults!$F$3:$F$35)*(mongodb_hardware_log!T1669&lt;BenchmarkResults!$G$3:$G$35)*ROW(BenchmarkResults!$F$3:$F$35)),{1,3})</f>
        <v>q4_category_revenue</v>
      </c>
      <c r="B1669">
        <v>2</v>
      </c>
      <c r="C1669" s="13">
        <v>1</v>
      </c>
      <c r="D1669" s="13">
        <v>0</v>
      </c>
      <c r="E1669" s="13">
        <v>221184</v>
      </c>
      <c r="F1669" s="13">
        <v>122960</v>
      </c>
      <c r="G1669" s="13">
        <v>604</v>
      </c>
      <c r="H1669" s="13">
        <v>2327968</v>
      </c>
      <c r="I1669" s="13">
        <v>3</v>
      </c>
      <c r="J1669" s="13">
        <v>0</v>
      </c>
      <c r="K1669" s="13">
        <v>16799</v>
      </c>
      <c r="L1669" s="13">
        <v>43</v>
      </c>
      <c r="M1669" s="13">
        <v>2941</v>
      </c>
      <c r="N1669" s="13">
        <v>1957</v>
      </c>
      <c r="O1669" s="13">
        <v>20</v>
      </c>
      <c r="P1669" s="13">
        <v>7</v>
      </c>
      <c r="Q1669" s="13">
        <v>48</v>
      </c>
      <c r="R1669" s="13">
        <v>24</v>
      </c>
      <c r="S1669" s="13">
        <v>1</v>
      </c>
      <c r="T1669" s="23">
        <v>46247.677268518521</v>
      </c>
      <c r="U1669" s="55">
        <f t="shared" si="75"/>
        <v>1</v>
      </c>
      <c r="V1669" s="55">
        <f t="shared" si="76"/>
        <v>0</v>
      </c>
      <c r="W1669" s="56">
        <f t="shared" si="77"/>
        <v>15636</v>
      </c>
    </row>
    <row r="1670" spans="1:23" x14ac:dyDescent="0.3">
      <c r="A1670" s="13" t="str" cm="1">
        <f t="array" ref="A1670:B1670">INDEX(BenchmarkResults!$B$1:$D$35,SUMPRODUCT((T1670&gt;=BenchmarkResults!$F$3:$F$35)*(mongodb_hardware_log!T1670&lt;BenchmarkResults!$G$3:$G$35)*ROW(BenchmarkResults!$F$3:$F$35)),{1,3})</f>
        <v>q4_category_revenue</v>
      </c>
      <c r="B1670">
        <v>2</v>
      </c>
      <c r="C1670" s="13">
        <v>1</v>
      </c>
      <c r="D1670" s="13">
        <v>0</v>
      </c>
      <c r="E1670" s="13">
        <v>221184</v>
      </c>
      <c r="F1670" s="13">
        <v>147344</v>
      </c>
      <c r="G1670" s="13">
        <v>612</v>
      </c>
      <c r="H1670" s="13">
        <v>2309112</v>
      </c>
      <c r="I1670" s="13">
        <v>1</v>
      </c>
      <c r="J1670" s="13">
        <v>0</v>
      </c>
      <c r="K1670" s="13">
        <v>16805</v>
      </c>
      <c r="L1670" s="13">
        <v>6</v>
      </c>
      <c r="M1670" s="13">
        <v>2698</v>
      </c>
      <c r="N1670" s="13">
        <v>1930</v>
      </c>
      <c r="O1670" s="13">
        <v>20</v>
      </c>
      <c r="P1670" s="13">
        <v>8</v>
      </c>
      <c r="Q1670" s="13">
        <v>50</v>
      </c>
      <c r="R1670" s="13">
        <v>23</v>
      </c>
      <c r="S1670" s="13">
        <v>0</v>
      </c>
      <c r="T1670" s="23">
        <v>46247.677384259259</v>
      </c>
      <c r="U1670" s="55">
        <f t="shared" si="75"/>
        <v>1</v>
      </c>
      <c r="V1670" s="55">
        <f t="shared" si="76"/>
        <v>0</v>
      </c>
      <c r="W1670" s="56">
        <f t="shared" si="77"/>
        <v>15903.833333333334</v>
      </c>
    </row>
    <row r="1671" spans="1:23" x14ac:dyDescent="0.3">
      <c r="A1671" s="13" t="str" cm="1">
        <f t="array" ref="A1671:B1671">INDEX(BenchmarkResults!$B$1:$D$35,SUMPRODUCT((T1671&gt;=BenchmarkResults!$F$3:$F$35)*(mongodb_hardware_log!T1671&lt;BenchmarkResults!$G$3:$G$35)*ROW(BenchmarkResults!$F$3:$F$35)),{1,3})</f>
        <v>q4_category_revenue</v>
      </c>
      <c r="B1671">
        <v>2</v>
      </c>
      <c r="C1671" s="13">
        <v>1</v>
      </c>
      <c r="D1671" s="13">
        <v>0</v>
      </c>
      <c r="E1671" s="13">
        <v>221184</v>
      </c>
      <c r="F1671" s="13">
        <v>104112</v>
      </c>
      <c r="G1671" s="13">
        <v>620</v>
      </c>
      <c r="H1671" s="13">
        <v>2344556</v>
      </c>
      <c r="I1671" s="13">
        <v>4</v>
      </c>
      <c r="J1671" s="13">
        <v>0</v>
      </c>
      <c r="K1671" s="13">
        <v>15907</v>
      </c>
      <c r="L1671" s="13">
        <v>14</v>
      </c>
      <c r="M1671" s="13">
        <v>2578</v>
      </c>
      <c r="N1671" s="13">
        <v>1735</v>
      </c>
      <c r="O1671" s="13">
        <v>20</v>
      </c>
      <c r="P1671" s="13">
        <v>7</v>
      </c>
      <c r="Q1671" s="13">
        <v>50</v>
      </c>
      <c r="R1671" s="13">
        <v>23</v>
      </c>
      <c r="S1671" s="13">
        <v>0</v>
      </c>
      <c r="T1671" s="23">
        <v>46247.677499999998</v>
      </c>
      <c r="U1671" s="55">
        <f t="shared" si="75"/>
        <v>1</v>
      </c>
      <c r="V1671" s="55">
        <f t="shared" si="76"/>
        <v>0</v>
      </c>
      <c r="W1671" s="56">
        <f t="shared" si="77"/>
        <v>15744</v>
      </c>
    </row>
    <row r="1672" spans="1:23" x14ac:dyDescent="0.3">
      <c r="A1672" s="13" t="str" cm="1">
        <f t="array" ref="A1672:B1672">INDEX(BenchmarkResults!$B$1:$D$35,SUMPRODUCT((T1672&gt;=BenchmarkResults!$F$3:$F$35)*(mongodb_hardware_log!T1672&lt;BenchmarkResults!$G$3:$G$35)*ROW(BenchmarkResults!$F$3:$F$35)),{1,3})</f>
        <v>q4_category_revenue</v>
      </c>
      <c r="B1672">
        <v>2</v>
      </c>
      <c r="C1672" s="13">
        <v>2</v>
      </c>
      <c r="D1672" s="13">
        <v>0</v>
      </c>
      <c r="E1672" s="13">
        <v>220928</v>
      </c>
      <c r="F1672" s="13">
        <v>108416</v>
      </c>
      <c r="G1672" s="13">
        <v>628</v>
      </c>
      <c r="H1672" s="13">
        <v>2337872</v>
      </c>
      <c r="I1672" s="13">
        <v>2</v>
      </c>
      <c r="J1672" s="13">
        <v>0</v>
      </c>
      <c r="K1672" s="13">
        <v>16408</v>
      </c>
      <c r="L1672" s="13">
        <v>12</v>
      </c>
      <c r="M1672" s="13">
        <v>2821</v>
      </c>
      <c r="N1672" s="13">
        <v>1979</v>
      </c>
      <c r="O1672" s="13">
        <v>18</v>
      </c>
      <c r="P1672" s="13">
        <v>8</v>
      </c>
      <c r="Q1672" s="13">
        <v>49</v>
      </c>
      <c r="R1672" s="13">
        <v>24</v>
      </c>
      <c r="S1672" s="13">
        <v>1</v>
      </c>
      <c r="T1672" s="23">
        <v>46247.677615740744</v>
      </c>
      <c r="U1672" s="55">
        <f t="shared" si="75"/>
        <v>1.1666666666666667</v>
      </c>
      <c r="V1672" s="55">
        <f t="shared" si="76"/>
        <v>0</v>
      </c>
      <c r="W1672" s="56">
        <f t="shared" si="77"/>
        <v>16018.833333333334</v>
      </c>
    </row>
    <row r="1673" spans="1:23" x14ac:dyDescent="0.3">
      <c r="A1673" s="13" t="str" cm="1">
        <f t="array" ref="A1673:B1673">INDEX(BenchmarkResults!$B$1:$D$35,SUMPRODUCT((T1673&gt;=BenchmarkResults!$F$3:$F$35)*(mongodb_hardware_log!T1673&lt;BenchmarkResults!$G$3:$G$35)*ROW(BenchmarkResults!$F$3:$F$35)),{1,3})</f>
        <v>q4_category_revenue</v>
      </c>
      <c r="B1673">
        <v>2</v>
      </c>
      <c r="C1673" s="13">
        <v>1</v>
      </c>
      <c r="D1673" s="13">
        <v>0</v>
      </c>
      <c r="E1673" s="13">
        <v>220928</v>
      </c>
      <c r="F1673" s="13">
        <v>116428</v>
      </c>
      <c r="G1673" s="13">
        <v>528</v>
      </c>
      <c r="H1673" s="13">
        <v>2335404</v>
      </c>
      <c r="I1673" s="13">
        <v>8</v>
      </c>
      <c r="J1673" s="13">
        <v>0</v>
      </c>
      <c r="K1673" s="13">
        <v>15080</v>
      </c>
      <c r="L1673" s="13">
        <v>16</v>
      </c>
      <c r="M1673" s="13">
        <v>2589</v>
      </c>
      <c r="N1673" s="13">
        <v>1806</v>
      </c>
      <c r="O1673" s="13">
        <v>18</v>
      </c>
      <c r="P1673" s="13">
        <v>8</v>
      </c>
      <c r="Q1673" s="13">
        <v>48</v>
      </c>
      <c r="R1673" s="13">
        <v>25</v>
      </c>
      <c r="S1673" s="13">
        <v>1</v>
      </c>
      <c r="T1673" s="23">
        <v>46247.677731481483</v>
      </c>
      <c r="U1673" s="55">
        <f t="shared" ref="U1673:U1736" si="78">AVERAGE(C1668:C1673)</f>
        <v>1.1666666666666667</v>
      </c>
      <c r="V1673" s="55">
        <f t="shared" ref="V1673:V1736" si="79">AVERAGE(D1668:D1673)</f>
        <v>0</v>
      </c>
      <c r="W1673" s="56">
        <f t="shared" ref="W1673:W1736" si="80">AVERAGE(K1668:K1673)</f>
        <v>15805.166666666666</v>
      </c>
    </row>
    <row r="1674" spans="1:23" x14ac:dyDescent="0.3">
      <c r="A1674" s="13" t="str" cm="1">
        <f t="array" ref="A1674:B1674">INDEX(BenchmarkResults!$B$1:$D$35,SUMPRODUCT((T1674&gt;=BenchmarkResults!$F$3:$F$35)*(mongodb_hardware_log!T1674&lt;BenchmarkResults!$G$3:$G$35)*ROW(BenchmarkResults!$F$3:$F$35)),{1,3})</f>
        <v>q4_category_revenue</v>
      </c>
      <c r="B1674">
        <v>2</v>
      </c>
      <c r="C1674" s="13">
        <v>0</v>
      </c>
      <c r="D1674" s="13">
        <v>1</v>
      </c>
      <c r="E1674" s="13">
        <v>220928</v>
      </c>
      <c r="F1674" s="13">
        <v>119300</v>
      </c>
      <c r="G1674" s="13">
        <v>540</v>
      </c>
      <c r="H1674" s="13">
        <v>2339540</v>
      </c>
      <c r="I1674" s="13">
        <v>2</v>
      </c>
      <c r="J1674" s="13">
        <v>0</v>
      </c>
      <c r="K1674" s="13">
        <v>15700</v>
      </c>
      <c r="L1674" s="13">
        <v>12</v>
      </c>
      <c r="M1674" s="13">
        <v>2504</v>
      </c>
      <c r="N1674" s="13">
        <v>1436</v>
      </c>
      <c r="O1674" s="13">
        <v>18</v>
      </c>
      <c r="P1674" s="13">
        <v>5</v>
      </c>
      <c r="Q1674" s="13">
        <v>47</v>
      </c>
      <c r="R1674" s="13">
        <v>28</v>
      </c>
      <c r="S1674" s="13">
        <v>1</v>
      </c>
      <c r="T1674" s="23">
        <v>46247.677847222221</v>
      </c>
      <c r="U1674" s="55">
        <f t="shared" si="78"/>
        <v>1</v>
      </c>
      <c r="V1674" s="55">
        <f t="shared" si="79"/>
        <v>0.16666666666666666</v>
      </c>
      <c r="W1674" s="56">
        <f t="shared" si="80"/>
        <v>16116.5</v>
      </c>
    </row>
    <row r="1675" spans="1:23" x14ac:dyDescent="0.3">
      <c r="A1675" s="13" t="str" cm="1">
        <f t="array" ref="A1675:B1675">INDEX(BenchmarkResults!$B$1:$D$35,SUMPRODUCT((T1675&gt;=BenchmarkResults!$F$3:$F$35)*(mongodb_hardware_log!T1675&lt;BenchmarkResults!$G$3:$G$35)*ROW(BenchmarkResults!$F$3:$F$35)),{1,3})</f>
        <v>q4_category_revenue</v>
      </c>
      <c r="B1675">
        <v>2</v>
      </c>
      <c r="C1675" s="13">
        <v>1</v>
      </c>
      <c r="D1675" s="13">
        <v>0</v>
      </c>
      <c r="E1675" s="13">
        <v>221952</v>
      </c>
      <c r="F1675" s="13">
        <v>629016</v>
      </c>
      <c r="G1675" s="13">
        <v>244</v>
      </c>
      <c r="H1675" s="13">
        <v>1732840</v>
      </c>
      <c r="I1675" s="13">
        <v>2</v>
      </c>
      <c r="J1675" s="13">
        <v>107</v>
      </c>
      <c r="K1675" s="13">
        <v>12827</v>
      </c>
      <c r="L1675" s="13">
        <v>152</v>
      </c>
      <c r="M1675" s="13">
        <v>2464</v>
      </c>
      <c r="N1675" s="13">
        <v>1555</v>
      </c>
      <c r="O1675" s="13">
        <v>16</v>
      </c>
      <c r="P1675" s="13">
        <v>15</v>
      </c>
      <c r="Q1675" s="13">
        <v>39</v>
      </c>
      <c r="R1675" s="13">
        <v>27</v>
      </c>
      <c r="S1675" s="13">
        <v>3</v>
      </c>
      <c r="T1675" s="23">
        <v>46247.67796296296</v>
      </c>
      <c r="U1675" s="55">
        <f t="shared" si="78"/>
        <v>1</v>
      </c>
      <c r="V1675" s="55">
        <f t="shared" si="79"/>
        <v>0.16666666666666666</v>
      </c>
      <c r="W1675" s="56">
        <f t="shared" si="80"/>
        <v>15454.5</v>
      </c>
    </row>
    <row r="1676" spans="1:23" x14ac:dyDescent="0.3">
      <c r="A1676" s="13" t="str" cm="1">
        <f t="array" ref="A1676:B1676">INDEX(BenchmarkResults!$B$1:$D$35,SUMPRODUCT((T1676&gt;=BenchmarkResults!$F$3:$F$35)*(mongodb_hardware_log!T1676&lt;BenchmarkResults!$G$3:$G$35)*ROW(BenchmarkResults!$F$3:$F$35)),{1,3})</f>
        <v>q4_category_revenue</v>
      </c>
      <c r="B1676">
        <v>2</v>
      </c>
      <c r="C1676" s="13">
        <v>0</v>
      </c>
      <c r="D1676" s="13">
        <v>1</v>
      </c>
      <c r="E1676" s="13">
        <v>221952</v>
      </c>
      <c r="F1676" s="13">
        <v>534936</v>
      </c>
      <c r="G1676" s="13">
        <v>252</v>
      </c>
      <c r="H1676" s="13">
        <v>1907840</v>
      </c>
      <c r="I1676" s="13">
        <v>2</v>
      </c>
      <c r="J1676" s="13">
        <v>0</v>
      </c>
      <c r="K1676" s="13">
        <v>17502</v>
      </c>
      <c r="L1676" s="13">
        <v>6</v>
      </c>
      <c r="M1676" s="13">
        <v>2502</v>
      </c>
      <c r="N1676" s="13">
        <v>1517</v>
      </c>
      <c r="O1676" s="13">
        <v>12</v>
      </c>
      <c r="P1676" s="13">
        <v>7</v>
      </c>
      <c r="Q1676" s="13">
        <v>48</v>
      </c>
      <c r="R1676" s="13">
        <v>32</v>
      </c>
      <c r="S1676" s="13">
        <v>1</v>
      </c>
      <c r="T1676" s="23">
        <v>46247.678078703706</v>
      </c>
      <c r="U1676" s="55">
        <f t="shared" si="78"/>
        <v>0.83333333333333337</v>
      </c>
      <c r="V1676" s="55">
        <f t="shared" si="79"/>
        <v>0.33333333333333331</v>
      </c>
      <c r="W1676" s="56">
        <f t="shared" si="80"/>
        <v>15570.666666666666</v>
      </c>
    </row>
    <row r="1677" spans="1:23" x14ac:dyDescent="0.3">
      <c r="A1677" s="13" t="str" cm="1">
        <f t="array" ref="A1677:B1677">INDEX(BenchmarkResults!$B$1:$D$35,SUMPRODUCT((T1677&gt;=BenchmarkResults!$F$3:$F$35)*(mongodb_hardware_log!T1677&lt;BenchmarkResults!$G$3:$G$35)*ROW(BenchmarkResults!$F$3:$F$35)),{1,3})</f>
        <v>q4_category_revenue</v>
      </c>
      <c r="B1677">
        <v>2</v>
      </c>
      <c r="C1677" s="13">
        <v>0</v>
      </c>
      <c r="D1677" s="13">
        <v>1</v>
      </c>
      <c r="E1677" s="13">
        <v>221696</v>
      </c>
      <c r="F1677" s="13">
        <v>316452</v>
      </c>
      <c r="G1677" s="13">
        <v>260</v>
      </c>
      <c r="H1677" s="13">
        <v>2127744</v>
      </c>
      <c r="I1677" s="13">
        <v>5</v>
      </c>
      <c r="J1677" s="13">
        <v>0</v>
      </c>
      <c r="K1677" s="13">
        <v>21995</v>
      </c>
      <c r="L1677" s="13">
        <v>18</v>
      </c>
      <c r="M1677" s="13">
        <v>2989</v>
      </c>
      <c r="N1677" s="13">
        <v>1854</v>
      </c>
      <c r="O1677" s="13">
        <v>14</v>
      </c>
      <c r="P1677" s="13">
        <v>10</v>
      </c>
      <c r="Q1677" s="13">
        <v>48</v>
      </c>
      <c r="R1677" s="13">
        <v>28</v>
      </c>
      <c r="S1677" s="13">
        <v>0</v>
      </c>
      <c r="T1677" s="23">
        <v>46247.678194444445</v>
      </c>
      <c r="U1677" s="55">
        <f t="shared" si="78"/>
        <v>0.66666666666666663</v>
      </c>
      <c r="V1677" s="55">
        <f t="shared" si="79"/>
        <v>0.5</v>
      </c>
      <c r="W1677" s="56">
        <f t="shared" si="80"/>
        <v>16585.333333333332</v>
      </c>
    </row>
    <row r="1678" spans="1:23" x14ac:dyDescent="0.3">
      <c r="A1678" s="13" t="str" cm="1">
        <f t="array" ref="A1678:B1678">INDEX(BenchmarkResults!$B$1:$D$35,SUMPRODUCT((T1678&gt;=BenchmarkResults!$F$3:$F$35)*(mongodb_hardware_log!T1678&lt;BenchmarkResults!$G$3:$G$35)*ROW(BenchmarkResults!$F$3:$F$35)),{1,3})</f>
        <v>q4_category_revenue</v>
      </c>
      <c r="B1678">
        <v>2</v>
      </c>
      <c r="C1678" s="13">
        <v>1</v>
      </c>
      <c r="D1678" s="13">
        <v>0</v>
      </c>
      <c r="E1678" s="13">
        <v>221696</v>
      </c>
      <c r="F1678" s="13">
        <v>134728</v>
      </c>
      <c r="G1678" s="13">
        <v>268</v>
      </c>
      <c r="H1678" s="13">
        <v>2301708</v>
      </c>
      <c r="I1678" s="13">
        <v>5</v>
      </c>
      <c r="J1678" s="13">
        <v>0</v>
      </c>
      <c r="K1678" s="13">
        <v>17395</v>
      </c>
      <c r="L1678" s="13">
        <v>11</v>
      </c>
      <c r="M1678" s="13">
        <v>2675</v>
      </c>
      <c r="N1678" s="13">
        <v>1711</v>
      </c>
      <c r="O1678" s="13">
        <v>17</v>
      </c>
      <c r="P1678" s="13">
        <v>8</v>
      </c>
      <c r="Q1678" s="13">
        <v>47</v>
      </c>
      <c r="R1678" s="13">
        <v>27</v>
      </c>
      <c r="S1678" s="13">
        <v>1</v>
      </c>
      <c r="T1678" s="23">
        <v>46247.678310185183</v>
      </c>
      <c r="U1678" s="55">
        <f t="shared" si="78"/>
        <v>0.5</v>
      </c>
      <c r="V1678" s="55">
        <f t="shared" si="79"/>
        <v>0.5</v>
      </c>
      <c r="W1678" s="56">
        <f t="shared" si="80"/>
        <v>16749.833333333332</v>
      </c>
    </row>
    <row r="1679" spans="1:23" x14ac:dyDescent="0.3">
      <c r="A1679" s="13" t="str" cm="1">
        <f t="array" ref="A1679:B1679">INDEX(BenchmarkResults!$B$1:$D$35,SUMPRODUCT((T1679&gt;=BenchmarkResults!$F$3:$F$35)*(mongodb_hardware_log!T1679&lt;BenchmarkResults!$G$3:$G$35)*ROW(BenchmarkResults!$F$3:$F$35)),{1,3})</f>
        <v>q4_category_revenue</v>
      </c>
      <c r="B1679">
        <v>2</v>
      </c>
      <c r="C1679" s="13">
        <v>0</v>
      </c>
      <c r="D1679" s="13">
        <v>1</v>
      </c>
      <c r="E1679" s="13">
        <v>221696</v>
      </c>
      <c r="F1679" s="13">
        <v>120292</v>
      </c>
      <c r="G1679" s="13">
        <v>284</v>
      </c>
      <c r="H1679" s="13">
        <v>2319100</v>
      </c>
      <c r="I1679" s="13">
        <v>4</v>
      </c>
      <c r="J1679" s="13">
        <v>0</v>
      </c>
      <c r="K1679" s="13">
        <v>15856</v>
      </c>
      <c r="L1679" s="13">
        <v>35</v>
      </c>
      <c r="M1679" s="13">
        <v>2896</v>
      </c>
      <c r="N1679" s="13">
        <v>2039</v>
      </c>
      <c r="O1679" s="13">
        <v>18</v>
      </c>
      <c r="P1679" s="13">
        <v>8</v>
      </c>
      <c r="Q1679" s="13">
        <v>46</v>
      </c>
      <c r="R1679" s="13">
        <v>26</v>
      </c>
      <c r="S1679" s="13">
        <v>2</v>
      </c>
      <c r="T1679" s="23">
        <v>46247.678425925929</v>
      </c>
      <c r="U1679" s="55">
        <f t="shared" si="78"/>
        <v>0.33333333333333331</v>
      </c>
      <c r="V1679" s="55">
        <f t="shared" si="79"/>
        <v>0.66666666666666663</v>
      </c>
      <c r="W1679" s="56">
        <f t="shared" si="80"/>
        <v>16879.166666666668</v>
      </c>
    </row>
    <row r="1680" spans="1:23" x14ac:dyDescent="0.3">
      <c r="A1680" s="13" t="str" cm="1">
        <f t="array" ref="A1680:B1680">INDEX(BenchmarkResults!$B$1:$D$35,SUMPRODUCT((T1680&gt;=BenchmarkResults!$F$3:$F$35)*(mongodb_hardware_log!T1680&lt;BenchmarkResults!$G$3:$G$35)*ROW(BenchmarkResults!$F$3:$F$35)),{1,3})</f>
        <v>q4_category_revenue</v>
      </c>
      <c r="B1680">
        <v>2</v>
      </c>
      <c r="C1680" s="13">
        <v>1</v>
      </c>
      <c r="D1680" s="13">
        <v>0</v>
      </c>
      <c r="E1680" s="13">
        <v>220672</v>
      </c>
      <c r="F1680" s="13">
        <v>154892</v>
      </c>
      <c r="G1680" s="13">
        <v>436</v>
      </c>
      <c r="H1680" s="13">
        <v>2288660</v>
      </c>
      <c r="I1680" s="13">
        <v>101</v>
      </c>
      <c r="J1680" s="13">
        <v>0</v>
      </c>
      <c r="K1680" s="13">
        <v>17563</v>
      </c>
      <c r="L1680" s="13">
        <v>25</v>
      </c>
      <c r="M1680" s="13">
        <v>3438</v>
      </c>
      <c r="N1680" s="13">
        <v>2369</v>
      </c>
      <c r="O1680" s="13">
        <v>21</v>
      </c>
      <c r="P1680" s="13">
        <v>8</v>
      </c>
      <c r="Q1680" s="13">
        <v>45</v>
      </c>
      <c r="R1680" s="13">
        <v>25</v>
      </c>
      <c r="S1680" s="13">
        <v>1</v>
      </c>
      <c r="T1680" s="23">
        <v>46247.678541666668</v>
      </c>
      <c r="U1680" s="55">
        <f t="shared" si="78"/>
        <v>0.5</v>
      </c>
      <c r="V1680" s="55">
        <f t="shared" si="79"/>
        <v>0.5</v>
      </c>
      <c r="W1680" s="56">
        <f t="shared" si="80"/>
        <v>17189.666666666668</v>
      </c>
    </row>
    <row r="1681" spans="1:23" x14ac:dyDescent="0.3">
      <c r="A1681" s="13" t="str" cm="1">
        <f t="array" ref="A1681:B1681">INDEX(BenchmarkResults!$B$1:$D$35,SUMPRODUCT((T1681&gt;=BenchmarkResults!$F$3:$F$35)*(mongodb_hardware_log!T1681&lt;BenchmarkResults!$G$3:$G$35)*ROW(BenchmarkResults!$F$3:$F$35)),{1,3})</f>
        <v>q4_category_revenue</v>
      </c>
      <c r="B1681">
        <v>2</v>
      </c>
      <c r="C1681" s="13">
        <v>0</v>
      </c>
      <c r="D1681" s="13">
        <v>1</v>
      </c>
      <c r="E1681" s="13">
        <v>220672</v>
      </c>
      <c r="F1681" s="13">
        <v>154888</v>
      </c>
      <c r="G1681" s="13">
        <v>468</v>
      </c>
      <c r="H1681" s="13">
        <v>2292300</v>
      </c>
      <c r="I1681" s="13">
        <v>7</v>
      </c>
      <c r="J1681" s="13">
        <v>0</v>
      </c>
      <c r="K1681" s="13">
        <v>16593</v>
      </c>
      <c r="L1681" s="13">
        <v>57</v>
      </c>
      <c r="M1681" s="13">
        <v>3298</v>
      </c>
      <c r="N1681" s="13">
        <v>2315</v>
      </c>
      <c r="O1681" s="13">
        <v>22</v>
      </c>
      <c r="P1681" s="13">
        <v>8</v>
      </c>
      <c r="Q1681" s="13">
        <v>46</v>
      </c>
      <c r="R1681" s="13">
        <v>23</v>
      </c>
      <c r="S1681" s="13">
        <v>1</v>
      </c>
      <c r="T1681" s="23">
        <v>46247.678657407407</v>
      </c>
      <c r="U1681" s="55">
        <f t="shared" si="78"/>
        <v>0.33333333333333331</v>
      </c>
      <c r="V1681" s="55">
        <f t="shared" si="79"/>
        <v>0.66666666666666663</v>
      </c>
      <c r="W1681" s="56">
        <f t="shared" si="80"/>
        <v>17817.333333333332</v>
      </c>
    </row>
    <row r="1682" spans="1:23" x14ac:dyDescent="0.3">
      <c r="A1682" s="13" t="str" cm="1">
        <f t="array" ref="A1682:B1682">INDEX(BenchmarkResults!$B$1:$D$35,SUMPRODUCT((T1682&gt;=BenchmarkResults!$F$3:$F$35)*(mongodb_hardware_log!T1682&lt;BenchmarkResults!$G$3:$G$35)*ROW(BenchmarkResults!$F$3:$F$35)),{1,3})</f>
        <v>q4_category_revenue</v>
      </c>
      <c r="B1682">
        <v>2</v>
      </c>
      <c r="C1682" s="13">
        <v>1</v>
      </c>
      <c r="D1682" s="13">
        <v>0</v>
      </c>
      <c r="E1682" s="13">
        <v>220672</v>
      </c>
      <c r="F1682" s="13">
        <v>164180</v>
      </c>
      <c r="G1682" s="13">
        <v>476</v>
      </c>
      <c r="H1682" s="13">
        <v>2294284</v>
      </c>
      <c r="I1682" s="13">
        <v>5</v>
      </c>
      <c r="J1682" s="13">
        <v>0</v>
      </c>
      <c r="K1682" s="13">
        <v>16681</v>
      </c>
      <c r="L1682" s="13">
        <v>8</v>
      </c>
      <c r="M1682" s="13">
        <v>3095</v>
      </c>
      <c r="N1682" s="13">
        <v>2265</v>
      </c>
      <c r="O1682" s="13">
        <v>20</v>
      </c>
      <c r="P1682" s="13">
        <v>8</v>
      </c>
      <c r="Q1682" s="13">
        <v>46</v>
      </c>
      <c r="R1682" s="13">
        <v>25</v>
      </c>
      <c r="S1682" s="13">
        <v>1</v>
      </c>
      <c r="T1682" s="23">
        <v>46247.678773148145</v>
      </c>
      <c r="U1682" s="55">
        <f t="shared" si="78"/>
        <v>0.5</v>
      </c>
      <c r="V1682" s="55">
        <f t="shared" si="79"/>
        <v>0.5</v>
      </c>
      <c r="W1682" s="56">
        <f t="shared" si="80"/>
        <v>17680.5</v>
      </c>
    </row>
    <row r="1683" spans="1:23" x14ac:dyDescent="0.3">
      <c r="A1683" s="13" t="str" cm="1">
        <f t="array" ref="A1683:B1683">INDEX(BenchmarkResults!$B$1:$D$35,SUMPRODUCT((T1683&gt;=BenchmarkResults!$F$3:$F$35)*(mongodb_hardware_log!T1683&lt;BenchmarkResults!$G$3:$G$35)*ROW(BenchmarkResults!$F$3:$F$35)),{1,3})</f>
        <v>q4_category_revenue</v>
      </c>
      <c r="B1683">
        <v>2</v>
      </c>
      <c r="C1683" s="13">
        <v>0</v>
      </c>
      <c r="D1683" s="13">
        <v>1</v>
      </c>
      <c r="E1683" s="13">
        <v>220672</v>
      </c>
      <c r="F1683" s="13">
        <v>146288</v>
      </c>
      <c r="G1683" s="13">
        <v>484</v>
      </c>
      <c r="H1683" s="13">
        <v>2309944</v>
      </c>
      <c r="I1683" s="13">
        <v>1</v>
      </c>
      <c r="J1683" s="13">
        <v>0</v>
      </c>
      <c r="K1683" s="13">
        <v>12579</v>
      </c>
      <c r="L1683" s="13">
        <v>14</v>
      </c>
      <c r="M1683" s="13">
        <v>2554</v>
      </c>
      <c r="N1683" s="13">
        <v>1807</v>
      </c>
      <c r="O1683" s="13">
        <v>21</v>
      </c>
      <c r="P1683" s="13">
        <v>7</v>
      </c>
      <c r="Q1683" s="13">
        <v>51</v>
      </c>
      <c r="R1683" s="13">
        <v>21</v>
      </c>
      <c r="S1683" s="13">
        <v>0</v>
      </c>
      <c r="T1683" s="23">
        <v>46247.678888888891</v>
      </c>
      <c r="U1683" s="55">
        <f t="shared" si="78"/>
        <v>0.5</v>
      </c>
      <c r="V1683" s="55">
        <f t="shared" si="79"/>
        <v>0.5</v>
      </c>
      <c r="W1683" s="56">
        <f t="shared" si="80"/>
        <v>16111.166666666666</v>
      </c>
    </row>
    <row r="1684" spans="1:23" x14ac:dyDescent="0.3">
      <c r="A1684" s="13" t="str" cm="1">
        <f t="array" ref="A1684:B1684">INDEX(BenchmarkResults!$B$1:$D$35,SUMPRODUCT((T1684&gt;=BenchmarkResults!$F$3:$F$35)*(mongodb_hardware_log!T1684&lt;BenchmarkResults!$G$3:$G$35)*ROW(BenchmarkResults!$F$3:$F$35)),{1,3})</f>
        <v>q4_category_revenue</v>
      </c>
      <c r="B1684">
        <v>2</v>
      </c>
      <c r="C1684" s="13">
        <v>0</v>
      </c>
      <c r="D1684" s="13">
        <v>1</v>
      </c>
      <c r="E1684" s="13">
        <v>220672</v>
      </c>
      <c r="F1684" s="13">
        <v>124384</v>
      </c>
      <c r="G1684" s="13">
        <v>508</v>
      </c>
      <c r="H1684" s="13">
        <v>2335124</v>
      </c>
      <c r="I1684" s="13">
        <v>4</v>
      </c>
      <c r="J1684" s="13">
        <v>0</v>
      </c>
      <c r="K1684" s="13">
        <v>13139</v>
      </c>
      <c r="L1684" s="13">
        <v>34</v>
      </c>
      <c r="M1684" s="13">
        <v>2419</v>
      </c>
      <c r="N1684" s="13">
        <v>1598</v>
      </c>
      <c r="O1684" s="13">
        <v>21</v>
      </c>
      <c r="P1684" s="13">
        <v>6</v>
      </c>
      <c r="Q1684" s="13">
        <v>51</v>
      </c>
      <c r="R1684" s="13">
        <v>21</v>
      </c>
      <c r="S1684" s="13">
        <v>0</v>
      </c>
      <c r="T1684" s="23">
        <v>46247.67900462963</v>
      </c>
      <c r="U1684" s="55">
        <f t="shared" si="78"/>
        <v>0.33333333333333331</v>
      </c>
      <c r="V1684" s="55">
        <f t="shared" si="79"/>
        <v>0.66666666666666663</v>
      </c>
      <c r="W1684" s="56">
        <f t="shared" si="80"/>
        <v>15401.833333333334</v>
      </c>
    </row>
    <row r="1685" spans="1:23" x14ac:dyDescent="0.3">
      <c r="A1685" s="13" t="str" cm="1">
        <f t="array" ref="A1685:B1685">INDEX(BenchmarkResults!$B$1:$D$35,SUMPRODUCT((T1685&gt;=BenchmarkResults!$F$3:$F$35)*(mongodb_hardware_log!T1685&lt;BenchmarkResults!$G$3:$G$35)*ROW(BenchmarkResults!$F$3:$F$35)),{1,3})</f>
        <v>q4_category_revenue</v>
      </c>
      <c r="B1685">
        <v>2</v>
      </c>
      <c r="C1685" s="13">
        <v>0</v>
      </c>
      <c r="D1685" s="13">
        <v>1</v>
      </c>
      <c r="E1685" s="13">
        <v>220416</v>
      </c>
      <c r="F1685" s="13">
        <v>132392</v>
      </c>
      <c r="G1685" s="13">
        <v>516</v>
      </c>
      <c r="H1685" s="13">
        <v>2323232</v>
      </c>
      <c r="I1685" s="13">
        <v>5</v>
      </c>
      <c r="J1685" s="13">
        <v>0</v>
      </c>
      <c r="K1685" s="13">
        <v>14418</v>
      </c>
      <c r="L1685" s="13">
        <v>9</v>
      </c>
      <c r="M1685" s="13">
        <v>2894</v>
      </c>
      <c r="N1685" s="13">
        <v>2020</v>
      </c>
      <c r="O1685" s="13">
        <v>19</v>
      </c>
      <c r="P1685" s="13">
        <v>7</v>
      </c>
      <c r="Q1685" s="13">
        <v>49</v>
      </c>
      <c r="R1685" s="13">
        <v>24</v>
      </c>
      <c r="S1685" s="13">
        <v>1</v>
      </c>
      <c r="T1685" s="23">
        <v>46247.679120370369</v>
      </c>
      <c r="U1685" s="55">
        <f t="shared" si="78"/>
        <v>0.33333333333333331</v>
      </c>
      <c r="V1685" s="55">
        <f t="shared" si="79"/>
        <v>0.66666666666666663</v>
      </c>
      <c r="W1685" s="56">
        <f t="shared" si="80"/>
        <v>15162.166666666666</v>
      </c>
    </row>
    <row r="1686" spans="1:23" x14ac:dyDescent="0.3">
      <c r="A1686" s="13" t="str" cm="1">
        <f t="array" ref="A1686:B1686">INDEX(BenchmarkResults!$B$1:$D$35,SUMPRODUCT((T1686&gt;=BenchmarkResults!$F$3:$F$35)*(mongodb_hardware_log!T1686&lt;BenchmarkResults!$G$3:$G$35)*ROW(BenchmarkResults!$F$3:$F$35)),{1,3})</f>
        <v>q4_category_revenue</v>
      </c>
      <c r="B1686">
        <v>2</v>
      </c>
      <c r="C1686" s="13">
        <v>0</v>
      </c>
      <c r="D1686" s="13">
        <v>1</v>
      </c>
      <c r="E1686" s="13">
        <v>220160</v>
      </c>
      <c r="F1686" s="13">
        <v>112280</v>
      </c>
      <c r="G1686" s="13">
        <v>524</v>
      </c>
      <c r="H1686" s="13">
        <v>2345732</v>
      </c>
      <c r="I1686" s="13">
        <v>7</v>
      </c>
      <c r="J1686" s="13">
        <v>0</v>
      </c>
      <c r="K1686" s="13">
        <v>11463</v>
      </c>
      <c r="L1686" s="13">
        <v>12</v>
      </c>
      <c r="M1686" s="13">
        <v>2556</v>
      </c>
      <c r="N1686" s="13">
        <v>1803</v>
      </c>
      <c r="O1686" s="13">
        <v>20</v>
      </c>
      <c r="P1686" s="13">
        <v>7</v>
      </c>
      <c r="Q1686" s="13">
        <v>50</v>
      </c>
      <c r="R1686" s="13">
        <v>22</v>
      </c>
      <c r="S1686" s="13">
        <v>1</v>
      </c>
      <c r="T1686" s="23">
        <v>46247.679236111115</v>
      </c>
      <c r="U1686" s="55">
        <f t="shared" si="78"/>
        <v>0.16666666666666666</v>
      </c>
      <c r="V1686" s="55">
        <f t="shared" si="79"/>
        <v>0.83333333333333337</v>
      </c>
      <c r="W1686" s="56">
        <f t="shared" si="80"/>
        <v>14145.5</v>
      </c>
    </row>
    <row r="1687" spans="1:23" x14ac:dyDescent="0.3">
      <c r="A1687" s="13" t="str" cm="1">
        <f t="array" ref="A1687:B1687">INDEX(BenchmarkResults!$B$1:$D$35,SUMPRODUCT((T1687&gt;=BenchmarkResults!$F$3:$F$35)*(mongodb_hardware_log!T1687&lt;BenchmarkResults!$G$3:$G$35)*ROW(BenchmarkResults!$F$3:$F$35)),{1,3})</f>
        <v>q4_category_revenue</v>
      </c>
      <c r="B1687">
        <v>2</v>
      </c>
      <c r="C1687" s="13">
        <v>1</v>
      </c>
      <c r="D1687" s="13">
        <v>0</v>
      </c>
      <c r="E1687" s="13">
        <v>220160</v>
      </c>
      <c r="F1687" s="13">
        <v>121752</v>
      </c>
      <c r="G1687" s="13">
        <v>556</v>
      </c>
      <c r="H1687" s="13">
        <v>2334996</v>
      </c>
      <c r="I1687" s="13">
        <v>5</v>
      </c>
      <c r="J1687" s="13">
        <v>0</v>
      </c>
      <c r="K1687" s="13">
        <v>13109</v>
      </c>
      <c r="L1687" s="13">
        <v>45</v>
      </c>
      <c r="M1687" s="13">
        <v>2529</v>
      </c>
      <c r="N1687" s="13">
        <v>1793</v>
      </c>
      <c r="O1687" s="13">
        <v>20</v>
      </c>
      <c r="P1687" s="13">
        <v>7</v>
      </c>
      <c r="Q1687" s="13">
        <v>48</v>
      </c>
      <c r="R1687" s="13">
        <v>24</v>
      </c>
      <c r="S1687" s="13">
        <v>1</v>
      </c>
      <c r="T1687" s="23">
        <v>46247.679351851853</v>
      </c>
      <c r="U1687" s="55">
        <f t="shared" si="78"/>
        <v>0.33333333333333331</v>
      </c>
      <c r="V1687" s="55">
        <f t="shared" si="79"/>
        <v>0.66666666666666663</v>
      </c>
      <c r="W1687" s="56">
        <f t="shared" si="80"/>
        <v>13564.833333333334</v>
      </c>
    </row>
    <row r="1688" spans="1:23" x14ac:dyDescent="0.3">
      <c r="A1688" s="13" t="str" cm="1">
        <f t="array" ref="A1688:B1688">INDEX(BenchmarkResults!$B$1:$D$35,SUMPRODUCT((T1688&gt;=BenchmarkResults!$F$3:$F$35)*(mongodb_hardware_log!T1688&lt;BenchmarkResults!$G$3:$G$35)*ROW(BenchmarkResults!$F$3:$F$35)),{1,3})</f>
        <v>q4_category_revenue</v>
      </c>
      <c r="B1688">
        <v>2</v>
      </c>
      <c r="C1688" s="13">
        <v>1</v>
      </c>
      <c r="D1688" s="13">
        <v>0</v>
      </c>
      <c r="E1688" s="13">
        <v>220160</v>
      </c>
      <c r="F1688" s="13">
        <v>131480</v>
      </c>
      <c r="G1688" s="13">
        <v>576</v>
      </c>
      <c r="H1688" s="13">
        <v>2322964</v>
      </c>
      <c r="I1688" s="13">
        <v>0</v>
      </c>
      <c r="J1688" s="13">
        <v>0</v>
      </c>
      <c r="K1688" s="13">
        <v>13560</v>
      </c>
      <c r="L1688" s="13">
        <v>20</v>
      </c>
      <c r="M1688" s="13">
        <v>2502</v>
      </c>
      <c r="N1688" s="13">
        <v>1834</v>
      </c>
      <c r="O1688" s="13">
        <v>21</v>
      </c>
      <c r="P1688" s="13">
        <v>7</v>
      </c>
      <c r="Q1688" s="13">
        <v>51</v>
      </c>
      <c r="R1688" s="13">
        <v>20</v>
      </c>
      <c r="S1688" s="13">
        <v>0</v>
      </c>
      <c r="T1688" s="23">
        <v>46247.679467592592</v>
      </c>
      <c r="U1688" s="55">
        <f t="shared" si="78"/>
        <v>0.33333333333333331</v>
      </c>
      <c r="V1688" s="55">
        <f t="shared" si="79"/>
        <v>0.66666666666666663</v>
      </c>
      <c r="W1688" s="56">
        <f t="shared" si="80"/>
        <v>13044.666666666666</v>
      </c>
    </row>
    <row r="1689" spans="1:23" x14ac:dyDescent="0.3">
      <c r="A1689" s="13" t="str" cm="1">
        <f t="array" ref="A1689:B1689">INDEX(BenchmarkResults!$B$1:$D$35,SUMPRODUCT((T1689&gt;=BenchmarkResults!$F$3:$F$35)*(mongodb_hardware_log!T1689&lt;BenchmarkResults!$G$3:$G$35)*ROW(BenchmarkResults!$F$3:$F$35)),{1,3})</f>
        <v>q4_category_revenue</v>
      </c>
      <c r="B1689">
        <v>2</v>
      </c>
      <c r="C1689" s="13">
        <v>1</v>
      </c>
      <c r="D1689" s="13">
        <v>0</v>
      </c>
      <c r="E1689" s="13">
        <v>220160</v>
      </c>
      <c r="F1689" s="13">
        <v>145672</v>
      </c>
      <c r="G1689" s="13">
        <v>584</v>
      </c>
      <c r="H1689" s="13">
        <v>2315476</v>
      </c>
      <c r="I1689" s="13">
        <v>6</v>
      </c>
      <c r="J1689" s="13">
        <v>0</v>
      </c>
      <c r="K1689" s="13">
        <v>13739</v>
      </c>
      <c r="L1689" s="13">
        <v>12</v>
      </c>
      <c r="M1689" s="13">
        <v>2693</v>
      </c>
      <c r="N1689" s="13">
        <v>1888</v>
      </c>
      <c r="O1689" s="13">
        <v>21</v>
      </c>
      <c r="P1689" s="13">
        <v>7</v>
      </c>
      <c r="Q1689" s="13">
        <v>51</v>
      </c>
      <c r="R1689" s="13">
        <v>21</v>
      </c>
      <c r="S1689" s="13">
        <v>0</v>
      </c>
      <c r="T1689" s="23">
        <v>46247.679583333331</v>
      </c>
      <c r="U1689" s="55">
        <f t="shared" si="78"/>
        <v>0.5</v>
      </c>
      <c r="V1689" s="55">
        <f t="shared" si="79"/>
        <v>0.5</v>
      </c>
      <c r="W1689" s="56">
        <f t="shared" si="80"/>
        <v>13238</v>
      </c>
    </row>
    <row r="1690" spans="1:23" x14ac:dyDescent="0.3">
      <c r="A1690" s="13" t="str" cm="1">
        <f t="array" ref="A1690:B1690">INDEX(BenchmarkResults!$B$1:$D$35,SUMPRODUCT((T1690&gt;=BenchmarkResults!$F$3:$F$35)*(mongodb_hardware_log!T1690&lt;BenchmarkResults!$G$3:$G$35)*ROW(BenchmarkResults!$F$3:$F$35)),{1,3})</f>
        <v>q4_category_revenue</v>
      </c>
      <c r="B1690">
        <v>2</v>
      </c>
      <c r="C1690" s="13">
        <v>0</v>
      </c>
      <c r="D1690" s="13">
        <v>1</v>
      </c>
      <c r="E1690" s="13">
        <v>220160</v>
      </c>
      <c r="F1690" s="13">
        <v>107080</v>
      </c>
      <c r="G1690" s="13">
        <v>580</v>
      </c>
      <c r="H1690" s="13">
        <v>2348060</v>
      </c>
      <c r="I1690" s="13">
        <v>12</v>
      </c>
      <c r="J1690" s="13">
        <v>0</v>
      </c>
      <c r="K1690" s="13">
        <v>13717</v>
      </c>
      <c r="L1690" s="13">
        <v>16</v>
      </c>
      <c r="M1690" s="13">
        <v>2497</v>
      </c>
      <c r="N1690" s="13">
        <v>1739</v>
      </c>
      <c r="O1690" s="13">
        <v>20</v>
      </c>
      <c r="P1690" s="13">
        <v>7</v>
      </c>
      <c r="Q1690" s="13">
        <v>50</v>
      </c>
      <c r="R1690" s="13">
        <v>23</v>
      </c>
      <c r="S1690" s="13">
        <v>0</v>
      </c>
      <c r="T1690" s="23">
        <v>46247.679699074077</v>
      </c>
      <c r="U1690" s="55">
        <f t="shared" si="78"/>
        <v>0.5</v>
      </c>
      <c r="V1690" s="55">
        <f t="shared" si="79"/>
        <v>0.5</v>
      </c>
      <c r="W1690" s="56">
        <f t="shared" si="80"/>
        <v>13334.333333333334</v>
      </c>
    </row>
    <row r="1691" spans="1:23" x14ac:dyDescent="0.3">
      <c r="A1691" s="13" t="str" cm="1">
        <f t="array" ref="A1691:B1691">INDEX(BenchmarkResults!$B$1:$D$35,SUMPRODUCT((T1691&gt;=BenchmarkResults!$F$3:$F$35)*(mongodb_hardware_log!T1691&lt;BenchmarkResults!$G$3:$G$35)*ROW(BenchmarkResults!$F$3:$F$35)),{1,3})</f>
        <v>q4_category_revenue</v>
      </c>
      <c r="B1691">
        <v>2</v>
      </c>
      <c r="C1691" s="13">
        <v>1</v>
      </c>
      <c r="D1691" s="13">
        <v>0</v>
      </c>
      <c r="E1691" s="13">
        <v>220416</v>
      </c>
      <c r="F1691" s="13">
        <v>122352</v>
      </c>
      <c r="G1691" s="13">
        <v>204</v>
      </c>
      <c r="H1691" s="13">
        <v>2327000</v>
      </c>
      <c r="I1691" s="13">
        <v>3</v>
      </c>
      <c r="J1691" s="13">
        <v>36</v>
      </c>
      <c r="K1691" s="13">
        <v>12884</v>
      </c>
      <c r="L1691" s="13">
        <v>56</v>
      </c>
      <c r="M1691" s="13">
        <v>2590</v>
      </c>
      <c r="N1691" s="13">
        <v>1801</v>
      </c>
      <c r="O1691" s="13">
        <v>19</v>
      </c>
      <c r="P1691" s="13">
        <v>8</v>
      </c>
      <c r="Q1691" s="13">
        <v>48</v>
      </c>
      <c r="R1691" s="13">
        <v>24</v>
      </c>
      <c r="S1691" s="13">
        <v>0</v>
      </c>
      <c r="T1691" s="23">
        <v>46247.679814814815</v>
      </c>
      <c r="U1691" s="55">
        <f t="shared" si="78"/>
        <v>0.66666666666666663</v>
      </c>
      <c r="V1691" s="55">
        <f t="shared" si="79"/>
        <v>0.33333333333333331</v>
      </c>
      <c r="W1691" s="56">
        <f t="shared" si="80"/>
        <v>13078.666666666666</v>
      </c>
    </row>
    <row r="1692" spans="1:23" x14ac:dyDescent="0.3">
      <c r="A1692" s="13" t="str" cm="1">
        <f t="array" ref="A1692:B1692">INDEX(BenchmarkResults!$B$1:$D$35,SUMPRODUCT((T1692&gt;=BenchmarkResults!$F$3:$F$35)*(mongodb_hardware_log!T1692&lt;BenchmarkResults!$G$3:$G$35)*ROW(BenchmarkResults!$F$3:$F$35)),{1,3})</f>
        <v>q4_category_revenue</v>
      </c>
      <c r="B1692">
        <v>2</v>
      </c>
      <c r="C1692" s="13">
        <v>1</v>
      </c>
      <c r="D1692" s="13">
        <v>0</v>
      </c>
      <c r="E1692" s="13">
        <v>219904</v>
      </c>
      <c r="F1692" s="13">
        <v>117280</v>
      </c>
      <c r="G1692" s="13">
        <v>336</v>
      </c>
      <c r="H1692" s="13">
        <v>2342796</v>
      </c>
      <c r="I1692" s="13">
        <v>13</v>
      </c>
      <c r="J1692" s="13">
        <v>6</v>
      </c>
      <c r="K1692" s="13">
        <v>13527</v>
      </c>
      <c r="L1692" s="13">
        <v>11</v>
      </c>
      <c r="M1692" s="13">
        <v>2708</v>
      </c>
      <c r="N1692" s="13">
        <v>1935</v>
      </c>
      <c r="O1692" s="13">
        <v>20</v>
      </c>
      <c r="P1692" s="13">
        <v>7</v>
      </c>
      <c r="Q1692" s="13">
        <v>48</v>
      </c>
      <c r="R1692" s="13">
        <v>24</v>
      </c>
      <c r="S1692" s="13">
        <v>1</v>
      </c>
      <c r="T1692" s="23">
        <v>46247.679930555554</v>
      </c>
      <c r="U1692" s="55">
        <f t="shared" si="78"/>
        <v>0.83333333333333337</v>
      </c>
      <c r="V1692" s="55">
        <f t="shared" si="79"/>
        <v>0.16666666666666666</v>
      </c>
      <c r="W1692" s="56">
        <f t="shared" si="80"/>
        <v>13422.666666666666</v>
      </c>
    </row>
    <row r="1693" spans="1:23" x14ac:dyDescent="0.3">
      <c r="A1693" s="13" t="str" cm="1">
        <f t="array" ref="A1693:B1693">INDEX(BenchmarkResults!$B$1:$D$35,SUMPRODUCT((T1693&gt;=BenchmarkResults!$F$3:$F$35)*(mongodb_hardware_log!T1693&lt;BenchmarkResults!$G$3:$G$35)*ROW(BenchmarkResults!$F$3:$F$35)),{1,3})</f>
        <v>q4_category_revenue</v>
      </c>
      <c r="B1693">
        <v>2</v>
      </c>
      <c r="C1693" s="13">
        <v>1</v>
      </c>
      <c r="D1693" s="13">
        <v>0</v>
      </c>
      <c r="E1693" s="13">
        <v>219904</v>
      </c>
      <c r="F1693" s="13">
        <v>155348</v>
      </c>
      <c r="G1693" s="13">
        <v>408</v>
      </c>
      <c r="H1693" s="13">
        <v>2300216</v>
      </c>
      <c r="I1693" s="13">
        <v>18</v>
      </c>
      <c r="J1693" s="13">
        <v>0</v>
      </c>
      <c r="K1693" s="13">
        <v>14180</v>
      </c>
      <c r="L1693" s="13">
        <v>39</v>
      </c>
      <c r="M1693" s="13">
        <v>2983</v>
      </c>
      <c r="N1693" s="13">
        <v>2209</v>
      </c>
      <c r="O1693" s="13">
        <v>20</v>
      </c>
      <c r="P1693" s="13">
        <v>8</v>
      </c>
      <c r="Q1693" s="13">
        <v>49</v>
      </c>
      <c r="R1693" s="13">
        <v>22</v>
      </c>
      <c r="S1693" s="13">
        <v>0</v>
      </c>
      <c r="T1693" s="23">
        <v>46247.680046296293</v>
      </c>
      <c r="U1693" s="55">
        <f t="shared" si="78"/>
        <v>0.83333333333333337</v>
      </c>
      <c r="V1693" s="55">
        <f t="shared" si="79"/>
        <v>0.16666666666666666</v>
      </c>
      <c r="W1693" s="56">
        <f t="shared" si="80"/>
        <v>13601.166666666666</v>
      </c>
    </row>
    <row r="1694" spans="1:23" x14ac:dyDescent="0.3">
      <c r="A1694" s="13" t="str" cm="1">
        <f t="array" ref="A1694:B1694">INDEX(BenchmarkResults!$B$1:$D$35,SUMPRODUCT((T1694&gt;=BenchmarkResults!$F$3:$F$35)*(mongodb_hardware_log!T1694&lt;BenchmarkResults!$G$3:$G$35)*ROW(BenchmarkResults!$F$3:$F$35)),{1,3})</f>
        <v>q4_category_revenue</v>
      </c>
      <c r="B1694">
        <v>2</v>
      </c>
      <c r="C1694" s="13">
        <v>1</v>
      </c>
      <c r="D1694" s="13">
        <v>0</v>
      </c>
      <c r="E1694" s="13">
        <v>221696</v>
      </c>
      <c r="F1694" s="13">
        <v>147000</v>
      </c>
      <c r="G1694" s="13">
        <v>416</v>
      </c>
      <c r="H1694" s="13">
        <v>2306280</v>
      </c>
      <c r="I1694" s="13">
        <v>8</v>
      </c>
      <c r="J1694" s="13">
        <v>202</v>
      </c>
      <c r="K1694" s="13">
        <v>13780</v>
      </c>
      <c r="L1694" s="13">
        <v>232</v>
      </c>
      <c r="M1694" s="13">
        <v>2880</v>
      </c>
      <c r="N1694" s="13">
        <v>1995</v>
      </c>
      <c r="O1694" s="13">
        <v>20</v>
      </c>
      <c r="P1694" s="13">
        <v>7</v>
      </c>
      <c r="Q1694" s="13">
        <v>50</v>
      </c>
      <c r="R1694" s="13">
        <v>22</v>
      </c>
      <c r="S1694" s="13">
        <v>0</v>
      </c>
      <c r="T1694" s="23">
        <v>46247.680162037039</v>
      </c>
      <c r="U1694" s="55">
        <f t="shared" si="78"/>
        <v>0.83333333333333337</v>
      </c>
      <c r="V1694" s="55">
        <f t="shared" si="79"/>
        <v>0.16666666666666666</v>
      </c>
      <c r="W1694" s="56">
        <f t="shared" si="80"/>
        <v>13637.833333333334</v>
      </c>
    </row>
    <row r="1695" spans="1:23" x14ac:dyDescent="0.3">
      <c r="A1695" s="13" t="str" cm="1">
        <f t="array" ref="A1695:B1695">INDEX(BenchmarkResults!$B$1:$D$35,SUMPRODUCT((T1695&gt;=BenchmarkResults!$F$3:$F$35)*(mongodb_hardware_log!T1695&lt;BenchmarkResults!$G$3:$G$35)*ROW(BenchmarkResults!$F$3:$F$35)),{1,3})</f>
        <v>q4_category_revenue</v>
      </c>
      <c r="B1695">
        <v>2</v>
      </c>
      <c r="C1695" s="13">
        <v>2</v>
      </c>
      <c r="D1695" s="13">
        <v>0</v>
      </c>
      <c r="E1695" s="13">
        <v>221696</v>
      </c>
      <c r="F1695" s="13">
        <v>117276</v>
      </c>
      <c r="G1695" s="13">
        <v>436</v>
      </c>
      <c r="H1695" s="13">
        <v>2333232</v>
      </c>
      <c r="I1695" s="13">
        <v>5</v>
      </c>
      <c r="J1695" s="13">
        <v>0</v>
      </c>
      <c r="K1695" s="13">
        <v>13604</v>
      </c>
      <c r="L1695" s="13">
        <v>23</v>
      </c>
      <c r="M1695" s="13">
        <v>2661</v>
      </c>
      <c r="N1695" s="13">
        <v>1865</v>
      </c>
      <c r="O1695" s="13">
        <v>21</v>
      </c>
      <c r="P1695" s="13">
        <v>7</v>
      </c>
      <c r="Q1695" s="13">
        <v>50</v>
      </c>
      <c r="R1695" s="13">
        <v>22</v>
      </c>
      <c r="S1695" s="13">
        <v>0</v>
      </c>
      <c r="T1695" s="23">
        <v>46247.680277777778</v>
      </c>
      <c r="U1695" s="55">
        <f t="shared" si="78"/>
        <v>1</v>
      </c>
      <c r="V1695" s="55">
        <f t="shared" si="79"/>
        <v>0.16666666666666666</v>
      </c>
      <c r="W1695" s="56">
        <f t="shared" si="80"/>
        <v>13615.333333333334</v>
      </c>
    </row>
    <row r="1696" spans="1:23" x14ac:dyDescent="0.3">
      <c r="A1696" s="13" t="str" cm="1">
        <f t="array" ref="A1696:B1696">INDEX(BenchmarkResults!$B$1:$D$35,SUMPRODUCT((T1696&gt;=BenchmarkResults!$F$3:$F$35)*(mongodb_hardware_log!T1696&lt;BenchmarkResults!$G$3:$G$35)*ROW(BenchmarkResults!$F$3:$F$35)),{1,3})</f>
        <v>q4_category_revenue</v>
      </c>
      <c r="B1696">
        <v>2</v>
      </c>
      <c r="C1696" s="13">
        <v>0</v>
      </c>
      <c r="D1696" s="13">
        <v>1</v>
      </c>
      <c r="E1696" s="13">
        <v>221696</v>
      </c>
      <c r="F1696" s="13">
        <v>148952</v>
      </c>
      <c r="G1696" s="13">
        <v>444</v>
      </c>
      <c r="H1696" s="13">
        <v>2308076</v>
      </c>
      <c r="I1696" s="13">
        <v>6</v>
      </c>
      <c r="J1696" s="13">
        <v>0</v>
      </c>
      <c r="K1696" s="13">
        <v>14106</v>
      </c>
      <c r="L1696" s="13">
        <v>11</v>
      </c>
      <c r="M1696" s="13">
        <v>2522</v>
      </c>
      <c r="N1696" s="13">
        <v>1639</v>
      </c>
      <c r="O1696" s="13">
        <v>21</v>
      </c>
      <c r="P1696" s="13">
        <v>6</v>
      </c>
      <c r="Q1696" s="13">
        <v>51</v>
      </c>
      <c r="R1696" s="13">
        <v>22</v>
      </c>
      <c r="S1696" s="13">
        <v>0</v>
      </c>
      <c r="T1696" s="23">
        <v>46247.680393518516</v>
      </c>
      <c r="U1696" s="55">
        <f t="shared" si="78"/>
        <v>1</v>
      </c>
      <c r="V1696" s="55">
        <f t="shared" si="79"/>
        <v>0.16666666666666666</v>
      </c>
      <c r="W1696" s="56">
        <f t="shared" si="80"/>
        <v>13680.166666666666</v>
      </c>
    </row>
    <row r="1697" spans="1:23" x14ac:dyDescent="0.3">
      <c r="A1697" s="13" t="str" cm="1">
        <f t="array" ref="A1697:B1697">INDEX(BenchmarkResults!$B$1:$D$35,SUMPRODUCT((T1697&gt;=BenchmarkResults!$F$3:$F$35)*(mongodb_hardware_log!T1697&lt;BenchmarkResults!$G$3:$G$35)*ROW(BenchmarkResults!$F$3:$F$35)),{1,3})</f>
        <v>q4_category_revenue</v>
      </c>
      <c r="B1697">
        <v>2</v>
      </c>
      <c r="C1697" s="13">
        <v>2</v>
      </c>
      <c r="D1697" s="13">
        <v>0</v>
      </c>
      <c r="E1697" s="13">
        <v>221696</v>
      </c>
      <c r="F1697" s="13">
        <v>154548</v>
      </c>
      <c r="G1697" s="13">
        <v>452</v>
      </c>
      <c r="H1697" s="13">
        <v>2295488</v>
      </c>
      <c r="I1697" s="13">
        <v>2</v>
      </c>
      <c r="J1697" s="13">
        <v>0</v>
      </c>
      <c r="K1697" s="13">
        <v>15052</v>
      </c>
      <c r="L1697" s="13">
        <v>9</v>
      </c>
      <c r="M1697" s="13">
        <v>2644</v>
      </c>
      <c r="N1697" s="13">
        <v>1770</v>
      </c>
      <c r="O1697" s="13">
        <v>20</v>
      </c>
      <c r="P1697" s="13">
        <v>6</v>
      </c>
      <c r="Q1697" s="13">
        <v>51</v>
      </c>
      <c r="R1697" s="13">
        <v>22</v>
      </c>
      <c r="S1697" s="13">
        <v>0</v>
      </c>
      <c r="T1697" s="23">
        <v>46247.680509259262</v>
      </c>
      <c r="U1697" s="55">
        <f t="shared" si="78"/>
        <v>1.1666666666666667</v>
      </c>
      <c r="V1697" s="55">
        <f t="shared" si="79"/>
        <v>0.16666666666666666</v>
      </c>
      <c r="W1697" s="56">
        <f t="shared" si="80"/>
        <v>14041.5</v>
      </c>
    </row>
    <row r="1698" spans="1:23" x14ac:dyDescent="0.3">
      <c r="A1698" s="13" t="str" cm="1">
        <f t="array" ref="A1698:B1698">INDEX(BenchmarkResults!$B$1:$D$35,SUMPRODUCT((T1698&gt;=BenchmarkResults!$F$3:$F$35)*(mongodb_hardware_log!T1698&lt;BenchmarkResults!$G$3:$G$35)*ROW(BenchmarkResults!$F$3:$F$35)),{1,3})</f>
        <v>q4_category_revenue</v>
      </c>
      <c r="B1698">
        <v>2</v>
      </c>
      <c r="C1698" s="13">
        <v>1</v>
      </c>
      <c r="D1698" s="13">
        <v>0</v>
      </c>
      <c r="E1698" s="13">
        <v>221696</v>
      </c>
      <c r="F1698" s="13">
        <v>131436</v>
      </c>
      <c r="G1698" s="13">
        <v>460</v>
      </c>
      <c r="H1698" s="13">
        <v>2330896</v>
      </c>
      <c r="I1698" s="13">
        <v>0</v>
      </c>
      <c r="J1698" s="13">
        <v>0</v>
      </c>
      <c r="K1698" s="13">
        <v>13896</v>
      </c>
      <c r="L1698" s="13">
        <v>16</v>
      </c>
      <c r="M1698" s="13">
        <v>2828</v>
      </c>
      <c r="N1698" s="13">
        <v>1980</v>
      </c>
      <c r="O1698" s="13">
        <v>20</v>
      </c>
      <c r="P1698" s="13">
        <v>8</v>
      </c>
      <c r="Q1698" s="13">
        <v>48</v>
      </c>
      <c r="R1698" s="13">
        <v>23</v>
      </c>
      <c r="S1698" s="13">
        <v>1</v>
      </c>
      <c r="T1698" s="23">
        <v>46247.680625000001</v>
      </c>
      <c r="U1698" s="55">
        <f t="shared" si="78"/>
        <v>1.1666666666666667</v>
      </c>
      <c r="V1698" s="55">
        <f t="shared" si="79"/>
        <v>0.16666666666666666</v>
      </c>
      <c r="W1698" s="56">
        <f t="shared" si="80"/>
        <v>14103</v>
      </c>
    </row>
    <row r="1699" spans="1:23" x14ac:dyDescent="0.3">
      <c r="A1699" s="13" t="str" cm="1">
        <f t="array" ref="A1699:B1699">INDEX(BenchmarkResults!$B$1:$D$35,SUMPRODUCT((T1699&gt;=BenchmarkResults!$F$3:$F$35)*(mongodb_hardware_log!T1699&lt;BenchmarkResults!$G$3:$G$35)*ROW(BenchmarkResults!$F$3:$F$35)),{1,3})</f>
        <v>q4_category_revenue</v>
      </c>
      <c r="B1699">
        <v>2</v>
      </c>
      <c r="C1699" s="13">
        <v>1</v>
      </c>
      <c r="D1699" s="13">
        <v>0</v>
      </c>
      <c r="E1699" s="13">
        <v>221696</v>
      </c>
      <c r="F1699" s="13">
        <v>112696</v>
      </c>
      <c r="G1699" s="13">
        <v>492</v>
      </c>
      <c r="H1699" s="13">
        <v>2333964</v>
      </c>
      <c r="I1699" s="13">
        <v>4</v>
      </c>
      <c r="J1699" s="13">
        <v>0</v>
      </c>
      <c r="K1699" s="13">
        <v>14903</v>
      </c>
      <c r="L1699" s="13">
        <v>28</v>
      </c>
      <c r="M1699" s="13">
        <v>2682</v>
      </c>
      <c r="N1699" s="13">
        <v>1804</v>
      </c>
      <c r="O1699" s="13">
        <v>22</v>
      </c>
      <c r="P1699" s="13">
        <v>7</v>
      </c>
      <c r="Q1699" s="13">
        <v>49</v>
      </c>
      <c r="R1699" s="13">
        <v>22</v>
      </c>
      <c r="S1699" s="13">
        <v>0</v>
      </c>
      <c r="T1699" s="23">
        <v>46247.68074074074</v>
      </c>
      <c r="U1699" s="55">
        <f t="shared" si="78"/>
        <v>1.1666666666666667</v>
      </c>
      <c r="V1699" s="55">
        <f t="shared" si="79"/>
        <v>0.16666666666666666</v>
      </c>
      <c r="W1699" s="56">
        <f t="shared" si="80"/>
        <v>14223.5</v>
      </c>
    </row>
    <row r="1700" spans="1:23" x14ac:dyDescent="0.3">
      <c r="A1700" s="13" t="str" cm="1">
        <f t="array" ref="A1700:B1700">INDEX(BenchmarkResults!$B$1:$D$35,SUMPRODUCT((T1700&gt;=BenchmarkResults!$F$3:$F$35)*(mongodb_hardware_log!T1700&lt;BenchmarkResults!$G$3:$G$35)*ROW(BenchmarkResults!$F$3:$F$35)),{1,3})</f>
        <v>q4_category_revenue</v>
      </c>
      <c r="B1700">
        <v>2</v>
      </c>
      <c r="C1700" s="13">
        <v>0</v>
      </c>
      <c r="D1700" s="13">
        <v>1</v>
      </c>
      <c r="E1700" s="13">
        <v>221440</v>
      </c>
      <c r="F1700" s="13">
        <v>138540</v>
      </c>
      <c r="G1700" s="13">
        <v>500</v>
      </c>
      <c r="H1700" s="13">
        <v>2317544</v>
      </c>
      <c r="I1700" s="13">
        <v>2</v>
      </c>
      <c r="J1700" s="13">
        <v>0</v>
      </c>
      <c r="K1700" s="13">
        <v>14915</v>
      </c>
      <c r="L1700" s="13">
        <v>8</v>
      </c>
      <c r="M1700" s="13">
        <v>2789</v>
      </c>
      <c r="N1700" s="13">
        <v>1953</v>
      </c>
      <c r="O1700" s="13">
        <v>20</v>
      </c>
      <c r="P1700" s="13">
        <v>7</v>
      </c>
      <c r="Q1700" s="13">
        <v>50</v>
      </c>
      <c r="R1700" s="13">
        <v>22</v>
      </c>
      <c r="S1700" s="13">
        <v>0</v>
      </c>
      <c r="T1700" s="23">
        <v>46247.680856481478</v>
      </c>
      <c r="U1700" s="55">
        <f t="shared" si="78"/>
        <v>1</v>
      </c>
      <c r="V1700" s="55">
        <f t="shared" si="79"/>
        <v>0.33333333333333331</v>
      </c>
      <c r="W1700" s="56">
        <f t="shared" si="80"/>
        <v>14412.666666666666</v>
      </c>
    </row>
    <row r="1701" spans="1:23" x14ac:dyDescent="0.3">
      <c r="A1701" s="13" t="str" cm="1">
        <f t="array" ref="A1701:B1701">INDEX(BenchmarkResults!$B$1:$D$35,SUMPRODUCT((T1701&gt;=BenchmarkResults!$F$3:$F$35)*(mongodb_hardware_log!T1701&lt;BenchmarkResults!$G$3:$G$35)*ROW(BenchmarkResults!$F$3:$F$35)),{1,3})</f>
        <v>q4_category_revenue</v>
      </c>
      <c r="B1701">
        <v>2</v>
      </c>
      <c r="C1701" s="13">
        <v>0</v>
      </c>
      <c r="D1701" s="13">
        <v>1</v>
      </c>
      <c r="E1701" s="13">
        <v>221440</v>
      </c>
      <c r="F1701" s="13">
        <v>120492</v>
      </c>
      <c r="G1701" s="13">
        <v>508</v>
      </c>
      <c r="H1701" s="13">
        <v>2335488</v>
      </c>
      <c r="I1701" s="13">
        <v>6</v>
      </c>
      <c r="J1701" s="13">
        <v>0</v>
      </c>
      <c r="K1701" s="13">
        <v>13674</v>
      </c>
      <c r="L1701" s="13">
        <v>10</v>
      </c>
      <c r="M1701" s="13">
        <v>2765</v>
      </c>
      <c r="N1701" s="13">
        <v>1956</v>
      </c>
      <c r="O1701" s="13">
        <v>21</v>
      </c>
      <c r="P1701" s="13">
        <v>8</v>
      </c>
      <c r="Q1701" s="13">
        <v>51</v>
      </c>
      <c r="R1701" s="13">
        <v>20</v>
      </c>
      <c r="S1701" s="13">
        <v>0</v>
      </c>
      <c r="T1701" s="23">
        <v>46247.680972222224</v>
      </c>
      <c r="U1701" s="55">
        <f t="shared" si="78"/>
        <v>0.66666666666666663</v>
      </c>
      <c r="V1701" s="55">
        <f t="shared" si="79"/>
        <v>0.5</v>
      </c>
      <c r="W1701" s="56">
        <f t="shared" si="80"/>
        <v>14424.333333333334</v>
      </c>
    </row>
    <row r="1702" spans="1:23" x14ac:dyDescent="0.3">
      <c r="A1702" s="13" t="str" cm="1">
        <f t="array" ref="A1702:B1702">INDEX(BenchmarkResults!$B$1:$D$35,SUMPRODUCT((T1702&gt;=BenchmarkResults!$F$3:$F$35)*(mongodb_hardware_log!T1702&lt;BenchmarkResults!$G$3:$G$35)*ROW(BenchmarkResults!$F$3:$F$35)),{1,3})</f>
        <v>q4_category_revenue</v>
      </c>
      <c r="B1702">
        <v>2</v>
      </c>
      <c r="C1702" s="13">
        <v>1</v>
      </c>
      <c r="D1702" s="13">
        <v>0</v>
      </c>
      <c r="E1702" s="13">
        <v>221184</v>
      </c>
      <c r="F1702" s="13">
        <v>107972</v>
      </c>
      <c r="G1702" s="13">
        <v>520</v>
      </c>
      <c r="H1702" s="13">
        <v>2341908</v>
      </c>
      <c r="I1702" s="13">
        <v>3</v>
      </c>
      <c r="J1702" s="13">
        <v>0</v>
      </c>
      <c r="K1702" s="13">
        <v>15908</v>
      </c>
      <c r="L1702" s="13">
        <v>16</v>
      </c>
      <c r="M1702" s="13">
        <v>2913</v>
      </c>
      <c r="N1702" s="13">
        <v>1978</v>
      </c>
      <c r="O1702" s="13">
        <v>19</v>
      </c>
      <c r="P1702" s="13">
        <v>8</v>
      </c>
      <c r="Q1702" s="13">
        <v>49</v>
      </c>
      <c r="R1702" s="13">
        <v>23</v>
      </c>
      <c r="S1702" s="13">
        <v>0</v>
      </c>
      <c r="T1702" s="23">
        <v>46247.681087962963</v>
      </c>
      <c r="U1702" s="55">
        <f t="shared" si="78"/>
        <v>0.83333333333333337</v>
      </c>
      <c r="V1702" s="55">
        <f t="shared" si="79"/>
        <v>0.33333333333333331</v>
      </c>
      <c r="W1702" s="56">
        <f t="shared" si="80"/>
        <v>14724.666666666666</v>
      </c>
    </row>
    <row r="1703" spans="1:23" x14ac:dyDescent="0.3">
      <c r="A1703" s="13" t="str" cm="1">
        <f t="array" ref="A1703:B1703">INDEX(BenchmarkResults!$B$1:$D$35,SUMPRODUCT((T1703&gt;=BenchmarkResults!$F$3:$F$35)*(mongodb_hardware_log!T1703&lt;BenchmarkResults!$G$3:$G$35)*ROW(BenchmarkResults!$F$3:$F$35)),{1,3})</f>
        <v>q4_category_revenue</v>
      </c>
      <c r="B1703">
        <v>2</v>
      </c>
      <c r="C1703" s="13">
        <v>1</v>
      </c>
      <c r="D1703" s="13">
        <v>0</v>
      </c>
      <c r="E1703" s="13">
        <v>221184</v>
      </c>
      <c r="F1703" s="13">
        <v>117456</v>
      </c>
      <c r="G1703" s="13">
        <v>208</v>
      </c>
      <c r="H1703" s="13">
        <v>2338184</v>
      </c>
      <c r="I1703" s="13">
        <v>3</v>
      </c>
      <c r="J1703" s="13">
        <v>9</v>
      </c>
      <c r="K1703" s="13">
        <v>15285</v>
      </c>
      <c r="L1703" s="13">
        <v>15</v>
      </c>
      <c r="M1703" s="13">
        <v>2705</v>
      </c>
      <c r="N1703" s="13">
        <v>1808</v>
      </c>
      <c r="O1703" s="13">
        <v>20</v>
      </c>
      <c r="P1703" s="13">
        <v>9</v>
      </c>
      <c r="Q1703" s="13">
        <v>48</v>
      </c>
      <c r="R1703" s="13">
        <v>22</v>
      </c>
      <c r="S1703" s="13">
        <v>0</v>
      </c>
      <c r="T1703" s="23">
        <v>46247.681203703702</v>
      </c>
      <c r="U1703" s="55">
        <f t="shared" si="78"/>
        <v>0.66666666666666663</v>
      </c>
      <c r="V1703" s="55">
        <f t="shared" si="79"/>
        <v>0.33333333333333331</v>
      </c>
      <c r="W1703" s="56">
        <f t="shared" si="80"/>
        <v>14763.5</v>
      </c>
    </row>
    <row r="1704" spans="1:23" x14ac:dyDescent="0.3">
      <c r="A1704" s="13" t="str" cm="1">
        <f t="array" ref="A1704:B1704">INDEX(BenchmarkResults!$B$1:$D$35,SUMPRODUCT((T1704&gt;=BenchmarkResults!$F$3:$F$35)*(mongodb_hardware_log!T1704&lt;BenchmarkResults!$G$3:$G$35)*ROW(BenchmarkResults!$F$3:$F$35)),{1,3})</f>
        <v>q4_category_revenue</v>
      </c>
      <c r="B1704">
        <v>2</v>
      </c>
      <c r="C1704" s="13">
        <v>0</v>
      </c>
      <c r="D1704" s="13">
        <v>1</v>
      </c>
      <c r="E1704" s="13">
        <v>221184</v>
      </c>
      <c r="F1704" s="13">
        <v>138184</v>
      </c>
      <c r="G1704" s="13">
        <v>224</v>
      </c>
      <c r="H1704" s="13">
        <v>2320304</v>
      </c>
      <c r="I1704" s="13">
        <v>4</v>
      </c>
      <c r="J1704" s="13">
        <v>8</v>
      </c>
      <c r="K1704" s="13">
        <v>17300</v>
      </c>
      <c r="L1704" s="13">
        <v>41</v>
      </c>
      <c r="M1704" s="13">
        <v>2951</v>
      </c>
      <c r="N1704" s="13">
        <v>2008</v>
      </c>
      <c r="O1704" s="13">
        <v>20</v>
      </c>
      <c r="P1704" s="13">
        <v>7</v>
      </c>
      <c r="Q1704" s="13">
        <v>48</v>
      </c>
      <c r="R1704" s="13">
        <v>25</v>
      </c>
      <c r="S1704" s="13">
        <v>0</v>
      </c>
      <c r="T1704" s="23">
        <v>46247.681319444448</v>
      </c>
      <c r="U1704" s="55">
        <f t="shared" si="78"/>
        <v>0.5</v>
      </c>
      <c r="V1704" s="55">
        <f t="shared" si="79"/>
        <v>0.5</v>
      </c>
      <c r="W1704" s="56">
        <f t="shared" si="80"/>
        <v>15330.833333333334</v>
      </c>
    </row>
    <row r="1705" spans="1:23" x14ac:dyDescent="0.3">
      <c r="A1705" s="13" t="str" cm="1">
        <f t="array" ref="A1705:B1705">INDEX(BenchmarkResults!$B$1:$D$35,SUMPRODUCT((T1705&gt;=BenchmarkResults!$F$3:$F$35)*(mongodb_hardware_log!T1705&lt;BenchmarkResults!$G$3:$G$35)*ROW(BenchmarkResults!$F$3:$F$35)),{1,3})</f>
        <v>q4_category_revenue</v>
      </c>
      <c r="B1705">
        <v>2</v>
      </c>
      <c r="C1705" s="13">
        <v>1</v>
      </c>
      <c r="D1705" s="13">
        <v>0</v>
      </c>
      <c r="E1705" s="13">
        <v>221184</v>
      </c>
      <c r="F1705" s="13">
        <v>113464</v>
      </c>
      <c r="G1705" s="13">
        <v>264</v>
      </c>
      <c r="H1705" s="13">
        <v>2337216</v>
      </c>
      <c r="I1705" s="13">
        <v>3</v>
      </c>
      <c r="J1705" s="13">
        <v>0</v>
      </c>
      <c r="K1705" s="13">
        <v>15308</v>
      </c>
      <c r="L1705" s="13">
        <v>39</v>
      </c>
      <c r="M1705" s="13">
        <v>2841</v>
      </c>
      <c r="N1705" s="13">
        <v>1985</v>
      </c>
      <c r="O1705" s="13">
        <v>20</v>
      </c>
      <c r="P1705" s="13">
        <v>7</v>
      </c>
      <c r="Q1705" s="13">
        <v>48</v>
      </c>
      <c r="R1705" s="13">
        <v>24</v>
      </c>
      <c r="S1705" s="13">
        <v>0</v>
      </c>
      <c r="T1705" s="23">
        <v>46247.681435185186</v>
      </c>
      <c r="U1705" s="55">
        <f t="shared" si="78"/>
        <v>0.5</v>
      </c>
      <c r="V1705" s="55">
        <f t="shared" si="79"/>
        <v>0.5</v>
      </c>
      <c r="W1705" s="56">
        <f t="shared" si="80"/>
        <v>15398.333333333334</v>
      </c>
    </row>
    <row r="1706" spans="1:23" x14ac:dyDescent="0.3">
      <c r="A1706" s="13" t="str" cm="1">
        <f t="array" ref="A1706:B1706">INDEX(BenchmarkResults!$B$1:$D$35,SUMPRODUCT((T1706&gt;=BenchmarkResults!$F$3:$F$35)*(mongodb_hardware_log!T1706&lt;BenchmarkResults!$G$3:$G$35)*ROW(BenchmarkResults!$F$3:$F$35)),{1,3})</f>
        <v>q4_category_revenue</v>
      </c>
      <c r="B1706">
        <v>2</v>
      </c>
      <c r="C1706" s="13">
        <v>1</v>
      </c>
      <c r="D1706" s="13">
        <v>0</v>
      </c>
      <c r="E1706" s="13">
        <v>221440</v>
      </c>
      <c r="F1706" s="13">
        <v>135796</v>
      </c>
      <c r="G1706" s="13">
        <v>272</v>
      </c>
      <c r="H1706" s="13">
        <v>2319932</v>
      </c>
      <c r="I1706" s="13">
        <v>5</v>
      </c>
      <c r="J1706" s="13">
        <v>18</v>
      </c>
      <c r="K1706" s="13">
        <v>13901</v>
      </c>
      <c r="L1706" s="13">
        <v>24</v>
      </c>
      <c r="M1706" s="13">
        <v>2520</v>
      </c>
      <c r="N1706" s="13">
        <v>1735</v>
      </c>
      <c r="O1706" s="13">
        <v>21</v>
      </c>
      <c r="P1706" s="13">
        <v>7</v>
      </c>
      <c r="Q1706" s="13">
        <v>50</v>
      </c>
      <c r="R1706" s="13">
        <v>22</v>
      </c>
      <c r="S1706" s="13">
        <v>0</v>
      </c>
      <c r="T1706" s="23">
        <v>46247.681550925925</v>
      </c>
      <c r="U1706" s="55">
        <f t="shared" si="78"/>
        <v>0.66666666666666663</v>
      </c>
      <c r="V1706" s="55">
        <f t="shared" si="79"/>
        <v>0.33333333333333331</v>
      </c>
      <c r="W1706" s="56">
        <f t="shared" si="80"/>
        <v>15229.333333333334</v>
      </c>
    </row>
    <row r="1707" spans="1:23" x14ac:dyDescent="0.3">
      <c r="A1707" s="13" t="str" cm="1">
        <f t="array" ref="A1707:B1707">INDEX(BenchmarkResults!$B$1:$D$35,SUMPRODUCT((T1707&gt;=BenchmarkResults!$F$3:$F$35)*(mongodb_hardware_log!T1707&lt;BenchmarkResults!$G$3:$G$35)*ROW(BenchmarkResults!$F$3:$F$35)),{1,3})</f>
        <v>q4_category_revenue</v>
      </c>
      <c r="B1707">
        <v>2</v>
      </c>
      <c r="C1707" s="13">
        <v>1</v>
      </c>
      <c r="D1707" s="13">
        <v>0</v>
      </c>
      <c r="E1707" s="13">
        <v>223232</v>
      </c>
      <c r="F1707" s="13">
        <v>126924</v>
      </c>
      <c r="G1707" s="13">
        <v>280</v>
      </c>
      <c r="H1707" s="13">
        <v>2324200</v>
      </c>
      <c r="I1707" s="13">
        <v>2</v>
      </c>
      <c r="J1707" s="13">
        <v>174</v>
      </c>
      <c r="K1707" s="13">
        <v>15859</v>
      </c>
      <c r="L1707" s="13">
        <v>184</v>
      </c>
      <c r="M1707" s="13">
        <v>2748</v>
      </c>
      <c r="N1707" s="13">
        <v>1945</v>
      </c>
      <c r="O1707" s="13">
        <v>20</v>
      </c>
      <c r="P1707" s="13">
        <v>8</v>
      </c>
      <c r="Q1707" s="13">
        <v>50</v>
      </c>
      <c r="R1707" s="13">
        <v>23</v>
      </c>
      <c r="S1707" s="13">
        <v>0</v>
      </c>
      <c r="T1707" s="23">
        <v>46247.681666666664</v>
      </c>
      <c r="U1707" s="55">
        <f t="shared" si="78"/>
        <v>0.83333333333333337</v>
      </c>
      <c r="V1707" s="55">
        <f t="shared" si="79"/>
        <v>0.16666666666666666</v>
      </c>
      <c r="W1707" s="56">
        <f t="shared" si="80"/>
        <v>15593.5</v>
      </c>
    </row>
    <row r="1708" spans="1:23" x14ac:dyDescent="0.3">
      <c r="A1708" s="13" t="str" cm="1">
        <f t="array" ref="A1708:B1708">INDEX(BenchmarkResults!$B$1:$D$35,SUMPRODUCT((T1708&gt;=BenchmarkResults!$F$3:$F$35)*(mongodb_hardware_log!T1708&lt;BenchmarkResults!$G$3:$G$35)*ROW(BenchmarkResults!$F$3:$F$35)),{1,3})</f>
        <v>q4_category_revenue</v>
      </c>
      <c r="B1708">
        <v>2</v>
      </c>
      <c r="C1708" s="13">
        <v>0</v>
      </c>
      <c r="D1708" s="13">
        <v>1</v>
      </c>
      <c r="E1708" s="13">
        <v>222464</v>
      </c>
      <c r="F1708" s="13">
        <v>145984</v>
      </c>
      <c r="G1708" s="13">
        <v>420</v>
      </c>
      <c r="H1708" s="13">
        <v>2317284</v>
      </c>
      <c r="I1708" s="13">
        <v>217</v>
      </c>
      <c r="J1708" s="13">
        <v>0</v>
      </c>
      <c r="K1708" s="13">
        <v>15918</v>
      </c>
      <c r="L1708" s="13">
        <v>32</v>
      </c>
      <c r="M1708" s="13">
        <v>2721</v>
      </c>
      <c r="N1708" s="13">
        <v>1816</v>
      </c>
      <c r="O1708" s="13">
        <v>21</v>
      </c>
      <c r="P1708" s="13">
        <v>7</v>
      </c>
      <c r="Q1708" s="13">
        <v>47</v>
      </c>
      <c r="R1708" s="13">
        <v>24</v>
      </c>
      <c r="S1708" s="13">
        <v>1</v>
      </c>
      <c r="T1708" s="23">
        <v>46247.68178240741</v>
      </c>
      <c r="U1708" s="55">
        <f t="shared" si="78"/>
        <v>0.66666666666666663</v>
      </c>
      <c r="V1708" s="55">
        <f t="shared" si="79"/>
        <v>0.33333333333333331</v>
      </c>
      <c r="W1708" s="56">
        <f t="shared" si="80"/>
        <v>15595.166666666666</v>
      </c>
    </row>
    <row r="1709" spans="1:23" x14ac:dyDescent="0.3">
      <c r="A1709" s="13" t="str" cm="1">
        <f t="array" ref="A1709:B1709">INDEX(BenchmarkResults!$B$1:$D$35,SUMPRODUCT((T1709&gt;=BenchmarkResults!$F$3:$F$35)*(mongodb_hardware_log!T1709&lt;BenchmarkResults!$G$3:$G$35)*ROW(BenchmarkResults!$F$3:$F$35)),{1,3})</f>
        <v>q4_category_revenue</v>
      </c>
      <c r="B1709">
        <v>2</v>
      </c>
      <c r="C1709" s="13">
        <v>2</v>
      </c>
      <c r="D1709" s="13">
        <v>0</v>
      </c>
      <c r="E1709" s="13">
        <v>222464</v>
      </c>
      <c r="F1709" s="13">
        <v>119416</v>
      </c>
      <c r="G1709" s="13">
        <v>428</v>
      </c>
      <c r="H1709" s="13">
        <v>2321140</v>
      </c>
      <c r="I1709" s="13">
        <v>7</v>
      </c>
      <c r="J1709" s="13">
        <v>0</v>
      </c>
      <c r="K1709" s="13">
        <v>16911</v>
      </c>
      <c r="L1709" s="13">
        <v>19</v>
      </c>
      <c r="M1709" s="13">
        <v>2724</v>
      </c>
      <c r="N1709" s="13">
        <v>1862</v>
      </c>
      <c r="O1709" s="13">
        <v>19</v>
      </c>
      <c r="P1709" s="13">
        <v>7</v>
      </c>
      <c r="Q1709" s="13">
        <v>48</v>
      </c>
      <c r="R1709" s="13">
        <v>25</v>
      </c>
      <c r="S1709" s="13">
        <v>1</v>
      </c>
      <c r="T1709" s="23">
        <v>46247.681898148148</v>
      </c>
      <c r="U1709" s="55">
        <f t="shared" si="78"/>
        <v>0.83333333333333337</v>
      </c>
      <c r="V1709" s="55">
        <f t="shared" si="79"/>
        <v>0.33333333333333331</v>
      </c>
      <c r="W1709" s="56">
        <f t="shared" si="80"/>
        <v>15866.166666666666</v>
      </c>
    </row>
    <row r="1710" spans="1:23" x14ac:dyDescent="0.3">
      <c r="A1710" s="13" t="str" cm="1">
        <f t="array" ref="A1710:B1710">INDEX(BenchmarkResults!$B$1:$D$35,SUMPRODUCT((T1710&gt;=BenchmarkResults!$F$3:$F$35)*(mongodb_hardware_log!T1710&lt;BenchmarkResults!$G$3:$G$35)*ROW(BenchmarkResults!$F$3:$F$35)),{1,3})</f>
        <v>q4_category_revenue</v>
      </c>
      <c r="B1710">
        <v>2</v>
      </c>
      <c r="C1710" s="13">
        <v>1</v>
      </c>
      <c r="D1710" s="13">
        <v>0</v>
      </c>
      <c r="E1710" s="13">
        <v>220672</v>
      </c>
      <c r="F1710" s="13">
        <v>114688</v>
      </c>
      <c r="G1710" s="13">
        <v>424</v>
      </c>
      <c r="H1710" s="13">
        <v>2335008</v>
      </c>
      <c r="I1710" s="13">
        <v>168</v>
      </c>
      <c r="J1710" s="13">
        <v>0</v>
      </c>
      <c r="K1710" s="13">
        <v>16581</v>
      </c>
      <c r="L1710" s="13">
        <v>12</v>
      </c>
      <c r="M1710" s="13">
        <v>3231</v>
      </c>
      <c r="N1710" s="13">
        <v>2204</v>
      </c>
      <c r="O1710" s="13">
        <v>21</v>
      </c>
      <c r="P1710" s="13">
        <v>8</v>
      </c>
      <c r="Q1710" s="13">
        <v>46</v>
      </c>
      <c r="R1710" s="13">
        <v>25</v>
      </c>
      <c r="S1710" s="13">
        <v>1</v>
      </c>
      <c r="T1710" s="23">
        <v>46247.682013888887</v>
      </c>
      <c r="U1710" s="55">
        <f t="shared" si="78"/>
        <v>1</v>
      </c>
      <c r="V1710" s="55">
        <f t="shared" si="79"/>
        <v>0.16666666666666666</v>
      </c>
      <c r="W1710" s="56">
        <f t="shared" si="80"/>
        <v>15746.333333333334</v>
      </c>
    </row>
    <row r="1711" spans="1:23" x14ac:dyDescent="0.3">
      <c r="A1711" s="13" t="str" cm="1">
        <f t="array" ref="A1711:B1711">INDEX(BenchmarkResults!$B$1:$D$35,SUMPRODUCT((T1711&gt;=BenchmarkResults!$F$3:$F$35)*(mongodb_hardware_log!T1711&lt;BenchmarkResults!$G$3:$G$35)*ROW(BenchmarkResults!$F$3:$F$35)),{1,3})</f>
        <v>q4_category_revenue</v>
      </c>
      <c r="B1711">
        <v>2</v>
      </c>
      <c r="C1711" s="13">
        <v>1</v>
      </c>
      <c r="D1711" s="13">
        <v>0</v>
      </c>
      <c r="E1711" s="13">
        <v>220672</v>
      </c>
      <c r="F1711" s="13">
        <v>129540</v>
      </c>
      <c r="G1711" s="13">
        <v>460</v>
      </c>
      <c r="H1711" s="13">
        <v>2327256</v>
      </c>
      <c r="I1711" s="13">
        <v>9</v>
      </c>
      <c r="J1711" s="13">
        <v>0</v>
      </c>
      <c r="K1711" s="13">
        <v>19294</v>
      </c>
      <c r="L1711" s="13">
        <v>67</v>
      </c>
      <c r="M1711" s="13">
        <v>3370</v>
      </c>
      <c r="N1711" s="13">
        <v>2378</v>
      </c>
      <c r="O1711" s="13">
        <v>20</v>
      </c>
      <c r="P1711" s="13">
        <v>9</v>
      </c>
      <c r="Q1711" s="13">
        <v>46</v>
      </c>
      <c r="R1711" s="13">
        <v>25</v>
      </c>
      <c r="S1711" s="13">
        <v>1</v>
      </c>
      <c r="T1711" s="23">
        <v>46247.682129629633</v>
      </c>
      <c r="U1711" s="55">
        <f t="shared" si="78"/>
        <v>1</v>
      </c>
      <c r="V1711" s="55">
        <f t="shared" si="79"/>
        <v>0.16666666666666666</v>
      </c>
      <c r="W1711" s="56">
        <f t="shared" si="80"/>
        <v>16410.666666666668</v>
      </c>
    </row>
    <row r="1712" spans="1:23" x14ac:dyDescent="0.3">
      <c r="A1712" s="13" t="str" cm="1">
        <f t="array" ref="A1712:B1712">INDEX(BenchmarkResults!$B$1:$D$35,SUMPRODUCT((T1712&gt;=BenchmarkResults!$F$3:$F$35)*(mongodb_hardware_log!T1712&lt;BenchmarkResults!$G$3:$G$35)*ROW(BenchmarkResults!$F$3:$F$35)),{1,3})</f>
        <v>q4_category_revenue</v>
      </c>
      <c r="B1712">
        <v>2</v>
      </c>
      <c r="C1712" s="13">
        <v>0</v>
      </c>
      <c r="D1712" s="13">
        <v>1</v>
      </c>
      <c r="E1712" s="13">
        <v>220672</v>
      </c>
      <c r="F1712" s="13">
        <v>107136</v>
      </c>
      <c r="G1712" s="13">
        <v>468</v>
      </c>
      <c r="H1712" s="13">
        <v>2346812</v>
      </c>
      <c r="I1712" s="13">
        <v>3</v>
      </c>
      <c r="J1712" s="13">
        <v>0</v>
      </c>
      <c r="K1712" s="13">
        <v>21462</v>
      </c>
      <c r="L1712" s="13">
        <v>8</v>
      </c>
      <c r="M1712" s="13">
        <v>3573</v>
      </c>
      <c r="N1712" s="13">
        <v>2382</v>
      </c>
      <c r="O1712" s="13">
        <v>21</v>
      </c>
      <c r="P1712" s="13">
        <v>9</v>
      </c>
      <c r="Q1712" s="13">
        <v>45</v>
      </c>
      <c r="R1712" s="13">
        <v>24</v>
      </c>
      <c r="S1712" s="13">
        <v>0</v>
      </c>
      <c r="T1712" s="23">
        <v>46247.682245370372</v>
      </c>
      <c r="U1712" s="55">
        <f t="shared" si="78"/>
        <v>0.83333333333333337</v>
      </c>
      <c r="V1712" s="55">
        <f t="shared" si="79"/>
        <v>0.33333333333333331</v>
      </c>
      <c r="W1712" s="56">
        <f t="shared" si="80"/>
        <v>17670.833333333332</v>
      </c>
    </row>
    <row r="1713" spans="1:23" x14ac:dyDescent="0.3">
      <c r="A1713" s="13" t="str" cm="1">
        <f t="array" ref="A1713:B1713">INDEX(BenchmarkResults!$B$1:$D$35,SUMPRODUCT((T1713&gt;=BenchmarkResults!$F$3:$F$35)*(mongodb_hardware_log!T1713&lt;BenchmarkResults!$G$3:$G$35)*ROW(BenchmarkResults!$F$3:$F$35)),{1,3})</f>
        <v>q4_category_revenue</v>
      </c>
      <c r="B1713">
        <v>2</v>
      </c>
      <c r="C1713" s="13">
        <v>0</v>
      </c>
      <c r="D1713" s="13">
        <v>1</v>
      </c>
      <c r="E1713" s="13">
        <v>220160</v>
      </c>
      <c r="F1713" s="13">
        <v>121740</v>
      </c>
      <c r="G1713" s="13">
        <v>476</v>
      </c>
      <c r="H1713" s="13">
        <v>2329664</v>
      </c>
      <c r="I1713" s="13">
        <v>183</v>
      </c>
      <c r="J1713" s="13">
        <v>0</v>
      </c>
      <c r="K1713" s="13">
        <v>23726</v>
      </c>
      <c r="L1713" s="13">
        <v>12</v>
      </c>
      <c r="M1713" s="13">
        <v>3684</v>
      </c>
      <c r="N1713" s="13">
        <v>2678</v>
      </c>
      <c r="O1713" s="13">
        <v>21</v>
      </c>
      <c r="P1713" s="13">
        <v>9</v>
      </c>
      <c r="Q1713" s="13">
        <v>44</v>
      </c>
      <c r="R1713" s="13">
        <v>25</v>
      </c>
      <c r="S1713" s="13">
        <v>0</v>
      </c>
      <c r="T1713" s="23">
        <v>46247.68236111111</v>
      </c>
      <c r="U1713" s="55">
        <f t="shared" si="78"/>
        <v>0.66666666666666663</v>
      </c>
      <c r="V1713" s="55">
        <f t="shared" si="79"/>
        <v>0.5</v>
      </c>
      <c r="W1713" s="56">
        <f t="shared" si="80"/>
        <v>18982</v>
      </c>
    </row>
    <row r="1714" spans="1:23" x14ac:dyDescent="0.3">
      <c r="A1714" s="13" t="str" cm="1">
        <f t="array" ref="A1714:B1714">INDEX(BenchmarkResults!$B$1:$D$35,SUMPRODUCT((T1714&gt;=BenchmarkResults!$F$3:$F$35)*(mongodb_hardware_log!T1714&lt;BenchmarkResults!$G$3:$G$35)*ROW(BenchmarkResults!$F$3:$F$35)),{1,3})</f>
        <v>q4_category_revenue</v>
      </c>
      <c r="B1714">
        <v>2</v>
      </c>
      <c r="C1714" s="13">
        <v>1</v>
      </c>
      <c r="D1714" s="13">
        <v>0</v>
      </c>
      <c r="E1714" s="13">
        <v>220160</v>
      </c>
      <c r="F1714" s="13">
        <v>124792</v>
      </c>
      <c r="G1714" s="13">
        <v>332</v>
      </c>
      <c r="H1714" s="13">
        <v>2336280</v>
      </c>
      <c r="I1714" s="13">
        <v>4</v>
      </c>
      <c r="J1714" s="13">
        <v>0</v>
      </c>
      <c r="K1714" s="13">
        <v>18865</v>
      </c>
      <c r="L1714" s="13">
        <v>26</v>
      </c>
      <c r="M1714" s="13">
        <v>3196</v>
      </c>
      <c r="N1714" s="13">
        <v>2294</v>
      </c>
      <c r="O1714" s="13">
        <v>21</v>
      </c>
      <c r="P1714" s="13">
        <v>9</v>
      </c>
      <c r="Q1714" s="13">
        <v>47</v>
      </c>
      <c r="R1714" s="13">
        <v>23</v>
      </c>
      <c r="S1714" s="13">
        <v>0</v>
      </c>
      <c r="T1714" s="23">
        <v>46247.682476851849</v>
      </c>
      <c r="U1714" s="55">
        <f t="shared" si="78"/>
        <v>0.83333333333333337</v>
      </c>
      <c r="V1714" s="55">
        <f t="shared" si="79"/>
        <v>0.33333333333333331</v>
      </c>
      <c r="W1714" s="56">
        <f t="shared" si="80"/>
        <v>19473.166666666668</v>
      </c>
    </row>
    <row r="1715" spans="1:23" x14ac:dyDescent="0.3">
      <c r="A1715" s="13" t="str" cm="1">
        <f t="array" ref="A1715:B1715">INDEX(BenchmarkResults!$B$1:$D$35,SUMPRODUCT((T1715&gt;=BenchmarkResults!$F$3:$F$35)*(mongodb_hardware_log!T1715&lt;BenchmarkResults!$G$3:$G$35)*ROW(BenchmarkResults!$F$3:$F$35)),{1,3})</f>
        <v>q4_category_revenue</v>
      </c>
      <c r="B1715">
        <v>2</v>
      </c>
      <c r="C1715" s="13">
        <v>0</v>
      </c>
      <c r="D1715" s="13">
        <v>1</v>
      </c>
      <c r="E1715" s="13">
        <v>220160</v>
      </c>
      <c r="F1715" s="13">
        <v>117096</v>
      </c>
      <c r="G1715" s="13">
        <v>340</v>
      </c>
      <c r="H1715" s="13">
        <v>2336416</v>
      </c>
      <c r="I1715" s="13">
        <v>13</v>
      </c>
      <c r="J1715" s="13">
        <v>10</v>
      </c>
      <c r="K1715" s="13">
        <v>17278</v>
      </c>
      <c r="L1715" s="13">
        <v>20</v>
      </c>
      <c r="M1715" s="13">
        <v>2778</v>
      </c>
      <c r="N1715" s="13">
        <v>1869</v>
      </c>
      <c r="O1715" s="13">
        <v>19</v>
      </c>
      <c r="P1715" s="13">
        <v>7</v>
      </c>
      <c r="Q1715" s="13">
        <v>49</v>
      </c>
      <c r="R1715" s="13">
        <v>25</v>
      </c>
      <c r="S1715" s="13">
        <v>0</v>
      </c>
      <c r="T1715" s="23">
        <v>46247.682592592595</v>
      </c>
      <c r="U1715" s="55">
        <f t="shared" si="78"/>
        <v>0.5</v>
      </c>
      <c r="V1715" s="55">
        <f t="shared" si="79"/>
        <v>0.5</v>
      </c>
      <c r="W1715" s="56">
        <f t="shared" si="80"/>
        <v>19534.333333333332</v>
      </c>
    </row>
    <row r="1716" spans="1:23" x14ac:dyDescent="0.3">
      <c r="A1716" s="13" t="str" cm="1">
        <f t="array" ref="A1716:B1716">INDEX(BenchmarkResults!$B$1:$D$35,SUMPRODUCT((T1716&gt;=BenchmarkResults!$F$3:$F$35)*(mongodb_hardware_log!T1716&lt;BenchmarkResults!$G$3:$G$35)*ROW(BenchmarkResults!$F$3:$F$35)),{1,3})</f>
        <v>q4_category_revenue</v>
      </c>
      <c r="B1716">
        <v>2</v>
      </c>
      <c r="C1716" s="13">
        <v>2</v>
      </c>
      <c r="D1716" s="13">
        <v>0</v>
      </c>
      <c r="E1716" s="13">
        <v>218880</v>
      </c>
      <c r="F1716" s="13">
        <v>112164</v>
      </c>
      <c r="G1716" s="13">
        <v>348</v>
      </c>
      <c r="H1716" s="13">
        <v>2345472</v>
      </c>
      <c r="I1716" s="13">
        <v>126</v>
      </c>
      <c r="J1716" s="13">
        <v>0</v>
      </c>
      <c r="K1716" s="13">
        <v>15245</v>
      </c>
      <c r="L1716" s="13">
        <v>18</v>
      </c>
      <c r="M1716" s="13">
        <v>2641</v>
      </c>
      <c r="N1716" s="13">
        <v>1776</v>
      </c>
      <c r="O1716" s="13">
        <v>20</v>
      </c>
      <c r="P1716" s="13">
        <v>7</v>
      </c>
      <c r="Q1716" s="13">
        <v>49</v>
      </c>
      <c r="R1716" s="13">
        <v>24</v>
      </c>
      <c r="S1716" s="13">
        <v>0</v>
      </c>
      <c r="T1716" s="23">
        <v>46247.682708333334</v>
      </c>
      <c r="U1716" s="55">
        <f t="shared" si="78"/>
        <v>0.66666666666666663</v>
      </c>
      <c r="V1716" s="55">
        <f t="shared" si="79"/>
        <v>0.5</v>
      </c>
      <c r="W1716" s="56">
        <f t="shared" si="80"/>
        <v>19311.666666666668</v>
      </c>
    </row>
    <row r="1717" spans="1:23" x14ac:dyDescent="0.3">
      <c r="A1717" s="13" t="str" cm="1">
        <f t="array" ref="A1717:B1717">INDEX(BenchmarkResults!$B$1:$D$35,SUMPRODUCT((T1717&gt;=BenchmarkResults!$F$3:$F$35)*(mongodb_hardware_log!T1717&lt;BenchmarkResults!$G$3:$G$35)*ROW(BenchmarkResults!$F$3:$F$35)),{1,3})</f>
        <v>q4_category_revenue</v>
      </c>
      <c r="B1717">
        <v>2</v>
      </c>
      <c r="C1717" s="13">
        <v>0</v>
      </c>
      <c r="D1717" s="13">
        <v>1</v>
      </c>
      <c r="E1717" s="13">
        <v>219392</v>
      </c>
      <c r="F1717" s="13">
        <v>111052</v>
      </c>
      <c r="G1717" s="13">
        <v>388</v>
      </c>
      <c r="H1717" s="13">
        <v>2344572</v>
      </c>
      <c r="I1717" s="13">
        <v>3</v>
      </c>
      <c r="J1717" s="13">
        <v>55</v>
      </c>
      <c r="K1717" s="13">
        <v>15775</v>
      </c>
      <c r="L1717" s="13">
        <v>99</v>
      </c>
      <c r="M1717" s="13">
        <v>3005</v>
      </c>
      <c r="N1717" s="13">
        <v>2147</v>
      </c>
      <c r="O1717" s="13">
        <v>19</v>
      </c>
      <c r="P1717" s="13">
        <v>7</v>
      </c>
      <c r="Q1717" s="13">
        <v>49</v>
      </c>
      <c r="R1717" s="13">
        <v>24</v>
      </c>
      <c r="S1717" s="13">
        <v>1</v>
      </c>
      <c r="T1717" s="23">
        <v>46247.682824074072</v>
      </c>
      <c r="U1717" s="55">
        <f t="shared" si="78"/>
        <v>0.5</v>
      </c>
      <c r="V1717" s="55">
        <f t="shared" si="79"/>
        <v>0.66666666666666663</v>
      </c>
      <c r="W1717" s="56">
        <f t="shared" si="80"/>
        <v>18725.166666666668</v>
      </c>
    </row>
    <row r="1718" spans="1:23" x14ac:dyDescent="0.3">
      <c r="A1718" s="13" t="str" cm="1">
        <f t="array" ref="A1718:B1718">INDEX(BenchmarkResults!$B$1:$D$35,SUMPRODUCT((T1718&gt;=BenchmarkResults!$F$3:$F$35)*(mongodb_hardware_log!T1718&lt;BenchmarkResults!$G$3:$G$35)*ROW(BenchmarkResults!$F$3:$F$35)),{1,3})</f>
        <v>q4_category_revenue</v>
      </c>
      <c r="B1718">
        <v>2</v>
      </c>
      <c r="C1718" s="13">
        <v>0</v>
      </c>
      <c r="D1718" s="13">
        <v>1</v>
      </c>
      <c r="E1718" s="13">
        <v>219392</v>
      </c>
      <c r="F1718" s="13">
        <v>157944</v>
      </c>
      <c r="G1718" s="13">
        <v>396</v>
      </c>
      <c r="H1718" s="13">
        <v>2301428</v>
      </c>
      <c r="I1718" s="13">
        <v>1</v>
      </c>
      <c r="J1718" s="13">
        <v>0</v>
      </c>
      <c r="K1718" s="13">
        <v>15214</v>
      </c>
      <c r="L1718" s="13">
        <v>21</v>
      </c>
      <c r="M1718" s="13">
        <v>2745</v>
      </c>
      <c r="N1718" s="13">
        <v>1958</v>
      </c>
      <c r="O1718" s="13">
        <v>19</v>
      </c>
      <c r="P1718" s="13">
        <v>8</v>
      </c>
      <c r="Q1718" s="13">
        <v>48</v>
      </c>
      <c r="R1718" s="13">
        <v>24</v>
      </c>
      <c r="S1718" s="13">
        <v>1</v>
      </c>
      <c r="T1718" s="23">
        <v>46247.682939814818</v>
      </c>
      <c r="U1718" s="55">
        <f t="shared" si="78"/>
        <v>0.5</v>
      </c>
      <c r="V1718" s="55">
        <f t="shared" si="79"/>
        <v>0.66666666666666663</v>
      </c>
      <c r="W1718" s="56">
        <f t="shared" si="80"/>
        <v>17683.833333333332</v>
      </c>
    </row>
    <row r="1719" spans="1:23" x14ac:dyDescent="0.3">
      <c r="A1719" s="13" t="str" cm="1">
        <f t="array" ref="A1719:B1719">INDEX(BenchmarkResults!$B$1:$D$35,SUMPRODUCT((T1719&gt;=BenchmarkResults!$F$3:$F$35)*(mongodb_hardware_log!T1719&lt;BenchmarkResults!$G$3:$G$35)*ROW(BenchmarkResults!$F$3:$F$35)),{1,3})</f>
        <v>q4_category_revenue</v>
      </c>
      <c r="B1719">
        <v>2</v>
      </c>
      <c r="C1719" s="13">
        <v>0</v>
      </c>
      <c r="D1719" s="13">
        <v>1</v>
      </c>
      <c r="E1719" s="13">
        <v>219136</v>
      </c>
      <c r="F1719" s="13">
        <v>123024</v>
      </c>
      <c r="G1719" s="13">
        <v>404</v>
      </c>
      <c r="H1719" s="13">
        <v>2329120</v>
      </c>
      <c r="I1719" s="13">
        <v>1</v>
      </c>
      <c r="J1719" s="13">
        <v>0</v>
      </c>
      <c r="K1719" s="13">
        <v>13490</v>
      </c>
      <c r="L1719" s="13">
        <v>14</v>
      </c>
      <c r="M1719" s="13">
        <v>2596</v>
      </c>
      <c r="N1719" s="13">
        <v>1768</v>
      </c>
      <c r="O1719" s="13">
        <v>21</v>
      </c>
      <c r="P1719" s="13">
        <v>7</v>
      </c>
      <c r="Q1719" s="13">
        <v>51</v>
      </c>
      <c r="R1719" s="13">
        <v>21</v>
      </c>
      <c r="S1719" s="13">
        <v>0</v>
      </c>
      <c r="T1719" s="23">
        <v>46247.683055555557</v>
      </c>
      <c r="U1719" s="55">
        <f t="shared" si="78"/>
        <v>0.5</v>
      </c>
      <c r="V1719" s="55">
        <f t="shared" si="79"/>
        <v>0.66666666666666663</v>
      </c>
      <c r="W1719" s="56">
        <f t="shared" si="80"/>
        <v>15977.833333333334</v>
      </c>
    </row>
    <row r="1720" spans="1:23" x14ac:dyDescent="0.3">
      <c r="A1720" s="13" t="str" cm="1">
        <f t="array" ref="A1720:B1720">INDEX(BenchmarkResults!$B$1:$D$35,SUMPRODUCT((T1720&gt;=BenchmarkResults!$F$3:$F$35)*(mongodb_hardware_log!T1720&lt;BenchmarkResults!$G$3:$G$35)*ROW(BenchmarkResults!$F$3:$F$35)),{1,3})</f>
        <v>q4_category_revenue</v>
      </c>
      <c r="B1720">
        <v>2</v>
      </c>
      <c r="C1720" s="13">
        <v>1</v>
      </c>
      <c r="D1720" s="13">
        <v>0</v>
      </c>
      <c r="E1720" s="13">
        <v>219136</v>
      </c>
      <c r="F1720" s="13">
        <v>141356</v>
      </c>
      <c r="G1720" s="13">
        <v>412</v>
      </c>
      <c r="H1720" s="13">
        <v>2304212</v>
      </c>
      <c r="I1720" s="13">
        <v>4</v>
      </c>
      <c r="J1720" s="13">
        <v>0</v>
      </c>
      <c r="K1720" s="13">
        <v>14098</v>
      </c>
      <c r="L1720" s="13">
        <v>14</v>
      </c>
      <c r="M1720" s="13">
        <v>2422</v>
      </c>
      <c r="N1720" s="13">
        <v>1656</v>
      </c>
      <c r="O1720" s="13">
        <v>21</v>
      </c>
      <c r="P1720" s="13">
        <v>7</v>
      </c>
      <c r="Q1720" s="13">
        <v>51</v>
      </c>
      <c r="R1720" s="13">
        <v>21</v>
      </c>
      <c r="S1720" s="13">
        <v>0</v>
      </c>
      <c r="T1720" s="23">
        <v>46247.683171296296</v>
      </c>
      <c r="U1720" s="55">
        <f t="shared" si="78"/>
        <v>0.5</v>
      </c>
      <c r="V1720" s="55">
        <f t="shared" si="79"/>
        <v>0.66666666666666663</v>
      </c>
      <c r="W1720" s="56">
        <f t="shared" si="80"/>
        <v>15183.333333333334</v>
      </c>
    </row>
    <row r="1721" spans="1:23" x14ac:dyDescent="0.3">
      <c r="A1721" s="13" t="str" cm="1">
        <f t="array" ref="A1721:B1721">INDEX(BenchmarkResults!$B$1:$D$35,SUMPRODUCT((T1721&gt;=BenchmarkResults!$F$3:$F$35)*(mongodb_hardware_log!T1721&lt;BenchmarkResults!$G$3:$G$35)*ROW(BenchmarkResults!$F$3:$F$35)),{1,3})</f>
        <v>q4_category_revenue</v>
      </c>
      <c r="B1721">
        <v>2</v>
      </c>
      <c r="C1721" s="13">
        <v>0</v>
      </c>
      <c r="D1721" s="13">
        <v>1</v>
      </c>
      <c r="E1721" s="13">
        <v>219136</v>
      </c>
      <c r="F1721" s="13">
        <v>127268</v>
      </c>
      <c r="G1721" s="13">
        <v>420</v>
      </c>
      <c r="H1721" s="13">
        <v>2325736</v>
      </c>
      <c r="I1721" s="13">
        <v>2</v>
      </c>
      <c r="J1721" s="13">
        <v>0</v>
      </c>
      <c r="K1721" s="13">
        <v>17001</v>
      </c>
      <c r="L1721" s="13">
        <v>14</v>
      </c>
      <c r="M1721" s="13">
        <v>3124</v>
      </c>
      <c r="N1721" s="13">
        <v>2236</v>
      </c>
      <c r="O1721" s="13">
        <v>19</v>
      </c>
      <c r="P1721" s="13">
        <v>9</v>
      </c>
      <c r="Q1721" s="13">
        <v>47</v>
      </c>
      <c r="R1721" s="13">
        <v>24</v>
      </c>
      <c r="S1721" s="13">
        <v>1</v>
      </c>
      <c r="T1721" s="23">
        <v>46247.683287037034</v>
      </c>
      <c r="U1721" s="55">
        <f t="shared" si="78"/>
        <v>0.5</v>
      </c>
      <c r="V1721" s="55">
        <f t="shared" si="79"/>
        <v>0.66666666666666663</v>
      </c>
      <c r="W1721" s="56">
        <f t="shared" si="80"/>
        <v>15137.166666666666</v>
      </c>
    </row>
    <row r="1722" spans="1:23" x14ac:dyDescent="0.3">
      <c r="A1722" s="13" t="str" cm="1">
        <f t="array" ref="A1722:B1722">INDEX(BenchmarkResults!$B$1:$D$35,SUMPRODUCT((T1722&gt;=BenchmarkResults!$F$3:$F$35)*(mongodb_hardware_log!T1722&lt;BenchmarkResults!$G$3:$G$35)*ROW(BenchmarkResults!$F$3:$F$35)),{1,3})</f>
        <v>q4_category_revenue</v>
      </c>
      <c r="B1722">
        <v>2</v>
      </c>
      <c r="C1722" s="13">
        <v>0</v>
      </c>
      <c r="D1722" s="13">
        <v>1</v>
      </c>
      <c r="E1722" s="13">
        <v>218880</v>
      </c>
      <c r="F1722" s="13">
        <v>137716</v>
      </c>
      <c r="G1722" s="13">
        <v>552</v>
      </c>
      <c r="H1722" s="13">
        <v>2308272</v>
      </c>
      <c r="I1722" s="13">
        <v>1</v>
      </c>
      <c r="J1722" s="13">
        <v>0</v>
      </c>
      <c r="K1722" s="13">
        <v>14912</v>
      </c>
      <c r="L1722" s="13">
        <v>9</v>
      </c>
      <c r="M1722" s="13">
        <v>2700</v>
      </c>
      <c r="N1722" s="13">
        <v>1854</v>
      </c>
      <c r="O1722" s="13">
        <v>19</v>
      </c>
      <c r="P1722" s="13">
        <v>8</v>
      </c>
      <c r="Q1722" s="13">
        <v>49</v>
      </c>
      <c r="R1722" s="13">
        <v>23</v>
      </c>
      <c r="S1722" s="13">
        <v>1</v>
      </c>
      <c r="T1722" s="23">
        <v>46247.68340277778</v>
      </c>
      <c r="U1722" s="55">
        <f t="shared" si="78"/>
        <v>0.16666666666666666</v>
      </c>
      <c r="V1722" s="55">
        <f t="shared" si="79"/>
        <v>0.83333333333333337</v>
      </c>
      <c r="W1722" s="56">
        <f t="shared" si="80"/>
        <v>15081.666666666666</v>
      </c>
    </row>
    <row r="1723" spans="1:23" x14ac:dyDescent="0.3">
      <c r="A1723" s="13" t="str" cm="1">
        <f t="array" ref="A1723:B1723">INDEX(BenchmarkResults!$B$1:$D$35,SUMPRODUCT((T1723&gt;=BenchmarkResults!$F$3:$F$35)*(mongodb_hardware_log!T1723&lt;BenchmarkResults!$G$3:$G$35)*ROW(BenchmarkResults!$F$3:$F$35)),{1,3})</f>
        <v>q4_category_revenue</v>
      </c>
      <c r="B1723">
        <v>2</v>
      </c>
      <c r="C1723" s="13">
        <v>1</v>
      </c>
      <c r="D1723" s="13">
        <v>1</v>
      </c>
      <c r="E1723" s="13">
        <v>218880</v>
      </c>
      <c r="F1723" s="13">
        <v>107556</v>
      </c>
      <c r="G1723" s="13">
        <v>596</v>
      </c>
      <c r="H1723" s="13">
        <v>2344428</v>
      </c>
      <c r="I1723" s="13">
        <v>3</v>
      </c>
      <c r="J1723" s="13">
        <v>0</v>
      </c>
      <c r="K1723" s="13">
        <v>15973</v>
      </c>
      <c r="L1723" s="13">
        <v>40</v>
      </c>
      <c r="M1723" s="13">
        <v>2852</v>
      </c>
      <c r="N1723" s="13">
        <v>1925</v>
      </c>
      <c r="O1723" s="13">
        <v>17</v>
      </c>
      <c r="P1723" s="13">
        <v>7</v>
      </c>
      <c r="Q1723" s="13">
        <v>48</v>
      </c>
      <c r="R1723" s="13">
        <v>26</v>
      </c>
      <c r="S1723" s="13">
        <v>1</v>
      </c>
      <c r="T1723" s="23">
        <v>46247.683518518519</v>
      </c>
      <c r="U1723" s="55">
        <f t="shared" si="78"/>
        <v>0.33333333333333331</v>
      </c>
      <c r="V1723" s="55">
        <f t="shared" si="79"/>
        <v>0.83333333333333337</v>
      </c>
      <c r="W1723" s="56">
        <f t="shared" si="80"/>
        <v>15114.666666666666</v>
      </c>
    </row>
    <row r="1724" spans="1:23" x14ac:dyDescent="0.3">
      <c r="A1724" s="13" t="str" cm="1">
        <f t="array" ref="A1724:B1724">INDEX(BenchmarkResults!$B$1:$D$35,SUMPRODUCT((T1724&gt;=BenchmarkResults!$F$3:$F$35)*(mongodb_hardware_log!T1724&lt;BenchmarkResults!$G$3:$G$35)*ROW(BenchmarkResults!$F$3:$F$35)),{1,3})</f>
        <v>q4_category_revenue</v>
      </c>
      <c r="B1724">
        <v>2</v>
      </c>
      <c r="C1724" s="13">
        <v>2</v>
      </c>
      <c r="D1724" s="13">
        <v>0</v>
      </c>
      <c r="E1724" s="13">
        <v>218880</v>
      </c>
      <c r="F1724" s="13">
        <v>118200</v>
      </c>
      <c r="G1724" s="13">
        <v>736</v>
      </c>
      <c r="H1724" s="13">
        <v>2335188</v>
      </c>
      <c r="I1724" s="13">
        <v>3</v>
      </c>
      <c r="J1724" s="13">
        <v>0</v>
      </c>
      <c r="K1724" s="13">
        <v>14576</v>
      </c>
      <c r="L1724" s="13">
        <v>6</v>
      </c>
      <c r="M1724" s="13">
        <v>2738</v>
      </c>
      <c r="N1724" s="13">
        <v>1833</v>
      </c>
      <c r="O1724" s="13">
        <v>20</v>
      </c>
      <c r="P1724" s="13">
        <v>8</v>
      </c>
      <c r="Q1724" s="13">
        <v>49</v>
      </c>
      <c r="R1724" s="13">
        <v>23</v>
      </c>
      <c r="S1724" s="13">
        <v>0</v>
      </c>
      <c r="T1724" s="23">
        <v>46247.683634259258</v>
      </c>
      <c r="U1724" s="55">
        <f t="shared" si="78"/>
        <v>0.66666666666666663</v>
      </c>
      <c r="V1724" s="55">
        <f t="shared" si="79"/>
        <v>0.66666666666666663</v>
      </c>
      <c r="W1724" s="56">
        <f t="shared" si="80"/>
        <v>15008.333333333334</v>
      </c>
    </row>
    <row r="1725" spans="1:23" x14ac:dyDescent="0.3">
      <c r="A1725" s="13" t="str" cm="1">
        <f t="array" ref="A1725:B1725">INDEX(BenchmarkResults!$B$1:$D$35,SUMPRODUCT((T1725&gt;=BenchmarkResults!$F$3:$F$35)*(mongodb_hardware_log!T1725&lt;BenchmarkResults!$G$3:$G$35)*ROW(BenchmarkResults!$F$3:$F$35)),{1,3})</f>
        <v>q4_category_revenue</v>
      </c>
      <c r="B1725">
        <v>2</v>
      </c>
      <c r="C1725" s="13">
        <v>1</v>
      </c>
      <c r="D1725" s="13">
        <v>0</v>
      </c>
      <c r="E1725" s="13">
        <v>218880</v>
      </c>
      <c r="F1725" s="13">
        <v>126984</v>
      </c>
      <c r="G1725" s="13">
        <v>752</v>
      </c>
      <c r="H1725" s="13">
        <v>2331736</v>
      </c>
      <c r="I1725" s="13">
        <v>5</v>
      </c>
      <c r="J1725" s="13">
        <v>0</v>
      </c>
      <c r="K1725" s="13">
        <v>16991</v>
      </c>
      <c r="L1725" s="13">
        <v>16</v>
      </c>
      <c r="M1725" s="13">
        <v>2695</v>
      </c>
      <c r="N1725" s="13">
        <v>1828</v>
      </c>
      <c r="O1725" s="13">
        <v>20</v>
      </c>
      <c r="P1725" s="13">
        <v>8</v>
      </c>
      <c r="Q1725" s="13">
        <v>49</v>
      </c>
      <c r="R1725" s="13">
        <v>23</v>
      </c>
      <c r="S1725" s="13">
        <v>0</v>
      </c>
      <c r="T1725" s="23">
        <v>46247.683749999997</v>
      </c>
      <c r="U1725" s="55">
        <f t="shared" si="78"/>
        <v>0.83333333333333337</v>
      </c>
      <c r="V1725" s="55">
        <f t="shared" si="79"/>
        <v>0.5</v>
      </c>
      <c r="W1725" s="56">
        <f t="shared" si="80"/>
        <v>15591.833333333334</v>
      </c>
    </row>
    <row r="1726" spans="1:23" x14ac:dyDescent="0.3">
      <c r="A1726" s="13" t="str" cm="1">
        <f t="array" ref="A1726:B1726">INDEX(BenchmarkResults!$B$1:$D$35,SUMPRODUCT((T1726&gt;=BenchmarkResults!$F$3:$F$35)*(mongodb_hardware_log!T1726&lt;BenchmarkResults!$G$3:$G$35)*ROW(BenchmarkResults!$F$3:$F$35)),{1,3})</f>
        <v>q4_category_revenue</v>
      </c>
      <c r="B1726">
        <v>2</v>
      </c>
      <c r="C1726" s="13">
        <v>0</v>
      </c>
      <c r="D1726" s="13">
        <v>1</v>
      </c>
      <c r="E1726" s="13">
        <v>219136</v>
      </c>
      <c r="F1726" s="13">
        <v>137396</v>
      </c>
      <c r="G1726" s="13">
        <v>436</v>
      </c>
      <c r="H1726" s="13">
        <v>2320308</v>
      </c>
      <c r="I1726" s="13">
        <v>1</v>
      </c>
      <c r="J1726" s="13">
        <v>8</v>
      </c>
      <c r="K1726" s="13">
        <v>16086</v>
      </c>
      <c r="L1726" s="13">
        <v>22</v>
      </c>
      <c r="M1726" s="13">
        <v>2924</v>
      </c>
      <c r="N1726" s="13">
        <v>1971</v>
      </c>
      <c r="O1726" s="13">
        <v>20</v>
      </c>
      <c r="P1726" s="13">
        <v>8</v>
      </c>
      <c r="Q1726" s="13">
        <v>48</v>
      </c>
      <c r="R1726" s="13">
        <v>24</v>
      </c>
      <c r="S1726" s="13">
        <v>0</v>
      </c>
      <c r="T1726" s="23">
        <v>46247.683865740742</v>
      </c>
      <c r="U1726" s="55">
        <f t="shared" si="78"/>
        <v>0.66666666666666663</v>
      </c>
      <c r="V1726" s="55">
        <f t="shared" si="79"/>
        <v>0.66666666666666663</v>
      </c>
      <c r="W1726" s="56">
        <f t="shared" si="80"/>
        <v>15923.166666666666</v>
      </c>
    </row>
    <row r="1727" spans="1:23" x14ac:dyDescent="0.3">
      <c r="A1727" s="13" t="str" cm="1">
        <f t="array" ref="A1727:B1727">INDEX(BenchmarkResults!$B$1:$D$35,SUMPRODUCT((T1727&gt;=BenchmarkResults!$F$3:$F$35)*(mongodb_hardware_log!T1727&lt;BenchmarkResults!$G$3:$G$35)*ROW(BenchmarkResults!$F$3:$F$35)),{1,3})</f>
        <v>q4_category_revenue</v>
      </c>
      <c r="B1727">
        <v>2</v>
      </c>
      <c r="C1727" s="13">
        <v>1</v>
      </c>
      <c r="D1727" s="13">
        <v>0</v>
      </c>
      <c r="E1727" s="13">
        <v>219136</v>
      </c>
      <c r="F1727" s="13">
        <v>145380</v>
      </c>
      <c r="G1727" s="13">
        <v>324</v>
      </c>
      <c r="H1727" s="13">
        <v>2310708</v>
      </c>
      <c r="I1727" s="13">
        <v>0</v>
      </c>
      <c r="J1727" s="13">
        <v>0</v>
      </c>
      <c r="K1727" s="13">
        <v>15847</v>
      </c>
      <c r="L1727" s="13">
        <v>29</v>
      </c>
      <c r="M1727" s="13">
        <v>2503</v>
      </c>
      <c r="N1727" s="13">
        <v>1528</v>
      </c>
      <c r="O1727" s="13">
        <v>20</v>
      </c>
      <c r="P1727" s="13">
        <v>5</v>
      </c>
      <c r="Q1727" s="13">
        <v>50</v>
      </c>
      <c r="R1727" s="13">
        <v>25</v>
      </c>
      <c r="S1727" s="13">
        <v>0</v>
      </c>
      <c r="T1727" s="23">
        <v>46247.683981481481</v>
      </c>
      <c r="U1727" s="55">
        <f t="shared" si="78"/>
        <v>0.83333333333333337</v>
      </c>
      <c r="V1727" s="55">
        <f t="shared" si="79"/>
        <v>0.5</v>
      </c>
      <c r="W1727" s="56">
        <f t="shared" si="80"/>
        <v>15730.833333333334</v>
      </c>
    </row>
    <row r="1728" spans="1:23" x14ac:dyDescent="0.3">
      <c r="A1728" s="13" t="str" cm="1">
        <f t="array" ref="A1728:B1728">INDEX(BenchmarkResults!$B$1:$D$35,SUMPRODUCT((T1728&gt;=BenchmarkResults!$F$3:$F$35)*(mongodb_hardware_log!T1728&lt;BenchmarkResults!$G$3:$G$35)*ROW(BenchmarkResults!$F$3:$F$35)),{1,3})</f>
        <v>q4_category_revenue</v>
      </c>
      <c r="B1728">
        <v>2</v>
      </c>
      <c r="C1728" s="13">
        <v>0</v>
      </c>
      <c r="D1728" s="13">
        <v>1</v>
      </c>
      <c r="E1728" s="13">
        <v>219136</v>
      </c>
      <c r="F1728" s="13">
        <v>141592</v>
      </c>
      <c r="G1728" s="13">
        <v>340</v>
      </c>
      <c r="H1728" s="13">
        <v>2309716</v>
      </c>
      <c r="I1728" s="13">
        <v>3</v>
      </c>
      <c r="J1728" s="13">
        <v>0</v>
      </c>
      <c r="K1728" s="13">
        <v>15750</v>
      </c>
      <c r="L1728" s="13">
        <v>15</v>
      </c>
      <c r="M1728" s="13">
        <v>2952</v>
      </c>
      <c r="N1728" s="13">
        <v>2032</v>
      </c>
      <c r="O1728" s="13">
        <v>19</v>
      </c>
      <c r="P1728" s="13">
        <v>8</v>
      </c>
      <c r="Q1728" s="13">
        <v>48</v>
      </c>
      <c r="R1728" s="13">
        <v>25</v>
      </c>
      <c r="S1728" s="13">
        <v>1</v>
      </c>
      <c r="T1728" s="23">
        <v>46247.68409722222</v>
      </c>
      <c r="U1728" s="55">
        <f t="shared" si="78"/>
        <v>0.83333333333333337</v>
      </c>
      <c r="V1728" s="55">
        <f t="shared" si="79"/>
        <v>0.5</v>
      </c>
      <c r="W1728" s="56">
        <f t="shared" si="80"/>
        <v>15870.5</v>
      </c>
    </row>
    <row r="1729" spans="1:23" x14ac:dyDescent="0.3">
      <c r="A1729" s="13" t="str" cm="1">
        <f t="array" ref="A1729:B1729">INDEX(BenchmarkResults!$B$1:$D$35,SUMPRODUCT((T1729&gt;=BenchmarkResults!$F$3:$F$35)*(mongodb_hardware_log!T1729&lt;BenchmarkResults!$G$3:$G$35)*ROW(BenchmarkResults!$F$3:$F$35)),{1,3})</f>
        <v>q4_category_revenue</v>
      </c>
      <c r="B1729">
        <v>2</v>
      </c>
      <c r="C1729" s="13">
        <v>0</v>
      </c>
      <c r="D1729" s="13">
        <v>1</v>
      </c>
      <c r="E1729" s="13">
        <v>220416</v>
      </c>
      <c r="F1729" s="13">
        <v>144332</v>
      </c>
      <c r="G1729" s="13">
        <v>372</v>
      </c>
      <c r="H1729" s="13">
        <v>2274328</v>
      </c>
      <c r="I1729" s="13">
        <v>9</v>
      </c>
      <c r="J1729" s="13">
        <v>140</v>
      </c>
      <c r="K1729" s="13">
        <v>13450</v>
      </c>
      <c r="L1729" s="13">
        <v>170</v>
      </c>
      <c r="M1729" s="13">
        <v>2604</v>
      </c>
      <c r="N1729" s="13">
        <v>1747</v>
      </c>
      <c r="O1729" s="13">
        <v>20</v>
      </c>
      <c r="P1729" s="13">
        <v>7</v>
      </c>
      <c r="Q1729" s="13">
        <v>50</v>
      </c>
      <c r="R1729" s="13">
        <v>22</v>
      </c>
      <c r="S1729" s="13">
        <v>1</v>
      </c>
      <c r="T1729" s="23">
        <v>46247.684212962966</v>
      </c>
      <c r="U1729" s="55">
        <f t="shared" si="78"/>
        <v>0.66666666666666663</v>
      </c>
      <c r="V1729" s="55">
        <f t="shared" si="79"/>
        <v>0.5</v>
      </c>
      <c r="W1729" s="56">
        <f t="shared" si="80"/>
        <v>15450</v>
      </c>
    </row>
    <row r="1730" spans="1:23" x14ac:dyDescent="0.3">
      <c r="A1730" s="13" t="str" cm="1">
        <f t="array" ref="A1730:B1730">INDEX(BenchmarkResults!$B$1:$D$35,SUMPRODUCT((T1730&gt;=BenchmarkResults!$F$3:$F$35)*(mongodb_hardware_log!T1730&lt;BenchmarkResults!$G$3:$G$35)*ROW(BenchmarkResults!$F$3:$F$35)),{1,3})</f>
        <v>q4_category_revenue</v>
      </c>
      <c r="B1730">
        <v>2</v>
      </c>
      <c r="C1730" s="13">
        <v>0</v>
      </c>
      <c r="D1730" s="13">
        <v>1</v>
      </c>
      <c r="E1730" s="13">
        <v>220160</v>
      </c>
      <c r="F1730" s="13">
        <v>157040</v>
      </c>
      <c r="G1730" s="13">
        <v>380</v>
      </c>
      <c r="H1730" s="13">
        <v>2294012</v>
      </c>
      <c r="I1730" s="13">
        <v>29</v>
      </c>
      <c r="J1730" s="13">
        <v>0</v>
      </c>
      <c r="K1730" s="13">
        <v>18073</v>
      </c>
      <c r="L1730" s="13">
        <v>7</v>
      </c>
      <c r="M1730" s="13">
        <v>2874</v>
      </c>
      <c r="N1730" s="13">
        <v>1892</v>
      </c>
      <c r="O1730" s="13">
        <v>19</v>
      </c>
      <c r="P1730" s="13">
        <v>7</v>
      </c>
      <c r="Q1730" s="13">
        <v>48</v>
      </c>
      <c r="R1730" s="13">
        <v>25</v>
      </c>
      <c r="S1730" s="13">
        <v>0</v>
      </c>
      <c r="T1730" s="23">
        <v>46247.684328703705</v>
      </c>
      <c r="U1730" s="55">
        <f t="shared" si="78"/>
        <v>0.33333333333333331</v>
      </c>
      <c r="V1730" s="55">
        <f t="shared" si="79"/>
        <v>0.66666666666666663</v>
      </c>
      <c r="W1730" s="56">
        <f t="shared" si="80"/>
        <v>16032.833333333334</v>
      </c>
    </row>
    <row r="1731" spans="1:23" x14ac:dyDescent="0.3">
      <c r="A1731" s="13" t="str" cm="1">
        <f t="array" ref="A1731:B1731">INDEX(BenchmarkResults!$B$1:$D$35,SUMPRODUCT((T1731&gt;=BenchmarkResults!$F$3:$F$35)*(mongodb_hardware_log!T1731&lt;BenchmarkResults!$G$3:$G$35)*ROW(BenchmarkResults!$F$3:$F$35)),{1,3})</f>
        <v>q4_category_revenue</v>
      </c>
      <c r="B1731">
        <v>2</v>
      </c>
      <c r="C1731" s="13">
        <v>1</v>
      </c>
      <c r="D1731" s="13">
        <v>0</v>
      </c>
      <c r="E1731" s="13">
        <v>220160</v>
      </c>
      <c r="F1731" s="13">
        <v>124536</v>
      </c>
      <c r="G1731" s="13">
        <v>388</v>
      </c>
      <c r="H1731" s="13">
        <v>2329860</v>
      </c>
      <c r="I1731" s="13">
        <v>9</v>
      </c>
      <c r="J1731" s="13">
        <v>0</v>
      </c>
      <c r="K1731" s="13">
        <v>14213</v>
      </c>
      <c r="L1731" s="13">
        <v>10</v>
      </c>
      <c r="M1731" s="13">
        <v>2668</v>
      </c>
      <c r="N1731" s="13">
        <v>1770</v>
      </c>
      <c r="O1731" s="13">
        <v>20</v>
      </c>
      <c r="P1731" s="13">
        <v>7</v>
      </c>
      <c r="Q1731" s="13">
        <v>49</v>
      </c>
      <c r="R1731" s="13">
        <v>23</v>
      </c>
      <c r="S1731" s="13">
        <v>1</v>
      </c>
      <c r="T1731" s="23">
        <v>46247.684444444443</v>
      </c>
      <c r="U1731" s="55">
        <f t="shared" si="78"/>
        <v>0.33333333333333331</v>
      </c>
      <c r="V1731" s="55">
        <f t="shared" si="79"/>
        <v>0.66666666666666663</v>
      </c>
      <c r="W1731" s="56">
        <f t="shared" si="80"/>
        <v>15569.833333333334</v>
      </c>
    </row>
    <row r="1732" spans="1:23" x14ac:dyDescent="0.3">
      <c r="A1732" s="13" t="str" cm="1">
        <f t="array" ref="A1732:B1732">INDEX(BenchmarkResults!$B$1:$D$35,SUMPRODUCT((T1732&gt;=BenchmarkResults!$F$3:$F$35)*(mongodb_hardware_log!T1732&lt;BenchmarkResults!$G$3:$G$35)*ROW(BenchmarkResults!$F$3:$F$35)),{1,3})</f>
        <v>q4_category_revenue</v>
      </c>
      <c r="B1732">
        <v>2</v>
      </c>
      <c r="C1732" s="13">
        <v>1</v>
      </c>
      <c r="D1732" s="13">
        <v>0</v>
      </c>
      <c r="E1732" s="13">
        <v>219904</v>
      </c>
      <c r="F1732" s="13">
        <v>123972</v>
      </c>
      <c r="G1732" s="13">
        <v>392</v>
      </c>
      <c r="H1732" s="13">
        <v>2328364</v>
      </c>
      <c r="I1732" s="13">
        <v>7</v>
      </c>
      <c r="J1732" s="13">
        <v>0</v>
      </c>
      <c r="K1732" s="13">
        <v>15085</v>
      </c>
      <c r="L1732" s="13">
        <v>18</v>
      </c>
      <c r="M1732" s="13">
        <v>2734</v>
      </c>
      <c r="N1732" s="13">
        <v>1806</v>
      </c>
      <c r="O1732" s="13">
        <v>19</v>
      </c>
      <c r="P1732" s="13">
        <v>8</v>
      </c>
      <c r="Q1732" s="13">
        <v>48</v>
      </c>
      <c r="R1732" s="13">
        <v>24</v>
      </c>
      <c r="S1732" s="13">
        <v>1</v>
      </c>
      <c r="T1732" s="23">
        <v>46247.684560185182</v>
      </c>
      <c r="U1732" s="55">
        <f t="shared" si="78"/>
        <v>0.5</v>
      </c>
      <c r="V1732" s="55">
        <f t="shared" si="79"/>
        <v>0.5</v>
      </c>
      <c r="W1732" s="56">
        <f t="shared" si="80"/>
        <v>15403</v>
      </c>
    </row>
    <row r="1733" spans="1:23" x14ac:dyDescent="0.3">
      <c r="A1733" s="13" t="str" cm="1">
        <f t="array" ref="A1733:B1733">INDEX(BenchmarkResults!$B$1:$D$35,SUMPRODUCT((T1733&gt;=BenchmarkResults!$F$3:$F$35)*(mongodb_hardware_log!T1733&lt;BenchmarkResults!$G$3:$G$35)*ROW(BenchmarkResults!$F$3:$F$35)),{1,3})</f>
        <v>q4_category_revenue</v>
      </c>
      <c r="B1733">
        <v>2</v>
      </c>
      <c r="C1733" s="13">
        <v>2</v>
      </c>
      <c r="D1733" s="13">
        <v>1</v>
      </c>
      <c r="E1733" s="13">
        <v>219648</v>
      </c>
      <c r="F1733" s="13">
        <v>113284</v>
      </c>
      <c r="G1733" s="13">
        <v>408</v>
      </c>
      <c r="H1733" s="13">
        <v>2338348</v>
      </c>
      <c r="I1733" s="13">
        <v>5</v>
      </c>
      <c r="J1733" s="13">
        <v>0</v>
      </c>
      <c r="K1733" s="13">
        <v>15233</v>
      </c>
      <c r="L1733" s="13">
        <v>24</v>
      </c>
      <c r="M1733" s="13">
        <v>2428</v>
      </c>
      <c r="N1733" s="13">
        <v>1654</v>
      </c>
      <c r="O1733" s="13">
        <v>20</v>
      </c>
      <c r="P1733" s="13">
        <v>13</v>
      </c>
      <c r="Q1733" s="13">
        <v>43</v>
      </c>
      <c r="R1733" s="13">
        <v>24</v>
      </c>
      <c r="S1733" s="13">
        <v>1</v>
      </c>
      <c r="T1733" s="23">
        <v>46247.684675925928</v>
      </c>
      <c r="U1733" s="55">
        <f t="shared" si="78"/>
        <v>0.66666666666666663</v>
      </c>
      <c r="V1733" s="55">
        <f t="shared" si="79"/>
        <v>0.66666666666666663</v>
      </c>
      <c r="W1733" s="56">
        <f t="shared" si="80"/>
        <v>15300.666666666666</v>
      </c>
    </row>
    <row r="1734" spans="1:23" x14ac:dyDescent="0.3">
      <c r="A1734" s="13" t="str" cm="1">
        <f t="array" ref="A1734:B1734">INDEX(BenchmarkResults!$B$1:$D$35,SUMPRODUCT((T1734&gt;=BenchmarkResults!$F$3:$F$35)*(mongodb_hardware_log!T1734&lt;BenchmarkResults!$G$3:$G$35)*ROW(BenchmarkResults!$F$3:$F$35)),{1,3})</f>
        <v>q4_category_revenue</v>
      </c>
      <c r="B1734">
        <v>2</v>
      </c>
      <c r="C1734" s="13">
        <v>0</v>
      </c>
      <c r="D1734" s="13">
        <v>1</v>
      </c>
      <c r="E1734" s="13">
        <v>219648</v>
      </c>
      <c r="F1734" s="13">
        <v>142928</v>
      </c>
      <c r="G1734" s="13">
        <v>416</v>
      </c>
      <c r="H1734" s="13">
        <v>2316804</v>
      </c>
      <c r="I1734" s="13">
        <v>12</v>
      </c>
      <c r="J1734" s="13">
        <v>0</v>
      </c>
      <c r="K1734" s="13">
        <v>15648</v>
      </c>
      <c r="L1734" s="13">
        <v>10</v>
      </c>
      <c r="M1734" s="13">
        <v>2622</v>
      </c>
      <c r="N1734" s="13">
        <v>1667</v>
      </c>
      <c r="O1734" s="13">
        <v>19</v>
      </c>
      <c r="P1734" s="13">
        <v>7</v>
      </c>
      <c r="Q1734" s="13">
        <v>49</v>
      </c>
      <c r="R1734" s="13">
        <v>25</v>
      </c>
      <c r="S1734" s="13">
        <v>1</v>
      </c>
      <c r="T1734" s="23">
        <v>46247.684791666667</v>
      </c>
      <c r="U1734" s="55">
        <f t="shared" si="78"/>
        <v>0.66666666666666663</v>
      </c>
      <c r="V1734" s="55">
        <f t="shared" si="79"/>
        <v>0.66666666666666663</v>
      </c>
      <c r="W1734" s="56">
        <f t="shared" si="80"/>
        <v>15283.666666666666</v>
      </c>
    </row>
    <row r="1735" spans="1:23" x14ac:dyDescent="0.3">
      <c r="A1735" s="13" t="str" cm="1">
        <f t="array" ref="A1735:B1735">INDEX(BenchmarkResults!$B$1:$D$35,SUMPRODUCT((T1735&gt;=BenchmarkResults!$F$3:$F$35)*(mongodb_hardware_log!T1735&lt;BenchmarkResults!$G$3:$G$35)*ROW(BenchmarkResults!$F$3:$F$35)),{1,3})</f>
        <v>q4_category_revenue</v>
      </c>
      <c r="B1735">
        <v>2</v>
      </c>
      <c r="C1735" s="13">
        <v>1</v>
      </c>
      <c r="D1735" s="13">
        <v>0</v>
      </c>
      <c r="E1735" s="13">
        <v>219648</v>
      </c>
      <c r="F1735" s="13">
        <v>117440</v>
      </c>
      <c r="G1735" s="13">
        <v>456</v>
      </c>
      <c r="H1735" s="13">
        <v>2335880</v>
      </c>
      <c r="I1735" s="13">
        <v>8</v>
      </c>
      <c r="J1735" s="13">
        <v>0</v>
      </c>
      <c r="K1735" s="13">
        <v>16476</v>
      </c>
      <c r="L1735" s="13">
        <v>32</v>
      </c>
      <c r="M1735" s="13">
        <v>2864</v>
      </c>
      <c r="N1735" s="13">
        <v>2035</v>
      </c>
      <c r="O1735" s="13">
        <v>19</v>
      </c>
      <c r="P1735" s="13">
        <v>8</v>
      </c>
      <c r="Q1735" s="13">
        <v>49</v>
      </c>
      <c r="R1735" s="13">
        <v>24</v>
      </c>
      <c r="S1735" s="13">
        <v>0</v>
      </c>
      <c r="T1735" s="23">
        <v>46247.684907407405</v>
      </c>
      <c r="U1735" s="55">
        <f t="shared" si="78"/>
        <v>0.83333333333333337</v>
      </c>
      <c r="V1735" s="55">
        <f t="shared" si="79"/>
        <v>0.5</v>
      </c>
      <c r="W1735" s="56">
        <f t="shared" si="80"/>
        <v>15788</v>
      </c>
    </row>
    <row r="1736" spans="1:23" x14ac:dyDescent="0.3">
      <c r="A1736" s="13" t="str" cm="1">
        <f t="array" ref="A1736:B1736">INDEX(BenchmarkResults!$B$1:$D$35,SUMPRODUCT((T1736&gt;=BenchmarkResults!$F$3:$F$35)*(mongodb_hardware_log!T1736&lt;BenchmarkResults!$G$3:$G$35)*ROW(BenchmarkResults!$F$3:$F$35)),{1,3})</f>
        <v>q4_category_revenue</v>
      </c>
      <c r="B1736">
        <v>2</v>
      </c>
      <c r="C1736" s="13">
        <v>0</v>
      </c>
      <c r="D1736" s="13">
        <v>1</v>
      </c>
      <c r="E1736" s="13">
        <v>219904</v>
      </c>
      <c r="F1736" s="13">
        <v>662288</v>
      </c>
      <c r="G1736" s="13">
        <v>196</v>
      </c>
      <c r="H1736" s="13">
        <v>1719428</v>
      </c>
      <c r="I1736" s="13">
        <v>6</v>
      </c>
      <c r="J1736" s="13">
        <v>63</v>
      </c>
      <c r="K1736" s="13">
        <v>14218</v>
      </c>
      <c r="L1736" s="13">
        <v>92</v>
      </c>
      <c r="M1736" s="13">
        <v>2439</v>
      </c>
      <c r="N1736" s="13">
        <v>1714</v>
      </c>
      <c r="O1736" s="13">
        <v>18</v>
      </c>
      <c r="P1736" s="13">
        <v>17</v>
      </c>
      <c r="Q1736" s="13">
        <v>40</v>
      </c>
      <c r="R1736" s="13">
        <v>24</v>
      </c>
      <c r="S1736" s="13">
        <v>0</v>
      </c>
      <c r="T1736" s="23">
        <v>46247.685023148151</v>
      </c>
      <c r="U1736" s="55">
        <f t="shared" si="78"/>
        <v>0.83333333333333337</v>
      </c>
      <c r="V1736" s="55">
        <f t="shared" si="79"/>
        <v>0.5</v>
      </c>
      <c r="W1736" s="56">
        <f t="shared" si="80"/>
        <v>15145.5</v>
      </c>
    </row>
    <row r="1737" spans="1:23" x14ac:dyDescent="0.3">
      <c r="A1737" s="13" t="str" cm="1">
        <f t="array" ref="A1737:B1737">INDEX(BenchmarkResults!$B$1:$D$35,SUMPRODUCT((T1737&gt;=BenchmarkResults!$F$3:$F$35)*(mongodb_hardware_log!T1737&lt;BenchmarkResults!$G$3:$G$35)*ROW(BenchmarkResults!$F$3:$F$35)),{1,3})</f>
        <v>q4_category_revenue</v>
      </c>
      <c r="B1737">
        <v>2</v>
      </c>
      <c r="C1737" s="13">
        <v>0</v>
      </c>
      <c r="D1737" s="13">
        <v>1</v>
      </c>
      <c r="E1737" s="13">
        <v>219904</v>
      </c>
      <c r="F1737" s="13">
        <v>482640</v>
      </c>
      <c r="G1737" s="13">
        <v>204</v>
      </c>
      <c r="H1737" s="13">
        <v>1960136</v>
      </c>
      <c r="I1737" s="13">
        <v>2</v>
      </c>
      <c r="J1737" s="13">
        <v>0</v>
      </c>
      <c r="K1737" s="13">
        <v>24067</v>
      </c>
      <c r="L1737" s="13">
        <v>11</v>
      </c>
      <c r="M1737" s="13">
        <v>3019</v>
      </c>
      <c r="N1737" s="13">
        <v>1883</v>
      </c>
      <c r="O1737" s="13">
        <v>14</v>
      </c>
      <c r="P1737" s="13">
        <v>9</v>
      </c>
      <c r="Q1737" s="13">
        <v>49</v>
      </c>
      <c r="R1737" s="13">
        <v>28</v>
      </c>
      <c r="S1737" s="13">
        <v>0</v>
      </c>
      <c r="T1737" s="23">
        <v>46247.68513888889</v>
      </c>
      <c r="U1737" s="55">
        <f t="shared" ref="U1737:U1800" si="81">AVERAGE(C1732:C1737)</f>
        <v>0.66666666666666663</v>
      </c>
      <c r="V1737" s="55">
        <f t="shared" ref="V1737:V1800" si="82">AVERAGE(D1732:D1737)</f>
        <v>0.66666666666666663</v>
      </c>
      <c r="W1737" s="56">
        <f t="shared" ref="W1737:W1800" si="83">AVERAGE(K1732:K1737)</f>
        <v>16787.833333333332</v>
      </c>
    </row>
    <row r="1738" spans="1:23" x14ac:dyDescent="0.3">
      <c r="A1738" s="13" t="str" cm="1">
        <f t="array" ref="A1738:B1738">INDEX(BenchmarkResults!$B$1:$D$35,SUMPRODUCT((T1738&gt;=BenchmarkResults!$F$3:$F$35)*(mongodb_hardware_log!T1738&lt;BenchmarkResults!$G$3:$G$35)*ROW(BenchmarkResults!$F$3:$F$35)),{1,3})</f>
        <v>q4_category_revenue</v>
      </c>
      <c r="B1738">
        <v>2</v>
      </c>
      <c r="C1738" s="13">
        <v>1</v>
      </c>
      <c r="D1738" s="13">
        <v>0</v>
      </c>
      <c r="E1738" s="13">
        <v>219904</v>
      </c>
      <c r="F1738" s="13">
        <v>272220</v>
      </c>
      <c r="G1738" s="13">
        <v>220</v>
      </c>
      <c r="H1738" s="13">
        <v>2169152</v>
      </c>
      <c r="I1738" s="13">
        <v>14</v>
      </c>
      <c r="J1738" s="13">
        <v>0</v>
      </c>
      <c r="K1738" s="13">
        <v>20912</v>
      </c>
      <c r="L1738" s="13">
        <v>11</v>
      </c>
      <c r="M1738" s="13">
        <v>2774</v>
      </c>
      <c r="N1738" s="13">
        <v>1774</v>
      </c>
      <c r="O1738" s="13">
        <v>14</v>
      </c>
      <c r="P1738" s="13">
        <v>9</v>
      </c>
      <c r="Q1738" s="13">
        <v>49</v>
      </c>
      <c r="R1738" s="13">
        <v>27</v>
      </c>
      <c r="S1738" s="13">
        <v>0</v>
      </c>
      <c r="T1738" s="23">
        <v>46247.685254629629</v>
      </c>
      <c r="U1738" s="55">
        <f t="shared" si="81"/>
        <v>0.66666666666666663</v>
      </c>
      <c r="V1738" s="55">
        <f t="shared" si="82"/>
        <v>0.66666666666666663</v>
      </c>
      <c r="W1738" s="56">
        <f t="shared" si="83"/>
        <v>17759</v>
      </c>
    </row>
    <row r="1739" spans="1:23" x14ac:dyDescent="0.3">
      <c r="A1739" s="13" t="str" cm="1">
        <f t="array" ref="A1739:B1739">INDEX(BenchmarkResults!$B$1:$D$35,SUMPRODUCT((T1739&gt;=BenchmarkResults!$F$3:$F$35)*(mongodb_hardware_log!T1739&lt;BenchmarkResults!$G$3:$G$35)*ROW(BenchmarkResults!$F$3:$F$35)),{1,3})</f>
        <v>q4_category_revenue</v>
      </c>
      <c r="B1739">
        <v>2</v>
      </c>
      <c r="C1739" s="13">
        <v>1</v>
      </c>
      <c r="D1739" s="13">
        <v>1</v>
      </c>
      <c r="E1739" s="13">
        <v>219392</v>
      </c>
      <c r="F1739" s="13">
        <v>140172</v>
      </c>
      <c r="G1739" s="13">
        <v>236</v>
      </c>
      <c r="H1739" s="13">
        <v>2300200</v>
      </c>
      <c r="I1739" s="13">
        <v>7</v>
      </c>
      <c r="J1739" s="13">
        <v>0</v>
      </c>
      <c r="K1739" s="13">
        <v>16613</v>
      </c>
      <c r="L1739" s="13">
        <v>25</v>
      </c>
      <c r="M1739" s="13">
        <v>2674</v>
      </c>
      <c r="N1739" s="13">
        <v>1877</v>
      </c>
      <c r="O1739" s="13">
        <v>18</v>
      </c>
      <c r="P1739" s="13">
        <v>9</v>
      </c>
      <c r="Q1739" s="13">
        <v>50</v>
      </c>
      <c r="R1739" s="13">
        <v>23</v>
      </c>
      <c r="S1739" s="13">
        <v>0</v>
      </c>
      <c r="T1739" s="23">
        <v>46247.685370370367</v>
      </c>
      <c r="U1739" s="55">
        <f t="shared" si="81"/>
        <v>0.5</v>
      </c>
      <c r="V1739" s="55">
        <f t="shared" si="82"/>
        <v>0.66666666666666663</v>
      </c>
      <c r="W1739" s="56">
        <f t="shared" si="83"/>
        <v>17989</v>
      </c>
    </row>
    <row r="1740" spans="1:23" x14ac:dyDescent="0.3">
      <c r="A1740" s="13" t="str" cm="1">
        <f t="array" ref="A1740:B1740">INDEX(BenchmarkResults!$B$1:$D$35,SUMPRODUCT((T1740&gt;=BenchmarkResults!$F$3:$F$35)*(mongodb_hardware_log!T1740&lt;BenchmarkResults!$G$3:$G$35)*ROW(BenchmarkResults!$F$3:$F$35)),{1,3})</f>
        <v>q4_category_revenue</v>
      </c>
      <c r="B1740">
        <v>2</v>
      </c>
      <c r="C1740" s="13">
        <v>1</v>
      </c>
      <c r="D1740" s="13">
        <v>0</v>
      </c>
      <c r="E1740" s="13">
        <v>219392</v>
      </c>
      <c r="F1740" s="13">
        <v>100816</v>
      </c>
      <c r="G1740" s="13">
        <v>252</v>
      </c>
      <c r="H1740" s="13">
        <v>2337392</v>
      </c>
      <c r="I1740" s="13">
        <v>4</v>
      </c>
      <c r="J1740" s="13">
        <v>0</v>
      </c>
      <c r="K1740" s="13">
        <v>19687</v>
      </c>
      <c r="L1740" s="13">
        <v>13</v>
      </c>
      <c r="M1740" s="13">
        <v>3179</v>
      </c>
      <c r="N1740" s="13">
        <v>2175</v>
      </c>
      <c r="O1740" s="13">
        <v>19</v>
      </c>
      <c r="P1740" s="13">
        <v>8</v>
      </c>
      <c r="Q1740" s="13">
        <v>47</v>
      </c>
      <c r="R1740" s="13">
        <v>26</v>
      </c>
      <c r="S1740" s="13">
        <v>1</v>
      </c>
      <c r="T1740" s="23">
        <v>46247.685486111113</v>
      </c>
      <c r="U1740" s="55">
        <f t="shared" si="81"/>
        <v>0.66666666666666663</v>
      </c>
      <c r="V1740" s="55">
        <f t="shared" si="82"/>
        <v>0.5</v>
      </c>
      <c r="W1740" s="56">
        <f t="shared" si="83"/>
        <v>18662.166666666668</v>
      </c>
    </row>
    <row r="1741" spans="1:23" x14ac:dyDescent="0.3">
      <c r="A1741" s="13" t="str" cm="1">
        <f t="array" ref="A1741:B1741">INDEX(BenchmarkResults!$B$1:$D$35,SUMPRODUCT((T1741&gt;=BenchmarkResults!$F$3:$F$35)*(mongodb_hardware_log!T1741&lt;BenchmarkResults!$G$3:$G$35)*ROW(BenchmarkResults!$F$3:$F$35)),{1,3})</f>
        <v>q4_category_revenue</v>
      </c>
      <c r="B1741">
        <v>2</v>
      </c>
      <c r="C1741" s="13">
        <v>2</v>
      </c>
      <c r="D1741" s="13">
        <v>0</v>
      </c>
      <c r="E1741" s="13">
        <v>219392</v>
      </c>
      <c r="F1741" s="13">
        <v>125620</v>
      </c>
      <c r="G1741" s="13">
        <v>284</v>
      </c>
      <c r="H1741" s="13">
        <v>2319044</v>
      </c>
      <c r="I1741" s="13">
        <v>8</v>
      </c>
      <c r="J1741" s="13">
        <v>0</v>
      </c>
      <c r="K1741" s="13">
        <v>13551</v>
      </c>
      <c r="L1741" s="13">
        <v>30</v>
      </c>
      <c r="M1741" s="13">
        <v>2633</v>
      </c>
      <c r="N1741" s="13">
        <v>1671</v>
      </c>
      <c r="O1741" s="13">
        <v>20</v>
      </c>
      <c r="P1741" s="13">
        <v>6</v>
      </c>
      <c r="Q1741" s="13">
        <v>48</v>
      </c>
      <c r="R1741" s="13">
        <v>25</v>
      </c>
      <c r="S1741" s="13">
        <v>1</v>
      </c>
      <c r="T1741" s="23">
        <v>46247.685601851852</v>
      </c>
      <c r="U1741" s="55">
        <f t="shared" si="81"/>
        <v>0.83333333333333337</v>
      </c>
      <c r="V1741" s="55">
        <f t="shared" si="82"/>
        <v>0.5</v>
      </c>
      <c r="W1741" s="56">
        <f t="shared" si="83"/>
        <v>18174.666666666668</v>
      </c>
    </row>
    <row r="1742" spans="1:23" x14ac:dyDescent="0.3">
      <c r="A1742" s="13" t="str" cm="1">
        <f t="array" ref="A1742:B1742">INDEX(BenchmarkResults!$B$1:$D$35,SUMPRODUCT((T1742&gt;=BenchmarkResults!$F$3:$F$35)*(mongodb_hardware_log!T1742&lt;BenchmarkResults!$G$3:$G$35)*ROW(BenchmarkResults!$F$3:$F$35)),{1,3})</f>
        <v>q4_category_revenue</v>
      </c>
      <c r="B1742">
        <v>2</v>
      </c>
      <c r="C1742" s="13">
        <v>0</v>
      </c>
      <c r="D1742" s="13">
        <v>1</v>
      </c>
      <c r="E1742" s="13">
        <v>219392</v>
      </c>
      <c r="F1742" s="13">
        <v>140364</v>
      </c>
      <c r="G1742" s="13">
        <v>292</v>
      </c>
      <c r="H1742" s="13">
        <v>2309532</v>
      </c>
      <c r="I1742" s="13">
        <v>2</v>
      </c>
      <c r="J1742" s="13">
        <v>0</v>
      </c>
      <c r="K1742" s="13">
        <v>14682</v>
      </c>
      <c r="L1742" s="13">
        <v>8</v>
      </c>
      <c r="M1742" s="13">
        <v>2628</v>
      </c>
      <c r="N1742" s="13">
        <v>1772</v>
      </c>
      <c r="O1742" s="13">
        <v>20</v>
      </c>
      <c r="P1742" s="13">
        <v>7</v>
      </c>
      <c r="Q1742" s="13">
        <v>49</v>
      </c>
      <c r="R1742" s="13">
        <v>24</v>
      </c>
      <c r="S1742" s="13">
        <v>1</v>
      </c>
      <c r="T1742" s="23">
        <v>46247.685717592591</v>
      </c>
      <c r="U1742" s="55">
        <f t="shared" si="81"/>
        <v>0.83333333333333337</v>
      </c>
      <c r="V1742" s="55">
        <f t="shared" si="82"/>
        <v>0.5</v>
      </c>
      <c r="W1742" s="56">
        <f t="shared" si="83"/>
        <v>18252</v>
      </c>
    </row>
    <row r="1743" spans="1:23" x14ac:dyDescent="0.3">
      <c r="A1743" s="13" t="str" cm="1">
        <f t="array" ref="A1743:B1743">INDEX(BenchmarkResults!$B$1:$D$35,SUMPRODUCT((T1743&gt;=BenchmarkResults!$F$3:$F$35)*(mongodb_hardware_log!T1743&lt;BenchmarkResults!$G$3:$G$35)*ROW(BenchmarkResults!$F$3:$F$35)),{1,3})</f>
        <v>q4_category_revenue</v>
      </c>
      <c r="B1743">
        <v>2</v>
      </c>
      <c r="C1743" s="13">
        <v>0</v>
      </c>
      <c r="D1743" s="13">
        <v>1</v>
      </c>
      <c r="E1743" s="13">
        <v>219392</v>
      </c>
      <c r="F1743" s="13">
        <v>161964</v>
      </c>
      <c r="G1743" s="13">
        <v>300</v>
      </c>
      <c r="H1743" s="13">
        <v>2293068</v>
      </c>
      <c r="I1743" s="13">
        <v>6</v>
      </c>
      <c r="J1743" s="13">
        <v>0</v>
      </c>
      <c r="K1743" s="13">
        <v>14202</v>
      </c>
      <c r="L1743" s="13">
        <v>31</v>
      </c>
      <c r="M1743" s="13">
        <v>2612</v>
      </c>
      <c r="N1743" s="13">
        <v>1849</v>
      </c>
      <c r="O1743" s="13">
        <v>20</v>
      </c>
      <c r="P1743" s="13">
        <v>8</v>
      </c>
      <c r="Q1743" s="13">
        <v>50</v>
      </c>
      <c r="R1743" s="13">
        <v>21</v>
      </c>
      <c r="S1743" s="13">
        <v>1</v>
      </c>
      <c r="T1743" s="23">
        <v>46247.685833333337</v>
      </c>
      <c r="U1743" s="55">
        <f t="shared" si="81"/>
        <v>0.83333333333333337</v>
      </c>
      <c r="V1743" s="55">
        <f t="shared" si="82"/>
        <v>0.5</v>
      </c>
      <c r="W1743" s="56">
        <f t="shared" si="83"/>
        <v>16607.833333333332</v>
      </c>
    </row>
    <row r="1744" spans="1:23" x14ac:dyDescent="0.3">
      <c r="A1744" s="13" t="str" cm="1">
        <f t="array" ref="A1744:B1744">INDEX(BenchmarkResults!$B$1:$D$35,SUMPRODUCT((T1744&gt;=BenchmarkResults!$F$3:$F$35)*(mongodb_hardware_log!T1744&lt;BenchmarkResults!$G$3:$G$35)*ROW(BenchmarkResults!$F$3:$F$35)),{1,3})</f>
        <v>q4_category_revenue</v>
      </c>
      <c r="B1744">
        <v>2</v>
      </c>
      <c r="C1744" s="13">
        <v>1</v>
      </c>
      <c r="D1744" s="13">
        <v>0</v>
      </c>
      <c r="E1744" s="13">
        <v>219392</v>
      </c>
      <c r="F1744" s="13">
        <v>111596</v>
      </c>
      <c r="G1744" s="13">
        <v>316</v>
      </c>
      <c r="H1744" s="13">
        <v>2346188</v>
      </c>
      <c r="I1744" s="13">
        <v>5</v>
      </c>
      <c r="J1744" s="13">
        <v>0</v>
      </c>
      <c r="K1744" s="13">
        <v>14738</v>
      </c>
      <c r="L1744" s="13">
        <v>24</v>
      </c>
      <c r="M1744" s="13">
        <v>2544</v>
      </c>
      <c r="N1744" s="13">
        <v>1713</v>
      </c>
      <c r="O1744" s="13">
        <v>21</v>
      </c>
      <c r="P1744" s="13">
        <v>7</v>
      </c>
      <c r="Q1744" s="13">
        <v>51</v>
      </c>
      <c r="R1744" s="13">
        <v>21</v>
      </c>
      <c r="S1744" s="13">
        <v>0</v>
      </c>
      <c r="T1744" s="23">
        <v>46247.685949074075</v>
      </c>
      <c r="U1744" s="55">
        <f t="shared" si="81"/>
        <v>0.83333333333333337</v>
      </c>
      <c r="V1744" s="55">
        <f t="shared" si="82"/>
        <v>0.5</v>
      </c>
      <c r="W1744" s="56">
        <f t="shared" si="83"/>
        <v>15578.833333333334</v>
      </c>
    </row>
    <row r="1745" spans="1:23" x14ac:dyDescent="0.3">
      <c r="A1745" s="13" t="str" cm="1">
        <f t="array" ref="A1745:B1745">INDEX(BenchmarkResults!$B$1:$D$35,SUMPRODUCT((T1745&gt;=BenchmarkResults!$F$3:$F$35)*(mongodb_hardware_log!T1745&lt;BenchmarkResults!$G$3:$G$35)*ROW(BenchmarkResults!$F$3:$F$35)),{1,3})</f>
        <v>q4_category_revenue</v>
      </c>
      <c r="B1745">
        <v>2</v>
      </c>
      <c r="C1745" s="13">
        <v>0</v>
      </c>
      <c r="D1745" s="13">
        <v>1</v>
      </c>
      <c r="E1745" s="13">
        <v>219392</v>
      </c>
      <c r="F1745" s="13">
        <v>127608</v>
      </c>
      <c r="G1745" s="13">
        <v>324</v>
      </c>
      <c r="H1745" s="13">
        <v>2327852</v>
      </c>
      <c r="I1745" s="13">
        <v>4</v>
      </c>
      <c r="J1745" s="13">
        <v>0</v>
      </c>
      <c r="K1745" s="13">
        <v>16906</v>
      </c>
      <c r="L1745" s="13">
        <v>27</v>
      </c>
      <c r="M1745" s="13">
        <v>2852</v>
      </c>
      <c r="N1745" s="13">
        <v>1961</v>
      </c>
      <c r="O1745" s="13">
        <v>19</v>
      </c>
      <c r="P1745" s="13">
        <v>8</v>
      </c>
      <c r="Q1745" s="13">
        <v>50</v>
      </c>
      <c r="R1745" s="13">
        <v>23</v>
      </c>
      <c r="S1745" s="13">
        <v>0</v>
      </c>
      <c r="T1745" s="23">
        <v>46247.686064814814</v>
      </c>
      <c r="U1745" s="55">
        <f t="shared" si="81"/>
        <v>0.66666666666666663</v>
      </c>
      <c r="V1745" s="55">
        <f t="shared" si="82"/>
        <v>0.5</v>
      </c>
      <c r="W1745" s="56">
        <f t="shared" si="83"/>
        <v>15627.666666666666</v>
      </c>
    </row>
    <row r="1746" spans="1:23" x14ac:dyDescent="0.3">
      <c r="A1746" s="13" t="str" cm="1">
        <f t="array" ref="A1746:B1746">INDEX(BenchmarkResults!$B$1:$D$35,SUMPRODUCT((T1746&gt;=BenchmarkResults!$F$3:$F$35)*(mongodb_hardware_log!T1746&lt;BenchmarkResults!$G$3:$G$35)*ROW(BenchmarkResults!$F$3:$F$35)),{1,3})</f>
        <v>q4_category_revenue</v>
      </c>
      <c r="B1746">
        <v>2</v>
      </c>
      <c r="C1746" s="13">
        <v>1</v>
      </c>
      <c r="D1746" s="13">
        <v>0</v>
      </c>
      <c r="E1746" s="13">
        <v>219136</v>
      </c>
      <c r="F1746" s="13">
        <v>124448</v>
      </c>
      <c r="G1746" s="13">
        <v>344</v>
      </c>
      <c r="H1746" s="13">
        <v>2331980</v>
      </c>
      <c r="I1746" s="13">
        <v>14</v>
      </c>
      <c r="J1746" s="13">
        <v>0</v>
      </c>
      <c r="K1746" s="13">
        <v>13059</v>
      </c>
      <c r="L1746" s="13">
        <v>34</v>
      </c>
      <c r="M1746" s="13">
        <v>2683</v>
      </c>
      <c r="N1746" s="13">
        <v>1813</v>
      </c>
      <c r="O1746" s="13">
        <v>20</v>
      </c>
      <c r="P1746" s="13">
        <v>8</v>
      </c>
      <c r="Q1746" s="13">
        <v>49</v>
      </c>
      <c r="R1746" s="13">
        <v>23</v>
      </c>
      <c r="S1746" s="13">
        <v>1</v>
      </c>
      <c r="T1746" s="23">
        <v>46247.686180555553</v>
      </c>
      <c r="U1746" s="55">
        <f t="shared" si="81"/>
        <v>0.66666666666666663</v>
      </c>
      <c r="V1746" s="55">
        <f t="shared" si="82"/>
        <v>0.5</v>
      </c>
      <c r="W1746" s="56">
        <f t="shared" si="83"/>
        <v>14523</v>
      </c>
    </row>
    <row r="1747" spans="1:23" x14ac:dyDescent="0.3">
      <c r="A1747" s="13" t="str" cm="1">
        <f t="array" ref="A1747:B1747">INDEX(BenchmarkResults!$B$1:$D$35,SUMPRODUCT((T1747&gt;=BenchmarkResults!$F$3:$F$35)*(mongodb_hardware_log!T1747&lt;BenchmarkResults!$G$3:$G$35)*ROW(BenchmarkResults!$F$3:$F$35)),{1,3})</f>
        <v>q4_category_revenue</v>
      </c>
      <c r="B1747">
        <v>2</v>
      </c>
      <c r="C1747" s="13">
        <v>1</v>
      </c>
      <c r="D1747" s="13">
        <v>0</v>
      </c>
      <c r="E1747" s="13">
        <v>219136</v>
      </c>
      <c r="F1747" s="13">
        <v>104216</v>
      </c>
      <c r="G1747" s="13">
        <v>376</v>
      </c>
      <c r="H1747" s="13">
        <v>2346444</v>
      </c>
      <c r="I1747" s="13">
        <v>4</v>
      </c>
      <c r="J1747" s="13">
        <v>0</v>
      </c>
      <c r="K1747" s="13">
        <v>18178</v>
      </c>
      <c r="L1747" s="13">
        <v>30</v>
      </c>
      <c r="M1747" s="13">
        <v>3132</v>
      </c>
      <c r="N1747" s="13">
        <v>2250</v>
      </c>
      <c r="O1747" s="13">
        <v>20</v>
      </c>
      <c r="P1747" s="13">
        <v>9</v>
      </c>
      <c r="Q1747" s="13">
        <v>47</v>
      </c>
      <c r="R1747" s="13">
        <v>24</v>
      </c>
      <c r="S1747" s="13">
        <v>1</v>
      </c>
      <c r="T1747" s="23">
        <v>46247.686296296299</v>
      </c>
      <c r="U1747" s="55">
        <f t="shared" si="81"/>
        <v>0.5</v>
      </c>
      <c r="V1747" s="55">
        <f t="shared" si="82"/>
        <v>0.5</v>
      </c>
      <c r="W1747" s="56">
        <f t="shared" si="83"/>
        <v>15294.166666666666</v>
      </c>
    </row>
    <row r="1748" spans="1:23" x14ac:dyDescent="0.3">
      <c r="A1748" s="13" t="str" cm="1">
        <f t="array" ref="A1748:B1748">INDEX(BenchmarkResults!$B$1:$D$35,SUMPRODUCT((T1748&gt;=BenchmarkResults!$F$3:$F$35)*(mongodb_hardware_log!T1748&lt;BenchmarkResults!$G$3:$G$35)*ROW(BenchmarkResults!$F$3:$F$35)),{1,3})</f>
        <v>q4_category_revenue</v>
      </c>
      <c r="B1748">
        <v>2</v>
      </c>
      <c r="C1748" s="13">
        <v>1</v>
      </c>
      <c r="D1748" s="13">
        <v>0</v>
      </c>
      <c r="E1748" s="13">
        <v>218880</v>
      </c>
      <c r="F1748" s="13">
        <v>104732</v>
      </c>
      <c r="G1748" s="13">
        <v>388</v>
      </c>
      <c r="H1748" s="13">
        <v>2345704</v>
      </c>
      <c r="I1748" s="13">
        <v>8</v>
      </c>
      <c r="J1748" s="13">
        <v>0</v>
      </c>
      <c r="K1748" s="13">
        <v>19913</v>
      </c>
      <c r="L1748" s="13">
        <v>25</v>
      </c>
      <c r="M1748" s="13">
        <v>3273</v>
      </c>
      <c r="N1748" s="13">
        <v>2179</v>
      </c>
      <c r="O1748" s="13">
        <v>20</v>
      </c>
      <c r="P1748" s="13">
        <v>9</v>
      </c>
      <c r="Q1748" s="13">
        <v>46</v>
      </c>
      <c r="R1748" s="13">
        <v>25</v>
      </c>
      <c r="S1748" s="13">
        <v>0</v>
      </c>
      <c r="T1748" s="23">
        <v>46247.686412037037</v>
      </c>
      <c r="U1748" s="55">
        <f t="shared" si="81"/>
        <v>0.66666666666666663</v>
      </c>
      <c r="V1748" s="55">
        <f t="shared" si="82"/>
        <v>0.33333333333333331</v>
      </c>
      <c r="W1748" s="56">
        <f t="shared" si="83"/>
        <v>16166</v>
      </c>
    </row>
    <row r="1749" spans="1:23" x14ac:dyDescent="0.3">
      <c r="A1749" s="13" t="str" cm="1">
        <f t="array" ref="A1749:B1749">INDEX(BenchmarkResults!$B$1:$D$35,SUMPRODUCT((T1749&gt;=BenchmarkResults!$F$3:$F$35)*(mongodb_hardware_log!T1749&lt;BenchmarkResults!$G$3:$G$35)*ROW(BenchmarkResults!$F$3:$F$35)),{1,3})</f>
        <v>q4_category_revenue</v>
      </c>
      <c r="B1749">
        <v>2</v>
      </c>
      <c r="C1749" s="13">
        <v>0</v>
      </c>
      <c r="D1749" s="13">
        <v>1</v>
      </c>
      <c r="E1749" s="13">
        <v>218624</v>
      </c>
      <c r="F1749" s="13">
        <v>118252</v>
      </c>
      <c r="G1749" s="13">
        <v>200</v>
      </c>
      <c r="H1749" s="13">
        <v>2342740</v>
      </c>
      <c r="I1749" s="13">
        <v>60</v>
      </c>
      <c r="J1749" s="13">
        <v>16</v>
      </c>
      <c r="K1749" s="13">
        <v>16077</v>
      </c>
      <c r="L1749" s="13">
        <v>44</v>
      </c>
      <c r="M1749" s="13">
        <v>2781</v>
      </c>
      <c r="N1749" s="13">
        <v>1916</v>
      </c>
      <c r="O1749" s="13">
        <v>20</v>
      </c>
      <c r="P1749" s="13">
        <v>8</v>
      </c>
      <c r="Q1749" s="13">
        <v>50</v>
      </c>
      <c r="R1749" s="13">
        <v>22</v>
      </c>
      <c r="S1749" s="13">
        <v>0</v>
      </c>
      <c r="T1749" s="23">
        <v>46247.686527777776</v>
      </c>
      <c r="U1749" s="55">
        <f t="shared" si="81"/>
        <v>0.66666666666666663</v>
      </c>
      <c r="V1749" s="55">
        <f t="shared" si="82"/>
        <v>0.33333333333333331</v>
      </c>
      <c r="W1749" s="56">
        <f t="shared" si="83"/>
        <v>16478.5</v>
      </c>
    </row>
    <row r="1750" spans="1:23" x14ac:dyDescent="0.3">
      <c r="A1750" s="13" t="str" cm="1">
        <f t="array" ref="A1750:B1750">INDEX(BenchmarkResults!$B$1:$D$35,SUMPRODUCT((T1750&gt;=BenchmarkResults!$F$3:$F$35)*(mongodb_hardware_log!T1750&lt;BenchmarkResults!$G$3:$G$35)*ROW(BenchmarkResults!$F$3:$F$35)),{1,3})</f>
        <v>q4_category_revenue</v>
      </c>
      <c r="B1750">
        <v>2</v>
      </c>
      <c r="C1750" s="13">
        <v>1</v>
      </c>
      <c r="D1750" s="13">
        <v>0</v>
      </c>
      <c r="E1750" s="13">
        <v>218880</v>
      </c>
      <c r="F1750" s="13">
        <v>140916</v>
      </c>
      <c r="G1750" s="13">
        <v>204</v>
      </c>
      <c r="H1750" s="13">
        <v>2316876</v>
      </c>
      <c r="I1750" s="13">
        <v>3</v>
      </c>
      <c r="J1750" s="13">
        <v>73</v>
      </c>
      <c r="K1750" s="13">
        <v>13968</v>
      </c>
      <c r="L1750" s="13">
        <v>84</v>
      </c>
      <c r="M1750" s="13">
        <v>2661</v>
      </c>
      <c r="N1750" s="13">
        <v>1914</v>
      </c>
      <c r="O1750" s="13">
        <v>21</v>
      </c>
      <c r="P1750" s="13">
        <v>8</v>
      </c>
      <c r="Q1750" s="13">
        <v>50</v>
      </c>
      <c r="R1750" s="13">
        <v>21</v>
      </c>
      <c r="S1750" s="13">
        <v>0</v>
      </c>
      <c r="T1750" s="23">
        <v>46247.686643518522</v>
      </c>
      <c r="U1750" s="55">
        <f t="shared" si="81"/>
        <v>0.66666666666666663</v>
      </c>
      <c r="V1750" s="55">
        <f t="shared" si="82"/>
        <v>0.33333333333333331</v>
      </c>
      <c r="W1750" s="56">
        <f t="shared" si="83"/>
        <v>16350.166666666666</v>
      </c>
    </row>
    <row r="1751" spans="1:23" x14ac:dyDescent="0.3">
      <c r="A1751" s="13" t="str" cm="1">
        <f t="array" ref="A1751:B1751">INDEX(BenchmarkResults!$B$1:$D$35,SUMPRODUCT((T1751&gt;=BenchmarkResults!$F$3:$F$35)*(mongodb_hardware_log!T1751&lt;BenchmarkResults!$G$3:$G$35)*ROW(BenchmarkResults!$F$3:$F$35)),{1,3})</f>
        <v>q4_category_revenue</v>
      </c>
      <c r="B1751">
        <v>2</v>
      </c>
      <c r="C1751" s="13">
        <v>0</v>
      </c>
      <c r="D1751" s="13">
        <v>1</v>
      </c>
      <c r="E1751" s="13">
        <v>218880</v>
      </c>
      <c r="F1751" s="13">
        <v>114072</v>
      </c>
      <c r="G1751" s="13">
        <v>212</v>
      </c>
      <c r="H1751" s="13">
        <v>2348876</v>
      </c>
      <c r="I1751" s="13">
        <v>2</v>
      </c>
      <c r="J1751" s="13">
        <v>4</v>
      </c>
      <c r="K1751" s="13">
        <v>16093</v>
      </c>
      <c r="L1751" s="13">
        <v>18</v>
      </c>
      <c r="M1751" s="13">
        <v>2900</v>
      </c>
      <c r="N1751" s="13">
        <v>2003</v>
      </c>
      <c r="O1751" s="13">
        <v>20</v>
      </c>
      <c r="P1751" s="13">
        <v>7</v>
      </c>
      <c r="Q1751" s="13">
        <v>50</v>
      </c>
      <c r="R1751" s="13">
        <v>23</v>
      </c>
      <c r="S1751" s="13">
        <v>0</v>
      </c>
      <c r="T1751" s="23">
        <v>46247.686759259261</v>
      </c>
      <c r="U1751" s="55">
        <f t="shared" si="81"/>
        <v>0.66666666666666663</v>
      </c>
      <c r="V1751" s="55">
        <f t="shared" si="82"/>
        <v>0.33333333333333331</v>
      </c>
      <c r="W1751" s="56">
        <f t="shared" si="83"/>
        <v>16214.666666666666</v>
      </c>
    </row>
    <row r="1752" spans="1:23" x14ac:dyDescent="0.3">
      <c r="A1752" s="13" t="str" cm="1">
        <f t="array" ref="A1752:B1752">INDEX(BenchmarkResults!$B$1:$D$35,SUMPRODUCT((T1752&gt;=BenchmarkResults!$F$3:$F$35)*(mongodb_hardware_log!T1752&lt;BenchmarkResults!$G$3:$G$35)*ROW(BenchmarkResults!$F$3:$F$35)),{1,3})</f>
        <v>q4_category_revenue</v>
      </c>
      <c r="B1752">
        <v>2</v>
      </c>
      <c r="C1752" s="13">
        <v>0</v>
      </c>
      <c r="D1752" s="13">
        <v>1</v>
      </c>
      <c r="E1752" s="13">
        <v>218880</v>
      </c>
      <c r="F1752" s="13">
        <v>135316</v>
      </c>
      <c r="G1752" s="13">
        <v>340</v>
      </c>
      <c r="H1752" s="13">
        <v>2330108</v>
      </c>
      <c r="I1752" s="13">
        <v>15</v>
      </c>
      <c r="J1752" s="13">
        <v>1</v>
      </c>
      <c r="K1752" s="13">
        <v>15638</v>
      </c>
      <c r="L1752" s="13">
        <v>8</v>
      </c>
      <c r="M1752" s="13">
        <v>2942</v>
      </c>
      <c r="N1752" s="13">
        <v>2087</v>
      </c>
      <c r="O1752" s="13">
        <v>20</v>
      </c>
      <c r="P1752" s="13">
        <v>8</v>
      </c>
      <c r="Q1752" s="13">
        <v>49</v>
      </c>
      <c r="R1752" s="13">
        <v>23</v>
      </c>
      <c r="S1752" s="13">
        <v>0</v>
      </c>
      <c r="T1752" s="23">
        <v>46247.686874999999</v>
      </c>
      <c r="U1752" s="55">
        <f t="shared" si="81"/>
        <v>0.5</v>
      </c>
      <c r="V1752" s="55">
        <f t="shared" si="82"/>
        <v>0.5</v>
      </c>
      <c r="W1752" s="56">
        <f t="shared" si="83"/>
        <v>16644.5</v>
      </c>
    </row>
    <row r="1753" spans="1:23" x14ac:dyDescent="0.3">
      <c r="A1753" s="13" t="str" cm="1">
        <f t="array" ref="A1753:B1753">INDEX(BenchmarkResults!$B$1:$D$35,SUMPRODUCT((T1753&gt;=BenchmarkResults!$F$3:$F$35)*(mongodb_hardware_log!T1753&lt;BenchmarkResults!$G$3:$G$35)*ROW(BenchmarkResults!$F$3:$F$35)),{1,3})</f>
        <v>q4_category_revenue</v>
      </c>
      <c r="B1753">
        <v>2</v>
      </c>
      <c r="C1753" s="13">
        <v>0</v>
      </c>
      <c r="D1753" s="13">
        <v>1</v>
      </c>
      <c r="E1753" s="13">
        <v>220672</v>
      </c>
      <c r="F1753" s="13">
        <v>159956</v>
      </c>
      <c r="G1753" s="13">
        <v>540</v>
      </c>
      <c r="H1753" s="13">
        <v>2307252</v>
      </c>
      <c r="I1753" s="13">
        <v>6</v>
      </c>
      <c r="J1753" s="13">
        <v>150</v>
      </c>
      <c r="K1753" s="13">
        <v>16326</v>
      </c>
      <c r="L1753" s="13">
        <v>200</v>
      </c>
      <c r="M1753" s="13">
        <v>3025</v>
      </c>
      <c r="N1753" s="13">
        <v>2102</v>
      </c>
      <c r="O1753" s="13">
        <v>19</v>
      </c>
      <c r="P1753" s="13">
        <v>8</v>
      </c>
      <c r="Q1753" s="13">
        <v>48</v>
      </c>
      <c r="R1753" s="13">
        <v>24</v>
      </c>
      <c r="S1753" s="13">
        <v>0</v>
      </c>
      <c r="T1753" s="23">
        <v>46247.686990740738</v>
      </c>
      <c r="U1753" s="55">
        <f t="shared" si="81"/>
        <v>0.33333333333333331</v>
      </c>
      <c r="V1753" s="55">
        <f t="shared" si="82"/>
        <v>0.66666666666666663</v>
      </c>
      <c r="W1753" s="56">
        <f t="shared" si="83"/>
        <v>16335.833333333334</v>
      </c>
    </row>
    <row r="1754" spans="1:23" x14ac:dyDescent="0.3">
      <c r="A1754" s="13" t="str" cm="1">
        <f t="array" ref="A1754:B1754">INDEX(BenchmarkResults!$B$1:$D$35,SUMPRODUCT((T1754&gt;=BenchmarkResults!$F$3:$F$35)*(mongodb_hardware_log!T1754&lt;BenchmarkResults!$G$3:$G$35)*ROW(BenchmarkResults!$F$3:$F$35)),{1,3})</f>
        <v>q4_category_revenue</v>
      </c>
      <c r="B1754">
        <v>2</v>
      </c>
      <c r="C1754" s="13">
        <v>0</v>
      </c>
      <c r="D1754" s="13">
        <v>1</v>
      </c>
      <c r="E1754" s="13">
        <v>220160</v>
      </c>
      <c r="F1754" s="13">
        <v>116868</v>
      </c>
      <c r="G1754" s="13">
        <v>556</v>
      </c>
      <c r="H1754" s="13">
        <v>2334052</v>
      </c>
      <c r="I1754" s="13">
        <v>2</v>
      </c>
      <c r="J1754" s="13">
        <v>0</v>
      </c>
      <c r="K1754" s="13">
        <v>13562</v>
      </c>
      <c r="L1754" s="13">
        <v>18</v>
      </c>
      <c r="M1754" s="13">
        <v>2675</v>
      </c>
      <c r="N1754" s="13">
        <v>1787</v>
      </c>
      <c r="O1754" s="13">
        <v>20</v>
      </c>
      <c r="P1754" s="13">
        <v>7</v>
      </c>
      <c r="Q1754" s="13">
        <v>50</v>
      </c>
      <c r="R1754" s="13">
        <v>22</v>
      </c>
      <c r="S1754" s="13">
        <v>1</v>
      </c>
      <c r="T1754" s="23">
        <v>46247.687106481484</v>
      </c>
      <c r="U1754" s="55">
        <f t="shared" si="81"/>
        <v>0.16666666666666666</v>
      </c>
      <c r="V1754" s="55">
        <f t="shared" si="82"/>
        <v>0.83333333333333337</v>
      </c>
      <c r="W1754" s="56">
        <f t="shared" si="83"/>
        <v>15277.333333333334</v>
      </c>
    </row>
    <row r="1755" spans="1:23" x14ac:dyDescent="0.3">
      <c r="A1755" s="13" t="str" cm="1">
        <f t="array" ref="A1755:B1755">INDEX(BenchmarkResults!$B$1:$D$35,SUMPRODUCT((T1755&gt;=BenchmarkResults!$F$3:$F$35)*(mongodb_hardware_log!T1755&lt;BenchmarkResults!$G$3:$G$35)*ROW(BenchmarkResults!$F$3:$F$35)),{1,3})</f>
        <v>q4_category_revenue</v>
      </c>
      <c r="B1755">
        <v>2</v>
      </c>
      <c r="C1755" s="13">
        <v>0</v>
      </c>
      <c r="D1755" s="13">
        <v>1</v>
      </c>
      <c r="E1755" s="13">
        <v>220160</v>
      </c>
      <c r="F1755" s="13">
        <v>120832</v>
      </c>
      <c r="G1755" s="13">
        <v>568</v>
      </c>
      <c r="H1755" s="13">
        <v>2331512</v>
      </c>
      <c r="I1755" s="13">
        <v>2</v>
      </c>
      <c r="J1755" s="13">
        <v>0</v>
      </c>
      <c r="K1755" s="13">
        <v>16030</v>
      </c>
      <c r="L1755" s="13">
        <v>17</v>
      </c>
      <c r="M1755" s="13">
        <v>2695</v>
      </c>
      <c r="N1755" s="13">
        <v>1748</v>
      </c>
      <c r="O1755" s="13">
        <v>19</v>
      </c>
      <c r="P1755" s="13">
        <v>7</v>
      </c>
      <c r="Q1755" s="13">
        <v>49</v>
      </c>
      <c r="R1755" s="13">
        <v>24</v>
      </c>
      <c r="S1755" s="13">
        <v>1</v>
      </c>
      <c r="T1755" s="23">
        <v>46247.687222222223</v>
      </c>
      <c r="U1755" s="55">
        <f t="shared" si="81"/>
        <v>0.16666666666666666</v>
      </c>
      <c r="V1755" s="55">
        <f t="shared" si="82"/>
        <v>0.83333333333333337</v>
      </c>
      <c r="W1755" s="56">
        <f t="shared" si="83"/>
        <v>15269.5</v>
      </c>
    </row>
    <row r="1756" spans="1:23" x14ac:dyDescent="0.3">
      <c r="A1756" s="13" t="str" cm="1">
        <f t="array" ref="A1756:B1756">INDEX(BenchmarkResults!$B$1:$D$35,SUMPRODUCT((T1756&gt;=BenchmarkResults!$F$3:$F$35)*(mongodb_hardware_log!T1756&lt;BenchmarkResults!$G$3:$G$35)*ROW(BenchmarkResults!$F$3:$F$35)),{1,3})</f>
        <v>q4_category_revenue</v>
      </c>
      <c r="B1756">
        <v>2</v>
      </c>
      <c r="C1756" s="13">
        <v>0</v>
      </c>
      <c r="D1756" s="13">
        <v>1</v>
      </c>
      <c r="E1756" s="13">
        <v>220160</v>
      </c>
      <c r="F1756" s="13">
        <v>109100</v>
      </c>
      <c r="G1756" s="13">
        <v>584</v>
      </c>
      <c r="H1756" s="13">
        <v>2344276</v>
      </c>
      <c r="I1756" s="13">
        <v>3</v>
      </c>
      <c r="J1756" s="13">
        <v>0</v>
      </c>
      <c r="K1756" s="13">
        <v>16302</v>
      </c>
      <c r="L1756" s="13">
        <v>22</v>
      </c>
      <c r="M1756" s="13">
        <v>2668</v>
      </c>
      <c r="N1756" s="13">
        <v>1726</v>
      </c>
      <c r="O1756" s="13">
        <v>18</v>
      </c>
      <c r="P1756" s="13">
        <v>7</v>
      </c>
      <c r="Q1756" s="13">
        <v>49</v>
      </c>
      <c r="R1756" s="13">
        <v>25</v>
      </c>
      <c r="S1756" s="13">
        <v>1</v>
      </c>
      <c r="T1756" s="23">
        <v>46247.687337962961</v>
      </c>
      <c r="U1756" s="55">
        <f t="shared" si="81"/>
        <v>0</v>
      </c>
      <c r="V1756" s="55">
        <f t="shared" si="82"/>
        <v>1</v>
      </c>
      <c r="W1756" s="56">
        <f t="shared" si="83"/>
        <v>15658.5</v>
      </c>
    </row>
    <row r="1757" spans="1:23" x14ac:dyDescent="0.3">
      <c r="A1757" s="13" t="str" cm="1">
        <f t="array" ref="A1757:B1757">INDEX(BenchmarkResults!$B$1:$D$35,SUMPRODUCT((T1757&gt;=BenchmarkResults!$F$3:$F$35)*(mongodb_hardware_log!T1757&lt;BenchmarkResults!$G$3:$G$35)*ROW(BenchmarkResults!$F$3:$F$35)),{1,3})</f>
        <v>q4_category_revenue</v>
      </c>
      <c r="B1757">
        <v>2</v>
      </c>
      <c r="C1757" s="13">
        <v>1</v>
      </c>
      <c r="D1757" s="13">
        <v>0</v>
      </c>
      <c r="E1757" s="13">
        <v>220160</v>
      </c>
      <c r="F1757" s="13">
        <v>145164</v>
      </c>
      <c r="G1757" s="13">
        <v>600</v>
      </c>
      <c r="H1757" s="13">
        <v>2317448</v>
      </c>
      <c r="I1757" s="13">
        <v>4</v>
      </c>
      <c r="J1757" s="13">
        <v>0</v>
      </c>
      <c r="K1757" s="13">
        <v>15033</v>
      </c>
      <c r="L1757" s="13">
        <v>28</v>
      </c>
      <c r="M1757" s="13">
        <v>2662</v>
      </c>
      <c r="N1757" s="13">
        <v>1905</v>
      </c>
      <c r="O1757" s="13">
        <v>20</v>
      </c>
      <c r="P1757" s="13">
        <v>8</v>
      </c>
      <c r="Q1757" s="13">
        <v>50</v>
      </c>
      <c r="R1757" s="13">
        <v>22</v>
      </c>
      <c r="S1757" s="13">
        <v>0</v>
      </c>
      <c r="T1757" s="23">
        <v>46247.6874537037</v>
      </c>
      <c r="U1757" s="55">
        <f t="shared" si="81"/>
        <v>0.16666666666666666</v>
      </c>
      <c r="V1757" s="55">
        <f t="shared" si="82"/>
        <v>0.83333333333333337</v>
      </c>
      <c r="W1757" s="56">
        <f t="shared" si="83"/>
        <v>15481.833333333334</v>
      </c>
    </row>
    <row r="1758" spans="1:23" x14ac:dyDescent="0.3">
      <c r="A1758" s="13" t="str" cm="1">
        <f t="array" ref="A1758:B1758">INDEX(BenchmarkResults!$B$1:$D$35,SUMPRODUCT((T1758&gt;=BenchmarkResults!$F$3:$F$35)*(mongodb_hardware_log!T1758&lt;BenchmarkResults!$G$3:$G$35)*ROW(BenchmarkResults!$F$3:$F$35)),{1,3})</f>
        <v>q4_category_revenue</v>
      </c>
      <c r="B1758">
        <v>2</v>
      </c>
      <c r="C1758" s="13">
        <v>1</v>
      </c>
      <c r="D1758" s="13">
        <v>0</v>
      </c>
      <c r="E1758" s="13">
        <v>220160</v>
      </c>
      <c r="F1758" s="13">
        <v>121504</v>
      </c>
      <c r="G1758" s="13">
        <v>608</v>
      </c>
      <c r="H1758" s="13">
        <v>2331632</v>
      </c>
      <c r="I1758" s="13">
        <v>7</v>
      </c>
      <c r="J1758" s="13">
        <v>0</v>
      </c>
      <c r="K1758" s="13">
        <v>15324</v>
      </c>
      <c r="L1758" s="13">
        <v>5</v>
      </c>
      <c r="M1758" s="13">
        <v>2772</v>
      </c>
      <c r="N1758" s="13">
        <v>1841</v>
      </c>
      <c r="O1758" s="13">
        <v>19</v>
      </c>
      <c r="P1758" s="13">
        <v>7</v>
      </c>
      <c r="Q1758" s="13">
        <v>50</v>
      </c>
      <c r="R1758" s="13">
        <v>23</v>
      </c>
      <c r="S1758" s="13">
        <v>1</v>
      </c>
      <c r="T1758" s="23">
        <v>46247.687569444446</v>
      </c>
      <c r="U1758" s="55">
        <f t="shared" si="81"/>
        <v>0.33333333333333331</v>
      </c>
      <c r="V1758" s="55">
        <f t="shared" si="82"/>
        <v>0.66666666666666663</v>
      </c>
      <c r="W1758" s="56">
        <f t="shared" si="83"/>
        <v>15429.5</v>
      </c>
    </row>
    <row r="1759" spans="1:23" x14ac:dyDescent="0.3">
      <c r="A1759" s="13" t="str" cm="1">
        <f t="array" ref="A1759:B1759">INDEX(BenchmarkResults!$B$1:$D$35,SUMPRODUCT((T1759&gt;=BenchmarkResults!$F$3:$F$35)*(mongodb_hardware_log!T1759&lt;BenchmarkResults!$G$3:$G$35)*ROW(BenchmarkResults!$F$3:$F$35)),{1,3})</f>
        <v>q4_category_revenue</v>
      </c>
      <c r="B1759">
        <v>2</v>
      </c>
      <c r="C1759" s="13">
        <v>1</v>
      </c>
      <c r="D1759" s="13">
        <v>0</v>
      </c>
      <c r="E1759" s="13">
        <v>220160</v>
      </c>
      <c r="F1759" s="13">
        <v>121276</v>
      </c>
      <c r="G1759" s="13">
        <v>640</v>
      </c>
      <c r="H1759" s="13">
        <v>2339384</v>
      </c>
      <c r="I1759" s="13">
        <v>4</v>
      </c>
      <c r="J1759" s="13">
        <v>0</v>
      </c>
      <c r="K1759" s="13">
        <v>14628</v>
      </c>
      <c r="L1759" s="13">
        <v>25</v>
      </c>
      <c r="M1759" s="13">
        <v>2708</v>
      </c>
      <c r="N1759" s="13">
        <v>1866</v>
      </c>
      <c r="O1759" s="13">
        <v>20</v>
      </c>
      <c r="P1759" s="13">
        <v>7</v>
      </c>
      <c r="Q1759" s="13">
        <v>50</v>
      </c>
      <c r="R1759" s="13">
        <v>22</v>
      </c>
      <c r="S1759" s="13">
        <v>1</v>
      </c>
      <c r="T1759" s="23">
        <v>46247.687685185185</v>
      </c>
      <c r="U1759" s="55">
        <f t="shared" si="81"/>
        <v>0.5</v>
      </c>
      <c r="V1759" s="55">
        <f t="shared" si="82"/>
        <v>0.5</v>
      </c>
      <c r="W1759" s="56">
        <f t="shared" si="83"/>
        <v>15146.5</v>
      </c>
    </row>
    <row r="1760" spans="1:23" x14ac:dyDescent="0.3">
      <c r="A1760" s="13" t="str" cm="1">
        <f t="array" ref="A1760:B1760">INDEX(BenchmarkResults!$B$1:$D$35,SUMPRODUCT((T1760&gt;=BenchmarkResults!$F$3:$F$35)*(mongodb_hardware_log!T1760&lt;BenchmarkResults!$G$3:$G$35)*ROW(BenchmarkResults!$F$3:$F$35)),{1,3})</f>
        <v>q4_category_revenue</v>
      </c>
      <c r="B1760">
        <v>2</v>
      </c>
      <c r="C1760" s="13">
        <v>1</v>
      </c>
      <c r="D1760" s="13">
        <v>0</v>
      </c>
      <c r="E1760" s="13">
        <v>220160</v>
      </c>
      <c r="F1760" s="13">
        <v>124804</v>
      </c>
      <c r="G1760" s="13">
        <v>656</v>
      </c>
      <c r="H1760" s="13">
        <v>2336212</v>
      </c>
      <c r="I1760" s="13">
        <v>3</v>
      </c>
      <c r="J1760" s="13">
        <v>0</v>
      </c>
      <c r="K1760" s="13">
        <v>18012</v>
      </c>
      <c r="L1760" s="13">
        <v>35</v>
      </c>
      <c r="M1760" s="13">
        <v>2818</v>
      </c>
      <c r="N1760" s="13">
        <v>1871</v>
      </c>
      <c r="O1760" s="13">
        <v>19</v>
      </c>
      <c r="P1760" s="13">
        <v>8</v>
      </c>
      <c r="Q1760" s="13">
        <v>48</v>
      </c>
      <c r="R1760" s="13">
        <v>25</v>
      </c>
      <c r="S1760" s="13">
        <v>0</v>
      </c>
      <c r="T1760" s="23">
        <v>46247.687800925924</v>
      </c>
      <c r="U1760" s="55">
        <f t="shared" si="81"/>
        <v>0.66666666666666663</v>
      </c>
      <c r="V1760" s="55">
        <f t="shared" si="82"/>
        <v>0.33333333333333331</v>
      </c>
      <c r="W1760" s="56">
        <f t="shared" si="83"/>
        <v>15888.166666666666</v>
      </c>
    </row>
    <row r="1761" spans="1:23" x14ac:dyDescent="0.3">
      <c r="A1761" s="13" t="str" cm="1">
        <f t="array" ref="A1761:B1761">INDEX(BenchmarkResults!$B$1:$D$35,SUMPRODUCT((T1761&gt;=BenchmarkResults!$F$3:$F$35)*(mongodb_hardware_log!T1761&lt;BenchmarkResults!$G$3:$G$35)*ROW(BenchmarkResults!$F$3:$F$35)),{1,3})</f>
        <v>q4_category_revenue</v>
      </c>
      <c r="B1761">
        <v>2</v>
      </c>
      <c r="C1761" s="13">
        <v>1</v>
      </c>
      <c r="D1761" s="13">
        <v>0</v>
      </c>
      <c r="E1761" s="13">
        <v>219904</v>
      </c>
      <c r="F1761" s="13">
        <v>138788</v>
      </c>
      <c r="G1761" s="13">
        <v>252</v>
      </c>
      <c r="H1761" s="13">
        <v>2321944</v>
      </c>
      <c r="I1761" s="13">
        <v>14</v>
      </c>
      <c r="J1761" s="13">
        <v>28</v>
      </c>
      <c r="K1761" s="13">
        <v>15838</v>
      </c>
      <c r="L1761" s="13">
        <v>39</v>
      </c>
      <c r="M1761" s="13">
        <v>2626</v>
      </c>
      <c r="N1761" s="13">
        <v>1728</v>
      </c>
      <c r="O1761" s="13">
        <v>20</v>
      </c>
      <c r="P1761" s="13">
        <v>7</v>
      </c>
      <c r="Q1761" s="13">
        <v>50</v>
      </c>
      <c r="R1761" s="13">
        <v>22</v>
      </c>
      <c r="S1761" s="13">
        <v>0</v>
      </c>
      <c r="T1761" s="23">
        <v>46247.687916666669</v>
      </c>
      <c r="U1761" s="55">
        <f t="shared" si="81"/>
        <v>0.83333333333333337</v>
      </c>
      <c r="V1761" s="55">
        <f t="shared" si="82"/>
        <v>0.16666666666666666</v>
      </c>
      <c r="W1761" s="56">
        <f t="shared" si="83"/>
        <v>15856.166666666666</v>
      </c>
    </row>
    <row r="1762" spans="1:23" x14ac:dyDescent="0.3">
      <c r="A1762" s="13" t="str" cm="1">
        <f t="array" ref="A1762:B1762">INDEX(BenchmarkResults!$B$1:$D$35,SUMPRODUCT((T1762&gt;=BenchmarkResults!$F$3:$F$35)*(mongodb_hardware_log!T1762&lt;BenchmarkResults!$G$3:$G$35)*ROW(BenchmarkResults!$F$3:$F$35)),{1,3})</f>
        <v>q4_category_revenue</v>
      </c>
      <c r="B1762">
        <v>2</v>
      </c>
      <c r="C1762" s="13">
        <v>1</v>
      </c>
      <c r="D1762" s="13">
        <v>0</v>
      </c>
      <c r="E1762" s="13">
        <v>219904</v>
      </c>
      <c r="F1762" s="13">
        <v>145872</v>
      </c>
      <c r="G1762" s="13">
        <v>260</v>
      </c>
      <c r="H1762" s="13">
        <v>2316080</v>
      </c>
      <c r="I1762" s="13">
        <v>14</v>
      </c>
      <c r="J1762" s="13">
        <v>1</v>
      </c>
      <c r="K1762" s="13">
        <v>15110</v>
      </c>
      <c r="L1762" s="13">
        <v>10</v>
      </c>
      <c r="M1762" s="13">
        <v>2905</v>
      </c>
      <c r="N1762" s="13">
        <v>2144</v>
      </c>
      <c r="O1762" s="13">
        <v>20</v>
      </c>
      <c r="P1762" s="13">
        <v>8</v>
      </c>
      <c r="Q1762" s="13">
        <v>50</v>
      </c>
      <c r="R1762" s="13">
        <v>21</v>
      </c>
      <c r="S1762" s="13">
        <v>0</v>
      </c>
      <c r="T1762" s="23">
        <v>46247.688032407408</v>
      </c>
      <c r="U1762" s="55">
        <f t="shared" si="81"/>
        <v>1</v>
      </c>
      <c r="V1762" s="55">
        <f t="shared" si="82"/>
        <v>0</v>
      </c>
      <c r="W1762" s="56">
        <f t="shared" si="83"/>
        <v>15657.5</v>
      </c>
    </row>
    <row r="1763" spans="1:23" x14ac:dyDescent="0.3">
      <c r="A1763" s="13" t="str" cm="1">
        <f t="array" ref="A1763:B1763">INDEX(BenchmarkResults!$B$1:$D$35,SUMPRODUCT((T1763&gt;=BenchmarkResults!$F$3:$F$35)*(mongodb_hardware_log!T1763&lt;BenchmarkResults!$G$3:$G$35)*ROW(BenchmarkResults!$F$3:$F$35)),{1,3})</f>
        <v>q4_category_revenue</v>
      </c>
      <c r="B1763">
        <v>2</v>
      </c>
      <c r="C1763" s="13">
        <v>0</v>
      </c>
      <c r="D1763" s="13">
        <v>1</v>
      </c>
      <c r="E1763" s="13">
        <v>219904</v>
      </c>
      <c r="F1763" s="13">
        <v>145144</v>
      </c>
      <c r="G1763" s="13">
        <v>276</v>
      </c>
      <c r="H1763" s="13">
        <v>2316352</v>
      </c>
      <c r="I1763" s="13">
        <v>7</v>
      </c>
      <c r="J1763" s="13">
        <v>0</v>
      </c>
      <c r="K1763" s="13">
        <v>16404</v>
      </c>
      <c r="L1763" s="13">
        <v>11</v>
      </c>
      <c r="M1763" s="13">
        <v>2874</v>
      </c>
      <c r="N1763" s="13">
        <v>2050</v>
      </c>
      <c r="O1763" s="13">
        <v>20</v>
      </c>
      <c r="P1763" s="13">
        <v>8</v>
      </c>
      <c r="Q1763" s="13">
        <v>50</v>
      </c>
      <c r="R1763" s="13">
        <v>23</v>
      </c>
      <c r="S1763" s="13">
        <v>0</v>
      </c>
      <c r="T1763" s="23">
        <v>46247.688148148147</v>
      </c>
      <c r="U1763" s="55">
        <f t="shared" si="81"/>
        <v>0.83333333333333337</v>
      </c>
      <c r="V1763" s="55">
        <f t="shared" si="82"/>
        <v>0.16666666666666666</v>
      </c>
      <c r="W1763" s="56">
        <f t="shared" si="83"/>
        <v>15886</v>
      </c>
    </row>
    <row r="1764" spans="1:23" x14ac:dyDescent="0.3">
      <c r="A1764" s="13" t="str" cm="1">
        <f t="array" ref="A1764:B1764">INDEX(BenchmarkResults!$B$1:$D$35,SUMPRODUCT((T1764&gt;=BenchmarkResults!$F$3:$F$35)*(mongodb_hardware_log!T1764&lt;BenchmarkResults!$G$3:$G$35)*ROW(BenchmarkResults!$F$3:$F$35)),{1,3})</f>
        <v>q4_category_revenue</v>
      </c>
      <c r="B1764">
        <v>2</v>
      </c>
      <c r="C1764" s="13">
        <v>0</v>
      </c>
      <c r="D1764" s="13">
        <v>1</v>
      </c>
      <c r="E1764" s="13">
        <v>219904</v>
      </c>
      <c r="F1764" s="13">
        <v>142748</v>
      </c>
      <c r="G1764" s="13">
        <v>284</v>
      </c>
      <c r="H1764" s="13">
        <v>2323596</v>
      </c>
      <c r="I1764" s="13">
        <v>4</v>
      </c>
      <c r="J1764" s="13">
        <v>6</v>
      </c>
      <c r="K1764" s="13">
        <v>14590</v>
      </c>
      <c r="L1764" s="13">
        <v>30</v>
      </c>
      <c r="M1764" s="13">
        <v>3054</v>
      </c>
      <c r="N1764" s="13">
        <v>2222</v>
      </c>
      <c r="O1764" s="13">
        <v>20</v>
      </c>
      <c r="P1764" s="13">
        <v>8</v>
      </c>
      <c r="Q1764" s="13">
        <v>49</v>
      </c>
      <c r="R1764" s="13">
        <v>22</v>
      </c>
      <c r="S1764" s="13">
        <v>1</v>
      </c>
      <c r="T1764" s="23">
        <v>46247.688263888886</v>
      </c>
      <c r="U1764" s="55">
        <f t="shared" si="81"/>
        <v>0.66666666666666663</v>
      </c>
      <c r="V1764" s="55">
        <f t="shared" si="82"/>
        <v>0.33333333333333331</v>
      </c>
      <c r="W1764" s="56">
        <f t="shared" si="83"/>
        <v>15763.666666666666</v>
      </c>
    </row>
    <row r="1765" spans="1:23" x14ac:dyDescent="0.3">
      <c r="A1765" s="13" t="str" cm="1">
        <f t="array" ref="A1765:B1765">INDEX(BenchmarkResults!$B$1:$D$35,SUMPRODUCT((T1765&gt;=BenchmarkResults!$F$3:$F$35)*(mongodb_hardware_log!T1765&lt;BenchmarkResults!$G$3:$G$35)*ROW(BenchmarkResults!$F$3:$F$35)),{1,3})</f>
        <v>q4_category_revenue</v>
      </c>
      <c r="B1765">
        <v>2</v>
      </c>
      <c r="C1765" s="13">
        <v>1</v>
      </c>
      <c r="D1765" s="13">
        <v>0</v>
      </c>
      <c r="E1765" s="13">
        <v>220160</v>
      </c>
      <c r="F1765" s="13">
        <v>160488</v>
      </c>
      <c r="G1765" s="13">
        <v>316</v>
      </c>
      <c r="H1765" s="13">
        <v>2305964</v>
      </c>
      <c r="I1765" s="13">
        <v>8</v>
      </c>
      <c r="J1765" s="13">
        <v>40</v>
      </c>
      <c r="K1765" s="13">
        <v>15452</v>
      </c>
      <c r="L1765" s="13">
        <v>72</v>
      </c>
      <c r="M1765" s="13">
        <v>2805</v>
      </c>
      <c r="N1765" s="13">
        <v>1929</v>
      </c>
      <c r="O1765" s="13">
        <v>19</v>
      </c>
      <c r="P1765" s="13">
        <v>7</v>
      </c>
      <c r="Q1765" s="13">
        <v>49</v>
      </c>
      <c r="R1765" s="13">
        <v>24</v>
      </c>
      <c r="S1765" s="13">
        <v>1</v>
      </c>
      <c r="T1765" s="23">
        <v>46247.688379629632</v>
      </c>
      <c r="U1765" s="55">
        <f t="shared" si="81"/>
        <v>0.66666666666666663</v>
      </c>
      <c r="V1765" s="55">
        <f t="shared" si="82"/>
        <v>0.33333333333333331</v>
      </c>
      <c r="W1765" s="56">
        <f t="shared" si="83"/>
        <v>15901</v>
      </c>
    </row>
    <row r="1766" spans="1:23" x14ac:dyDescent="0.3">
      <c r="A1766" s="13" t="str" cm="1">
        <f t="array" ref="A1766:B1766">INDEX(BenchmarkResults!$B$1:$D$35,SUMPRODUCT((T1766&gt;=BenchmarkResults!$F$3:$F$35)*(mongodb_hardware_log!T1766&lt;BenchmarkResults!$G$3:$G$35)*ROW(BenchmarkResults!$F$3:$F$35)),{1,3})</f>
        <v>q4_category_revenue</v>
      </c>
      <c r="B1766">
        <v>2</v>
      </c>
      <c r="C1766" s="13">
        <v>1</v>
      </c>
      <c r="D1766" s="13">
        <v>0</v>
      </c>
      <c r="E1766" s="13">
        <v>219904</v>
      </c>
      <c r="F1766" s="13">
        <v>130880</v>
      </c>
      <c r="G1766" s="13">
        <v>324</v>
      </c>
      <c r="H1766" s="13">
        <v>2326224</v>
      </c>
      <c r="I1766" s="13">
        <v>4</v>
      </c>
      <c r="J1766" s="13">
        <v>0</v>
      </c>
      <c r="K1766" s="13">
        <v>12574</v>
      </c>
      <c r="L1766" s="13">
        <v>9</v>
      </c>
      <c r="M1766" s="13">
        <v>2480</v>
      </c>
      <c r="N1766" s="13">
        <v>1643</v>
      </c>
      <c r="O1766" s="13">
        <v>20</v>
      </c>
      <c r="P1766" s="13">
        <v>7</v>
      </c>
      <c r="Q1766" s="13">
        <v>50</v>
      </c>
      <c r="R1766" s="13">
        <v>23</v>
      </c>
      <c r="S1766" s="13">
        <v>1</v>
      </c>
      <c r="T1766" s="23">
        <v>46247.68849537037</v>
      </c>
      <c r="U1766" s="55">
        <f t="shared" si="81"/>
        <v>0.66666666666666663</v>
      </c>
      <c r="V1766" s="55">
        <f t="shared" si="82"/>
        <v>0.33333333333333331</v>
      </c>
      <c r="W1766" s="56">
        <f t="shared" si="83"/>
        <v>14994.666666666666</v>
      </c>
    </row>
    <row r="1767" spans="1:23" x14ac:dyDescent="0.3">
      <c r="A1767" s="13" t="str" cm="1">
        <f t="array" ref="A1767:B1767">INDEX(BenchmarkResults!$B$1:$D$35,SUMPRODUCT((T1767&gt;=BenchmarkResults!$F$3:$F$35)*(mongodb_hardware_log!T1767&lt;BenchmarkResults!$G$3:$G$35)*ROW(BenchmarkResults!$F$3:$F$35)),{1,3})</f>
        <v>q4_category_revenue</v>
      </c>
      <c r="B1767">
        <v>2</v>
      </c>
      <c r="C1767" s="13">
        <v>0</v>
      </c>
      <c r="D1767" s="13">
        <v>1</v>
      </c>
      <c r="E1767" s="13">
        <v>219904</v>
      </c>
      <c r="F1767" s="13">
        <v>148348</v>
      </c>
      <c r="G1767" s="13">
        <v>332</v>
      </c>
      <c r="H1767" s="13">
        <v>2317852</v>
      </c>
      <c r="I1767" s="13">
        <v>7</v>
      </c>
      <c r="J1767" s="13">
        <v>0</v>
      </c>
      <c r="K1767" s="13">
        <v>15930</v>
      </c>
      <c r="L1767" s="13">
        <v>27</v>
      </c>
      <c r="M1767" s="13">
        <v>2681</v>
      </c>
      <c r="N1767" s="13">
        <v>1795</v>
      </c>
      <c r="O1767" s="13">
        <v>18</v>
      </c>
      <c r="P1767" s="13">
        <v>7</v>
      </c>
      <c r="Q1767" s="13">
        <v>49</v>
      </c>
      <c r="R1767" s="13">
        <v>25</v>
      </c>
      <c r="S1767" s="13">
        <v>1</v>
      </c>
      <c r="T1767" s="23">
        <v>46247.688611111109</v>
      </c>
      <c r="U1767" s="55">
        <f t="shared" si="81"/>
        <v>0.5</v>
      </c>
      <c r="V1767" s="55">
        <f t="shared" si="82"/>
        <v>0.5</v>
      </c>
      <c r="W1767" s="56">
        <f t="shared" si="83"/>
        <v>15010</v>
      </c>
    </row>
    <row r="1768" spans="1:23" x14ac:dyDescent="0.3">
      <c r="A1768" s="13" t="str" cm="1">
        <f t="array" ref="A1768:B1768">INDEX(BenchmarkResults!$B$1:$D$35,SUMPRODUCT((T1768&gt;=BenchmarkResults!$F$3:$F$35)*(mongodb_hardware_log!T1768&lt;BenchmarkResults!$G$3:$G$35)*ROW(BenchmarkResults!$F$3:$F$35)),{1,3})</f>
        <v>q4_category_revenue</v>
      </c>
      <c r="B1768">
        <v>2</v>
      </c>
      <c r="C1768" s="13">
        <v>2</v>
      </c>
      <c r="D1768" s="13">
        <v>0</v>
      </c>
      <c r="E1768" s="13">
        <v>219392</v>
      </c>
      <c r="F1768" s="13">
        <v>134580</v>
      </c>
      <c r="G1768" s="13">
        <v>480</v>
      </c>
      <c r="H1768" s="13">
        <v>2319448</v>
      </c>
      <c r="I1768" s="13">
        <v>214</v>
      </c>
      <c r="J1768" s="13">
        <v>0</v>
      </c>
      <c r="K1768" s="13">
        <v>15033</v>
      </c>
      <c r="L1768" s="13">
        <v>17</v>
      </c>
      <c r="M1768" s="13">
        <v>2635</v>
      </c>
      <c r="N1768" s="13">
        <v>1834</v>
      </c>
      <c r="O1768" s="13">
        <v>20</v>
      </c>
      <c r="P1768" s="13">
        <v>8</v>
      </c>
      <c r="Q1768" s="13">
        <v>46</v>
      </c>
      <c r="R1768" s="13">
        <v>25</v>
      </c>
      <c r="S1768" s="13">
        <v>1</v>
      </c>
      <c r="T1768" s="23">
        <v>46247.688726851855</v>
      </c>
      <c r="U1768" s="55">
        <f t="shared" si="81"/>
        <v>0.66666666666666663</v>
      </c>
      <c r="V1768" s="55">
        <f t="shared" si="82"/>
        <v>0.5</v>
      </c>
      <c r="W1768" s="56">
        <f t="shared" si="83"/>
        <v>14997.166666666666</v>
      </c>
    </row>
    <row r="1769" spans="1:23" x14ac:dyDescent="0.3">
      <c r="A1769" s="13" t="str" cm="1">
        <f t="array" ref="A1769:B1769">INDEX(BenchmarkResults!$B$1:$D$35,SUMPRODUCT((T1769&gt;=BenchmarkResults!$F$3:$F$35)*(mongodb_hardware_log!T1769&lt;BenchmarkResults!$G$3:$G$35)*ROW(BenchmarkResults!$F$3:$F$35)),{1,3})</f>
        <v>q4_category_revenue</v>
      </c>
      <c r="B1769">
        <v>2</v>
      </c>
      <c r="C1769" s="13">
        <v>1</v>
      </c>
      <c r="D1769" s="13">
        <v>1</v>
      </c>
      <c r="E1769" s="13">
        <v>219392</v>
      </c>
      <c r="F1769" s="13">
        <v>112896</v>
      </c>
      <c r="G1769" s="13">
        <v>484</v>
      </c>
      <c r="H1769" s="13">
        <v>2338480</v>
      </c>
      <c r="I1769" s="13">
        <v>12</v>
      </c>
      <c r="J1769" s="13">
        <v>0</v>
      </c>
      <c r="K1769" s="13">
        <v>15128</v>
      </c>
      <c r="L1769" s="13">
        <v>28</v>
      </c>
      <c r="M1769" s="13">
        <v>2522</v>
      </c>
      <c r="N1769" s="13">
        <v>1615</v>
      </c>
      <c r="O1769" s="13">
        <v>17</v>
      </c>
      <c r="P1769" s="13">
        <v>6</v>
      </c>
      <c r="Q1769" s="13">
        <v>48</v>
      </c>
      <c r="R1769" s="13">
        <v>28</v>
      </c>
      <c r="S1769" s="13">
        <v>1</v>
      </c>
      <c r="T1769" s="23">
        <v>46247.688842592594</v>
      </c>
      <c r="U1769" s="55">
        <f t="shared" si="81"/>
        <v>0.83333333333333337</v>
      </c>
      <c r="V1769" s="55">
        <f t="shared" si="82"/>
        <v>0.5</v>
      </c>
      <c r="W1769" s="56">
        <f t="shared" si="83"/>
        <v>14784.5</v>
      </c>
    </row>
    <row r="1770" spans="1:23" x14ac:dyDescent="0.3">
      <c r="A1770" s="13" t="str" cm="1">
        <f t="array" ref="A1770:B1770">INDEX(BenchmarkResults!$B$1:$D$35,SUMPRODUCT((T1770&gt;=BenchmarkResults!$F$3:$F$35)*(mongodb_hardware_log!T1770&lt;BenchmarkResults!$G$3:$G$35)*ROW(BenchmarkResults!$F$3:$F$35)),{1,3})</f>
        <v>q4_category_revenue</v>
      </c>
      <c r="B1770">
        <v>2</v>
      </c>
      <c r="C1770" s="13">
        <v>1</v>
      </c>
      <c r="D1770" s="13">
        <v>0</v>
      </c>
      <c r="E1770" s="13">
        <v>219392</v>
      </c>
      <c r="F1770" s="13">
        <v>109320</v>
      </c>
      <c r="G1770" s="13">
        <v>500</v>
      </c>
      <c r="H1770" s="13">
        <v>2346064</v>
      </c>
      <c r="I1770" s="13">
        <v>1</v>
      </c>
      <c r="J1770" s="13">
        <v>0</v>
      </c>
      <c r="K1770" s="13">
        <v>16814</v>
      </c>
      <c r="L1770" s="13">
        <v>21</v>
      </c>
      <c r="M1770" s="13">
        <v>2875</v>
      </c>
      <c r="N1770" s="13">
        <v>1944</v>
      </c>
      <c r="O1770" s="13">
        <v>19</v>
      </c>
      <c r="P1770" s="13">
        <v>7</v>
      </c>
      <c r="Q1770" s="13">
        <v>46</v>
      </c>
      <c r="R1770" s="13">
        <v>26</v>
      </c>
      <c r="S1770" s="13">
        <v>1</v>
      </c>
      <c r="T1770" s="23">
        <v>46247.688958333332</v>
      </c>
      <c r="U1770" s="55">
        <f t="shared" si="81"/>
        <v>1</v>
      </c>
      <c r="V1770" s="55">
        <f t="shared" si="82"/>
        <v>0.33333333333333331</v>
      </c>
      <c r="W1770" s="56">
        <f t="shared" si="83"/>
        <v>15155.166666666666</v>
      </c>
    </row>
    <row r="1771" spans="1:23" x14ac:dyDescent="0.3">
      <c r="A1771" s="13" t="str" cm="1">
        <f t="array" ref="A1771:B1771">INDEX(BenchmarkResults!$B$1:$D$35,SUMPRODUCT((T1771&gt;=BenchmarkResults!$F$3:$F$35)*(mongodb_hardware_log!T1771&lt;BenchmarkResults!$G$3:$G$35)*ROW(BenchmarkResults!$F$3:$F$35)),{1,3})</f>
        <v>q4_category_revenue</v>
      </c>
      <c r="B1771">
        <v>2</v>
      </c>
      <c r="C1771" s="13">
        <v>1</v>
      </c>
      <c r="D1771" s="13">
        <v>0</v>
      </c>
      <c r="E1771" s="13">
        <v>219392</v>
      </c>
      <c r="F1771" s="13">
        <v>127304</v>
      </c>
      <c r="G1771" s="13">
        <v>532</v>
      </c>
      <c r="H1771" s="13">
        <v>2330336</v>
      </c>
      <c r="I1771" s="13">
        <v>4</v>
      </c>
      <c r="J1771" s="13">
        <v>0</v>
      </c>
      <c r="K1771" s="13">
        <v>17824</v>
      </c>
      <c r="L1771" s="13">
        <v>37</v>
      </c>
      <c r="M1771" s="13">
        <v>3126</v>
      </c>
      <c r="N1771" s="13">
        <v>2090</v>
      </c>
      <c r="O1771" s="13">
        <v>21</v>
      </c>
      <c r="P1771" s="13">
        <v>8</v>
      </c>
      <c r="Q1771" s="13">
        <v>46</v>
      </c>
      <c r="R1771" s="13">
        <v>25</v>
      </c>
      <c r="S1771" s="13">
        <v>1</v>
      </c>
      <c r="T1771" s="23">
        <v>46247.689074074071</v>
      </c>
      <c r="U1771" s="55">
        <f t="shared" si="81"/>
        <v>1</v>
      </c>
      <c r="V1771" s="55">
        <f t="shared" si="82"/>
        <v>0.33333333333333331</v>
      </c>
      <c r="W1771" s="56">
        <f t="shared" si="83"/>
        <v>15550.5</v>
      </c>
    </row>
    <row r="1772" spans="1:23" x14ac:dyDescent="0.3">
      <c r="A1772" s="13" t="str" cm="1">
        <f t="array" ref="A1772:B1772">INDEX(BenchmarkResults!$B$1:$D$35,SUMPRODUCT((T1772&gt;=BenchmarkResults!$F$3:$F$35)*(mongodb_hardware_log!T1772&lt;BenchmarkResults!$G$3:$G$35)*ROW(BenchmarkResults!$F$3:$F$35)),{1,3})</f>
        <v>q4_category_revenue</v>
      </c>
      <c r="B1772">
        <v>2</v>
      </c>
      <c r="C1772" s="13">
        <v>0</v>
      </c>
      <c r="D1772" s="13">
        <v>1</v>
      </c>
      <c r="E1772" s="13">
        <v>219392</v>
      </c>
      <c r="F1772" s="13">
        <v>137948</v>
      </c>
      <c r="G1772" s="13">
        <v>308</v>
      </c>
      <c r="H1772" s="13">
        <v>2316508</v>
      </c>
      <c r="I1772" s="13">
        <v>2</v>
      </c>
      <c r="J1772" s="13">
        <v>1</v>
      </c>
      <c r="K1772" s="13">
        <v>19708</v>
      </c>
      <c r="L1772" s="13">
        <v>11</v>
      </c>
      <c r="M1772" s="13">
        <v>3566</v>
      </c>
      <c r="N1772" s="13">
        <v>2508</v>
      </c>
      <c r="O1772" s="13">
        <v>20</v>
      </c>
      <c r="P1772" s="13">
        <v>9</v>
      </c>
      <c r="Q1772" s="13">
        <v>45</v>
      </c>
      <c r="R1772" s="13">
        <v>25</v>
      </c>
      <c r="S1772" s="13">
        <v>1</v>
      </c>
      <c r="T1772" s="23">
        <v>46247.689189814817</v>
      </c>
      <c r="U1772" s="55">
        <f t="shared" si="81"/>
        <v>0.83333333333333337</v>
      </c>
      <c r="V1772" s="55">
        <f t="shared" si="82"/>
        <v>0.5</v>
      </c>
      <c r="W1772" s="56">
        <f t="shared" si="83"/>
        <v>16739.5</v>
      </c>
    </row>
    <row r="1773" spans="1:23" x14ac:dyDescent="0.3">
      <c r="A1773" s="13" t="str" cm="1">
        <f t="array" ref="A1773:B1773">INDEX(BenchmarkResults!$B$1:$D$35,SUMPRODUCT((T1773&gt;=BenchmarkResults!$F$3:$F$35)*(mongodb_hardware_log!T1773&lt;BenchmarkResults!$G$3:$G$35)*ROW(BenchmarkResults!$F$3:$F$35)),{1,3})</f>
        <v>q4_category_revenue</v>
      </c>
      <c r="B1773">
        <v>2</v>
      </c>
      <c r="C1773" s="13">
        <v>1</v>
      </c>
      <c r="D1773" s="13">
        <v>1</v>
      </c>
      <c r="E1773" s="13">
        <v>219136</v>
      </c>
      <c r="F1773" s="13">
        <v>133312</v>
      </c>
      <c r="G1773" s="13">
        <v>192</v>
      </c>
      <c r="H1773" s="13">
        <v>2328716</v>
      </c>
      <c r="I1773" s="13">
        <v>2</v>
      </c>
      <c r="J1773" s="13">
        <v>22</v>
      </c>
      <c r="K1773" s="13">
        <v>19205</v>
      </c>
      <c r="L1773" s="13">
        <v>34</v>
      </c>
      <c r="M1773" s="13">
        <v>3437</v>
      </c>
      <c r="N1773" s="13">
        <v>2326</v>
      </c>
      <c r="O1773" s="13">
        <v>22</v>
      </c>
      <c r="P1773" s="13">
        <v>8</v>
      </c>
      <c r="Q1773" s="13">
        <v>46</v>
      </c>
      <c r="R1773" s="13">
        <v>23</v>
      </c>
      <c r="S1773" s="13">
        <v>0</v>
      </c>
      <c r="T1773" s="23">
        <v>46247.689305555556</v>
      </c>
      <c r="U1773" s="55">
        <f t="shared" si="81"/>
        <v>1</v>
      </c>
      <c r="V1773" s="55">
        <f t="shared" si="82"/>
        <v>0.5</v>
      </c>
      <c r="W1773" s="56">
        <f t="shared" si="83"/>
        <v>17285.333333333332</v>
      </c>
    </row>
    <row r="1774" spans="1:23" x14ac:dyDescent="0.3">
      <c r="A1774" s="13" t="str" cm="1">
        <f t="array" ref="A1774:B1774">INDEX(BenchmarkResults!$B$1:$D$35,SUMPRODUCT((T1774&gt;=BenchmarkResults!$F$3:$F$35)*(mongodb_hardware_log!T1774&lt;BenchmarkResults!$G$3:$G$35)*ROW(BenchmarkResults!$F$3:$F$35)),{1,3})</f>
        <v>q4_category_revenue</v>
      </c>
      <c r="B1774">
        <v>2</v>
      </c>
      <c r="C1774" s="13">
        <v>0</v>
      </c>
      <c r="D1774" s="13">
        <v>1</v>
      </c>
      <c r="E1774" s="13">
        <v>219136</v>
      </c>
      <c r="F1774" s="13">
        <v>114012</v>
      </c>
      <c r="G1774" s="13">
        <v>200</v>
      </c>
      <c r="H1774" s="13">
        <v>2349448</v>
      </c>
      <c r="I1774" s="13">
        <v>4</v>
      </c>
      <c r="J1774" s="13">
        <v>2</v>
      </c>
      <c r="K1774" s="13">
        <v>18448</v>
      </c>
      <c r="L1774" s="13">
        <v>36</v>
      </c>
      <c r="M1774" s="13">
        <v>3427</v>
      </c>
      <c r="N1774" s="13">
        <v>2323</v>
      </c>
      <c r="O1774" s="13">
        <v>21</v>
      </c>
      <c r="P1774" s="13">
        <v>8</v>
      </c>
      <c r="Q1774" s="13">
        <v>46</v>
      </c>
      <c r="R1774" s="13">
        <v>25</v>
      </c>
      <c r="S1774" s="13">
        <v>0</v>
      </c>
      <c r="T1774" s="23">
        <v>46247.689421296294</v>
      </c>
      <c r="U1774" s="55">
        <f t="shared" si="81"/>
        <v>0.66666666666666663</v>
      </c>
      <c r="V1774" s="55">
        <f t="shared" si="82"/>
        <v>0.66666666666666663</v>
      </c>
      <c r="W1774" s="56">
        <f t="shared" si="83"/>
        <v>17854.5</v>
      </c>
    </row>
    <row r="1775" spans="1:23" x14ac:dyDescent="0.3">
      <c r="A1775" s="13" t="str" cm="1">
        <f t="array" ref="A1775:B1775">INDEX(BenchmarkResults!$B$1:$D$35,SUMPRODUCT((T1775&gt;=BenchmarkResults!$F$3:$F$35)*(mongodb_hardware_log!T1775&lt;BenchmarkResults!$G$3:$G$35)*ROW(BenchmarkResults!$F$3:$F$35)),{1,3})</f>
        <v>q4_category_revenue</v>
      </c>
      <c r="B1775">
        <v>2</v>
      </c>
      <c r="C1775" s="13">
        <v>1</v>
      </c>
      <c r="D1775" s="13">
        <v>0</v>
      </c>
      <c r="E1775" s="13">
        <v>219136</v>
      </c>
      <c r="F1775" s="13">
        <v>115312</v>
      </c>
      <c r="G1775" s="13">
        <v>208</v>
      </c>
      <c r="H1775" s="13">
        <v>2345856</v>
      </c>
      <c r="I1775" s="13">
        <v>2</v>
      </c>
      <c r="J1775" s="13">
        <v>0</v>
      </c>
      <c r="K1775" s="13">
        <v>17716</v>
      </c>
      <c r="L1775" s="13">
        <v>14</v>
      </c>
      <c r="M1775" s="13">
        <v>3175</v>
      </c>
      <c r="N1775" s="13">
        <v>2031</v>
      </c>
      <c r="O1775" s="13">
        <v>21</v>
      </c>
      <c r="P1775" s="13">
        <v>7</v>
      </c>
      <c r="Q1775" s="13">
        <v>47</v>
      </c>
      <c r="R1775" s="13">
        <v>25</v>
      </c>
      <c r="S1775" s="13">
        <v>1</v>
      </c>
      <c r="T1775" s="23">
        <v>46247.68953703704</v>
      </c>
      <c r="U1775" s="55">
        <f t="shared" si="81"/>
        <v>0.66666666666666663</v>
      </c>
      <c r="V1775" s="55">
        <f t="shared" si="82"/>
        <v>0.5</v>
      </c>
      <c r="W1775" s="56">
        <f t="shared" si="83"/>
        <v>18285.833333333332</v>
      </c>
    </row>
    <row r="1776" spans="1:23" x14ac:dyDescent="0.3">
      <c r="A1776" s="13" t="str" cm="1">
        <f t="array" ref="A1776:B1776">INDEX(BenchmarkResults!$B$1:$D$35,SUMPRODUCT((T1776&gt;=BenchmarkResults!$F$3:$F$35)*(mongodb_hardware_log!T1776&lt;BenchmarkResults!$G$3:$G$35)*ROW(BenchmarkResults!$F$3:$F$35)),{1,3})</f>
        <v>q4_category_revenue</v>
      </c>
      <c r="B1776">
        <v>2</v>
      </c>
      <c r="C1776" s="13">
        <v>0</v>
      </c>
      <c r="D1776" s="13">
        <v>1</v>
      </c>
      <c r="E1776" s="13">
        <v>224768</v>
      </c>
      <c r="F1776" s="13">
        <v>121872</v>
      </c>
      <c r="G1776" s="13">
        <v>224</v>
      </c>
      <c r="H1776" s="13">
        <v>2339288</v>
      </c>
      <c r="I1776" s="13">
        <v>28</v>
      </c>
      <c r="J1776" s="13">
        <v>595</v>
      </c>
      <c r="K1776" s="13">
        <v>17369</v>
      </c>
      <c r="L1776" s="13">
        <v>612</v>
      </c>
      <c r="M1776" s="13">
        <v>3012</v>
      </c>
      <c r="N1776" s="13">
        <v>1871</v>
      </c>
      <c r="O1776" s="13">
        <v>20</v>
      </c>
      <c r="P1776" s="13">
        <v>7</v>
      </c>
      <c r="Q1776" s="13">
        <v>46</v>
      </c>
      <c r="R1776" s="13">
        <v>26</v>
      </c>
      <c r="S1776" s="13">
        <v>1</v>
      </c>
      <c r="T1776" s="23">
        <v>46247.689652777779</v>
      </c>
      <c r="U1776" s="55">
        <f t="shared" si="81"/>
        <v>0.5</v>
      </c>
      <c r="V1776" s="55">
        <f t="shared" si="82"/>
        <v>0.66666666666666663</v>
      </c>
      <c r="W1776" s="56">
        <f t="shared" si="83"/>
        <v>18378.333333333332</v>
      </c>
    </row>
    <row r="1777" spans="1:23" x14ac:dyDescent="0.3">
      <c r="A1777" s="13" t="str" cm="1">
        <f t="array" ref="A1777:B1777">INDEX(BenchmarkResults!$B$1:$D$35,SUMPRODUCT((T1777&gt;=BenchmarkResults!$F$3:$F$35)*(mongodb_hardware_log!T1777&lt;BenchmarkResults!$G$3:$G$35)*ROW(BenchmarkResults!$F$3:$F$35)),{1,3})</f>
        <v>q4_category_revenue</v>
      </c>
      <c r="B1777">
        <v>2</v>
      </c>
      <c r="C1777" s="13">
        <v>1</v>
      </c>
      <c r="D1777" s="13">
        <v>0</v>
      </c>
      <c r="E1777" s="13">
        <v>224512</v>
      </c>
      <c r="F1777" s="13">
        <v>123848</v>
      </c>
      <c r="G1777" s="13">
        <v>248</v>
      </c>
      <c r="H1777" s="13">
        <v>2338864</v>
      </c>
      <c r="I1777" s="13">
        <v>31</v>
      </c>
      <c r="J1777" s="13">
        <v>0</v>
      </c>
      <c r="K1777" s="13">
        <v>15959</v>
      </c>
      <c r="L1777" s="13">
        <v>32</v>
      </c>
      <c r="M1777" s="13">
        <v>3172</v>
      </c>
      <c r="N1777" s="13">
        <v>2065</v>
      </c>
      <c r="O1777" s="13">
        <v>21</v>
      </c>
      <c r="P1777" s="13">
        <v>8</v>
      </c>
      <c r="Q1777" s="13">
        <v>46</v>
      </c>
      <c r="R1777" s="13">
        <v>24</v>
      </c>
      <c r="S1777" s="13">
        <v>1</v>
      </c>
      <c r="T1777" s="23">
        <v>46247.689768518518</v>
      </c>
      <c r="U1777" s="55">
        <f t="shared" si="81"/>
        <v>0.5</v>
      </c>
      <c r="V1777" s="55">
        <f t="shared" si="82"/>
        <v>0.66666666666666663</v>
      </c>
      <c r="W1777" s="56">
        <f t="shared" si="83"/>
        <v>18067.5</v>
      </c>
    </row>
    <row r="1778" spans="1:23" x14ac:dyDescent="0.3">
      <c r="A1778" s="13" t="str" cm="1">
        <f t="array" ref="A1778:B1778">INDEX(BenchmarkResults!$B$1:$D$35,SUMPRODUCT((T1778&gt;=BenchmarkResults!$F$3:$F$35)*(mongodb_hardware_log!T1778&lt;BenchmarkResults!$G$3:$G$35)*ROW(BenchmarkResults!$F$3:$F$35)),{1,3})</f>
        <v>q4_category_revenue</v>
      </c>
      <c r="B1778">
        <v>2</v>
      </c>
      <c r="C1778" s="13">
        <v>0</v>
      </c>
      <c r="D1778" s="13">
        <v>1</v>
      </c>
      <c r="E1778" s="13">
        <v>224000</v>
      </c>
      <c r="F1778" s="13">
        <v>119852</v>
      </c>
      <c r="G1778" s="13">
        <v>256</v>
      </c>
      <c r="H1778" s="13">
        <v>2349604</v>
      </c>
      <c r="I1778" s="13">
        <v>14</v>
      </c>
      <c r="J1778" s="13">
        <v>0</v>
      </c>
      <c r="K1778" s="13">
        <v>17336</v>
      </c>
      <c r="L1778" s="13">
        <v>10</v>
      </c>
      <c r="M1778" s="13">
        <v>3232</v>
      </c>
      <c r="N1778" s="13">
        <v>2178</v>
      </c>
      <c r="O1778" s="13">
        <v>21</v>
      </c>
      <c r="P1778" s="13">
        <v>8</v>
      </c>
      <c r="Q1778" s="13">
        <v>46</v>
      </c>
      <c r="R1778" s="13">
        <v>24</v>
      </c>
      <c r="S1778" s="13">
        <v>1</v>
      </c>
      <c r="T1778" s="23">
        <v>46247.689884259256</v>
      </c>
      <c r="U1778" s="55">
        <f t="shared" si="81"/>
        <v>0.5</v>
      </c>
      <c r="V1778" s="55">
        <f t="shared" si="82"/>
        <v>0.66666666666666663</v>
      </c>
      <c r="W1778" s="56">
        <f t="shared" si="83"/>
        <v>17672.166666666668</v>
      </c>
    </row>
    <row r="1779" spans="1:23" x14ac:dyDescent="0.3">
      <c r="A1779" s="13" t="str" cm="1">
        <f t="array" ref="A1779:B1779">INDEX(BenchmarkResults!$B$1:$D$35,SUMPRODUCT((T1779&gt;=BenchmarkResults!$F$3:$F$35)*(mongodb_hardware_log!T1779&lt;BenchmarkResults!$G$3:$G$35)*ROW(BenchmarkResults!$F$3:$F$35)),{1,3})</f>
        <v>q4_category_revenue</v>
      </c>
      <c r="B1779">
        <v>2</v>
      </c>
      <c r="C1779" s="13">
        <v>2</v>
      </c>
      <c r="D1779" s="13">
        <v>0</v>
      </c>
      <c r="E1779" s="13">
        <v>223744</v>
      </c>
      <c r="F1779" s="13">
        <v>109004</v>
      </c>
      <c r="G1779" s="13">
        <v>264</v>
      </c>
      <c r="H1779" s="13">
        <v>2357824</v>
      </c>
      <c r="I1779" s="13">
        <v>29</v>
      </c>
      <c r="J1779" s="13">
        <v>0</v>
      </c>
      <c r="K1779" s="13">
        <v>20008</v>
      </c>
      <c r="L1779" s="13">
        <v>27</v>
      </c>
      <c r="M1779" s="13">
        <v>3424</v>
      </c>
      <c r="N1779" s="13">
        <v>2388</v>
      </c>
      <c r="O1779" s="13">
        <v>21</v>
      </c>
      <c r="P1779" s="13">
        <v>9</v>
      </c>
      <c r="Q1779" s="13">
        <v>46</v>
      </c>
      <c r="R1779" s="13">
        <v>24</v>
      </c>
      <c r="S1779" s="13">
        <v>1</v>
      </c>
      <c r="T1779" s="23">
        <v>46247.69</v>
      </c>
      <c r="U1779" s="55">
        <f t="shared" si="81"/>
        <v>0.66666666666666663</v>
      </c>
      <c r="V1779" s="55">
        <f t="shared" si="82"/>
        <v>0.5</v>
      </c>
      <c r="W1779" s="56">
        <f t="shared" si="83"/>
        <v>17806</v>
      </c>
    </row>
    <row r="1780" spans="1:23" x14ac:dyDescent="0.3">
      <c r="A1780" s="13" t="str" cm="1">
        <f t="array" ref="A1780:B1780">INDEX(BenchmarkResults!$B$1:$D$35,SUMPRODUCT((T1780&gt;=BenchmarkResults!$F$3:$F$35)*(mongodb_hardware_log!T1780&lt;BenchmarkResults!$G$3:$G$35)*ROW(BenchmarkResults!$F$3:$F$35)),{1,3})</f>
        <v>q4_category_revenue</v>
      </c>
      <c r="B1780">
        <v>2</v>
      </c>
      <c r="C1780" s="13">
        <v>1</v>
      </c>
      <c r="D1780" s="13">
        <v>0</v>
      </c>
      <c r="E1780" s="13">
        <v>223744</v>
      </c>
      <c r="F1780" s="13">
        <v>119816</v>
      </c>
      <c r="G1780" s="13">
        <v>280</v>
      </c>
      <c r="H1780" s="13">
        <v>2347860</v>
      </c>
      <c r="I1780" s="13">
        <v>8</v>
      </c>
      <c r="J1780" s="13">
        <v>0</v>
      </c>
      <c r="K1780" s="13">
        <v>19220</v>
      </c>
      <c r="L1780" s="13">
        <v>24</v>
      </c>
      <c r="M1780" s="13">
        <v>3132</v>
      </c>
      <c r="N1780" s="13">
        <v>2029</v>
      </c>
      <c r="O1780" s="13">
        <v>22</v>
      </c>
      <c r="P1780" s="13">
        <v>8</v>
      </c>
      <c r="Q1780" s="13">
        <v>47</v>
      </c>
      <c r="R1780" s="13">
        <v>23</v>
      </c>
      <c r="S1780" s="13">
        <v>0</v>
      </c>
      <c r="T1780" s="23">
        <v>46247.690115740741</v>
      </c>
      <c r="U1780" s="55">
        <f t="shared" si="81"/>
        <v>0.83333333333333337</v>
      </c>
      <c r="V1780" s="55">
        <f t="shared" si="82"/>
        <v>0.33333333333333331</v>
      </c>
      <c r="W1780" s="56">
        <f t="shared" si="83"/>
        <v>17934.666666666668</v>
      </c>
    </row>
    <row r="1781" spans="1:23" x14ac:dyDescent="0.3">
      <c r="A1781" s="13" t="str" cm="1">
        <f t="array" ref="A1781:B1781">INDEX(BenchmarkResults!$B$1:$D$35,SUMPRODUCT((T1781&gt;=BenchmarkResults!$F$3:$F$35)*(mongodb_hardware_log!T1781&lt;BenchmarkResults!$G$3:$G$35)*ROW(BenchmarkResults!$F$3:$F$35)),{1,3})</f>
        <v>q4_category_revenue</v>
      </c>
      <c r="B1781">
        <v>2</v>
      </c>
      <c r="C1781" s="13">
        <v>1</v>
      </c>
      <c r="D1781" s="13">
        <v>1</v>
      </c>
      <c r="E1781" s="13">
        <v>220672</v>
      </c>
      <c r="F1781" s="13">
        <v>119800</v>
      </c>
      <c r="G1781" s="13">
        <v>288</v>
      </c>
      <c r="H1781" s="13">
        <v>2339988</v>
      </c>
      <c r="I1781" s="13">
        <v>322</v>
      </c>
      <c r="J1781" s="13">
        <v>0</v>
      </c>
      <c r="K1781" s="13">
        <v>15766</v>
      </c>
      <c r="L1781" s="13">
        <v>18</v>
      </c>
      <c r="M1781" s="13">
        <v>2677</v>
      </c>
      <c r="N1781" s="13">
        <v>1943</v>
      </c>
      <c r="O1781" s="13">
        <v>19</v>
      </c>
      <c r="P1781" s="13">
        <v>8</v>
      </c>
      <c r="Q1781" s="13">
        <v>48</v>
      </c>
      <c r="R1781" s="13">
        <v>24</v>
      </c>
      <c r="S1781" s="13">
        <v>0</v>
      </c>
      <c r="T1781" s="23">
        <v>46247.69023148148</v>
      </c>
      <c r="U1781" s="55">
        <f t="shared" si="81"/>
        <v>0.83333333333333337</v>
      </c>
      <c r="V1781" s="55">
        <f t="shared" si="82"/>
        <v>0.5</v>
      </c>
      <c r="W1781" s="56">
        <f t="shared" si="83"/>
        <v>17609.666666666668</v>
      </c>
    </row>
    <row r="1782" spans="1:23" x14ac:dyDescent="0.3">
      <c r="A1782" s="13" t="str" cm="1">
        <f t="array" ref="A1782:B1782">INDEX(BenchmarkResults!$B$1:$D$35,SUMPRODUCT((T1782&gt;=BenchmarkResults!$F$3:$F$35)*(mongodb_hardware_log!T1782&lt;BenchmarkResults!$G$3:$G$35)*ROW(BenchmarkResults!$F$3:$F$35)),{1,3})</f>
        <v>q4_category_revenue</v>
      </c>
      <c r="B1782">
        <v>2</v>
      </c>
      <c r="C1782" s="13">
        <v>1</v>
      </c>
      <c r="D1782" s="13">
        <v>0</v>
      </c>
      <c r="E1782" s="13">
        <v>220160</v>
      </c>
      <c r="F1782" s="13">
        <v>134364</v>
      </c>
      <c r="G1782" s="13">
        <v>432</v>
      </c>
      <c r="H1782" s="13">
        <v>2328988</v>
      </c>
      <c r="I1782" s="13">
        <v>58</v>
      </c>
      <c r="J1782" s="13">
        <v>0</v>
      </c>
      <c r="K1782" s="13">
        <v>17022</v>
      </c>
      <c r="L1782" s="13">
        <v>17</v>
      </c>
      <c r="M1782" s="13">
        <v>2868</v>
      </c>
      <c r="N1782" s="13">
        <v>1965</v>
      </c>
      <c r="O1782" s="13">
        <v>19</v>
      </c>
      <c r="P1782" s="13">
        <v>9</v>
      </c>
      <c r="Q1782" s="13">
        <v>48</v>
      </c>
      <c r="R1782" s="13">
        <v>24</v>
      </c>
      <c r="S1782" s="13">
        <v>1</v>
      </c>
      <c r="T1782" s="23">
        <v>46247.690347222226</v>
      </c>
      <c r="U1782" s="55">
        <f t="shared" si="81"/>
        <v>1</v>
      </c>
      <c r="V1782" s="55">
        <f t="shared" si="82"/>
        <v>0.33333333333333331</v>
      </c>
      <c r="W1782" s="56">
        <f t="shared" si="83"/>
        <v>17551.833333333332</v>
      </c>
    </row>
    <row r="1783" spans="1:23" x14ac:dyDescent="0.3">
      <c r="A1783" s="13" t="str" cm="1">
        <f t="array" ref="A1783:B1783">INDEX(BenchmarkResults!$B$1:$D$35,SUMPRODUCT((T1783&gt;=BenchmarkResults!$F$3:$F$35)*(mongodb_hardware_log!T1783&lt;BenchmarkResults!$G$3:$G$35)*ROW(BenchmarkResults!$F$3:$F$35)),{1,3})</f>
        <v>q4_category_revenue</v>
      </c>
      <c r="B1783">
        <v>2</v>
      </c>
      <c r="C1783" s="13">
        <v>0</v>
      </c>
      <c r="D1783" s="13">
        <v>1</v>
      </c>
      <c r="E1783" s="13">
        <v>220160</v>
      </c>
      <c r="F1783" s="13">
        <v>123088</v>
      </c>
      <c r="G1783" s="13">
        <v>360</v>
      </c>
      <c r="H1783" s="13">
        <v>2344068</v>
      </c>
      <c r="I1783" s="13">
        <v>7</v>
      </c>
      <c r="J1783" s="13">
        <v>0</v>
      </c>
      <c r="K1783" s="13">
        <v>15127</v>
      </c>
      <c r="L1783" s="13">
        <v>38</v>
      </c>
      <c r="M1783" s="13">
        <v>2862</v>
      </c>
      <c r="N1783" s="13">
        <v>2012</v>
      </c>
      <c r="O1783" s="13">
        <v>19</v>
      </c>
      <c r="P1783" s="13">
        <v>8</v>
      </c>
      <c r="Q1783" s="13">
        <v>49</v>
      </c>
      <c r="R1783" s="13">
        <v>23</v>
      </c>
      <c r="S1783" s="13">
        <v>0</v>
      </c>
      <c r="T1783" s="23">
        <v>46247.690462962964</v>
      </c>
      <c r="U1783" s="55">
        <f t="shared" si="81"/>
        <v>0.83333333333333337</v>
      </c>
      <c r="V1783" s="55">
        <f t="shared" si="82"/>
        <v>0.5</v>
      </c>
      <c r="W1783" s="56">
        <f t="shared" si="83"/>
        <v>17413.166666666668</v>
      </c>
    </row>
    <row r="1784" spans="1:23" x14ac:dyDescent="0.3">
      <c r="A1784" s="13" t="str" cm="1">
        <f t="array" ref="A1784:B1784">INDEX(BenchmarkResults!$B$1:$D$35,SUMPRODUCT((T1784&gt;=BenchmarkResults!$F$3:$F$35)*(mongodb_hardware_log!T1784&lt;BenchmarkResults!$G$3:$G$35)*ROW(BenchmarkResults!$F$3:$F$35)),{1,3})</f>
        <v>q4_category_revenue</v>
      </c>
      <c r="B1784">
        <v>2</v>
      </c>
      <c r="C1784" s="13">
        <v>1</v>
      </c>
      <c r="D1784" s="13">
        <v>0</v>
      </c>
      <c r="E1784" s="13">
        <v>220416</v>
      </c>
      <c r="F1784" s="13">
        <v>111144</v>
      </c>
      <c r="G1784" s="13">
        <v>368</v>
      </c>
      <c r="H1784" s="13">
        <v>2345180</v>
      </c>
      <c r="I1784" s="13">
        <v>2</v>
      </c>
      <c r="J1784" s="13">
        <v>3</v>
      </c>
      <c r="K1784" s="13">
        <v>15310</v>
      </c>
      <c r="L1784" s="13">
        <v>36</v>
      </c>
      <c r="M1784" s="13">
        <v>2825</v>
      </c>
      <c r="N1784" s="13">
        <v>1979</v>
      </c>
      <c r="O1784" s="13">
        <v>20</v>
      </c>
      <c r="P1784" s="13">
        <v>7</v>
      </c>
      <c r="Q1784" s="13">
        <v>49</v>
      </c>
      <c r="R1784" s="13">
        <v>23</v>
      </c>
      <c r="S1784" s="13">
        <v>0</v>
      </c>
      <c r="T1784" s="23">
        <v>46247.690578703703</v>
      </c>
      <c r="U1784" s="55">
        <f t="shared" si="81"/>
        <v>1</v>
      </c>
      <c r="V1784" s="55">
        <f t="shared" si="82"/>
        <v>0.33333333333333331</v>
      </c>
      <c r="W1784" s="56">
        <f t="shared" si="83"/>
        <v>17075.5</v>
      </c>
    </row>
    <row r="1785" spans="1:23" x14ac:dyDescent="0.3">
      <c r="A1785" s="13" t="str" cm="1">
        <f t="array" ref="A1785:B1785">INDEX(BenchmarkResults!$B$1:$D$35,SUMPRODUCT((T1785&gt;=BenchmarkResults!$F$3:$F$35)*(mongodb_hardware_log!T1785&lt;BenchmarkResults!$G$3:$G$35)*ROW(BenchmarkResults!$F$3:$F$35)),{1,3})</f>
        <v>q4_category_revenue</v>
      </c>
      <c r="B1785">
        <v>2</v>
      </c>
      <c r="C1785" s="13">
        <v>0</v>
      </c>
      <c r="D1785" s="13">
        <v>1</v>
      </c>
      <c r="E1785" s="13">
        <v>220416</v>
      </c>
      <c r="F1785" s="13">
        <v>127392</v>
      </c>
      <c r="G1785" s="13">
        <v>376</v>
      </c>
      <c r="H1785" s="13">
        <v>2332944</v>
      </c>
      <c r="I1785" s="13">
        <v>6</v>
      </c>
      <c r="J1785" s="13">
        <v>5</v>
      </c>
      <c r="K1785" s="13">
        <v>15467</v>
      </c>
      <c r="L1785" s="13">
        <v>13</v>
      </c>
      <c r="M1785" s="13">
        <v>2859</v>
      </c>
      <c r="N1785" s="13">
        <v>2045</v>
      </c>
      <c r="O1785" s="13">
        <v>19</v>
      </c>
      <c r="P1785" s="13">
        <v>8</v>
      </c>
      <c r="Q1785" s="13">
        <v>50</v>
      </c>
      <c r="R1785" s="13">
        <v>23</v>
      </c>
      <c r="S1785" s="13">
        <v>0</v>
      </c>
      <c r="T1785" s="23">
        <v>46247.690694444442</v>
      </c>
      <c r="U1785" s="55">
        <f t="shared" si="81"/>
        <v>0.66666666666666663</v>
      </c>
      <c r="V1785" s="55">
        <f t="shared" si="82"/>
        <v>0.5</v>
      </c>
      <c r="W1785" s="56">
        <f t="shared" si="83"/>
        <v>16318.666666666666</v>
      </c>
    </row>
    <row r="1786" spans="1:23" x14ac:dyDescent="0.3">
      <c r="A1786" s="13" t="str" cm="1">
        <f t="array" ref="A1786:B1786">INDEX(BenchmarkResults!$B$1:$D$35,SUMPRODUCT((T1786&gt;=BenchmarkResults!$F$3:$F$35)*(mongodb_hardware_log!T1786&lt;BenchmarkResults!$G$3:$G$35)*ROW(BenchmarkResults!$F$3:$F$35)),{1,3})</f>
        <v>q4_category_revenue</v>
      </c>
      <c r="B1786">
        <v>2</v>
      </c>
      <c r="C1786" s="13">
        <v>1</v>
      </c>
      <c r="D1786" s="13">
        <v>0</v>
      </c>
      <c r="E1786" s="13">
        <v>220416</v>
      </c>
      <c r="F1786" s="13">
        <v>107888</v>
      </c>
      <c r="G1786" s="13">
        <v>272</v>
      </c>
      <c r="H1786" s="13">
        <v>2351704</v>
      </c>
      <c r="I1786" s="13">
        <v>4</v>
      </c>
      <c r="J1786" s="13">
        <v>0</v>
      </c>
      <c r="K1786" s="13">
        <v>16170</v>
      </c>
      <c r="L1786" s="13">
        <v>10</v>
      </c>
      <c r="M1786" s="13">
        <v>2688</v>
      </c>
      <c r="N1786" s="13">
        <v>1804</v>
      </c>
      <c r="O1786" s="13">
        <v>19</v>
      </c>
      <c r="P1786" s="13">
        <v>7</v>
      </c>
      <c r="Q1786" s="13">
        <v>50</v>
      </c>
      <c r="R1786" s="13">
        <v>23</v>
      </c>
      <c r="S1786" s="13">
        <v>0</v>
      </c>
      <c r="T1786" s="23">
        <v>46247.690810185188</v>
      </c>
      <c r="U1786" s="55">
        <f t="shared" si="81"/>
        <v>0.66666666666666663</v>
      </c>
      <c r="V1786" s="55">
        <f t="shared" si="82"/>
        <v>0.5</v>
      </c>
      <c r="W1786" s="56">
        <f t="shared" si="83"/>
        <v>15810.333333333334</v>
      </c>
    </row>
    <row r="1787" spans="1:23" x14ac:dyDescent="0.3">
      <c r="A1787" s="13" t="str" cm="1">
        <f t="array" ref="A1787:B1787">INDEX(BenchmarkResults!$B$1:$D$35,SUMPRODUCT((T1787&gt;=BenchmarkResults!$F$3:$F$35)*(mongodb_hardware_log!T1787&lt;BenchmarkResults!$G$3:$G$35)*ROW(BenchmarkResults!$F$3:$F$35)),{1,3})</f>
        <v>q4_category_revenue</v>
      </c>
      <c r="B1787">
        <v>2</v>
      </c>
      <c r="C1787" s="13">
        <v>0</v>
      </c>
      <c r="D1787" s="13">
        <v>1</v>
      </c>
      <c r="E1787" s="13">
        <v>220416</v>
      </c>
      <c r="F1787" s="13">
        <v>125792</v>
      </c>
      <c r="G1787" s="13">
        <v>288</v>
      </c>
      <c r="H1787" s="13">
        <v>2337364</v>
      </c>
      <c r="I1787" s="13">
        <v>4</v>
      </c>
      <c r="J1787" s="13">
        <v>0</v>
      </c>
      <c r="K1787" s="13">
        <v>14478</v>
      </c>
      <c r="L1787" s="13">
        <v>20</v>
      </c>
      <c r="M1787" s="13">
        <v>2747</v>
      </c>
      <c r="N1787" s="13">
        <v>1952</v>
      </c>
      <c r="O1787" s="13">
        <v>19</v>
      </c>
      <c r="P1787" s="13">
        <v>8</v>
      </c>
      <c r="Q1787" s="13">
        <v>48</v>
      </c>
      <c r="R1787" s="13">
        <v>24</v>
      </c>
      <c r="S1787" s="13">
        <v>1</v>
      </c>
      <c r="T1787" s="23">
        <v>46247.690925925926</v>
      </c>
      <c r="U1787" s="55">
        <f t="shared" si="81"/>
        <v>0.5</v>
      </c>
      <c r="V1787" s="55">
        <f t="shared" si="82"/>
        <v>0.5</v>
      </c>
      <c r="W1787" s="56">
        <f t="shared" si="83"/>
        <v>15595.666666666666</v>
      </c>
    </row>
    <row r="1788" spans="1:23" x14ac:dyDescent="0.3">
      <c r="A1788" s="13" t="str" cm="1">
        <f t="array" ref="A1788:B1788">INDEX(BenchmarkResults!$B$1:$D$35,SUMPRODUCT((T1788&gt;=BenchmarkResults!$F$3:$F$35)*(mongodb_hardware_log!T1788&lt;BenchmarkResults!$G$3:$G$35)*ROW(BenchmarkResults!$F$3:$F$35)),{1,3})</f>
        <v>q4_category_revenue</v>
      </c>
      <c r="B1788">
        <v>2</v>
      </c>
      <c r="C1788" s="13">
        <v>0</v>
      </c>
      <c r="D1788" s="13">
        <v>1</v>
      </c>
      <c r="E1788" s="13">
        <v>220416</v>
      </c>
      <c r="F1788" s="13">
        <v>153464</v>
      </c>
      <c r="G1788" s="13">
        <v>308</v>
      </c>
      <c r="H1788" s="13">
        <v>2303316</v>
      </c>
      <c r="I1788" s="13">
        <v>2</v>
      </c>
      <c r="J1788" s="13">
        <v>0</v>
      </c>
      <c r="K1788" s="13">
        <v>12681</v>
      </c>
      <c r="L1788" s="13">
        <v>39</v>
      </c>
      <c r="M1788" s="13">
        <v>2379</v>
      </c>
      <c r="N1788" s="13">
        <v>1596</v>
      </c>
      <c r="O1788" s="13">
        <v>20</v>
      </c>
      <c r="P1788" s="13">
        <v>7</v>
      </c>
      <c r="Q1788" s="13">
        <v>51</v>
      </c>
      <c r="R1788" s="13">
        <v>21</v>
      </c>
      <c r="S1788" s="13">
        <v>1</v>
      </c>
      <c r="T1788" s="23">
        <v>46247.691041666665</v>
      </c>
      <c r="U1788" s="55">
        <f t="shared" si="81"/>
        <v>0.33333333333333331</v>
      </c>
      <c r="V1788" s="55">
        <f t="shared" si="82"/>
        <v>0.66666666666666663</v>
      </c>
      <c r="W1788" s="56">
        <f t="shared" si="83"/>
        <v>14872.166666666666</v>
      </c>
    </row>
    <row r="1789" spans="1:23" x14ac:dyDescent="0.3">
      <c r="A1789" s="13" t="str" cm="1">
        <f t="array" ref="A1789:B1789">INDEX(BenchmarkResults!$B$1:$D$35,SUMPRODUCT((T1789&gt;=BenchmarkResults!$F$3:$F$35)*(mongodb_hardware_log!T1789&lt;BenchmarkResults!$G$3:$G$35)*ROW(BenchmarkResults!$F$3:$F$35)),{1,3})</f>
        <v>q4_category_revenue</v>
      </c>
      <c r="B1789">
        <v>2</v>
      </c>
      <c r="C1789" s="13">
        <v>1</v>
      </c>
      <c r="D1789" s="13">
        <v>0</v>
      </c>
      <c r="E1789" s="13">
        <v>220416</v>
      </c>
      <c r="F1789" s="13">
        <v>144168</v>
      </c>
      <c r="G1789" s="13">
        <v>332</v>
      </c>
      <c r="H1789" s="13">
        <v>2308284</v>
      </c>
      <c r="I1789" s="13">
        <v>4</v>
      </c>
      <c r="J1789" s="13">
        <v>0</v>
      </c>
      <c r="K1789" s="13">
        <v>16696</v>
      </c>
      <c r="L1789" s="13">
        <v>24</v>
      </c>
      <c r="M1789" s="13">
        <v>2754</v>
      </c>
      <c r="N1789" s="13">
        <v>1843</v>
      </c>
      <c r="O1789" s="13">
        <v>18</v>
      </c>
      <c r="P1789" s="13">
        <v>7</v>
      </c>
      <c r="Q1789" s="13">
        <v>49</v>
      </c>
      <c r="R1789" s="13">
        <v>25</v>
      </c>
      <c r="S1789" s="13">
        <v>1</v>
      </c>
      <c r="T1789" s="23">
        <v>46247.691157407404</v>
      </c>
      <c r="U1789" s="55">
        <f t="shared" si="81"/>
        <v>0.5</v>
      </c>
      <c r="V1789" s="55">
        <f t="shared" si="82"/>
        <v>0.5</v>
      </c>
      <c r="W1789" s="56">
        <f t="shared" si="83"/>
        <v>15133.666666666666</v>
      </c>
    </row>
    <row r="1790" spans="1:23" x14ac:dyDescent="0.3">
      <c r="A1790" s="13" t="str" cm="1">
        <f t="array" ref="A1790:B1790">INDEX(BenchmarkResults!$B$1:$D$35,SUMPRODUCT((T1790&gt;=BenchmarkResults!$F$3:$F$35)*(mongodb_hardware_log!T1790&lt;BenchmarkResults!$G$3:$G$35)*ROW(BenchmarkResults!$F$3:$F$35)),{1,3})</f>
        <v>q4_category_revenue</v>
      </c>
      <c r="B1790">
        <v>2</v>
      </c>
      <c r="C1790" s="13">
        <v>1</v>
      </c>
      <c r="D1790" s="13">
        <v>0</v>
      </c>
      <c r="E1790" s="13">
        <v>220416</v>
      </c>
      <c r="F1790" s="13">
        <v>142848</v>
      </c>
      <c r="G1790" s="13">
        <v>340</v>
      </c>
      <c r="H1790" s="13">
        <v>2317992</v>
      </c>
      <c r="I1790" s="13">
        <v>7</v>
      </c>
      <c r="J1790" s="13">
        <v>0</v>
      </c>
      <c r="K1790" s="13">
        <v>15001</v>
      </c>
      <c r="L1790" s="13">
        <v>11</v>
      </c>
      <c r="M1790" s="13">
        <v>2471</v>
      </c>
      <c r="N1790" s="13">
        <v>1540</v>
      </c>
      <c r="O1790" s="13">
        <v>20</v>
      </c>
      <c r="P1790" s="13">
        <v>6</v>
      </c>
      <c r="Q1790" s="13">
        <v>52</v>
      </c>
      <c r="R1790" s="13">
        <v>21</v>
      </c>
      <c r="S1790" s="13">
        <v>0</v>
      </c>
      <c r="T1790" s="23">
        <v>46247.69127314815</v>
      </c>
      <c r="U1790" s="55">
        <f t="shared" si="81"/>
        <v>0.5</v>
      </c>
      <c r="V1790" s="55">
        <f t="shared" si="82"/>
        <v>0.5</v>
      </c>
      <c r="W1790" s="56">
        <f t="shared" si="83"/>
        <v>15082.166666666666</v>
      </c>
    </row>
    <row r="1791" spans="1:23" x14ac:dyDescent="0.3">
      <c r="A1791" s="13" t="str" cm="1">
        <f t="array" ref="A1791:B1791">INDEX(BenchmarkResults!$B$1:$D$35,SUMPRODUCT((T1791&gt;=BenchmarkResults!$F$3:$F$35)*(mongodb_hardware_log!T1791&lt;BenchmarkResults!$G$3:$G$35)*ROW(BenchmarkResults!$F$3:$F$35)),{1,3})</f>
        <v>q4_category_revenue</v>
      </c>
      <c r="B1791">
        <v>2</v>
      </c>
      <c r="C1791" s="13">
        <v>0</v>
      </c>
      <c r="D1791" s="13">
        <v>1</v>
      </c>
      <c r="E1791" s="13">
        <v>220416</v>
      </c>
      <c r="F1791" s="13">
        <v>114080</v>
      </c>
      <c r="G1791" s="13">
        <v>348</v>
      </c>
      <c r="H1791" s="13">
        <v>2351384</v>
      </c>
      <c r="I1791" s="13">
        <v>2</v>
      </c>
      <c r="J1791" s="13">
        <v>0</v>
      </c>
      <c r="K1791" s="13">
        <v>16959</v>
      </c>
      <c r="L1791" s="13">
        <v>10</v>
      </c>
      <c r="M1791" s="13">
        <v>2755</v>
      </c>
      <c r="N1791" s="13">
        <v>1850</v>
      </c>
      <c r="O1791" s="13">
        <v>20</v>
      </c>
      <c r="P1791" s="13">
        <v>7</v>
      </c>
      <c r="Q1791" s="13">
        <v>51</v>
      </c>
      <c r="R1791" s="13">
        <v>22</v>
      </c>
      <c r="S1791" s="13">
        <v>0</v>
      </c>
      <c r="T1791" s="23">
        <v>46247.691388888888</v>
      </c>
      <c r="U1791" s="55">
        <f t="shared" si="81"/>
        <v>0.5</v>
      </c>
      <c r="V1791" s="55">
        <f t="shared" si="82"/>
        <v>0.5</v>
      </c>
      <c r="W1791" s="56">
        <f t="shared" si="83"/>
        <v>15330.833333333334</v>
      </c>
    </row>
    <row r="1792" spans="1:23" x14ac:dyDescent="0.3">
      <c r="A1792" s="13" t="str" cm="1">
        <f t="array" ref="A1792:B1792">INDEX(BenchmarkResults!$B$1:$D$35,SUMPRODUCT((T1792&gt;=BenchmarkResults!$F$3:$F$35)*(mongodb_hardware_log!T1792&lt;BenchmarkResults!$G$3:$G$35)*ROW(BenchmarkResults!$F$3:$F$35)),{1,3})</f>
        <v>q4_category_revenue</v>
      </c>
      <c r="B1792">
        <v>2</v>
      </c>
      <c r="C1792" s="13">
        <v>1</v>
      </c>
      <c r="D1792" s="13">
        <v>0</v>
      </c>
      <c r="E1792" s="13">
        <v>220160</v>
      </c>
      <c r="F1792" s="13">
        <v>116552</v>
      </c>
      <c r="G1792" s="13">
        <v>360</v>
      </c>
      <c r="H1792" s="13">
        <v>2345680</v>
      </c>
      <c r="I1792" s="13">
        <v>1</v>
      </c>
      <c r="J1792" s="13">
        <v>0</v>
      </c>
      <c r="K1792" s="13">
        <v>16770</v>
      </c>
      <c r="L1792" s="13">
        <v>29</v>
      </c>
      <c r="M1792" s="13">
        <v>2657</v>
      </c>
      <c r="N1792" s="13">
        <v>1728</v>
      </c>
      <c r="O1792" s="13">
        <v>20</v>
      </c>
      <c r="P1792" s="13">
        <v>7</v>
      </c>
      <c r="Q1792" s="13">
        <v>50</v>
      </c>
      <c r="R1792" s="13">
        <v>23</v>
      </c>
      <c r="S1792" s="13">
        <v>0</v>
      </c>
      <c r="T1792" s="23">
        <v>46247.691504629627</v>
      </c>
      <c r="U1792" s="55">
        <f t="shared" si="81"/>
        <v>0.5</v>
      </c>
      <c r="V1792" s="55">
        <f t="shared" si="82"/>
        <v>0.5</v>
      </c>
      <c r="W1792" s="56">
        <f t="shared" si="83"/>
        <v>15430.833333333334</v>
      </c>
    </row>
    <row r="1793" spans="1:23" x14ac:dyDescent="0.3">
      <c r="A1793" s="13" t="str" cm="1">
        <f t="array" ref="A1793:B1793">INDEX(BenchmarkResults!$B$1:$D$35,SUMPRODUCT((T1793&gt;=BenchmarkResults!$F$3:$F$35)*(mongodb_hardware_log!T1793&lt;BenchmarkResults!$G$3:$G$35)*ROW(BenchmarkResults!$F$3:$F$35)),{1,3})</f>
        <v>q4_category_revenue</v>
      </c>
      <c r="B1793">
        <v>2</v>
      </c>
      <c r="C1793" s="13">
        <v>0</v>
      </c>
      <c r="D1793" s="13">
        <v>1</v>
      </c>
      <c r="E1793" s="13">
        <v>220160</v>
      </c>
      <c r="F1793" s="13">
        <v>126092</v>
      </c>
      <c r="G1793" s="13">
        <v>376</v>
      </c>
      <c r="H1793" s="13">
        <v>2339088</v>
      </c>
      <c r="I1793" s="13">
        <v>14</v>
      </c>
      <c r="J1793" s="13">
        <v>0</v>
      </c>
      <c r="K1793" s="13">
        <v>16341</v>
      </c>
      <c r="L1793" s="13">
        <v>7</v>
      </c>
      <c r="M1793" s="13">
        <v>2551</v>
      </c>
      <c r="N1793" s="13">
        <v>1907</v>
      </c>
      <c r="O1793" s="13">
        <v>20</v>
      </c>
      <c r="P1793" s="13">
        <v>14</v>
      </c>
      <c r="Q1793" s="13">
        <v>41</v>
      </c>
      <c r="R1793" s="13">
        <v>25</v>
      </c>
      <c r="S1793" s="13">
        <v>0</v>
      </c>
      <c r="T1793" s="23">
        <v>46247.691620370373</v>
      </c>
      <c r="U1793" s="55">
        <f t="shared" si="81"/>
        <v>0.5</v>
      </c>
      <c r="V1793" s="55">
        <f t="shared" si="82"/>
        <v>0.5</v>
      </c>
      <c r="W1793" s="56">
        <f t="shared" si="83"/>
        <v>15741.333333333334</v>
      </c>
    </row>
    <row r="1794" spans="1:23" x14ac:dyDescent="0.3">
      <c r="A1794" s="13" t="str" cm="1">
        <f t="array" ref="A1794:B1794">INDEX(BenchmarkResults!$B$1:$D$35,SUMPRODUCT((T1794&gt;=BenchmarkResults!$F$3:$F$35)*(mongodb_hardware_log!T1794&lt;BenchmarkResults!$G$3:$G$35)*ROW(BenchmarkResults!$F$3:$F$35)),{1,3})</f>
        <v>q4_category_revenue</v>
      </c>
      <c r="B1794">
        <v>2</v>
      </c>
      <c r="C1794" s="13">
        <v>1</v>
      </c>
      <c r="D1794" s="13">
        <v>0</v>
      </c>
      <c r="E1794" s="13">
        <v>220160</v>
      </c>
      <c r="F1794" s="13">
        <v>107716</v>
      </c>
      <c r="G1794" s="13">
        <v>384</v>
      </c>
      <c r="H1794" s="13">
        <v>2352748</v>
      </c>
      <c r="I1794" s="13">
        <v>10</v>
      </c>
      <c r="J1794" s="13">
        <v>0</v>
      </c>
      <c r="K1794" s="13">
        <v>16614</v>
      </c>
      <c r="L1794" s="13">
        <v>16</v>
      </c>
      <c r="M1794" s="13">
        <v>2641</v>
      </c>
      <c r="N1794" s="13">
        <v>1694</v>
      </c>
      <c r="O1794" s="13">
        <v>19</v>
      </c>
      <c r="P1794" s="13">
        <v>7</v>
      </c>
      <c r="Q1794" s="13">
        <v>50</v>
      </c>
      <c r="R1794" s="13">
        <v>24</v>
      </c>
      <c r="S1794" s="13">
        <v>1</v>
      </c>
      <c r="T1794" s="23">
        <v>46247.691736111112</v>
      </c>
      <c r="U1794" s="55">
        <f t="shared" si="81"/>
        <v>0.66666666666666663</v>
      </c>
      <c r="V1794" s="55">
        <f t="shared" si="82"/>
        <v>0.33333333333333331</v>
      </c>
      <c r="W1794" s="56">
        <f t="shared" si="83"/>
        <v>16396.833333333332</v>
      </c>
    </row>
    <row r="1795" spans="1:23" x14ac:dyDescent="0.3">
      <c r="A1795" s="13" t="str" cm="1">
        <f t="array" ref="A1795:B1795">INDEX(BenchmarkResults!$B$1:$D$35,SUMPRODUCT((T1795&gt;=BenchmarkResults!$F$3:$F$35)*(mongodb_hardware_log!T1795&lt;BenchmarkResults!$G$3:$G$35)*ROW(BenchmarkResults!$F$3:$F$35)),{1,3})</f>
        <v>q4_category_revenue</v>
      </c>
      <c r="B1795">
        <v>2</v>
      </c>
      <c r="C1795" s="13">
        <v>1</v>
      </c>
      <c r="D1795" s="13">
        <v>0</v>
      </c>
      <c r="E1795" s="13">
        <v>220160</v>
      </c>
      <c r="F1795" s="13">
        <v>114632</v>
      </c>
      <c r="G1795" s="13">
        <v>172</v>
      </c>
      <c r="H1795" s="13">
        <v>2350064</v>
      </c>
      <c r="I1795" s="13">
        <v>7</v>
      </c>
      <c r="J1795" s="13">
        <v>37</v>
      </c>
      <c r="K1795" s="13">
        <v>16289</v>
      </c>
      <c r="L1795" s="13">
        <v>84</v>
      </c>
      <c r="M1795" s="13">
        <v>2643</v>
      </c>
      <c r="N1795" s="13">
        <v>1686</v>
      </c>
      <c r="O1795" s="13">
        <v>19</v>
      </c>
      <c r="P1795" s="13">
        <v>6</v>
      </c>
      <c r="Q1795" s="13">
        <v>50</v>
      </c>
      <c r="R1795" s="13">
        <v>24</v>
      </c>
      <c r="S1795" s="13">
        <v>0</v>
      </c>
      <c r="T1795" s="23">
        <v>46247.691851851851</v>
      </c>
      <c r="U1795" s="55">
        <f t="shared" si="81"/>
        <v>0.66666666666666663</v>
      </c>
      <c r="V1795" s="55">
        <f t="shared" si="82"/>
        <v>0.33333333333333331</v>
      </c>
      <c r="W1795" s="56">
        <f t="shared" si="83"/>
        <v>16329</v>
      </c>
    </row>
    <row r="1796" spans="1:23" x14ac:dyDescent="0.3">
      <c r="A1796" s="13" t="str" cm="1">
        <f t="array" ref="A1796:B1796">INDEX(BenchmarkResults!$B$1:$D$35,SUMPRODUCT((T1796&gt;=BenchmarkResults!$F$3:$F$35)*(mongodb_hardware_log!T1796&lt;BenchmarkResults!$G$3:$G$35)*ROW(BenchmarkResults!$F$3:$F$35)),{1,3})</f>
        <v>q4_category_revenue</v>
      </c>
      <c r="B1796">
        <v>2</v>
      </c>
      <c r="C1796" s="13">
        <v>1</v>
      </c>
      <c r="D1796" s="13">
        <v>0</v>
      </c>
      <c r="E1796" s="13">
        <v>220416</v>
      </c>
      <c r="F1796" s="13">
        <v>118120</v>
      </c>
      <c r="G1796" s="13">
        <v>180</v>
      </c>
      <c r="H1796" s="13">
        <v>2342252</v>
      </c>
      <c r="I1796" s="13">
        <v>2</v>
      </c>
      <c r="J1796" s="13">
        <v>42</v>
      </c>
      <c r="K1796" s="13">
        <v>15366</v>
      </c>
      <c r="L1796" s="13">
        <v>48</v>
      </c>
      <c r="M1796" s="13">
        <v>2651</v>
      </c>
      <c r="N1796" s="13">
        <v>1782</v>
      </c>
      <c r="O1796" s="13">
        <v>20</v>
      </c>
      <c r="P1796" s="13">
        <v>7</v>
      </c>
      <c r="Q1796" s="13">
        <v>50</v>
      </c>
      <c r="R1796" s="13">
        <v>23</v>
      </c>
      <c r="S1796" s="13">
        <v>0</v>
      </c>
      <c r="T1796" s="23">
        <v>46247.691967592589</v>
      </c>
      <c r="U1796" s="55">
        <f t="shared" si="81"/>
        <v>0.66666666666666663</v>
      </c>
      <c r="V1796" s="55">
        <f t="shared" si="82"/>
        <v>0.33333333333333331</v>
      </c>
      <c r="W1796" s="56">
        <f t="shared" si="83"/>
        <v>16389.833333333332</v>
      </c>
    </row>
    <row r="1797" spans="1:23" x14ac:dyDescent="0.3">
      <c r="A1797" s="13" t="str" cm="1">
        <f t="array" ref="A1797:B1797">INDEX(BenchmarkResults!$B$1:$D$35,SUMPRODUCT((T1797&gt;=BenchmarkResults!$F$3:$F$35)*(mongodb_hardware_log!T1797&lt;BenchmarkResults!$G$3:$G$35)*ROW(BenchmarkResults!$F$3:$F$35)),{1,3})</f>
        <v>q4_category_revenue</v>
      </c>
      <c r="B1797">
        <v>2</v>
      </c>
      <c r="C1797" s="13">
        <v>1</v>
      </c>
      <c r="D1797" s="13">
        <v>0</v>
      </c>
      <c r="E1797" s="13">
        <v>220928</v>
      </c>
      <c r="F1797" s="13">
        <v>748332</v>
      </c>
      <c r="G1797" s="13">
        <v>188</v>
      </c>
      <c r="H1797" s="13">
        <v>1697576</v>
      </c>
      <c r="I1797" s="13">
        <v>5</v>
      </c>
      <c r="J1797" s="13">
        <v>81</v>
      </c>
      <c r="K1797" s="13">
        <v>15055</v>
      </c>
      <c r="L1797" s="13">
        <v>92</v>
      </c>
      <c r="M1797" s="13">
        <v>2599</v>
      </c>
      <c r="N1797" s="13">
        <v>1813</v>
      </c>
      <c r="O1797" s="13">
        <v>19</v>
      </c>
      <c r="P1797" s="13">
        <v>17</v>
      </c>
      <c r="Q1797" s="13">
        <v>42</v>
      </c>
      <c r="R1797" s="13">
        <v>22</v>
      </c>
      <c r="S1797" s="13">
        <v>0</v>
      </c>
      <c r="T1797" s="23">
        <v>46247.692083333335</v>
      </c>
      <c r="U1797" s="55">
        <f t="shared" si="81"/>
        <v>0.83333333333333337</v>
      </c>
      <c r="V1797" s="55">
        <f t="shared" si="82"/>
        <v>0.16666666666666666</v>
      </c>
      <c r="W1797" s="56">
        <f t="shared" si="83"/>
        <v>16072.5</v>
      </c>
    </row>
    <row r="1798" spans="1:23" x14ac:dyDescent="0.3">
      <c r="A1798" s="13" t="str" cm="1">
        <f t="array" ref="A1798:B1798">INDEX(BenchmarkResults!$B$1:$D$35,SUMPRODUCT((T1798&gt;=BenchmarkResults!$F$3:$F$35)*(mongodb_hardware_log!T1798&lt;BenchmarkResults!$G$3:$G$35)*ROW(BenchmarkResults!$F$3:$F$35)),{1,3})</f>
        <v>q4_category_revenue</v>
      </c>
      <c r="B1798">
        <v>2</v>
      </c>
      <c r="C1798" s="13">
        <v>0</v>
      </c>
      <c r="D1798" s="13">
        <v>1</v>
      </c>
      <c r="E1798" s="13">
        <v>220928</v>
      </c>
      <c r="F1798" s="13">
        <v>488324</v>
      </c>
      <c r="G1798" s="13">
        <v>196</v>
      </c>
      <c r="H1798" s="13">
        <v>1963352</v>
      </c>
      <c r="I1798" s="13">
        <v>6</v>
      </c>
      <c r="J1798" s="13">
        <v>0</v>
      </c>
      <c r="K1798" s="13">
        <v>26587</v>
      </c>
      <c r="L1798" s="13">
        <v>18</v>
      </c>
      <c r="M1798" s="13">
        <v>3102</v>
      </c>
      <c r="N1798" s="13">
        <v>1919</v>
      </c>
      <c r="O1798" s="13">
        <v>13</v>
      </c>
      <c r="P1798" s="13">
        <v>10</v>
      </c>
      <c r="Q1798" s="13">
        <v>49</v>
      </c>
      <c r="R1798" s="13">
        <v>27</v>
      </c>
      <c r="S1798" s="13">
        <v>0</v>
      </c>
      <c r="T1798" s="23">
        <v>46247.692199074074</v>
      </c>
      <c r="U1798" s="55">
        <f t="shared" si="81"/>
        <v>0.66666666666666663</v>
      </c>
      <c r="V1798" s="55">
        <f t="shared" si="82"/>
        <v>0.33333333333333331</v>
      </c>
      <c r="W1798" s="56">
        <f t="shared" si="83"/>
        <v>17708.666666666668</v>
      </c>
    </row>
    <row r="1799" spans="1:23" x14ac:dyDescent="0.3">
      <c r="A1799" s="13" t="str" cm="1">
        <f t="array" ref="A1799:B1799">INDEX(BenchmarkResults!$B$1:$D$35,SUMPRODUCT((T1799&gt;=BenchmarkResults!$F$3:$F$35)*(mongodb_hardware_log!T1799&lt;BenchmarkResults!$G$3:$G$35)*ROW(BenchmarkResults!$F$3:$F$35)),{1,3})</f>
        <v>q4_category_revenue</v>
      </c>
      <c r="B1799">
        <v>2</v>
      </c>
      <c r="C1799" s="13">
        <v>0</v>
      </c>
      <c r="D1799" s="13">
        <v>1</v>
      </c>
      <c r="E1799" s="13">
        <v>220928</v>
      </c>
      <c r="F1799" s="13">
        <v>255980</v>
      </c>
      <c r="G1799" s="13">
        <v>204</v>
      </c>
      <c r="H1799" s="13">
        <v>2193480</v>
      </c>
      <c r="I1799" s="13">
        <v>10</v>
      </c>
      <c r="J1799" s="13">
        <v>0</v>
      </c>
      <c r="K1799" s="13">
        <v>23021</v>
      </c>
      <c r="L1799" s="13">
        <v>11</v>
      </c>
      <c r="M1799" s="13">
        <v>2769</v>
      </c>
      <c r="N1799" s="13">
        <v>1704</v>
      </c>
      <c r="O1799" s="13">
        <v>14</v>
      </c>
      <c r="P1799" s="13">
        <v>9</v>
      </c>
      <c r="Q1799" s="13">
        <v>50</v>
      </c>
      <c r="R1799" s="13">
        <v>26</v>
      </c>
      <c r="S1799" s="13">
        <v>0</v>
      </c>
      <c r="T1799" s="23">
        <v>46247.692314814813</v>
      </c>
      <c r="U1799" s="55">
        <f t="shared" si="81"/>
        <v>0.66666666666666663</v>
      </c>
      <c r="V1799" s="55">
        <f t="shared" si="82"/>
        <v>0.33333333333333331</v>
      </c>
      <c r="W1799" s="56">
        <f t="shared" si="83"/>
        <v>18822</v>
      </c>
    </row>
    <row r="1800" spans="1:23" x14ac:dyDescent="0.3">
      <c r="A1800" s="13" t="str" cm="1">
        <f t="array" ref="A1800:B1800">INDEX(BenchmarkResults!$B$1:$D$35,SUMPRODUCT((T1800&gt;=BenchmarkResults!$F$3:$F$35)*(mongodb_hardware_log!T1800&lt;BenchmarkResults!$G$3:$G$35)*ROW(BenchmarkResults!$F$3:$F$35)),{1,3})</f>
        <v>q4_category_revenue</v>
      </c>
      <c r="B1800">
        <v>2</v>
      </c>
      <c r="C1800" s="13">
        <v>2</v>
      </c>
      <c r="D1800" s="13">
        <v>0</v>
      </c>
      <c r="E1800" s="13">
        <v>220928</v>
      </c>
      <c r="F1800" s="13">
        <v>124516</v>
      </c>
      <c r="G1800" s="13">
        <v>212</v>
      </c>
      <c r="H1800" s="13">
        <v>2327872</v>
      </c>
      <c r="I1800" s="13">
        <v>4</v>
      </c>
      <c r="J1800" s="13">
        <v>0</v>
      </c>
      <c r="K1800" s="13">
        <v>18792</v>
      </c>
      <c r="L1800" s="13">
        <v>11</v>
      </c>
      <c r="M1800" s="13">
        <v>2744</v>
      </c>
      <c r="N1800" s="13">
        <v>1823</v>
      </c>
      <c r="O1800" s="13">
        <v>18</v>
      </c>
      <c r="P1800" s="13">
        <v>8</v>
      </c>
      <c r="Q1800" s="13">
        <v>50</v>
      </c>
      <c r="R1800" s="13">
        <v>23</v>
      </c>
      <c r="S1800" s="13">
        <v>0</v>
      </c>
      <c r="T1800" s="23">
        <v>46247.692430555559</v>
      </c>
      <c r="U1800" s="55">
        <f t="shared" si="81"/>
        <v>0.83333333333333337</v>
      </c>
      <c r="V1800" s="55">
        <f t="shared" si="82"/>
        <v>0.33333333333333331</v>
      </c>
      <c r="W1800" s="56">
        <f t="shared" si="83"/>
        <v>19185</v>
      </c>
    </row>
    <row r="1801" spans="1:23" x14ac:dyDescent="0.3">
      <c r="A1801" s="13" t="str" cm="1">
        <f t="array" ref="A1801:B1801">INDEX(BenchmarkResults!$B$1:$D$35,SUMPRODUCT((T1801&gt;=BenchmarkResults!$F$3:$F$35)*(mongodb_hardware_log!T1801&lt;BenchmarkResults!$G$3:$G$35)*ROW(BenchmarkResults!$F$3:$F$35)),{1,3})</f>
        <v>q4_category_revenue</v>
      </c>
      <c r="B1801">
        <v>2</v>
      </c>
      <c r="C1801" s="13">
        <v>0</v>
      </c>
      <c r="D1801" s="13">
        <v>1</v>
      </c>
      <c r="E1801" s="13">
        <v>220672</v>
      </c>
      <c r="F1801" s="13">
        <v>111280</v>
      </c>
      <c r="G1801" s="13">
        <v>244</v>
      </c>
      <c r="H1801" s="13">
        <v>2334608</v>
      </c>
      <c r="I1801" s="13">
        <v>7</v>
      </c>
      <c r="J1801" s="13">
        <v>0</v>
      </c>
      <c r="K1801" s="13">
        <v>16830</v>
      </c>
      <c r="L1801" s="13">
        <v>32</v>
      </c>
      <c r="M1801" s="13">
        <v>2853</v>
      </c>
      <c r="N1801" s="13">
        <v>1990</v>
      </c>
      <c r="O1801" s="13">
        <v>19</v>
      </c>
      <c r="P1801" s="13">
        <v>8</v>
      </c>
      <c r="Q1801" s="13">
        <v>49</v>
      </c>
      <c r="R1801" s="13">
        <v>24</v>
      </c>
      <c r="S1801" s="13">
        <v>0</v>
      </c>
      <c r="T1801" s="23">
        <v>46247.692546296297</v>
      </c>
      <c r="U1801" s="55">
        <f t="shared" ref="U1801:U1864" si="84">AVERAGE(C1796:C1801)</f>
        <v>0.66666666666666663</v>
      </c>
      <c r="V1801" s="55">
        <f t="shared" ref="V1801:V1864" si="85">AVERAGE(D1796:D1801)</f>
        <v>0.5</v>
      </c>
      <c r="W1801" s="56">
        <f t="shared" ref="W1801:W1864" si="86">AVERAGE(K1796:K1801)</f>
        <v>19275.166666666668</v>
      </c>
    </row>
    <row r="1802" spans="1:23" x14ac:dyDescent="0.3">
      <c r="A1802" s="13" t="str" cm="1">
        <f t="array" ref="A1802:B1802">INDEX(BenchmarkResults!$B$1:$D$35,SUMPRODUCT((T1802&gt;=BenchmarkResults!$F$3:$F$35)*(mongodb_hardware_log!T1802&lt;BenchmarkResults!$G$3:$G$35)*ROW(BenchmarkResults!$F$3:$F$35)),{1,3})</f>
        <v>q4_category_revenue</v>
      </c>
      <c r="B1802">
        <v>2</v>
      </c>
      <c r="C1802" s="13">
        <v>1</v>
      </c>
      <c r="D1802" s="13">
        <v>0</v>
      </c>
      <c r="E1802" s="13">
        <v>220672</v>
      </c>
      <c r="F1802" s="13">
        <v>112604</v>
      </c>
      <c r="G1802" s="13">
        <v>252</v>
      </c>
      <c r="H1802" s="13">
        <v>2335928</v>
      </c>
      <c r="I1802" s="13">
        <v>0</v>
      </c>
      <c r="J1802" s="13">
        <v>0</v>
      </c>
      <c r="K1802" s="13">
        <v>15125</v>
      </c>
      <c r="L1802" s="13">
        <v>13</v>
      </c>
      <c r="M1802" s="13">
        <v>2588</v>
      </c>
      <c r="N1802" s="13">
        <v>1701</v>
      </c>
      <c r="O1802" s="13">
        <v>20</v>
      </c>
      <c r="P1802" s="13">
        <v>7</v>
      </c>
      <c r="Q1802" s="13">
        <v>50</v>
      </c>
      <c r="R1802" s="13">
        <v>22</v>
      </c>
      <c r="S1802" s="13">
        <v>0</v>
      </c>
      <c r="T1802" s="23">
        <v>46247.692662037036</v>
      </c>
      <c r="U1802" s="55">
        <f t="shared" si="84"/>
        <v>0.66666666666666663</v>
      </c>
      <c r="V1802" s="55">
        <f t="shared" si="85"/>
        <v>0.5</v>
      </c>
      <c r="W1802" s="56">
        <f t="shared" si="86"/>
        <v>19235</v>
      </c>
    </row>
    <row r="1803" spans="1:23" x14ac:dyDescent="0.3">
      <c r="A1803" s="13" t="str" cm="1">
        <f t="array" ref="A1803:B1803">INDEX(BenchmarkResults!$B$1:$D$35,SUMPRODUCT((T1803&gt;=BenchmarkResults!$F$3:$F$35)*(mongodb_hardware_log!T1803&lt;BenchmarkResults!$G$3:$G$35)*ROW(BenchmarkResults!$F$3:$F$35)),{1,3})</f>
        <v>q4_category_revenue</v>
      </c>
      <c r="B1803">
        <v>2</v>
      </c>
      <c r="C1803" s="13">
        <v>2</v>
      </c>
      <c r="D1803" s="13">
        <v>0</v>
      </c>
      <c r="E1803" s="13">
        <v>217344</v>
      </c>
      <c r="F1803" s="13">
        <v>119128</v>
      </c>
      <c r="G1803" s="13">
        <v>272</v>
      </c>
      <c r="H1803" s="13">
        <v>2336548</v>
      </c>
      <c r="I1803" s="13">
        <v>355</v>
      </c>
      <c r="J1803" s="13">
        <v>0</v>
      </c>
      <c r="K1803" s="13">
        <v>15492</v>
      </c>
      <c r="L1803" s="13">
        <v>25</v>
      </c>
      <c r="M1803" s="13">
        <v>2590</v>
      </c>
      <c r="N1803" s="13">
        <v>1671</v>
      </c>
      <c r="O1803" s="13">
        <v>21</v>
      </c>
      <c r="P1803" s="13">
        <v>7</v>
      </c>
      <c r="Q1803" s="13">
        <v>51</v>
      </c>
      <c r="R1803" s="13">
        <v>21</v>
      </c>
      <c r="S1803" s="13">
        <v>0</v>
      </c>
      <c r="T1803" s="23">
        <v>46247.692777777775</v>
      </c>
      <c r="U1803" s="55">
        <f t="shared" si="84"/>
        <v>0.83333333333333337</v>
      </c>
      <c r="V1803" s="55">
        <f t="shared" si="85"/>
        <v>0.5</v>
      </c>
      <c r="W1803" s="56">
        <f t="shared" si="86"/>
        <v>19307.833333333332</v>
      </c>
    </row>
    <row r="1804" spans="1:23" x14ac:dyDescent="0.3">
      <c r="A1804" s="13" t="str" cm="1">
        <f t="array" ref="A1804:B1804">INDEX(BenchmarkResults!$B$1:$D$35,SUMPRODUCT((T1804&gt;=BenchmarkResults!$F$3:$F$35)*(mongodb_hardware_log!T1804&lt;BenchmarkResults!$G$3:$G$35)*ROW(BenchmarkResults!$F$3:$F$35)),{1,3})</f>
        <v>q4_category_revenue</v>
      </c>
      <c r="B1804">
        <v>2</v>
      </c>
      <c r="C1804" s="13">
        <v>0</v>
      </c>
      <c r="D1804" s="13">
        <v>1</v>
      </c>
      <c r="E1804" s="13">
        <v>217344</v>
      </c>
      <c r="F1804" s="13">
        <v>129588</v>
      </c>
      <c r="G1804" s="13">
        <v>280</v>
      </c>
      <c r="H1804" s="13">
        <v>2328852</v>
      </c>
      <c r="I1804" s="13">
        <v>1</v>
      </c>
      <c r="J1804" s="13">
        <v>0</v>
      </c>
      <c r="K1804" s="13">
        <v>16067</v>
      </c>
      <c r="L1804" s="13">
        <v>9</v>
      </c>
      <c r="M1804" s="13">
        <v>2936</v>
      </c>
      <c r="N1804" s="13">
        <v>2120</v>
      </c>
      <c r="O1804" s="13">
        <v>20</v>
      </c>
      <c r="P1804" s="13">
        <v>8</v>
      </c>
      <c r="Q1804" s="13">
        <v>49</v>
      </c>
      <c r="R1804" s="13">
        <v>22</v>
      </c>
      <c r="S1804" s="13">
        <v>0</v>
      </c>
      <c r="T1804" s="23">
        <v>46247.692893518521</v>
      </c>
      <c r="U1804" s="55">
        <f t="shared" si="84"/>
        <v>0.83333333333333337</v>
      </c>
      <c r="V1804" s="55">
        <f t="shared" si="85"/>
        <v>0.5</v>
      </c>
      <c r="W1804" s="56">
        <f t="shared" si="86"/>
        <v>17554.5</v>
      </c>
    </row>
    <row r="1805" spans="1:23" x14ac:dyDescent="0.3">
      <c r="A1805" s="13" t="str" cm="1">
        <f t="array" ref="A1805:B1805">INDEX(BenchmarkResults!$B$1:$D$35,SUMPRODUCT((T1805&gt;=BenchmarkResults!$F$3:$F$35)*(mongodb_hardware_log!T1805&lt;BenchmarkResults!$G$3:$G$35)*ROW(BenchmarkResults!$F$3:$F$35)),{1,3})</f>
        <v>q4_category_revenue</v>
      </c>
      <c r="B1805">
        <v>2</v>
      </c>
      <c r="C1805" s="13">
        <v>0</v>
      </c>
      <c r="D1805" s="13">
        <v>1</v>
      </c>
      <c r="E1805" s="13">
        <v>217344</v>
      </c>
      <c r="F1805" s="13">
        <v>107200</v>
      </c>
      <c r="G1805" s="13">
        <v>288</v>
      </c>
      <c r="H1805" s="13">
        <v>2349456</v>
      </c>
      <c r="I1805" s="13">
        <v>6</v>
      </c>
      <c r="J1805" s="13">
        <v>0</v>
      </c>
      <c r="K1805" s="13">
        <v>15368</v>
      </c>
      <c r="L1805" s="13">
        <v>35</v>
      </c>
      <c r="M1805" s="13">
        <v>2568</v>
      </c>
      <c r="N1805" s="13">
        <v>1717</v>
      </c>
      <c r="O1805" s="13">
        <v>21</v>
      </c>
      <c r="P1805" s="13">
        <v>7</v>
      </c>
      <c r="Q1805" s="13">
        <v>50</v>
      </c>
      <c r="R1805" s="13">
        <v>22</v>
      </c>
      <c r="S1805" s="13">
        <v>0</v>
      </c>
      <c r="T1805" s="23">
        <v>46247.693009259259</v>
      </c>
      <c r="U1805" s="55">
        <f t="shared" si="84"/>
        <v>0.83333333333333337</v>
      </c>
      <c r="V1805" s="55">
        <f t="shared" si="85"/>
        <v>0.5</v>
      </c>
      <c r="W1805" s="56">
        <f t="shared" si="86"/>
        <v>16279</v>
      </c>
    </row>
    <row r="1806" spans="1:23" x14ac:dyDescent="0.3">
      <c r="A1806" s="13" t="str" cm="1">
        <f t="array" ref="A1806:B1806">INDEX(BenchmarkResults!$B$1:$D$35,SUMPRODUCT((T1806&gt;=BenchmarkResults!$F$3:$F$35)*(mongodb_hardware_log!T1806&lt;BenchmarkResults!$G$3:$G$35)*ROW(BenchmarkResults!$F$3:$F$35)),{1,3})</f>
        <v>q4_category_revenue</v>
      </c>
      <c r="B1806">
        <v>2</v>
      </c>
      <c r="C1806" s="13">
        <v>1</v>
      </c>
      <c r="D1806" s="13">
        <v>0</v>
      </c>
      <c r="E1806" s="13">
        <v>216832</v>
      </c>
      <c r="F1806" s="13">
        <v>109388</v>
      </c>
      <c r="G1806" s="13">
        <v>304</v>
      </c>
      <c r="H1806" s="13">
        <v>2346028</v>
      </c>
      <c r="I1806" s="13">
        <v>7</v>
      </c>
      <c r="J1806" s="13">
        <v>0</v>
      </c>
      <c r="K1806" s="13">
        <v>15466</v>
      </c>
      <c r="L1806" s="13">
        <v>22</v>
      </c>
      <c r="M1806" s="13">
        <v>2882</v>
      </c>
      <c r="N1806" s="13">
        <v>1976</v>
      </c>
      <c r="O1806" s="13">
        <v>20</v>
      </c>
      <c r="P1806" s="13">
        <v>9</v>
      </c>
      <c r="Q1806" s="13">
        <v>49</v>
      </c>
      <c r="R1806" s="13">
        <v>22</v>
      </c>
      <c r="S1806" s="13">
        <v>0</v>
      </c>
      <c r="T1806" s="23">
        <v>46247.693124999998</v>
      </c>
      <c r="U1806" s="55">
        <f t="shared" si="84"/>
        <v>0.66666666666666663</v>
      </c>
      <c r="V1806" s="55">
        <f t="shared" si="85"/>
        <v>0.5</v>
      </c>
      <c r="W1806" s="56">
        <f t="shared" si="86"/>
        <v>15724.666666666666</v>
      </c>
    </row>
    <row r="1807" spans="1:23" x14ac:dyDescent="0.3">
      <c r="A1807" s="13" t="str" cm="1">
        <f t="array" ref="A1807:B1807">INDEX(BenchmarkResults!$B$1:$D$35,SUMPRODUCT((T1807&gt;=BenchmarkResults!$F$3:$F$35)*(mongodb_hardware_log!T1807&lt;BenchmarkResults!$G$3:$G$35)*ROW(BenchmarkResults!$F$3:$F$35)),{1,3})</f>
        <v>q4_category_revenue</v>
      </c>
      <c r="B1807">
        <v>2</v>
      </c>
      <c r="C1807" s="13">
        <v>0</v>
      </c>
      <c r="D1807" s="13">
        <v>1</v>
      </c>
      <c r="E1807" s="13">
        <v>216832</v>
      </c>
      <c r="F1807" s="13">
        <v>109440</v>
      </c>
      <c r="G1807" s="13">
        <v>328</v>
      </c>
      <c r="H1807" s="13">
        <v>2354032</v>
      </c>
      <c r="I1807" s="13">
        <v>3</v>
      </c>
      <c r="J1807" s="13">
        <v>0</v>
      </c>
      <c r="K1807" s="13">
        <v>15864</v>
      </c>
      <c r="L1807" s="13">
        <v>27</v>
      </c>
      <c r="M1807" s="13">
        <v>2682</v>
      </c>
      <c r="N1807" s="13">
        <v>1833</v>
      </c>
      <c r="O1807" s="13">
        <v>19</v>
      </c>
      <c r="P1807" s="13">
        <v>7</v>
      </c>
      <c r="Q1807" s="13">
        <v>49</v>
      </c>
      <c r="R1807" s="13">
        <v>25</v>
      </c>
      <c r="S1807" s="13">
        <v>0</v>
      </c>
      <c r="T1807" s="23">
        <v>46247.693240740744</v>
      </c>
      <c r="U1807" s="55">
        <f t="shared" si="84"/>
        <v>0.66666666666666663</v>
      </c>
      <c r="V1807" s="55">
        <f t="shared" si="85"/>
        <v>0.5</v>
      </c>
      <c r="W1807" s="56">
        <f t="shared" si="86"/>
        <v>15563.666666666666</v>
      </c>
    </row>
    <row r="1808" spans="1:23" x14ac:dyDescent="0.3">
      <c r="A1808" s="13" t="str" cm="1">
        <f t="array" ref="A1808:B1808">INDEX(BenchmarkResults!$B$1:$D$35,SUMPRODUCT((T1808&gt;=BenchmarkResults!$F$3:$F$35)*(mongodb_hardware_log!T1808&lt;BenchmarkResults!$G$3:$G$35)*ROW(BenchmarkResults!$F$3:$F$35)),{1,3})</f>
        <v>q4_category_revenue</v>
      </c>
      <c r="B1808">
        <v>2</v>
      </c>
      <c r="C1808" s="13">
        <v>1</v>
      </c>
      <c r="D1808" s="13">
        <v>0</v>
      </c>
      <c r="E1808" s="13">
        <v>217088</v>
      </c>
      <c r="F1808" s="13">
        <v>134000</v>
      </c>
      <c r="G1808" s="13">
        <v>188</v>
      </c>
      <c r="H1808" s="13">
        <v>2323604</v>
      </c>
      <c r="I1808" s="13">
        <v>2</v>
      </c>
      <c r="J1808" s="13">
        <v>18</v>
      </c>
      <c r="K1808" s="13">
        <v>15424</v>
      </c>
      <c r="L1808" s="13">
        <v>34</v>
      </c>
      <c r="M1808" s="13">
        <v>2685</v>
      </c>
      <c r="N1808" s="13">
        <v>1887</v>
      </c>
      <c r="O1808" s="13">
        <v>20</v>
      </c>
      <c r="P1808" s="13">
        <v>8</v>
      </c>
      <c r="Q1808" s="13">
        <v>50</v>
      </c>
      <c r="R1808" s="13">
        <v>22</v>
      </c>
      <c r="S1808" s="13">
        <v>0</v>
      </c>
      <c r="T1808" s="23">
        <v>46247.693356481483</v>
      </c>
      <c r="U1808" s="55">
        <f t="shared" si="84"/>
        <v>0.66666666666666663</v>
      </c>
      <c r="V1808" s="55">
        <f t="shared" si="85"/>
        <v>0.5</v>
      </c>
      <c r="W1808" s="56">
        <f t="shared" si="86"/>
        <v>15613.5</v>
      </c>
    </row>
    <row r="1809" spans="1:23" x14ac:dyDescent="0.3">
      <c r="A1809" s="13" t="str" cm="1">
        <f t="array" ref="A1809:B1809">INDEX(BenchmarkResults!$B$1:$D$35,SUMPRODUCT((T1809&gt;=BenchmarkResults!$F$3:$F$35)*(mongodb_hardware_log!T1809&lt;BenchmarkResults!$G$3:$G$35)*ROW(BenchmarkResults!$F$3:$F$35)),{1,3})</f>
        <v>q4_category_revenue</v>
      </c>
      <c r="B1809">
        <v>2</v>
      </c>
      <c r="C1809" s="13">
        <v>1</v>
      </c>
      <c r="D1809" s="13">
        <v>0</v>
      </c>
      <c r="E1809" s="13">
        <v>217088</v>
      </c>
      <c r="F1809" s="13">
        <v>120580</v>
      </c>
      <c r="G1809" s="13">
        <v>200</v>
      </c>
      <c r="H1809" s="13">
        <v>2340884</v>
      </c>
      <c r="I1809" s="13">
        <v>6</v>
      </c>
      <c r="J1809" s="13">
        <v>2</v>
      </c>
      <c r="K1809" s="13">
        <v>17280</v>
      </c>
      <c r="L1809" s="13">
        <v>36</v>
      </c>
      <c r="M1809" s="13">
        <v>2871</v>
      </c>
      <c r="N1809" s="13">
        <v>1971</v>
      </c>
      <c r="O1809" s="13">
        <v>19</v>
      </c>
      <c r="P1809" s="13">
        <v>7</v>
      </c>
      <c r="Q1809" s="13">
        <v>49</v>
      </c>
      <c r="R1809" s="13">
        <v>24</v>
      </c>
      <c r="S1809" s="13">
        <v>0</v>
      </c>
      <c r="T1809" s="23">
        <v>46247.693472222221</v>
      </c>
      <c r="U1809" s="55">
        <f t="shared" si="84"/>
        <v>0.5</v>
      </c>
      <c r="V1809" s="55">
        <f t="shared" si="85"/>
        <v>0.5</v>
      </c>
      <c r="W1809" s="56">
        <f t="shared" si="86"/>
        <v>15911.5</v>
      </c>
    </row>
    <row r="1810" spans="1:23" x14ac:dyDescent="0.3">
      <c r="A1810" s="13" t="str" cm="1">
        <f t="array" ref="A1810:B1810">INDEX(BenchmarkResults!$B$1:$D$35,SUMPRODUCT((T1810&gt;=BenchmarkResults!$F$3:$F$35)*(mongodb_hardware_log!T1810&lt;BenchmarkResults!$G$3:$G$35)*ROW(BenchmarkResults!$F$3:$F$35)),{1,3})</f>
        <v>q4_category_revenue</v>
      </c>
      <c r="B1810">
        <v>2</v>
      </c>
      <c r="C1810" s="13">
        <v>0</v>
      </c>
      <c r="D1810" s="13">
        <v>1</v>
      </c>
      <c r="E1810" s="13">
        <v>217088</v>
      </c>
      <c r="F1810" s="13">
        <v>124568</v>
      </c>
      <c r="G1810" s="13">
        <v>208</v>
      </c>
      <c r="H1810" s="13">
        <v>2330788</v>
      </c>
      <c r="I1810" s="13">
        <v>6</v>
      </c>
      <c r="J1810" s="13">
        <v>1</v>
      </c>
      <c r="K1810" s="13">
        <v>15651</v>
      </c>
      <c r="L1810" s="13">
        <v>14</v>
      </c>
      <c r="M1810" s="13">
        <v>2762</v>
      </c>
      <c r="N1810" s="13">
        <v>1991</v>
      </c>
      <c r="O1810" s="13">
        <v>21</v>
      </c>
      <c r="P1810" s="13">
        <v>7</v>
      </c>
      <c r="Q1810" s="13">
        <v>50</v>
      </c>
      <c r="R1810" s="13">
        <v>21</v>
      </c>
      <c r="S1810" s="13">
        <v>0</v>
      </c>
      <c r="T1810" s="23">
        <v>46247.69358796296</v>
      </c>
      <c r="U1810" s="55">
        <f t="shared" si="84"/>
        <v>0.5</v>
      </c>
      <c r="V1810" s="55">
        <f t="shared" si="85"/>
        <v>0.5</v>
      </c>
      <c r="W1810" s="56">
        <f t="shared" si="86"/>
        <v>15842.166666666666</v>
      </c>
    </row>
    <row r="1811" spans="1:23" x14ac:dyDescent="0.3">
      <c r="A1811" s="13" t="str" cm="1">
        <f t="array" ref="A1811:B1811">INDEX(BenchmarkResults!$B$1:$D$35,SUMPRODUCT((T1811&gt;=BenchmarkResults!$F$3:$F$35)*(mongodb_hardware_log!T1811&lt;BenchmarkResults!$G$3:$G$35)*ROW(BenchmarkResults!$F$3:$F$35)),{1,3})</f>
        <v>q4_category_revenue</v>
      </c>
      <c r="B1811">
        <v>2</v>
      </c>
      <c r="C1811" s="13">
        <v>1</v>
      </c>
      <c r="D1811" s="13">
        <v>0</v>
      </c>
      <c r="E1811" s="13">
        <v>216832</v>
      </c>
      <c r="F1811" s="13">
        <v>132084</v>
      </c>
      <c r="G1811" s="13">
        <v>216</v>
      </c>
      <c r="H1811" s="13">
        <v>2328916</v>
      </c>
      <c r="I1811" s="13">
        <v>20</v>
      </c>
      <c r="J1811" s="13">
        <v>1</v>
      </c>
      <c r="K1811" s="13">
        <v>15170</v>
      </c>
      <c r="L1811" s="13">
        <v>19</v>
      </c>
      <c r="M1811" s="13">
        <v>2611</v>
      </c>
      <c r="N1811" s="13">
        <v>1782</v>
      </c>
      <c r="O1811" s="13">
        <v>20</v>
      </c>
      <c r="P1811" s="13">
        <v>7</v>
      </c>
      <c r="Q1811" s="13">
        <v>50</v>
      </c>
      <c r="R1811" s="13">
        <v>23</v>
      </c>
      <c r="S1811" s="13">
        <v>0</v>
      </c>
      <c r="T1811" s="23">
        <v>46247.693703703706</v>
      </c>
      <c r="U1811" s="55">
        <f t="shared" si="84"/>
        <v>0.66666666666666663</v>
      </c>
      <c r="V1811" s="55">
        <f t="shared" si="85"/>
        <v>0.33333333333333331</v>
      </c>
      <c r="W1811" s="56">
        <f t="shared" si="86"/>
        <v>15809.166666666666</v>
      </c>
    </row>
    <row r="1812" spans="1:23" x14ac:dyDescent="0.3">
      <c r="A1812" s="13" t="str" cm="1">
        <f t="array" ref="A1812:B1812">INDEX(BenchmarkResults!$B$1:$D$35,SUMPRODUCT((T1812&gt;=BenchmarkResults!$F$3:$F$35)*(mongodb_hardware_log!T1812&lt;BenchmarkResults!$G$3:$G$35)*ROW(BenchmarkResults!$F$3:$F$35)),{1,3})</f>
        <v>q4_category_revenue</v>
      </c>
      <c r="B1812">
        <v>2</v>
      </c>
      <c r="C1812" s="13">
        <v>1</v>
      </c>
      <c r="D1812" s="13">
        <v>0</v>
      </c>
      <c r="E1812" s="13">
        <v>217344</v>
      </c>
      <c r="F1812" s="13">
        <v>142716</v>
      </c>
      <c r="G1812" s="13">
        <v>272</v>
      </c>
      <c r="H1812" s="13">
        <v>2316716</v>
      </c>
      <c r="I1812" s="13">
        <v>34</v>
      </c>
      <c r="J1812" s="13">
        <v>76</v>
      </c>
      <c r="K1812" s="13">
        <v>15746</v>
      </c>
      <c r="L1812" s="13">
        <v>86</v>
      </c>
      <c r="M1812" s="13">
        <v>2728</v>
      </c>
      <c r="N1812" s="13">
        <v>1846</v>
      </c>
      <c r="O1812" s="13">
        <v>20</v>
      </c>
      <c r="P1812" s="13">
        <v>7</v>
      </c>
      <c r="Q1812" s="13">
        <v>50</v>
      </c>
      <c r="R1812" s="13">
        <v>23</v>
      </c>
      <c r="S1812" s="13">
        <v>0</v>
      </c>
      <c r="T1812" s="23">
        <v>46247.693819444445</v>
      </c>
      <c r="U1812" s="55">
        <f t="shared" si="84"/>
        <v>0.66666666666666663</v>
      </c>
      <c r="V1812" s="55">
        <f t="shared" si="85"/>
        <v>0.33333333333333331</v>
      </c>
      <c r="W1812" s="56">
        <f t="shared" si="86"/>
        <v>15855.833333333334</v>
      </c>
    </row>
    <row r="1813" spans="1:23" x14ac:dyDescent="0.3">
      <c r="A1813" s="13" t="str" cm="1">
        <f t="array" ref="A1813:B1813">INDEX(BenchmarkResults!$B$1:$D$35,SUMPRODUCT((T1813&gt;=BenchmarkResults!$F$3:$F$35)*(mongodb_hardware_log!T1813&lt;BenchmarkResults!$G$3:$G$35)*ROW(BenchmarkResults!$F$3:$F$35)),{1,3})</f>
        <v>q4_category_revenue</v>
      </c>
      <c r="B1813">
        <v>2</v>
      </c>
      <c r="C1813" s="13">
        <v>1</v>
      </c>
      <c r="D1813" s="13">
        <v>0</v>
      </c>
      <c r="E1813" s="13">
        <v>217088</v>
      </c>
      <c r="F1813" s="13">
        <v>105924</v>
      </c>
      <c r="G1813" s="13">
        <v>424</v>
      </c>
      <c r="H1813" s="13">
        <v>2353416</v>
      </c>
      <c r="I1813" s="13">
        <v>9</v>
      </c>
      <c r="J1813" s="13">
        <v>0</v>
      </c>
      <c r="K1813" s="13">
        <v>14524</v>
      </c>
      <c r="L1813" s="13">
        <v>36</v>
      </c>
      <c r="M1813" s="13">
        <v>2889</v>
      </c>
      <c r="N1813" s="13">
        <v>2085</v>
      </c>
      <c r="O1813" s="13">
        <v>20</v>
      </c>
      <c r="P1813" s="13">
        <v>8</v>
      </c>
      <c r="Q1813" s="13">
        <v>50</v>
      </c>
      <c r="R1813" s="13">
        <v>21</v>
      </c>
      <c r="S1813" s="13">
        <v>0</v>
      </c>
      <c r="T1813" s="23">
        <v>46247.693935185183</v>
      </c>
      <c r="U1813" s="55">
        <f t="shared" si="84"/>
        <v>0.83333333333333337</v>
      </c>
      <c r="V1813" s="55">
        <f t="shared" si="85"/>
        <v>0.16666666666666666</v>
      </c>
      <c r="W1813" s="56">
        <f t="shared" si="86"/>
        <v>15632.5</v>
      </c>
    </row>
    <row r="1814" spans="1:23" x14ac:dyDescent="0.3">
      <c r="A1814" s="13" t="str" cm="1">
        <f t="array" ref="A1814:B1814">INDEX(BenchmarkResults!$B$1:$D$35,SUMPRODUCT((T1814&gt;=BenchmarkResults!$F$3:$F$35)*(mongodb_hardware_log!T1814&lt;BenchmarkResults!$G$3:$G$35)*ROW(BenchmarkResults!$F$3:$F$35)),{1,3})</f>
        <v>q4_category_revenue</v>
      </c>
      <c r="B1814">
        <v>2</v>
      </c>
      <c r="C1814" s="13">
        <v>2</v>
      </c>
      <c r="D1814" s="13">
        <v>0</v>
      </c>
      <c r="E1814" s="13">
        <v>217088</v>
      </c>
      <c r="F1814" s="13">
        <v>150548</v>
      </c>
      <c r="G1814" s="13">
        <v>432</v>
      </c>
      <c r="H1814" s="13">
        <v>2306528</v>
      </c>
      <c r="I1814" s="13">
        <v>6</v>
      </c>
      <c r="J1814" s="13">
        <v>0</v>
      </c>
      <c r="K1814" s="13">
        <v>16879</v>
      </c>
      <c r="L1814" s="13">
        <v>4</v>
      </c>
      <c r="M1814" s="13">
        <v>2943</v>
      </c>
      <c r="N1814" s="13">
        <v>1951</v>
      </c>
      <c r="O1814" s="13">
        <v>19</v>
      </c>
      <c r="P1814" s="13">
        <v>7</v>
      </c>
      <c r="Q1814" s="13">
        <v>49</v>
      </c>
      <c r="R1814" s="13">
        <v>25</v>
      </c>
      <c r="S1814" s="13">
        <v>0</v>
      </c>
      <c r="T1814" s="23">
        <v>46247.694050925929</v>
      </c>
      <c r="U1814" s="55">
        <f t="shared" si="84"/>
        <v>1</v>
      </c>
      <c r="V1814" s="55">
        <f t="shared" si="85"/>
        <v>0.16666666666666666</v>
      </c>
      <c r="W1814" s="56">
        <f t="shared" si="86"/>
        <v>15875</v>
      </c>
    </row>
    <row r="1815" spans="1:23" x14ac:dyDescent="0.3">
      <c r="A1815" s="13" t="str" cm="1">
        <f t="array" ref="A1815:B1815">INDEX(BenchmarkResults!$B$1:$D$35,SUMPRODUCT((T1815&gt;=BenchmarkResults!$F$3:$F$35)*(mongodb_hardware_log!T1815&lt;BenchmarkResults!$G$3:$G$35)*ROW(BenchmarkResults!$F$3:$F$35)),{1,3})</f>
        <v>q4_category_revenue</v>
      </c>
      <c r="B1815">
        <v>2</v>
      </c>
      <c r="C1815" s="13">
        <v>0</v>
      </c>
      <c r="D1815" s="13">
        <v>1</v>
      </c>
      <c r="E1815" s="13">
        <v>216832</v>
      </c>
      <c r="F1815" s="13">
        <v>149004</v>
      </c>
      <c r="G1815" s="13">
        <v>444</v>
      </c>
      <c r="H1815" s="13">
        <v>2312600</v>
      </c>
      <c r="I1815" s="13">
        <v>0</v>
      </c>
      <c r="J1815" s="13">
        <v>0</v>
      </c>
      <c r="K1815" s="13">
        <v>14448</v>
      </c>
      <c r="L1815" s="13">
        <v>22</v>
      </c>
      <c r="M1815" s="13">
        <v>2646</v>
      </c>
      <c r="N1815" s="13">
        <v>1772</v>
      </c>
      <c r="O1815" s="13">
        <v>20</v>
      </c>
      <c r="P1815" s="13">
        <v>7</v>
      </c>
      <c r="Q1815" s="13">
        <v>51</v>
      </c>
      <c r="R1815" s="13">
        <v>21</v>
      </c>
      <c r="S1815" s="13">
        <v>0</v>
      </c>
      <c r="T1815" s="23">
        <v>46247.694166666668</v>
      </c>
      <c r="U1815" s="55">
        <f t="shared" si="84"/>
        <v>0.83333333333333337</v>
      </c>
      <c r="V1815" s="55">
        <f t="shared" si="85"/>
        <v>0.33333333333333331</v>
      </c>
      <c r="W1815" s="56">
        <f t="shared" si="86"/>
        <v>15403</v>
      </c>
    </row>
    <row r="1816" spans="1:23" x14ac:dyDescent="0.3">
      <c r="A1816" s="13" t="str" cm="1">
        <f t="array" ref="A1816:B1816">INDEX(BenchmarkResults!$B$1:$D$35,SUMPRODUCT((T1816&gt;=BenchmarkResults!$F$3:$F$35)*(mongodb_hardware_log!T1816&lt;BenchmarkResults!$G$3:$G$35)*ROW(BenchmarkResults!$F$3:$F$35)),{1,3})</f>
        <v>q4_category_revenue</v>
      </c>
      <c r="B1816">
        <v>2</v>
      </c>
      <c r="C1816" s="13">
        <v>2</v>
      </c>
      <c r="D1816" s="13">
        <v>0</v>
      </c>
      <c r="E1816" s="13">
        <v>216832</v>
      </c>
      <c r="F1816" s="13">
        <v>112908</v>
      </c>
      <c r="G1816" s="13">
        <v>452</v>
      </c>
      <c r="H1816" s="13">
        <v>2337568</v>
      </c>
      <c r="I1816" s="13">
        <v>7</v>
      </c>
      <c r="J1816" s="13">
        <v>0</v>
      </c>
      <c r="K1816" s="13">
        <v>18371</v>
      </c>
      <c r="L1816" s="13">
        <v>10</v>
      </c>
      <c r="M1816" s="13">
        <v>2729</v>
      </c>
      <c r="N1816" s="13">
        <v>1872</v>
      </c>
      <c r="O1816" s="13">
        <v>19</v>
      </c>
      <c r="P1816" s="13">
        <v>8</v>
      </c>
      <c r="Q1816" s="13">
        <v>50</v>
      </c>
      <c r="R1816" s="13">
        <v>22</v>
      </c>
      <c r="S1816" s="13">
        <v>0</v>
      </c>
      <c r="T1816" s="23">
        <v>46247.694282407407</v>
      </c>
      <c r="U1816" s="55">
        <f t="shared" si="84"/>
        <v>1.1666666666666667</v>
      </c>
      <c r="V1816" s="55">
        <f t="shared" si="85"/>
        <v>0.16666666666666666</v>
      </c>
      <c r="W1816" s="56">
        <f t="shared" si="86"/>
        <v>15856.333333333334</v>
      </c>
    </row>
    <row r="1817" spans="1:23" x14ac:dyDescent="0.3">
      <c r="A1817" s="13" t="str" cm="1">
        <f t="array" ref="A1817:B1817">INDEX(BenchmarkResults!$B$1:$D$35,SUMPRODUCT((T1817&gt;=BenchmarkResults!$F$3:$F$35)*(mongodb_hardware_log!T1817&lt;BenchmarkResults!$G$3:$G$35)*ROW(BenchmarkResults!$F$3:$F$35)),{1,3})</f>
        <v>q4_category_revenue</v>
      </c>
      <c r="B1817">
        <v>2</v>
      </c>
      <c r="C1817" s="13">
        <v>1</v>
      </c>
      <c r="D1817" s="13">
        <v>0</v>
      </c>
      <c r="E1817" s="13">
        <v>216832</v>
      </c>
      <c r="F1817" s="13">
        <v>135188</v>
      </c>
      <c r="G1817" s="13">
        <v>604</v>
      </c>
      <c r="H1817" s="13">
        <v>2326972</v>
      </c>
      <c r="I1817" s="13">
        <v>4</v>
      </c>
      <c r="J1817" s="13">
        <v>0</v>
      </c>
      <c r="K1817" s="13">
        <v>18209</v>
      </c>
      <c r="L1817" s="13">
        <v>36</v>
      </c>
      <c r="M1817" s="13">
        <v>2839</v>
      </c>
      <c r="N1817" s="13">
        <v>1899</v>
      </c>
      <c r="O1817" s="13">
        <v>19</v>
      </c>
      <c r="P1817" s="13">
        <v>7</v>
      </c>
      <c r="Q1817" s="13">
        <v>50</v>
      </c>
      <c r="R1817" s="13">
        <v>24</v>
      </c>
      <c r="S1817" s="13">
        <v>0</v>
      </c>
      <c r="T1817" s="23">
        <v>46247.694398148145</v>
      </c>
      <c r="U1817" s="55">
        <f t="shared" si="84"/>
        <v>1.1666666666666667</v>
      </c>
      <c r="V1817" s="55">
        <f t="shared" si="85"/>
        <v>0.16666666666666666</v>
      </c>
      <c r="W1817" s="56">
        <f t="shared" si="86"/>
        <v>16362.833333333334</v>
      </c>
    </row>
    <row r="1818" spans="1:23" x14ac:dyDescent="0.3">
      <c r="A1818" s="13" t="str" cm="1">
        <f t="array" ref="A1818:B1818">INDEX(BenchmarkResults!$B$1:$D$35,SUMPRODUCT((T1818&gt;=BenchmarkResults!$F$3:$F$35)*(mongodb_hardware_log!T1818&lt;BenchmarkResults!$G$3:$G$35)*ROW(BenchmarkResults!$F$3:$F$35)),{1,3})</f>
        <v>q4_category_revenue</v>
      </c>
      <c r="B1818">
        <v>2</v>
      </c>
      <c r="C1818" s="13">
        <v>0</v>
      </c>
      <c r="D1818" s="13">
        <v>1</v>
      </c>
      <c r="E1818" s="13">
        <v>216832</v>
      </c>
      <c r="F1818" s="13">
        <v>122364</v>
      </c>
      <c r="G1818" s="13">
        <v>620</v>
      </c>
      <c r="H1818" s="13">
        <v>2334220</v>
      </c>
      <c r="I1818" s="13">
        <v>2</v>
      </c>
      <c r="J1818" s="13">
        <v>0</v>
      </c>
      <c r="K1818" s="13">
        <v>16327</v>
      </c>
      <c r="L1818" s="13">
        <v>8</v>
      </c>
      <c r="M1818" s="13">
        <v>2958</v>
      </c>
      <c r="N1818" s="13">
        <v>2012</v>
      </c>
      <c r="O1818" s="13">
        <v>18</v>
      </c>
      <c r="P1818" s="13">
        <v>8</v>
      </c>
      <c r="Q1818" s="13">
        <v>49</v>
      </c>
      <c r="R1818" s="13">
        <v>24</v>
      </c>
      <c r="S1818" s="13">
        <v>1</v>
      </c>
      <c r="T1818" s="23">
        <v>46247.694513888891</v>
      </c>
      <c r="U1818" s="55">
        <f t="shared" si="84"/>
        <v>1</v>
      </c>
      <c r="V1818" s="55">
        <f t="shared" si="85"/>
        <v>0.33333333333333331</v>
      </c>
      <c r="W1818" s="56">
        <f t="shared" si="86"/>
        <v>16459.666666666668</v>
      </c>
    </row>
    <row r="1819" spans="1:23" x14ac:dyDescent="0.3">
      <c r="A1819" s="13" t="str" cm="1">
        <f t="array" ref="A1819:B1819">INDEX(BenchmarkResults!$B$1:$D$35,SUMPRODUCT((T1819&gt;=BenchmarkResults!$F$3:$F$35)*(mongodb_hardware_log!T1819&lt;BenchmarkResults!$G$3:$G$35)*ROW(BenchmarkResults!$F$3:$F$35)),{1,3})</f>
        <v>q4_category_revenue</v>
      </c>
      <c r="B1819">
        <v>2</v>
      </c>
      <c r="C1819" s="13">
        <v>0</v>
      </c>
      <c r="D1819" s="13">
        <v>1</v>
      </c>
      <c r="E1819" s="13">
        <v>217088</v>
      </c>
      <c r="F1819" s="13">
        <v>116612</v>
      </c>
      <c r="G1819" s="13">
        <v>640</v>
      </c>
      <c r="H1819" s="13">
        <v>2341364</v>
      </c>
      <c r="I1819" s="13">
        <v>10</v>
      </c>
      <c r="J1819" s="13">
        <v>4</v>
      </c>
      <c r="K1819" s="13">
        <v>16282</v>
      </c>
      <c r="L1819" s="13">
        <v>34</v>
      </c>
      <c r="M1819" s="13">
        <v>2647</v>
      </c>
      <c r="N1819" s="13">
        <v>1787</v>
      </c>
      <c r="O1819" s="13">
        <v>18</v>
      </c>
      <c r="P1819" s="13">
        <v>8</v>
      </c>
      <c r="Q1819" s="13">
        <v>49</v>
      </c>
      <c r="R1819" s="13">
        <v>25</v>
      </c>
      <c r="S1819" s="13">
        <v>1</v>
      </c>
      <c r="T1819" s="23">
        <v>46247.69462962963</v>
      </c>
      <c r="U1819" s="55">
        <f t="shared" si="84"/>
        <v>0.83333333333333337</v>
      </c>
      <c r="V1819" s="55">
        <f t="shared" si="85"/>
        <v>0.5</v>
      </c>
      <c r="W1819" s="56">
        <f t="shared" si="86"/>
        <v>16752.666666666668</v>
      </c>
    </row>
    <row r="1820" spans="1:23" x14ac:dyDescent="0.3">
      <c r="A1820" s="13" t="str" cm="1">
        <f t="array" ref="A1820:B1820">INDEX(BenchmarkResults!$B$1:$D$35,SUMPRODUCT((T1820&gt;=BenchmarkResults!$F$3:$F$35)*(mongodb_hardware_log!T1820&lt;BenchmarkResults!$G$3:$G$35)*ROW(BenchmarkResults!$F$3:$F$35)),{1,3})</f>
        <v>q4_category_revenue</v>
      </c>
      <c r="B1820">
        <v>2</v>
      </c>
      <c r="C1820" s="13">
        <v>1</v>
      </c>
      <c r="D1820" s="13">
        <v>0</v>
      </c>
      <c r="E1820" s="13">
        <v>217088</v>
      </c>
      <c r="F1820" s="13">
        <v>123536</v>
      </c>
      <c r="G1820" s="13">
        <v>452</v>
      </c>
      <c r="H1820" s="13">
        <v>2330412</v>
      </c>
      <c r="I1820" s="13">
        <v>4</v>
      </c>
      <c r="J1820" s="13">
        <v>2</v>
      </c>
      <c r="K1820" s="13">
        <v>14580</v>
      </c>
      <c r="L1820" s="13">
        <v>21</v>
      </c>
      <c r="M1820" s="13">
        <v>2931</v>
      </c>
      <c r="N1820" s="13">
        <v>2004</v>
      </c>
      <c r="O1820" s="13">
        <v>19</v>
      </c>
      <c r="P1820" s="13">
        <v>8</v>
      </c>
      <c r="Q1820" s="13">
        <v>47</v>
      </c>
      <c r="R1820" s="13">
        <v>26</v>
      </c>
      <c r="S1820" s="13">
        <v>1</v>
      </c>
      <c r="T1820" s="23">
        <v>46247.694745370369</v>
      </c>
      <c r="U1820" s="55">
        <f t="shared" si="84"/>
        <v>0.66666666666666663</v>
      </c>
      <c r="V1820" s="55">
        <f t="shared" si="85"/>
        <v>0.5</v>
      </c>
      <c r="W1820" s="56">
        <f t="shared" si="86"/>
        <v>16369.5</v>
      </c>
    </row>
    <row r="1821" spans="1:23" x14ac:dyDescent="0.3">
      <c r="A1821" s="13" t="str" cm="1">
        <f t="array" ref="A1821:B1821">INDEX(BenchmarkResults!$B$1:$D$35,SUMPRODUCT((T1821&gt;=BenchmarkResults!$F$3:$F$35)*(mongodb_hardware_log!T1821&lt;BenchmarkResults!$G$3:$G$35)*ROW(BenchmarkResults!$F$3:$F$35)),{1,3})</f>
        <v>q4_category_revenue</v>
      </c>
      <c r="B1821">
        <v>2</v>
      </c>
      <c r="C1821" s="13">
        <v>1</v>
      </c>
      <c r="D1821" s="13">
        <v>0</v>
      </c>
      <c r="E1821" s="13">
        <v>217088</v>
      </c>
      <c r="F1821" s="13">
        <v>141472</v>
      </c>
      <c r="G1821" s="13">
        <v>468</v>
      </c>
      <c r="H1821" s="13">
        <v>2322616</v>
      </c>
      <c r="I1821" s="13">
        <v>2</v>
      </c>
      <c r="J1821" s="13">
        <v>0</v>
      </c>
      <c r="K1821" s="13">
        <v>18753</v>
      </c>
      <c r="L1821" s="13">
        <v>37</v>
      </c>
      <c r="M1821" s="13">
        <v>3055</v>
      </c>
      <c r="N1821" s="13">
        <v>2096</v>
      </c>
      <c r="O1821" s="13">
        <v>20</v>
      </c>
      <c r="P1821" s="13">
        <v>7</v>
      </c>
      <c r="Q1821" s="13">
        <v>47</v>
      </c>
      <c r="R1821" s="13">
        <v>26</v>
      </c>
      <c r="S1821" s="13">
        <v>1</v>
      </c>
      <c r="T1821" s="23">
        <v>46247.694861111115</v>
      </c>
      <c r="U1821" s="55">
        <f t="shared" si="84"/>
        <v>0.83333333333333337</v>
      </c>
      <c r="V1821" s="55">
        <f t="shared" si="85"/>
        <v>0.33333333333333331</v>
      </c>
      <c r="W1821" s="56">
        <f t="shared" si="86"/>
        <v>17087</v>
      </c>
    </row>
    <row r="1822" spans="1:23" x14ac:dyDescent="0.3">
      <c r="A1822" s="13" t="str" cm="1">
        <f t="array" ref="A1822:B1822">INDEX(BenchmarkResults!$B$1:$D$35,SUMPRODUCT((T1822&gt;=BenchmarkResults!$F$3:$F$35)*(mongodb_hardware_log!T1822&lt;BenchmarkResults!$G$3:$G$35)*ROW(BenchmarkResults!$F$3:$F$35)),{1,3})</f>
        <v>q4_category_revenue</v>
      </c>
      <c r="B1822">
        <v>2</v>
      </c>
      <c r="C1822" s="13">
        <v>1</v>
      </c>
      <c r="D1822" s="13">
        <v>0</v>
      </c>
      <c r="E1822" s="13">
        <v>217088</v>
      </c>
      <c r="F1822" s="13">
        <v>113280</v>
      </c>
      <c r="G1822" s="13">
        <v>488</v>
      </c>
      <c r="H1822" s="13">
        <v>2346188</v>
      </c>
      <c r="I1822" s="13">
        <v>0</v>
      </c>
      <c r="J1822" s="13">
        <v>2</v>
      </c>
      <c r="K1822" s="13">
        <v>16136</v>
      </c>
      <c r="L1822" s="13">
        <v>11</v>
      </c>
      <c r="M1822" s="13">
        <v>3254</v>
      </c>
      <c r="N1822" s="13">
        <v>2244</v>
      </c>
      <c r="O1822" s="13">
        <v>19</v>
      </c>
      <c r="P1822" s="13">
        <v>8</v>
      </c>
      <c r="Q1822" s="13">
        <v>46</v>
      </c>
      <c r="R1822" s="13">
        <v>26</v>
      </c>
      <c r="S1822" s="13">
        <v>1</v>
      </c>
      <c r="T1822" s="23">
        <v>46247.694976851853</v>
      </c>
      <c r="U1822" s="55">
        <f t="shared" si="84"/>
        <v>0.66666666666666663</v>
      </c>
      <c r="V1822" s="55">
        <f t="shared" si="85"/>
        <v>0.33333333333333331</v>
      </c>
      <c r="W1822" s="56">
        <f t="shared" si="86"/>
        <v>16714.5</v>
      </c>
    </row>
    <row r="1823" spans="1:23" x14ac:dyDescent="0.3">
      <c r="A1823" s="13" t="str" cm="1">
        <f t="array" ref="A1823:B1823">INDEX(BenchmarkResults!$B$1:$D$35,SUMPRODUCT((T1823&gt;=BenchmarkResults!$F$3:$F$35)*(mongodb_hardware_log!T1823&lt;BenchmarkResults!$G$3:$G$35)*ROW(BenchmarkResults!$F$3:$F$35)),{1,3})</f>
        <v>q4_category_revenue</v>
      </c>
      <c r="B1823">
        <v>2</v>
      </c>
      <c r="C1823" s="13">
        <v>0</v>
      </c>
      <c r="D1823" s="13">
        <v>1</v>
      </c>
      <c r="E1823" s="13">
        <v>217088</v>
      </c>
      <c r="F1823" s="13">
        <v>131964</v>
      </c>
      <c r="G1823" s="13">
        <v>500</v>
      </c>
      <c r="H1823" s="13">
        <v>2325116</v>
      </c>
      <c r="I1823" s="13">
        <v>13</v>
      </c>
      <c r="J1823" s="13">
        <v>43</v>
      </c>
      <c r="K1823" s="13">
        <v>14810</v>
      </c>
      <c r="L1823" s="13">
        <v>54</v>
      </c>
      <c r="M1823" s="13">
        <v>2783</v>
      </c>
      <c r="N1823" s="13">
        <v>1807</v>
      </c>
      <c r="O1823" s="13">
        <v>20</v>
      </c>
      <c r="P1823" s="13">
        <v>8</v>
      </c>
      <c r="Q1823" s="13">
        <v>47</v>
      </c>
      <c r="R1823" s="13">
        <v>24</v>
      </c>
      <c r="S1823" s="13">
        <v>1</v>
      </c>
      <c r="T1823" s="23">
        <v>46247.695092592592</v>
      </c>
      <c r="U1823" s="55">
        <f t="shared" si="84"/>
        <v>0.5</v>
      </c>
      <c r="V1823" s="55">
        <f t="shared" si="85"/>
        <v>0.5</v>
      </c>
      <c r="W1823" s="56">
        <f t="shared" si="86"/>
        <v>16148</v>
      </c>
    </row>
    <row r="1824" spans="1:23" x14ac:dyDescent="0.3">
      <c r="A1824" s="13" t="str" cm="1">
        <f t="array" ref="A1824:B1824">INDEX(BenchmarkResults!$B$1:$D$35,SUMPRODUCT((T1824&gt;=BenchmarkResults!$F$3:$F$35)*(mongodb_hardware_log!T1824&lt;BenchmarkResults!$G$3:$G$35)*ROW(BenchmarkResults!$F$3:$F$35)),{1,3})</f>
        <v>q4_category_revenue</v>
      </c>
      <c r="B1824">
        <v>2</v>
      </c>
      <c r="C1824" s="13">
        <v>1</v>
      </c>
      <c r="D1824" s="13">
        <v>0</v>
      </c>
      <c r="E1824" s="13">
        <v>216832</v>
      </c>
      <c r="F1824" s="13">
        <v>122132</v>
      </c>
      <c r="G1824" s="13">
        <v>508</v>
      </c>
      <c r="H1824" s="13">
        <v>2327596</v>
      </c>
      <c r="I1824" s="13">
        <v>8</v>
      </c>
      <c r="J1824" s="13">
        <v>0</v>
      </c>
      <c r="K1824" s="13">
        <v>16379</v>
      </c>
      <c r="L1824" s="13">
        <v>10</v>
      </c>
      <c r="M1824" s="13">
        <v>2891</v>
      </c>
      <c r="N1824" s="13">
        <v>1812</v>
      </c>
      <c r="O1824" s="13">
        <v>18</v>
      </c>
      <c r="P1824" s="13">
        <v>7</v>
      </c>
      <c r="Q1824" s="13">
        <v>47</v>
      </c>
      <c r="R1824" s="13">
        <v>27</v>
      </c>
      <c r="S1824" s="13">
        <v>1</v>
      </c>
      <c r="T1824" s="23">
        <v>46247.695208333331</v>
      </c>
      <c r="U1824" s="55">
        <f t="shared" si="84"/>
        <v>0.66666666666666663</v>
      </c>
      <c r="V1824" s="55">
        <f t="shared" si="85"/>
        <v>0.33333333333333331</v>
      </c>
      <c r="W1824" s="56">
        <f t="shared" si="86"/>
        <v>16156.666666666666</v>
      </c>
    </row>
    <row r="1825" spans="1:23" x14ac:dyDescent="0.3">
      <c r="A1825" s="13" t="str" cm="1">
        <f t="array" ref="A1825:B1825">INDEX(BenchmarkResults!$B$1:$D$35,SUMPRODUCT((T1825&gt;=BenchmarkResults!$F$3:$F$35)*(mongodb_hardware_log!T1825&lt;BenchmarkResults!$G$3:$G$35)*ROW(BenchmarkResults!$F$3:$F$35)),{1,3})</f>
        <v>q4_category_revenue</v>
      </c>
      <c r="B1825">
        <v>2</v>
      </c>
      <c r="C1825" s="13">
        <v>0</v>
      </c>
      <c r="D1825" s="13">
        <v>1</v>
      </c>
      <c r="E1825" s="13">
        <v>216832</v>
      </c>
      <c r="F1825" s="13">
        <v>108008</v>
      </c>
      <c r="G1825" s="13">
        <v>596</v>
      </c>
      <c r="H1825" s="13">
        <v>2347976</v>
      </c>
      <c r="I1825" s="13">
        <v>10</v>
      </c>
      <c r="J1825" s="13">
        <v>0</v>
      </c>
      <c r="K1825" s="13">
        <v>12726</v>
      </c>
      <c r="L1825" s="13">
        <v>32</v>
      </c>
      <c r="M1825" s="13">
        <v>2495</v>
      </c>
      <c r="N1825" s="13">
        <v>1535</v>
      </c>
      <c r="O1825" s="13">
        <v>18</v>
      </c>
      <c r="P1825" s="13">
        <v>6</v>
      </c>
      <c r="Q1825" s="13">
        <v>47</v>
      </c>
      <c r="R1825" s="13">
        <v>28</v>
      </c>
      <c r="S1825" s="13">
        <v>2</v>
      </c>
      <c r="T1825" s="23">
        <v>46247.695324074077</v>
      </c>
      <c r="U1825" s="55">
        <f t="shared" si="84"/>
        <v>0.66666666666666663</v>
      </c>
      <c r="V1825" s="55">
        <f t="shared" si="85"/>
        <v>0.33333333333333331</v>
      </c>
      <c r="W1825" s="56">
        <f t="shared" si="86"/>
        <v>15564</v>
      </c>
    </row>
    <row r="1826" spans="1:23" x14ac:dyDescent="0.3">
      <c r="A1826" s="13" t="str" cm="1">
        <f t="array" ref="A1826:B1826">INDEX(BenchmarkResults!$B$1:$D$35,SUMPRODUCT((T1826&gt;=BenchmarkResults!$F$3:$F$35)*(mongodb_hardware_log!T1826&lt;BenchmarkResults!$G$3:$G$35)*ROW(BenchmarkResults!$F$3:$F$35)),{1,3})</f>
        <v>q4_category_revenue</v>
      </c>
      <c r="B1826">
        <v>2</v>
      </c>
      <c r="C1826" s="13">
        <v>0</v>
      </c>
      <c r="D1826" s="13">
        <v>1</v>
      </c>
      <c r="E1826" s="13">
        <v>216832</v>
      </c>
      <c r="F1826" s="13">
        <v>108804</v>
      </c>
      <c r="G1826" s="13">
        <v>612</v>
      </c>
      <c r="H1826" s="13">
        <v>2355448</v>
      </c>
      <c r="I1826" s="13">
        <v>12</v>
      </c>
      <c r="J1826" s="13">
        <v>0</v>
      </c>
      <c r="K1826" s="13">
        <v>16336</v>
      </c>
      <c r="L1826" s="13">
        <v>16</v>
      </c>
      <c r="M1826" s="13">
        <v>2778</v>
      </c>
      <c r="N1826" s="13">
        <v>1786</v>
      </c>
      <c r="O1826" s="13">
        <v>18</v>
      </c>
      <c r="P1826" s="13">
        <v>7</v>
      </c>
      <c r="Q1826" s="13">
        <v>47</v>
      </c>
      <c r="R1826" s="13">
        <v>28</v>
      </c>
      <c r="S1826" s="13">
        <v>1</v>
      </c>
      <c r="T1826" s="23">
        <v>46247.695439814815</v>
      </c>
      <c r="U1826" s="55">
        <f t="shared" si="84"/>
        <v>0.5</v>
      </c>
      <c r="V1826" s="55">
        <f t="shared" si="85"/>
        <v>0.5</v>
      </c>
      <c r="W1826" s="56">
        <f t="shared" si="86"/>
        <v>15856.666666666666</v>
      </c>
    </row>
    <row r="1827" spans="1:23" x14ac:dyDescent="0.3">
      <c r="A1827" s="13" t="str" cm="1">
        <f t="array" ref="A1827:B1827">INDEX(BenchmarkResults!$B$1:$D$35,SUMPRODUCT((T1827&gt;=BenchmarkResults!$F$3:$F$35)*(mongodb_hardware_log!T1827&lt;BenchmarkResults!$G$3:$G$35)*ROW(BenchmarkResults!$F$3:$F$35)),{1,3})</f>
        <v>q4_category_revenue</v>
      </c>
      <c r="B1827">
        <v>2</v>
      </c>
      <c r="C1827" s="13">
        <v>0</v>
      </c>
      <c r="D1827" s="13">
        <v>1</v>
      </c>
      <c r="E1827" s="13">
        <v>216832</v>
      </c>
      <c r="F1827" s="13">
        <v>129532</v>
      </c>
      <c r="G1827" s="13">
        <v>540</v>
      </c>
      <c r="H1827" s="13">
        <v>2328004</v>
      </c>
      <c r="I1827" s="13">
        <v>1</v>
      </c>
      <c r="J1827" s="13">
        <v>0</v>
      </c>
      <c r="K1827" s="13">
        <v>19368</v>
      </c>
      <c r="L1827" s="13">
        <v>38</v>
      </c>
      <c r="M1827" s="13">
        <v>3259</v>
      </c>
      <c r="N1827" s="13">
        <v>2187</v>
      </c>
      <c r="O1827" s="13">
        <v>21</v>
      </c>
      <c r="P1827" s="13">
        <v>8</v>
      </c>
      <c r="Q1827" s="13">
        <v>46</v>
      </c>
      <c r="R1827" s="13">
        <v>24</v>
      </c>
      <c r="S1827" s="13">
        <v>1</v>
      </c>
      <c r="T1827" s="23">
        <v>46247.695555555554</v>
      </c>
      <c r="U1827" s="55">
        <f t="shared" si="84"/>
        <v>0.33333333333333331</v>
      </c>
      <c r="V1827" s="55">
        <f t="shared" si="85"/>
        <v>0.66666666666666663</v>
      </c>
      <c r="W1827" s="56">
        <f t="shared" si="86"/>
        <v>15959.166666666666</v>
      </c>
    </row>
    <row r="1828" spans="1:23" x14ac:dyDescent="0.3">
      <c r="A1828" s="13" t="str" cm="1">
        <f t="array" ref="A1828:B1828">INDEX(BenchmarkResults!$B$1:$D$35,SUMPRODUCT((T1828&gt;=BenchmarkResults!$F$3:$F$35)*(mongodb_hardware_log!T1828&lt;BenchmarkResults!$G$3:$G$35)*ROW(BenchmarkResults!$F$3:$F$35)),{1,3})</f>
        <v>q4_category_revenue</v>
      </c>
      <c r="B1828">
        <v>2</v>
      </c>
      <c r="C1828" s="13">
        <v>0</v>
      </c>
      <c r="D1828" s="13">
        <v>1</v>
      </c>
      <c r="E1828" s="13">
        <v>216832</v>
      </c>
      <c r="F1828" s="13">
        <v>107576</v>
      </c>
      <c r="G1828" s="13">
        <v>548</v>
      </c>
      <c r="H1828" s="13">
        <v>2351368</v>
      </c>
      <c r="I1828" s="13">
        <v>13</v>
      </c>
      <c r="J1828" s="13">
        <v>0</v>
      </c>
      <c r="K1828" s="13">
        <v>18137</v>
      </c>
      <c r="L1828" s="13">
        <v>10</v>
      </c>
      <c r="M1828" s="13">
        <v>3135</v>
      </c>
      <c r="N1828" s="13">
        <v>1988</v>
      </c>
      <c r="O1828" s="13">
        <v>20</v>
      </c>
      <c r="P1828" s="13">
        <v>8</v>
      </c>
      <c r="Q1828" s="13">
        <v>46</v>
      </c>
      <c r="R1828" s="13">
        <v>25</v>
      </c>
      <c r="S1828" s="13">
        <v>1</v>
      </c>
      <c r="T1828" s="23">
        <v>46247.695671296293</v>
      </c>
      <c r="U1828" s="55">
        <f t="shared" si="84"/>
        <v>0.16666666666666666</v>
      </c>
      <c r="V1828" s="55">
        <f t="shared" si="85"/>
        <v>0.83333333333333337</v>
      </c>
      <c r="W1828" s="56">
        <f t="shared" si="86"/>
        <v>16292.666666666666</v>
      </c>
    </row>
    <row r="1829" spans="1:23" x14ac:dyDescent="0.3">
      <c r="A1829" s="13" t="str" cm="1">
        <f t="array" ref="A1829:B1829">INDEX(BenchmarkResults!$B$1:$D$35,SUMPRODUCT((T1829&gt;=BenchmarkResults!$F$3:$F$35)*(mongodb_hardware_log!T1829&lt;BenchmarkResults!$G$3:$G$35)*ROW(BenchmarkResults!$F$3:$F$35)),{1,3})</f>
        <v>q4_category_revenue</v>
      </c>
      <c r="B1829">
        <v>2</v>
      </c>
      <c r="C1829" s="13">
        <v>1</v>
      </c>
      <c r="D1829" s="13">
        <v>0</v>
      </c>
      <c r="E1829" s="13">
        <v>216064</v>
      </c>
      <c r="F1829" s="13">
        <v>126056</v>
      </c>
      <c r="G1829" s="13">
        <v>696</v>
      </c>
      <c r="H1829" s="13">
        <v>2332544</v>
      </c>
      <c r="I1829" s="13">
        <v>219</v>
      </c>
      <c r="J1829" s="13">
        <v>0</v>
      </c>
      <c r="K1829" s="13">
        <v>21104</v>
      </c>
      <c r="L1829" s="13">
        <v>52</v>
      </c>
      <c r="M1829" s="13">
        <v>3375</v>
      </c>
      <c r="N1829" s="13">
        <v>2225</v>
      </c>
      <c r="O1829" s="13">
        <v>21</v>
      </c>
      <c r="P1829" s="13">
        <v>9</v>
      </c>
      <c r="Q1829" s="13">
        <v>43</v>
      </c>
      <c r="R1829" s="13">
        <v>26</v>
      </c>
      <c r="S1829" s="13">
        <v>1</v>
      </c>
      <c r="T1829" s="23">
        <v>46247.695787037039</v>
      </c>
      <c r="U1829" s="55">
        <f t="shared" si="84"/>
        <v>0.33333333333333331</v>
      </c>
      <c r="V1829" s="55">
        <f t="shared" si="85"/>
        <v>0.66666666666666663</v>
      </c>
      <c r="W1829" s="56">
        <f t="shared" si="86"/>
        <v>17341.666666666668</v>
      </c>
    </row>
    <row r="1830" spans="1:23" x14ac:dyDescent="0.3">
      <c r="A1830" s="13" t="str" cm="1">
        <f t="array" ref="A1830:B1830">INDEX(BenchmarkResults!$B$1:$D$35,SUMPRODUCT((T1830&gt;=BenchmarkResults!$F$3:$F$35)*(mongodb_hardware_log!T1830&lt;BenchmarkResults!$G$3:$G$35)*ROW(BenchmarkResults!$F$3:$F$35)),{1,3})</f>
        <v>q4_category_revenue</v>
      </c>
      <c r="B1830">
        <v>2</v>
      </c>
      <c r="C1830" s="13">
        <v>1</v>
      </c>
      <c r="D1830" s="13">
        <v>0</v>
      </c>
      <c r="E1830" s="13">
        <v>216064</v>
      </c>
      <c r="F1830" s="13">
        <v>121100</v>
      </c>
      <c r="G1830" s="13">
        <v>704</v>
      </c>
      <c r="H1830" s="13">
        <v>2338392</v>
      </c>
      <c r="I1830" s="13">
        <v>2</v>
      </c>
      <c r="J1830" s="13">
        <v>0</v>
      </c>
      <c r="K1830" s="13">
        <v>18558</v>
      </c>
      <c r="L1830" s="13">
        <v>8</v>
      </c>
      <c r="M1830" s="13">
        <v>3141</v>
      </c>
      <c r="N1830" s="13">
        <v>2144</v>
      </c>
      <c r="O1830" s="13">
        <v>19</v>
      </c>
      <c r="P1830" s="13">
        <v>9</v>
      </c>
      <c r="Q1830" s="13">
        <v>46</v>
      </c>
      <c r="R1830" s="13">
        <v>25</v>
      </c>
      <c r="S1830" s="13">
        <v>1</v>
      </c>
      <c r="T1830" s="23">
        <v>46247.695902777778</v>
      </c>
      <c r="U1830" s="55">
        <f t="shared" si="84"/>
        <v>0.33333333333333331</v>
      </c>
      <c r="V1830" s="55">
        <f t="shared" si="85"/>
        <v>0.66666666666666663</v>
      </c>
      <c r="W1830" s="56">
        <f t="shared" si="86"/>
        <v>17704.833333333332</v>
      </c>
    </row>
    <row r="1831" spans="1:23" x14ac:dyDescent="0.3">
      <c r="A1831" s="13" t="str" cm="1">
        <f t="array" ref="A1831:B1831">INDEX(BenchmarkResults!$B$1:$D$35,SUMPRODUCT((T1831&gt;=BenchmarkResults!$F$3:$F$35)*(mongodb_hardware_log!T1831&lt;BenchmarkResults!$G$3:$G$35)*ROW(BenchmarkResults!$F$3:$F$35)),{1,3})</f>
        <v>q4_category_revenue</v>
      </c>
      <c r="B1831">
        <v>2</v>
      </c>
      <c r="C1831" s="13">
        <v>3</v>
      </c>
      <c r="D1831" s="13">
        <v>0</v>
      </c>
      <c r="E1831" s="13">
        <v>216064</v>
      </c>
      <c r="F1831" s="13">
        <v>132628</v>
      </c>
      <c r="G1831" s="13">
        <v>452</v>
      </c>
      <c r="H1831" s="13">
        <v>2327716</v>
      </c>
      <c r="I1831" s="13">
        <v>4</v>
      </c>
      <c r="J1831" s="13">
        <v>0</v>
      </c>
      <c r="K1831" s="13">
        <v>16121</v>
      </c>
      <c r="L1831" s="13">
        <v>28</v>
      </c>
      <c r="M1831" s="13">
        <v>3190</v>
      </c>
      <c r="N1831" s="13">
        <v>2184</v>
      </c>
      <c r="O1831" s="13">
        <v>20</v>
      </c>
      <c r="P1831" s="13">
        <v>8</v>
      </c>
      <c r="Q1831" s="13">
        <v>46</v>
      </c>
      <c r="R1831" s="13">
        <v>25</v>
      </c>
      <c r="S1831" s="13">
        <v>1</v>
      </c>
      <c r="T1831" s="23">
        <v>46247.696018518516</v>
      </c>
      <c r="U1831" s="55">
        <f t="shared" si="84"/>
        <v>0.83333333333333337</v>
      </c>
      <c r="V1831" s="55">
        <f t="shared" si="85"/>
        <v>0.5</v>
      </c>
      <c r="W1831" s="56">
        <f t="shared" si="86"/>
        <v>18270.666666666668</v>
      </c>
    </row>
    <row r="1832" spans="1:23" x14ac:dyDescent="0.3">
      <c r="A1832" s="13" t="str" cm="1">
        <f t="array" ref="A1832:B1832">INDEX(BenchmarkResults!$B$1:$D$35,SUMPRODUCT((T1832&gt;=BenchmarkResults!$F$3:$F$35)*(mongodb_hardware_log!T1832&lt;BenchmarkResults!$G$3:$G$35)*ROW(BenchmarkResults!$F$3:$F$35)),{1,3})</f>
        <v>q4_category_revenue</v>
      </c>
      <c r="B1832">
        <v>2</v>
      </c>
      <c r="C1832" s="13">
        <v>0</v>
      </c>
      <c r="D1832" s="13">
        <v>1</v>
      </c>
      <c r="E1832" s="13">
        <v>216064</v>
      </c>
      <c r="F1832" s="13">
        <v>114460</v>
      </c>
      <c r="G1832" s="13">
        <v>468</v>
      </c>
      <c r="H1832" s="13">
        <v>2346444</v>
      </c>
      <c r="I1832" s="13">
        <v>1</v>
      </c>
      <c r="J1832" s="13">
        <v>0</v>
      </c>
      <c r="K1832" s="13">
        <v>14924</v>
      </c>
      <c r="L1832" s="13">
        <v>20</v>
      </c>
      <c r="M1832" s="13">
        <v>2826</v>
      </c>
      <c r="N1832" s="13">
        <v>1919</v>
      </c>
      <c r="O1832" s="13">
        <v>17</v>
      </c>
      <c r="P1832" s="13">
        <v>7</v>
      </c>
      <c r="Q1832" s="13">
        <v>47</v>
      </c>
      <c r="R1832" s="13">
        <v>28</v>
      </c>
      <c r="S1832" s="13">
        <v>1</v>
      </c>
      <c r="T1832" s="23">
        <v>46247.696134259262</v>
      </c>
      <c r="U1832" s="55">
        <f t="shared" si="84"/>
        <v>0.83333333333333337</v>
      </c>
      <c r="V1832" s="55">
        <f t="shared" si="85"/>
        <v>0.5</v>
      </c>
      <c r="W1832" s="56">
        <f t="shared" si="86"/>
        <v>18035.333333333332</v>
      </c>
    </row>
    <row r="1833" spans="1:23" x14ac:dyDescent="0.3">
      <c r="A1833" s="13" t="str" cm="1">
        <f t="array" ref="A1833:B1833">INDEX(BenchmarkResults!$B$1:$D$35,SUMPRODUCT((T1833&gt;=BenchmarkResults!$F$3:$F$35)*(mongodb_hardware_log!T1833&lt;BenchmarkResults!$G$3:$G$35)*ROW(BenchmarkResults!$F$3:$F$35)),{1,3})</f>
        <v>q4_category_revenue</v>
      </c>
      <c r="B1833">
        <v>2</v>
      </c>
      <c r="C1833" s="13">
        <v>2</v>
      </c>
      <c r="D1833" s="13">
        <v>0</v>
      </c>
      <c r="E1833" s="13">
        <v>216064</v>
      </c>
      <c r="F1833" s="13">
        <v>116128</v>
      </c>
      <c r="G1833" s="13">
        <v>480</v>
      </c>
      <c r="H1833" s="13">
        <v>2347080</v>
      </c>
      <c r="I1833" s="13">
        <v>2</v>
      </c>
      <c r="J1833" s="13">
        <v>4</v>
      </c>
      <c r="K1833" s="13">
        <v>15807</v>
      </c>
      <c r="L1833" s="13">
        <v>16</v>
      </c>
      <c r="M1833" s="13">
        <v>3187</v>
      </c>
      <c r="N1833" s="13">
        <v>2210</v>
      </c>
      <c r="O1833" s="13">
        <v>19</v>
      </c>
      <c r="P1833" s="13">
        <v>7</v>
      </c>
      <c r="Q1833" s="13">
        <v>46</v>
      </c>
      <c r="R1833" s="13">
        <v>26</v>
      </c>
      <c r="S1833" s="13">
        <v>1</v>
      </c>
      <c r="T1833" s="23">
        <v>46247.696250000001</v>
      </c>
      <c r="U1833" s="55">
        <f t="shared" si="84"/>
        <v>1.1666666666666667</v>
      </c>
      <c r="V1833" s="55">
        <f t="shared" si="85"/>
        <v>0.33333333333333331</v>
      </c>
      <c r="W1833" s="56">
        <f t="shared" si="86"/>
        <v>17441.833333333332</v>
      </c>
    </row>
    <row r="1834" spans="1:23" x14ac:dyDescent="0.3">
      <c r="A1834" s="13" t="str" cm="1">
        <f t="array" ref="A1834:B1834">INDEX(BenchmarkResults!$B$1:$D$35,SUMPRODUCT((T1834&gt;=BenchmarkResults!$F$3:$F$35)*(mongodb_hardware_log!T1834&lt;BenchmarkResults!$G$3:$G$35)*ROW(BenchmarkResults!$F$3:$F$35)),{1,3})</f>
        <v>q4_category_revenue</v>
      </c>
      <c r="B1834">
        <v>2</v>
      </c>
      <c r="C1834" s="13">
        <v>0</v>
      </c>
      <c r="D1834" s="13">
        <v>1</v>
      </c>
      <c r="E1834" s="13">
        <v>216832</v>
      </c>
      <c r="F1834" s="13">
        <v>175712</v>
      </c>
      <c r="G1834" s="13">
        <v>444</v>
      </c>
      <c r="H1834" s="13">
        <v>2287976</v>
      </c>
      <c r="I1834" s="13">
        <v>19</v>
      </c>
      <c r="J1834" s="13">
        <v>94</v>
      </c>
      <c r="K1834" s="13">
        <v>19358</v>
      </c>
      <c r="L1834" s="13">
        <v>106</v>
      </c>
      <c r="M1834" s="13">
        <v>3576</v>
      </c>
      <c r="N1834" s="13">
        <v>2474</v>
      </c>
      <c r="O1834" s="13">
        <v>21</v>
      </c>
      <c r="P1834" s="13">
        <v>9</v>
      </c>
      <c r="Q1834" s="13">
        <v>45</v>
      </c>
      <c r="R1834" s="13">
        <v>25</v>
      </c>
      <c r="S1834" s="13">
        <v>0</v>
      </c>
      <c r="T1834" s="23">
        <v>46247.69636574074</v>
      </c>
      <c r="U1834" s="55">
        <f t="shared" si="84"/>
        <v>1.1666666666666667</v>
      </c>
      <c r="V1834" s="55">
        <f t="shared" si="85"/>
        <v>0.33333333333333331</v>
      </c>
      <c r="W1834" s="56">
        <f t="shared" si="86"/>
        <v>17645.333333333332</v>
      </c>
    </row>
    <row r="1835" spans="1:23" x14ac:dyDescent="0.3">
      <c r="A1835" s="13" t="str" cm="1">
        <f t="array" ref="A1835:B1835">INDEX(BenchmarkResults!$B$1:$D$35,SUMPRODUCT((T1835&gt;=BenchmarkResults!$F$3:$F$35)*(mongodb_hardware_log!T1835&lt;BenchmarkResults!$G$3:$G$35)*ROW(BenchmarkResults!$F$3:$F$35)),{1,3})</f>
        <v>q4_category_revenue</v>
      </c>
      <c r="B1835">
        <v>2</v>
      </c>
      <c r="C1835" s="13">
        <v>1</v>
      </c>
      <c r="D1835" s="13">
        <v>0</v>
      </c>
      <c r="E1835" s="13">
        <v>216832</v>
      </c>
      <c r="F1835" s="13">
        <v>108240</v>
      </c>
      <c r="G1835" s="13">
        <v>460</v>
      </c>
      <c r="H1835" s="13">
        <v>2349084</v>
      </c>
      <c r="I1835" s="13">
        <v>2</v>
      </c>
      <c r="J1835" s="13">
        <v>0</v>
      </c>
      <c r="K1835" s="13">
        <v>16803</v>
      </c>
      <c r="L1835" s="13">
        <v>22</v>
      </c>
      <c r="M1835" s="13">
        <v>3342</v>
      </c>
      <c r="N1835" s="13">
        <v>2291</v>
      </c>
      <c r="O1835" s="13">
        <v>21</v>
      </c>
      <c r="P1835" s="13">
        <v>8</v>
      </c>
      <c r="Q1835" s="13">
        <v>45</v>
      </c>
      <c r="R1835" s="13">
        <v>24</v>
      </c>
      <c r="S1835" s="13">
        <v>1</v>
      </c>
      <c r="T1835" s="23">
        <v>46247.696481481478</v>
      </c>
      <c r="U1835" s="55">
        <f t="shared" si="84"/>
        <v>1.1666666666666667</v>
      </c>
      <c r="V1835" s="55">
        <f t="shared" si="85"/>
        <v>0.33333333333333331</v>
      </c>
      <c r="W1835" s="56">
        <f t="shared" si="86"/>
        <v>16928.5</v>
      </c>
    </row>
    <row r="1836" spans="1:23" x14ac:dyDescent="0.3">
      <c r="A1836" s="13" t="str" cm="1">
        <f t="array" ref="A1836:B1836">INDEX(BenchmarkResults!$B$1:$D$35,SUMPRODUCT((T1836&gt;=BenchmarkResults!$F$3:$F$35)*(mongodb_hardware_log!T1836&lt;BenchmarkResults!$G$3:$G$35)*ROW(BenchmarkResults!$F$3:$F$35)),{1,3})</f>
        <v>q4_category_revenue</v>
      </c>
      <c r="B1836">
        <v>2</v>
      </c>
      <c r="C1836" s="13">
        <v>1</v>
      </c>
      <c r="D1836" s="13">
        <v>0</v>
      </c>
      <c r="E1836" s="13">
        <v>216832</v>
      </c>
      <c r="F1836" s="13">
        <v>153168</v>
      </c>
      <c r="G1836" s="13">
        <v>468</v>
      </c>
      <c r="H1836" s="13">
        <v>2302908</v>
      </c>
      <c r="I1836" s="13">
        <v>2</v>
      </c>
      <c r="J1836" s="13">
        <v>0</v>
      </c>
      <c r="K1836" s="13">
        <v>16822</v>
      </c>
      <c r="L1836" s="13">
        <v>30</v>
      </c>
      <c r="M1836" s="13">
        <v>3259</v>
      </c>
      <c r="N1836" s="13">
        <v>2166</v>
      </c>
      <c r="O1836" s="13">
        <v>20</v>
      </c>
      <c r="P1836" s="13">
        <v>8</v>
      </c>
      <c r="Q1836" s="13">
        <v>45</v>
      </c>
      <c r="R1836" s="13">
        <v>25</v>
      </c>
      <c r="S1836" s="13">
        <v>1</v>
      </c>
      <c r="T1836" s="23">
        <v>46247.696597222224</v>
      </c>
      <c r="U1836" s="55">
        <f t="shared" si="84"/>
        <v>1.1666666666666667</v>
      </c>
      <c r="V1836" s="55">
        <f t="shared" si="85"/>
        <v>0.33333333333333331</v>
      </c>
      <c r="W1836" s="56">
        <f t="shared" si="86"/>
        <v>16639.166666666668</v>
      </c>
    </row>
    <row r="1837" spans="1:23" x14ac:dyDescent="0.3">
      <c r="A1837" s="13" t="str" cm="1">
        <f t="array" ref="A1837:B1837">INDEX(BenchmarkResults!$B$1:$D$35,SUMPRODUCT((T1837&gt;=BenchmarkResults!$F$3:$F$35)*(mongodb_hardware_log!T1837&lt;BenchmarkResults!$G$3:$G$35)*ROW(BenchmarkResults!$F$3:$F$35)),{1,3})</f>
        <v>q4_category_revenue</v>
      </c>
      <c r="B1837">
        <v>2</v>
      </c>
      <c r="C1837" s="13">
        <v>0</v>
      </c>
      <c r="D1837" s="13">
        <v>1</v>
      </c>
      <c r="E1837" s="13">
        <v>216576</v>
      </c>
      <c r="F1837" s="13">
        <v>127208</v>
      </c>
      <c r="G1837" s="13">
        <v>492</v>
      </c>
      <c r="H1837" s="13">
        <v>2328748</v>
      </c>
      <c r="I1837" s="13">
        <v>19</v>
      </c>
      <c r="J1837" s="13">
        <v>0</v>
      </c>
      <c r="K1837" s="13">
        <v>17566</v>
      </c>
      <c r="L1837" s="13">
        <v>32</v>
      </c>
      <c r="M1837" s="13">
        <v>3216</v>
      </c>
      <c r="N1837" s="13">
        <v>2262</v>
      </c>
      <c r="O1837" s="13">
        <v>21</v>
      </c>
      <c r="P1837" s="13">
        <v>8</v>
      </c>
      <c r="Q1837" s="13">
        <v>46</v>
      </c>
      <c r="R1837" s="13">
        <v>24</v>
      </c>
      <c r="S1837" s="13">
        <v>1</v>
      </c>
      <c r="T1837" s="23">
        <v>46247.696712962963</v>
      </c>
      <c r="U1837" s="55">
        <f t="shared" si="84"/>
        <v>0.66666666666666663</v>
      </c>
      <c r="V1837" s="55">
        <f t="shared" si="85"/>
        <v>0.5</v>
      </c>
      <c r="W1837" s="56">
        <f t="shared" si="86"/>
        <v>16880</v>
      </c>
    </row>
    <row r="1838" spans="1:23" x14ac:dyDescent="0.3">
      <c r="A1838" s="13" t="str" cm="1">
        <f t="array" ref="A1838:B1838">INDEX(BenchmarkResults!$B$1:$D$35,SUMPRODUCT((T1838&gt;=BenchmarkResults!$F$3:$F$35)*(mongodb_hardware_log!T1838&lt;BenchmarkResults!$G$3:$G$35)*ROW(BenchmarkResults!$F$3:$F$35)),{1,3})</f>
        <v>q4_category_revenue</v>
      </c>
      <c r="B1838">
        <v>2</v>
      </c>
      <c r="C1838" s="13">
        <v>0</v>
      </c>
      <c r="D1838" s="13">
        <v>1</v>
      </c>
      <c r="E1838" s="13">
        <v>216320</v>
      </c>
      <c r="F1838" s="13">
        <v>125232</v>
      </c>
      <c r="G1838" s="13">
        <v>508</v>
      </c>
      <c r="H1838" s="13">
        <v>2324928</v>
      </c>
      <c r="I1838" s="13">
        <v>4</v>
      </c>
      <c r="J1838" s="13">
        <v>0</v>
      </c>
      <c r="K1838" s="13">
        <v>16931</v>
      </c>
      <c r="L1838" s="13">
        <v>22</v>
      </c>
      <c r="M1838" s="13">
        <v>2921</v>
      </c>
      <c r="N1838" s="13">
        <v>1823</v>
      </c>
      <c r="O1838" s="13">
        <v>20</v>
      </c>
      <c r="P1838" s="13">
        <v>8</v>
      </c>
      <c r="Q1838" s="13">
        <v>46</v>
      </c>
      <c r="R1838" s="13">
        <v>25</v>
      </c>
      <c r="S1838" s="13">
        <v>1</v>
      </c>
      <c r="T1838" s="23">
        <v>46247.696828703702</v>
      </c>
      <c r="U1838" s="55">
        <f t="shared" si="84"/>
        <v>0.66666666666666663</v>
      </c>
      <c r="V1838" s="55">
        <f t="shared" si="85"/>
        <v>0.5</v>
      </c>
      <c r="W1838" s="56">
        <f t="shared" si="86"/>
        <v>17214.5</v>
      </c>
    </row>
    <row r="1839" spans="1:23" x14ac:dyDescent="0.3">
      <c r="A1839" s="13" t="str" cm="1">
        <f t="array" ref="A1839:B1839">INDEX(BenchmarkResults!$B$1:$D$35,SUMPRODUCT((T1839&gt;=BenchmarkResults!$F$3:$F$35)*(mongodb_hardware_log!T1839&lt;BenchmarkResults!$G$3:$G$35)*ROW(BenchmarkResults!$F$3:$F$35)),{1,3})</f>
        <v>q4_category_revenue</v>
      </c>
      <c r="B1839">
        <v>2</v>
      </c>
      <c r="C1839" s="13">
        <v>1</v>
      </c>
      <c r="D1839" s="13">
        <v>0</v>
      </c>
      <c r="E1839" s="13">
        <v>216320</v>
      </c>
      <c r="F1839" s="13">
        <v>142616</v>
      </c>
      <c r="G1839" s="13">
        <v>516</v>
      </c>
      <c r="H1839" s="13">
        <v>2317160</v>
      </c>
      <c r="I1839" s="13">
        <v>3</v>
      </c>
      <c r="J1839" s="13">
        <v>0</v>
      </c>
      <c r="K1839" s="13">
        <v>18238</v>
      </c>
      <c r="L1839" s="13">
        <v>13</v>
      </c>
      <c r="M1839" s="13">
        <v>3241</v>
      </c>
      <c r="N1839" s="13">
        <v>2272</v>
      </c>
      <c r="O1839" s="13">
        <v>20</v>
      </c>
      <c r="P1839" s="13">
        <v>8</v>
      </c>
      <c r="Q1839" s="13">
        <v>46</v>
      </c>
      <c r="R1839" s="13">
        <v>25</v>
      </c>
      <c r="S1839" s="13">
        <v>1</v>
      </c>
      <c r="T1839" s="23">
        <v>46247.696944444448</v>
      </c>
      <c r="U1839" s="55">
        <f t="shared" si="84"/>
        <v>0.5</v>
      </c>
      <c r="V1839" s="55">
        <f t="shared" si="85"/>
        <v>0.5</v>
      </c>
      <c r="W1839" s="56">
        <f t="shared" si="86"/>
        <v>17619.666666666668</v>
      </c>
    </row>
    <row r="1840" spans="1:23" x14ac:dyDescent="0.3">
      <c r="A1840" s="13" t="str" cm="1">
        <f t="array" ref="A1840:B1840">INDEX(BenchmarkResults!$B$1:$D$35,SUMPRODUCT((T1840&gt;=BenchmarkResults!$F$3:$F$35)*(mongodb_hardware_log!T1840&lt;BenchmarkResults!$G$3:$G$35)*ROW(BenchmarkResults!$F$3:$F$35)),{1,3})</f>
        <v>q4_category_revenue</v>
      </c>
      <c r="B1840">
        <v>2</v>
      </c>
      <c r="C1840" s="13">
        <v>1</v>
      </c>
      <c r="D1840" s="13">
        <v>0</v>
      </c>
      <c r="E1840" s="13">
        <v>216320</v>
      </c>
      <c r="F1840" s="13">
        <v>122080</v>
      </c>
      <c r="G1840" s="13">
        <v>528</v>
      </c>
      <c r="H1840" s="13">
        <v>2333100</v>
      </c>
      <c r="I1840" s="13">
        <v>6</v>
      </c>
      <c r="J1840" s="13">
        <v>0</v>
      </c>
      <c r="K1840" s="13">
        <v>19967</v>
      </c>
      <c r="L1840" s="13">
        <v>32</v>
      </c>
      <c r="M1840" s="13">
        <v>3402</v>
      </c>
      <c r="N1840" s="13">
        <v>2347</v>
      </c>
      <c r="O1840" s="13">
        <v>21</v>
      </c>
      <c r="P1840" s="13">
        <v>9</v>
      </c>
      <c r="Q1840" s="13">
        <v>46</v>
      </c>
      <c r="R1840" s="13">
        <v>24</v>
      </c>
      <c r="S1840" s="13">
        <v>1</v>
      </c>
      <c r="T1840" s="23">
        <v>46247.697060185186</v>
      </c>
      <c r="U1840" s="55">
        <f t="shared" si="84"/>
        <v>0.66666666666666663</v>
      </c>
      <c r="V1840" s="55">
        <f t="shared" si="85"/>
        <v>0.33333333333333331</v>
      </c>
      <c r="W1840" s="56">
        <f t="shared" si="86"/>
        <v>17721.166666666668</v>
      </c>
    </row>
    <row r="1841" spans="1:23" x14ac:dyDescent="0.3">
      <c r="A1841" s="13" t="str" cm="1">
        <f t="array" ref="A1841:B1841">INDEX(BenchmarkResults!$B$1:$D$35,SUMPRODUCT((T1841&gt;=BenchmarkResults!$F$3:$F$35)*(mongodb_hardware_log!T1841&lt;BenchmarkResults!$G$3:$G$35)*ROW(BenchmarkResults!$F$3:$F$35)),{1,3})</f>
        <v>q4_category_revenue</v>
      </c>
      <c r="B1841">
        <v>2</v>
      </c>
      <c r="C1841" s="13">
        <v>1</v>
      </c>
      <c r="D1841" s="13">
        <v>0</v>
      </c>
      <c r="E1841" s="13">
        <v>215552</v>
      </c>
      <c r="F1841" s="13">
        <v>113644</v>
      </c>
      <c r="G1841" s="13">
        <v>188</v>
      </c>
      <c r="H1841" s="13">
        <v>2337552</v>
      </c>
      <c r="I1841" s="13">
        <v>59</v>
      </c>
      <c r="J1841" s="13">
        <v>1</v>
      </c>
      <c r="K1841" s="13">
        <v>18027</v>
      </c>
      <c r="L1841" s="13">
        <v>10</v>
      </c>
      <c r="M1841" s="13">
        <v>3198</v>
      </c>
      <c r="N1841" s="13">
        <v>2107</v>
      </c>
      <c r="O1841" s="13">
        <v>22</v>
      </c>
      <c r="P1841" s="13">
        <v>8</v>
      </c>
      <c r="Q1841" s="13">
        <v>46</v>
      </c>
      <c r="R1841" s="13">
        <v>24</v>
      </c>
      <c r="S1841" s="13">
        <v>1</v>
      </c>
      <c r="T1841" s="23">
        <v>46247.697175925925</v>
      </c>
      <c r="U1841" s="55">
        <f t="shared" si="84"/>
        <v>0.66666666666666663</v>
      </c>
      <c r="V1841" s="55">
        <f t="shared" si="85"/>
        <v>0.33333333333333331</v>
      </c>
      <c r="W1841" s="56">
        <f t="shared" si="86"/>
        <v>17925.166666666668</v>
      </c>
    </row>
    <row r="1842" spans="1:23" x14ac:dyDescent="0.3">
      <c r="A1842" s="13" t="str" cm="1">
        <f t="array" ref="A1842:B1842">INDEX(BenchmarkResults!$B$1:$D$35,SUMPRODUCT((T1842&gt;=BenchmarkResults!$F$3:$F$35)*(mongodb_hardware_log!T1842&lt;BenchmarkResults!$G$3:$G$35)*ROW(BenchmarkResults!$F$3:$F$35)),{1,3})</f>
        <v>q4_category_revenue</v>
      </c>
      <c r="B1842">
        <v>2</v>
      </c>
      <c r="C1842" s="13">
        <v>1</v>
      </c>
      <c r="D1842" s="13">
        <v>0</v>
      </c>
      <c r="E1842" s="13">
        <v>215552</v>
      </c>
      <c r="F1842" s="13">
        <v>122692</v>
      </c>
      <c r="G1842" s="13">
        <v>332</v>
      </c>
      <c r="H1842" s="13">
        <v>2331632</v>
      </c>
      <c r="I1842" s="13">
        <v>6</v>
      </c>
      <c r="J1842" s="13">
        <v>2</v>
      </c>
      <c r="K1842" s="13">
        <v>15595</v>
      </c>
      <c r="L1842" s="13">
        <v>27</v>
      </c>
      <c r="M1842" s="13">
        <v>2828</v>
      </c>
      <c r="N1842" s="13">
        <v>1853</v>
      </c>
      <c r="O1842" s="13">
        <v>19</v>
      </c>
      <c r="P1842" s="13">
        <v>7</v>
      </c>
      <c r="Q1842" s="13">
        <v>45</v>
      </c>
      <c r="R1842" s="13">
        <v>27</v>
      </c>
      <c r="S1842" s="13">
        <v>2</v>
      </c>
      <c r="T1842" s="23">
        <v>46247.697291666664</v>
      </c>
      <c r="U1842" s="55">
        <f t="shared" si="84"/>
        <v>0.66666666666666663</v>
      </c>
      <c r="V1842" s="55">
        <f t="shared" si="85"/>
        <v>0.33333333333333331</v>
      </c>
      <c r="W1842" s="56">
        <f t="shared" si="86"/>
        <v>17720.666666666668</v>
      </c>
    </row>
    <row r="1843" spans="1:23" x14ac:dyDescent="0.3">
      <c r="A1843" s="13" t="str" cm="1">
        <f t="array" ref="A1843:B1843">INDEX(BenchmarkResults!$B$1:$D$35,SUMPRODUCT((T1843&gt;=BenchmarkResults!$F$3:$F$35)*(mongodb_hardware_log!T1843&lt;BenchmarkResults!$G$3:$G$35)*ROW(BenchmarkResults!$F$3:$F$35)),{1,3})</f>
        <v>q4_category_revenue</v>
      </c>
      <c r="B1843">
        <v>2</v>
      </c>
      <c r="C1843" s="13">
        <v>1</v>
      </c>
      <c r="D1843" s="13">
        <v>0</v>
      </c>
      <c r="E1843" s="13">
        <v>215552</v>
      </c>
      <c r="F1843" s="13">
        <v>112132</v>
      </c>
      <c r="G1843" s="13">
        <v>368</v>
      </c>
      <c r="H1843" s="13">
        <v>2345800</v>
      </c>
      <c r="I1843" s="13">
        <v>6</v>
      </c>
      <c r="J1843" s="13">
        <v>0</v>
      </c>
      <c r="K1843" s="13">
        <v>18070</v>
      </c>
      <c r="L1843" s="13">
        <v>30</v>
      </c>
      <c r="M1843" s="13">
        <v>3185</v>
      </c>
      <c r="N1843" s="13">
        <v>2200</v>
      </c>
      <c r="O1843" s="13">
        <v>20</v>
      </c>
      <c r="P1843" s="13">
        <v>8</v>
      </c>
      <c r="Q1843" s="13">
        <v>46</v>
      </c>
      <c r="R1843" s="13">
        <v>26</v>
      </c>
      <c r="S1843" s="13">
        <v>1</v>
      </c>
      <c r="T1843" s="23">
        <v>46247.69740740741</v>
      </c>
      <c r="U1843" s="55">
        <f t="shared" si="84"/>
        <v>0.83333333333333337</v>
      </c>
      <c r="V1843" s="55">
        <f t="shared" si="85"/>
        <v>0.16666666666666666</v>
      </c>
      <c r="W1843" s="56">
        <f t="shared" si="86"/>
        <v>17804.666666666668</v>
      </c>
    </row>
    <row r="1844" spans="1:23" x14ac:dyDescent="0.3">
      <c r="A1844" s="13" t="str" cm="1">
        <f t="array" ref="A1844:B1844">INDEX(BenchmarkResults!$B$1:$D$35,SUMPRODUCT((T1844&gt;=BenchmarkResults!$F$3:$F$35)*(mongodb_hardware_log!T1844&lt;BenchmarkResults!$G$3:$G$35)*ROW(BenchmarkResults!$F$3:$F$35)),{1,3})</f>
        <v>q4_category_revenue</v>
      </c>
      <c r="B1844">
        <v>2</v>
      </c>
      <c r="C1844" s="13">
        <v>1</v>
      </c>
      <c r="D1844" s="13">
        <v>0</v>
      </c>
      <c r="E1844" s="13">
        <v>215296</v>
      </c>
      <c r="F1844" s="13">
        <v>131688</v>
      </c>
      <c r="G1844" s="13">
        <v>384</v>
      </c>
      <c r="H1844" s="13">
        <v>2328204</v>
      </c>
      <c r="I1844" s="13">
        <v>8</v>
      </c>
      <c r="J1844" s="13">
        <v>0</v>
      </c>
      <c r="K1844" s="13">
        <v>9887</v>
      </c>
      <c r="L1844" s="13">
        <v>10</v>
      </c>
      <c r="M1844" s="13">
        <v>1951</v>
      </c>
      <c r="N1844" s="13">
        <v>1321</v>
      </c>
      <c r="O1844" s="13">
        <v>11</v>
      </c>
      <c r="P1844" s="13">
        <v>5</v>
      </c>
      <c r="Q1844" s="13">
        <v>47</v>
      </c>
      <c r="R1844" s="13">
        <v>36</v>
      </c>
      <c r="S1844" s="13">
        <v>1</v>
      </c>
      <c r="T1844" s="23">
        <v>46247.697523148148</v>
      </c>
      <c r="U1844" s="55">
        <f t="shared" si="84"/>
        <v>1</v>
      </c>
      <c r="V1844" s="55">
        <f t="shared" si="85"/>
        <v>0</v>
      </c>
      <c r="W1844" s="56">
        <f t="shared" si="86"/>
        <v>16630.666666666668</v>
      </c>
    </row>
    <row r="1845" spans="1:23" x14ac:dyDescent="0.3">
      <c r="A1845" s="13" t="str" cm="1">
        <f t="array" ref="A1845:B1845">INDEX(BenchmarkResults!$B$1:$D$35,SUMPRODUCT((T1845&gt;=BenchmarkResults!$F$3:$F$35)*(mongodb_hardware_log!T1845&lt;BenchmarkResults!$G$3:$G$35)*ROW(BenchmarkResults!$F$3:$F$35)),{1,3})</f>
        <v>q4_category_revenue</v>
      </c>
      <c r="B1845">
        <v>2</v>
      </c>
      <c r="C1845" s="13">
        <v>0</v>
      </c>
      <c r="D1845" s="13">
        <v>1</v>
      </c>
      <c r="E1845" s="13">
        <v>215808</v>
      </c>
      <c r="F1845" s="13">
        <v>176912</v>
      </c>
      <c r="G1845" s="13">
        <v>396</v>
      </c>
      <c r="H1845" s="13">
        <v>2280920</v>
      </c>
      <c r="I1845" s="13">
        <v>0</v>
      </c>
      <c r="J1845" s="13">
        <v>57</v>
      </c>
      <c r="K1845" s="13">
        <v>15934</v>
      </c>
      <c r="L1845" s="13">
        <v>74</v>
      </c>
      <c r="M1845" s="13">
        <v>3215</v>
      </c>
      <c r="N1845" s="13">
        <v>2175</v>
      </c>
      <c r="O1845" s="13">
        <v>21</v>
      </c>
      <c r="P1845" s="13">
        <v>8</v>
      </c>
      <c r="Q1845" s="13">
        <v>46</v>
      </c>
      <c r="R1845" s="13">
        <v>25</v>
      </c>
      <c r="S1845" s="13">
        <v>1</v>
      </c>
      <c r="T1845" s="23">
        <v>46247.697638888887</v>
      </c>
      <c r="U1845" s="55">
        <f t="shared" si="84"/>
        <v>0.83333333333333337</v>
      </c>
      <c r="V1845" s="55">
        <f t="shared" si="85"/>
        <v>0.16666666666666666</v>
      </c>
      <c r="W1845" s="56">
        <f t="shared" si="86"/>
        <v>16246.666666666666</v>
      </c>
    </row>
    <row r="1846" spans="1:23" x14ac:dyDescent="0.3">
      <c r="A1846" s="13" t="str" cm="1">
        <f t="array" ref="A1846:B1846">INDEX(BenchmarkResults!$B$1:$D$35,SUMPRODUCT((T1846&gt;=BenchmarkResults!$F$3:$F$35)*(mongodb_hardware_log!T1846&lt;BenchmarkResults!$G$3:$G$35)*ROW(BenchmarkResults!$F$3:$F$35)),{1,3})</f>
        <v>q4_category_revenue</v>
      </c>
      <c r="B1846">
        <v>2</v>
      </c>
      <c r="C1846" s="13">
        <v>0</v>
      </c>
      <c r="D1846" s="13">
        <v>1</v>
      </c>
      <c r="E1846" s="13">
        <v>215808</v>
      </c>
      <c r="F1846" s="13">
        <v>134956</v>
      </c>
      <c r="G1846" s="13">
        <v>404</v>
      </c>
      <c r="H1846" s="13">
        <v>2315328</v>
      </c>
      <c r="I1846" s="13">
        <v>9</v>
      </c>
      <c r="J1846" s="13">
        <v>0</v>
      </c>
      <c r="K1846" s="13">
        <v>19452</v>
      </c>
      <c r="L1846" s="13">
        <v>20</v>
      </c>
      <c r="M1846" s="13">
        <v>3325</v>
      </c>
      <c r="N1846" s="13">
        <v>2300</v>
      </c>
      <c r="O1846" s="13">
        <v>22</v>
      </c>
      <c r="P1846" s="13">
        <v>8</v>
      </c>
      <c r="Q1846" s="13">
        <v>46</v>
      </c>
      <c r="R1846" s="13">
        <v>24</v>
      </c>
      <c r="S1846" s="13">
        <v>0</v>
      </c>
      <c r="T1846" s="23">
        <v>46247.697754629633</v>
      </c>
      <c r="U1846" s="55">
        <f t="shared" si="84"/>
        <v>0.66666666666666663</v>
      </c>
      <c r="V1846" s="55">
        <f t="shared" si="85"/>
        <v>0.33333333333333331</v>
      </c>
      <c r="W1846" s="56">
        <f t="shared" si="86"/>
        <v>16160.833333333334</v>
      </c>
    </row>
    <row r="1847" spans="1:23" x14ac:dyDescent="0.3">
      <c r="A1847" s="13" t="str" cm="1">
        <f t="array" ref="A1847:B1847">INDEX(BenchmarkResults!$B$1:$D$35,SUMPRODUCT((T1847&gt;=BenchmarkResults!$F$3:$F$35)*(mongodb_hardware_log!T1847&lt;BenchmarkResults!$G$3:$G$35)*ROW(BenchmarkResults!$F$3:$F$35)),{1,3})</f>
        <v>q4_category_revenue</v>
      </c>
      <c r="B1847">
        <v>2</v>
      </c>
      <c r="C1847" s="13">
        <v>1</v>
      </c>
      <c r="D1847" s="13">
        <v>1</v>
      </c>
      <c r="E1847" s="13">
        <v>215808</v>
      </c>
      <c r="F1847" s="13">
        <v>102024</v>
      </c>
      <c r="G1847" s="13">
        <v>412</v>
      </c>
      <c r="H1847" s="13">
        <v>2334100</v>
      </c>
      <c r="I1847" s="13">
        <v>4</v>
      </c>
      <c r="J1847" s="13">
        <v>0</v>
      </c>
      <c r="K1847" s="13">
        <v>17906</v>
      </c>
      <c r="L1847" s="13">
        <v>12</v>
      </c>
      <c r="M1847" s="13">
        <v>3097</v>
      </c>
      <c r="N1847" s="13">
        <v>2073</v>
      </c>
      <c r="O1847" s="13">
        <v>21</v>
      </c>
      <c r="P1847" s="13">
        <v>8</v>
      </c>
      <c r="Q1847" s="13">
        <v>46</v>
      </c>
      <c r="R1847" s="13">
        <v>24</v>
      </c>
      <c r="S1847" s="13">
        <v>1</v>
      </c>
      <c r="T1847" s="23">
        <v>46247.697870370372</v>
      </c>
      <c r="U1847" s="55">
        <f t="shared" si="84"/>
        <v>0.66666666666666663</v>
      </c>
      <c r="V1847" s="55">
        <f t="shared" si="85"/>
        <v>0.5</v>
      </c>
      <c r="W1847" s="56">
        <f t="shared" si="86"/>
        <v>16140.666666666666</v>
      </c>
    </row>
    <row r="1848" spans="1:23" x14ac:dyDescent="0.3">
      <c r="A1848" s="13" t="str" cm="1">
        <f t="array" ref="A1848:B1848">INDEX(BenchmarkResults!$B$1:$D$35,SUMPRODUCT((T1848&gt;=BenchmarkResults!$F$3:$F$35)*(mongodb_hardware_log!T1848&lt;BenchmarkResults!$G$3:$G$35)*ROW(BenchmarkResults!$F$3:$F$35)),{1,3})</f>
        <v>q4_category_revenue</v>
      </c>
      <c r="B1848">
        <v>2</v>
      </c>
      <c r="C1848" s="13">
        <v>1</v>
      </c>
      <c r="D1848" s="13">
        <v>0</v>
      </c>
      <c r="E1848" s="13">
        <v>215808</v>
      </c>
      <c r="F1848" s="13">
        <v>106392</v>
      </c>
      <c r="G1848" s="13">
        <v>428</v>
      </c>
      <c r="H1848" s="13">
        <v>2340652</v>
      </c>
      <c r="I1848" s="13">
        <v>3</v>
      </c>
      <c r="J1848" s="13">
        <v>0</v>
      </c>
      <c r="K1848" s="13">
        <v>15285</v>
      </c>
      <c r="L1848" s="13">
        <v>11</v>
      </c>
      <c r="M1848" s="13">
        <v>2876</v>
      </c>
      <c r="N1848" s="13">
        <v>1851</v>
      </c>
      <c r="O1848" s="13">
        <v>19</v>
      </c>
      <c r="P1848" s="13">
        <v>9</v>
      </c>
      <c r="Q1848" s="13">
        <v>44</v>
      </c>
      <c r="R1848" s="13">
        <v>25</v>
      </c>
      <c r="S1848" s="13">
        <v>2</v>
      </c>
      <c r="T1848" s="23">
        <v>46247.69798611111</v>
      </c>
      <c r="U1848" s="55">
        <f t="shared" si="84"/>
        <v>0.66666666666666663</v>
      </c>
      <c r="V1848" s="55">
        <f t="shared" si="85"/>
        <v>0.5</v>
      </c>
      <c r="W1848" s="56">
        <f t="shared" si="86"/>
        <v>16089</v>
      </c>
    </row>
    <row r="1849" spans="1:23" x14ac:dyDescent="0.3">
      <c r="A1849" s="13" t="str" cm="1">
        <f t="array" ref="A1849:B1849">INDEX(BenchmarkResults!$B$1:$D$35,SUMPRODUCT((T1849&gt;=BenchmarkResults!$F$3:$F$35)*(mongodb_hardware_log!T1849&lt;BenchmarkResults!$G$3:$G$35)*ROW(BenchmarkResults!$F$3:$F$35)),{1,3})</f>
        <v>q4_category_revenue</v>
      </c>
      <c r="B1849">
        <v>2</v>
      </c>
      <c r="C1849" s="13">
        <v>0</v>
      </c>
      <c r="D1849" s="13">
        <v>1</v>
      </c>
      <c r="E1849" s="13">
        <v>215552</v>
      </c>
      <c r="F1849" s="13">
        <v>140836</v>
      </c>
      <c r="G1849" s="13">
        <v>464</v>
      </c>
      <c r="H1849" s="13">
        <v>2315940</v>
      </c>
      <c r="I1849" s="13">
        <v>7</v>
      </c>
      <c r="J1849" s="13">
        <v>0</v>
      </c>
      <c r="K1849" s="13">
        <v>14915</v>
      </c>
      <c r="L1849" s="13">
        <v>44</v>
      </c>
      <c r="M1849" s="13">
        <v>2629</v>
      </c>
      <c r="N1849" s="13">
        <v>1712</v>
      </c>
      <c r="O1849" s="13">
        <v>18</v>
      </c>
      <c r="P1849" s="13">
        <v>7</v>
      </c>
      <c r="Q1849" s="13">
        <v>46</v>
      </c>
      <c r="R1849" s="13">
        <v>27</v>
      </c>
      <c r="S1849" s="13">
        <v>2</v>
      </c>
      <c r="T1849" s="23">
        <v>46247.698101851849</v>
      </c>
      <c r="U1849" s="55">
        <f t="shared" si="84"/>
        <v>0.5</v>
      </c>
      <c r="V1849" s="55">
        <f t="shared" si="85"/>
        <v>0.66666666666666663</v>
      </c>
      <c r="W1849" s="56">
        <f t="shared" si="86"/>
        <v>15563.166666666666</v>
      </c>
    </row>
    <row r="1850" spans="1:23" x14ac:dyDescent="0.3">
      <c r="A1850" s="13" t="str" cm="1">
        <f t="array" ref="A1850:B1850">INDEX(BenchmarkResults!$B$1:$D$35,SUMPRODUCT((T1850&gt;=BenchmarkResults!$F$3:$F$35)*(mongodb_hardware_log!T1850&lt;BenchmarkResults!$G$3:$G$35)*ROW(BenchmarkResults!$F$3:$F$35)),{1,3})</f>
        <v>q4_category_revenue</v>
      </c>
      <c r="B1850">
        <v>2</v>
      </c>
      <c r="C1850" s="13">
        <v>1</v>
      </c>
      <c r="D1850" s="13">
        <v>0</v>
      </c>
      <c r="E1850" s="13">
        <v>215552</v>
      </c>
      <c r="F1850" s="13">
        <v>109228</v>
      </c>
      <c r="G1850" s="13">
        <v>480</v>
      </c>
      <c r="H1850" s="13">
        <v>2341948</v>
      </c>
      <c r="I1850" s="13">
        <v>1</v>
      </c>
      <c r="J1850" s="13">
        <v>0</v>
      </c>
      <c r="K1850" s="13">
        <v>14862</v>
      </c>
      <c r="L1850" s="13">
        <v>18</v>
      </c>
      <c r="M1850" s="13">
        <v>2780</v>
      </c>
      <c r="N1850" s="13">
        <v>1868</v>
      </c>
      <c r="O1850" s="13">
        <v>19</v>
      </c>
      <c r="P1850" s="13">
        <v>7</v>
      </c>
      <c r="Q1850" s="13">
        <v>46</v>
      </c>
      <c r="R1850" s="13">
        <v>26</v>
      </c>
      <c r="S1850" s="13">
        <v>2</v>
      </c>
      <c r="T1850" s="23">
        <v>46247.698217592595</v>
      </c>
      <c r="U1850" s="55">
        <f t="shared" si="84"/>
        <v>0.5</v>
      </c>
      <c r="V1850" s="55">
        <f t="shared" si="85"/>
        <v>0.66666666666666663</v>
      </c>
      <c r="W1850" s="56">
        <f t="shared" si="86"/>
        <v>16392.333333333332</v>
      </c>
    </row>
    <row r="1851" spans="1:23" x14ac:dyDescent="0.3">
      <c r="A1851" s="13" t="str" cm="1">
        <f t="array" ref="A1851:B1851">INDEX(BenchmarkResults!$B$1:$D$35,SUMPRODUCT((T1851&gt;=BenchmarkResults!$F$3:$F$35)*(mongodb_hardware_log!T1851&lt;BenchmarkResults!$G$3:$G$35)*ROW(BenchmarkResults!$F$3:$F$35)),{1,3})</f>
        <v>q4_category_revenue</v>
      </c>
      <c r="B1851">
        <v>2</v>
      </c>
      <c r="C1851" s="13">
        <v>0</v>
      </c>
      <c r="D1851" s="13">
        <v>1</v>
      </c>
      <c r="E1851" s="13">
        <v>215552</v>
      </c>
      <c r="F1851" s="13">
        <v>110468</v>
      </c>
      <c r="G1851" s="13">
        <v>488</v>
      </c>
      <c r="H1851" s="13">
        <v>2344976</v>
      </c>
      <c r="I1851" s="13">
        <v>7</v>
      </c>
      <c r="J1851" s="13">
        <v>0</v>
      </c>
      <c r="K1851" s="13">
        <v>16489</v>
      </c>
      <c r="L1851" s="13">
        <v>6</v>
      </c>
      <c r="M1851" s="13">
        <v>2982</v>
      </c>
      <c r="N1851" s="13">
        <v>1979</v>
      </c>
      <c r="O1851" s="13">
        <v>19</v>
      </c>
      <c r="P1851" s="13">
        <v>8</v>
      </c>
      <c r="Q1851" s="13">
        <v>46</v>
      </c>
      <c r="R1851" s="13">
        <v>27</v>
      </c>
      <c r="S1851" s="13">
        <v>1</v>
      </c>
      <c r="T1851" s="23">
        <v>46247.698333333334</v>
      </c>
      <c r="U1851" s="55">
        <f t="shared" si="84"/>
        <v>0.5</v>
      </c>
      <c r="V1851" s="55">
        <f t="shared" si="85"/>
        <v>0.66666666666666663</v>
      </c>
      <c r="W1851" s="56">
        <f t="shared" si="86"/>
        <v>16484.833333333332</v>
      </c>
    </row>
    <row r="1852" spans="1:23" x14ac:dyDescent="0.3">
      <c r="A1852" s="13" t="str" cm="1">
        <f t="array" ref="A1852:B1852">INDEX(BenchmarkResults!$B$1:$D$35,SUMPRODUCT((T1852&gt;=BenchmarkResults!$F$3:$F$35)*(mongodb_hardware_log!T1852&lt;BenchmarkResults!$G$3:$G$35)*ROW(BenchmarkResults!$F$3:$F$35)),{1,3})</f>
        <v>q4_category_revenue</v>
      </c>
      <c r="B1852">
        <v>2</v>
      </c>
      <c r="C1852" s="13">
        <v>1</v>
      </c>
      <c r="D1852" s="13">
        <v>0</v>
      </c>
      <c r="E1852" s="13">
        <v>215552</v>
      </c>
      <c r="F1852" s="13">
        <v>120024</v>
      </c>
      <c r="G1852" s="13">
        <v>376</v>
      </c>
      <c r="H1852" s="13">
        <v>2335052</v>
      </c>
      <c r="I1852" s="13">
        <v>4</v>
      </c>
      <c r="J1852" s="13">
        <v>0</v>
      </c>
      <c r="K1852" s="13">
        <v>16309</v>
      </c>
      <c r="L1852" s="13">
        <v>38</v>
      </c>
      <c r="M1852" s="13">
        <v>2869</v>
      </c>
      <c r="N1852" s="13">
        <v>1789</v>
      </c>
      <c r="O1852" s="13">
        <v>19</v>
      </c>
      <c r="P1852" s="13">
        <v>8</v>
      </c>
      <c r="Q1852" s="13">
        <v>46</v>
      </c>
      <c r="R1852" s="13">
        <v>26</v>
      </c>
      <c r="S1852" s="13">
        <v>2</v>
      </c>
      <c r="T1852" s="23">
        <v>46247.698449074072</v>
      </c>
      <c r="U1852" s="55">
        <f t="shared" si="84"/>
        <v>0.66666666666666663</v>
      </c>
      <c r="V1852" s="55">
        <f t="shared" si="85"/>
        <v>0.5</v>
      </c>
      <c r="W1852" s="56">
        <f t="shared" si="86"/>
        <v>15961</v>
      </c>
    </row>
    <row r="1853" spans="1:23" x14ac:dyDescent="0.3">
      <c r="A1853" s="13" t="str" cm="1">
        <f t="array" ref="A1853:B1853">INDEX(BenchmarkResults!$B$1:$D$35,SUMPRODUCT((T1853&gt;=BenchmarkResults!$F$3:$F$35)*(mongodb_hardware_log!T1853&lt;BenchmarkResults!$G$3:$G$35)*ROW(BenchmarkResults!$F$3:$F$35)),{1,3})</f>
        <v>q4_category_revenue</v>
      </c>
      <c r="B1853">
        <v>2</v>
      </c>
      <c r="C1853" s="13">
        <v>1</v>
      </c>
      <c r="D1853" s="13">
        <v>0</v>
      </c>
      <c r="E1853" s="13">
        <v>215296</v>
      </c>
      <c r="F1853" s="13">
        <v>118744</v>
      </c>
      <c r="G1853" s="13">
        <v>212</v>
      </c>
      <c r="H1853" s="13">
        <v>2335572</v>
      </c>
      <c r="I1853" s="13">
        <v>8</v>
      </c>
      <c r="J1853" s="13">
        <v>26</v>
      </c>
      <c r="K1853" s="13">
        <v>18607</v>
      </c>
      <c r="L1853" s="13">
        <v>37</v>
      </c>
      <c r="M1853" s="13">
        <v>3328</v>
      </c>
      <c r="N1853" s="13">
        <v>2297</v>
      </c>
      <c r="O1853" s="13">
        <v>21</v>
      </c>
      <c r="P1853" s="13">
        <v>12</v>
      </c>
      <c r="Q1853" s="13">
        <v>42</v>
      </c>
      <c r="R1853" s="13">
        <v>25</v>
      </c>
      <c r="S1853" s="13">
        <v>1</v>
      </c>
      <c r="T1853" s="23">
        <v>46247.698564814818</v>
      </c>
      <c r="U1853" s="55">
        <f t="shared" si="84"/>
        <v>0.66666666666666663</v>
      </c>
      <c r="V1853" s="55">
        <f t="shared" si="85"/>
        <v>0.33333333333333331</v>
      </c>
      <c r="W1853" s="56">
        <f t="shared" si="86"/>
        <v>16077.833333333334</v>
      </c>
    </row>
    <row r="1854" spans="1:23" x14ac:dyDescent="0.3">
      <c r="A1854" s="13" t="str" cm="1">
        <f t="array" ref="A1854:B1854">INDEX(BenchmarkResults!$B$1:$D$35,SUMPRODUCT((T1854&gt;=BenchmarkResults!$F$3:$F$35)*(mongodb_hardware_log!T1854&lt;BenchmarkResults!$G$3:$G$35)*ROW(BenchmarkResults!$F$3:$F$35)),{1,3})</f>
        <v>q4_category_revenue</v>
      </c>
      <c r="B1854">
        <v>2</v>
      </c>
      <c r="C1854" s="13">
        <v>1</v>
      </c>
      <c r="D1854" s="13">
        <v>0</v>
      </c>
      <c r="E1854" s="13">
        <v>213248</v>
      </c>
      <c r="F1854" s="13">
        <v>141260</v>
      </c>
      <c r="G1854" s="13">
        <v>216</v>
      </c>
      <c r="H1854" s="13">
        <v>2318272</v>
      </c>
      <c r="I1854" s="13">
        <v>248</v>
      </c>
      <c r="J1854" s="13">
        <v>34</v>
      </c>
      <c r="K1854" s="13">
        <v>19312</v>
      </c>
      <c r="L1854" s="13">
        <v>44</v>
      </c>
      <c r="M1854" s="13">
        <v>3502</v>
      </c>
      <c r="N1854" s="13">
        <v>2364</v>
      </c>
      <c r="O1854" s="13">
        <v>21</v>
      </c>
      <c r="P1854" s="13">
        <v>8</v>
      </c>
      <c r="Q1854" s="13">
        <v>46</v>
      </c>
      <c r="R1854" s="13">
        <v>25</v>
      </c>
      <c r="S1854" s="13">
        <v>1</v>
      </c>
      <c r="T1854" s="23">
        <v>46247.698680555557</v>
      </c>
      <c r="U1854" s="55">
        <f t="shared" si="84"/>
        <v>0.66666666666666663</v>
      </c>
      <c r="V1854" s="55">
        <f t="shared" si="85"/>
        <v>0.33333333333333331</v>
      </c>
      <c r="W1854" s="56">
        <f t="shared" si="86"/>
        <v>16749</v>
      </c>
    </row>
    <row r="1855" spans="1:23" x14ac:dyDescent="0.3">
      <c r="A1855" s="13" t="str" cm="1">
        <f t="array" ref="A1855:B1855">INDEX(BenchmarkResults!$B$1:$D$35,SUMPRODUCT((T1855&gt;=BenchmarkResults!$F$3:$F$35)*(mongodb_hardware_log!T1855&lt;BenchmarkResults!$G$3:$G$35)*ROW(BenchmarkResults!$F$3:$F$35)),{1,3})</f>
        <v>q4_category_revenue</v>
      </c>
      <c r="B1855">
        <v>2</v>
      </c>
      <c r="C1855" s="13">
        <v>0</v>
      </c>
      <c r="D1855" s="13">
        <v>1</v>
      </c>
      <c r="E1855" s="13">
        <v>213504</v>
      </c>
      <c r="F1855" s="13">
        <v>139664</v>
      </c>
      <c r="G1855" s="13">
        <v>248</v>
      </c>
      <c r="H1855" s="13">
        <v>2318272</v>
      </c>
      <c r="I1855" s="13">
        <v>2</v>
      </c>
      <c r="J1855" s="13">
        <v>9</v>
      </c>
      <c r="K1855" s="13">
        <v>18848</v>
      </c>
      <c r="L1855" s="13">
        <v>37</v>
      </c>
      <c r="M1855" s="13">
        <v>3343</v>
      </c>
      <c r="N1855" s="13">
        <v>2327</v>
      </c>
      <c r="O1855" s="13">
        <v>20</v>
      </c>
      <c r="P1855" s="13">
        <v>8</v>
      </c>
      <c r="Q1855" s="13">
        <v>46</v>
      </c>
      <c r="R1855" s="13">
        <v>25</v>
      </c>
      <c r="S1855" s="13">
        <v>1</v>
      </c>
      <c r="T1855" s="23">
        <v>46247.698796296296</v>
      </c>
      <c r="U1855" s="55">
        <f t="shared" si="84"/>
        <v>0.66666666666666663</v>
      </c>
      <c r="V1855" s="55">
        <f t="shared" si="85"/>
        <v>0.33333333333333331</v>
      </c>
      <c r="W1855" s="56">
        <f t="shared" si="86"/>
        <v>17404.5</v>
      </c>
    </row>
    <row r="1856" spans="1:23" x14ac:dyDescent="0.3">
      <c r="A1856" s="13" t="str" cm="1">
        <f t="array" ref="A1856:B1856">INDEX(BenchmarkResults!$B$1:$D$35,SUMPRODUCT((T1856&gt;=BenchmarkResults!$F$3:$F$35)*(mongodb_hardware_log!T1856&lt;BenchmarkResults!$G$3:$G$35)*ROW(BenchmarkResults!$F$3:$F$35)),{1,3})</f>
        <v>q4_category_revenue</v>
      </c>
      <c r="B1856">
        <v>2</v>
      </c>
      <c r="C1856" s="13">
        <v>0</v>
      </c>
      <c r="D1856" s="13">
        <v>1</v>
      </c>
      <c r="E1856" s="13">
        <v>214272</v>
      </c>
      <c r="F1856" s="13">
        <v>155668</v>
      </c>
      <c r="G1856" s="13">
        <v>264</v>
      </c>
      <c r="H1856" s="13">
        <v>2298328</v>
      </c>
      <c r="I1856" s="13">
        <v>0</v>
      </c>
      <c r="J1856" s="13">
        <v>68</v>
      </c>
      <c r="K1856" s="13">
        <v>17530</v>
      </c>
      <c r="L1856" s="13">
        <v>89</v>
      </c>
      <c r="M1856" s="13">
        <v>3160</v>
      </c>
      <c r="N1856" s="13">
        <v>2089</v>
      </c>
      <c r="O1856" s="13">
        <v>21</v>
      </c>
      <c r="P1856" s="13">
        <v>8</v>
      </c>
      <c r="Q1856" s="13">
        <v>46</v>
      </c>
      <c r="R1856" s="13">
        <v>25</v>
      </c>
      <c r="S1856" s="13">
        <v>1</v>
      </c>
      <c r="T1856" s="23">
        <v>46247.698912037034</v>
      </c>
      <c r="U1856" s="55">
        <f t="shared" si="84"/>
        <v>0.5</v>
      </c>
      <c r="V1856" s="55">
        <f t="shared" si="85"/>
        <v>0.5</v>
      </c>
      <c r="W1856" s="56">
        <f t="shared" si="86"/>
        <v>17849.166666666668</v>
      </c>
    </row>
    <row r="1857" spans="1:23" x14ac:dyDescent="0.3">
      <c r="A1857" s="13" t="str" cm="1">
        <f t="array" ref="A1857:B1857">INDEX(BenchmarkResults!$B$1:$D$35,SUMPRODUCT((T1857&gt;=BenchmarkResults!$F$3:$F$35)*(mongodb_hardware_log!T1857&lt;BenchmarkResults!$G$3:$G$35)*ROW(BenchmarkResults!$F$3:$F$35)),{1,3})</f>
        <v>q4_category_revenue</v>
      </c>
      <c r="B1857">
        <v>2</v>
      </c>
      <c r="C1857" s="13">
        <v>0</v>
      </c>
      <c r="D1857" s="13">
        <v>1</v>
      </c>
      <c r="E1857" s="13">
        <v>214016</v>
      </c>
      <c r="F1857" s="13">
        <v>135348</v>
      </c>
      <c r="G1857" s="13">
        <v>272</v>
      </c>
      <c r="H1857" s="13">
        <v>2317296</v>
      </c>
      <c r="I1857" s="13">
        <v>6</v>
      </c>
      <c r="J1857" s="13">
        <v>0</v>
      </c>
      <c r="K1857" s="13">
        <v>17157</v>
      </c>
      <c r="L1857" s="13">
        <v>11</v>
      </c>
      <c r="M1857" s="13">
        <v>3129</v>
      </c>
      <c r="N1857" s="13">
        <v>2118</v>
      </c>
      <c r="O1857" s="13">
        <v>23</v>
      </c>
      <c r="P1857" s="13">
        <v>8</v>
      </c>
      <c r="Q1857" s="13">
        <v>46</v>
      </c>
      <c r="R1857" s="13">
        <v>23</v>
      </c>
      <c r="S1857" s="13">
        <v>1</v>
      </c>
      <c r="T1857" s="23">
        <v>46247.69902777778</v>
      </c>
      <c r="U1857" s="55">
        <f t="shared" si="84"/>
        <v>0.5</v>
      </c>
      <c r="V1857" s="55">
        <f t="shared" si="85"/>
        <v>0.5</v>
      </c>
      <c r="W1857" s="56">
        <f t="shared" si="86"/>
        <v>17960.5</v>
      </c>
    </row>
    <row r="1858" spans="1:23" x14ac:dyDescent="0.3">
      <c r="A1858" s="13" t="str" cm="1">
        <f t="array" ref="A1858:B1858">INDEX(BenchmarkResults!$B$1:$D$35,SUMPRODUCT((T1858&gt;=BenchmarkResults!$F$3:$F$35)*(mongodb_hardware_log!T1858&lt;BenchmarkResults!$G$3:$G$35)*ROW(BenchmarkResults!$F$3:$F$35)),{1,3})</f>
        <v>q4_category_revenue</v>
      </c>
      <c r="B1858">
        <v>2</v>
      </c>
      <c r="C1858" s="13">
        <v>1</v>
      </c>
      <c r="D1858" s="13">
        <v>0</v>
      </c>
      <c r="E1858" s="13">
        <v>213760</v>
      </c>
      <c r="F1858" s="13">
        <v>648160</v>
      </c>
      <c r="G1858" s="13">
        <v>292</v>
      </c>
      <c r="H1858" s="13">
        <v>1794148</v>
      </c>
      <c r="I1858" s="13">
        <v>2</v>
      </c>
      <c r="J1858" s="13">
        <v>0</v>
      </c>
      <c r="K1858" s="13">
        <v>21553</v>
      </c>
      <c r="L1858" s="13">
        <v>24</v>
      </c>
      <c r="M1858" s="13">
        <v>3206</v>
      </c>
      <c r="N1858" s="13">
        <v>2099</v>
      </c>
      <c r="O1858" s="13">
        <v>20</v>
      </c>
      <c r="P1858" s="13">
        <v>14</v>
      </c>
      <c r="Q1858" s="13">
        <v>41</v>
      </c>
      <c r="R1858" s="13">
        <v>24</v>
      </c>
      <c r="S1858" s="13">
        <v>0</v>
      </c>
      <c r="T1858" s="23">
        <v>46247.699143518519</v>
      </c>
      <c r="U1858" s="55">
        <f t="shared" si="84"/>
        <v>0.5</v>
      </c>
      <c r="V1858" s="55">
        <f t="shared" si="85"/>
        <v>0.5</v>
      </c>
      <c r="W1858" s="56">
        <f t="shared" si="86"/>
        <v>18834.5</v>
      </c>
    </row>
    <row r="1859" spans="1:23" x14ac:dyDescent="0.3">
      <c r="A1859" s="13" t="str" cm="1">
        <f t="array" ref="A1859:B1859">INDEX(BenchmarkResults!$B$1:$D$35,SUMPRODUCT((T1859&gt;=BenchmarkResults!$F$3:$F$35)*(mongodb_hardware_log!T1859&lt;BenchmarkResults!$G$3:$G$35)*ROW(BenchmarkResults!$F$3:$F$35)),{1,3})</f>
        <v>q4_category_revenue</v>
      </c>
      <c r="B1859">
        <v>2</v>
      </c>
      <c r="C1859" s="13">
        <v>0</v>
      </c>
      <c r="D1859" s="13">
        <v>1</v>
      </c>
      <c r="E1859" s="13">
        <v>213760</v>
      </c>
      <c r="F1859" s="13">
        <v>389608</v>
      </c>
      <c r="G1859" s="13">
        <v>300</v>
      </c>
      <c r="H1859" s="13">
        <v>2060020</v>
      </c>
      <c r="I1859" s="13">
        <v>8</v>
      </c>
      <c r="J1859" s="13">
        <v>0</v>
      </c>
      <c r="K1859" s="13">
        <v>26599</v>
      </c>
      <c r="L1859" s="13">
        <v>7</v>
      </c>
      <c r="M1859" s="13">
        <v>3000</v>
      </c>
      <c r="N1859" s="13">
        <v>1892</v>
      </c>
      <c r="O1859" s="13">
        <v>14</v>
      </c>
      <c r="P1859" s="13">
        <v>11</v>
      </c>
      <c r="Q1859" s="13">
        <v>48</v>
      </c>
      <c r="R1859" s="13">
        <v>26</v>
      </c>
      <c r="S1859" s="13">
        <v>1</v>
      </c>
      <c r="T1859" s="23">
        <v>46247.699259259258</v>
      </c>
      <c r="U1859" s="55">
        <f t="shared" si="84"/>
        <v>0.33333333333333331</v>
      </c>
      <c r="V1859" s="55">
        <f t="shared" si="85"/>
        <v>0.66666666666666663</v>
      </c>
      <c r="W1859" s="56">
        <f t="shared" si="86"/>
        <v>20166.5</v>
      </c>
    </row>
    <row r="1860" spans="1:23" x14ac:dyDescent="0.3">
      <c r="A1860" s="13" t="str" cm="1">
        <f t="array" ref="A1860:B1860">INDEX(BenchmarkResults!$B$1:$D$35,SUMPRODUCT((T1860&gt;=BenchmarkResults!$F$3:$F$35)*(mongodb_hardware_log!T1860&lt;BenchmarkResults!$G$3:$G$35)*ROW(BenchmarkResults!$F$3:$F$35)),{1,3})</f>
        <v>q4_category_revenue</v>
      </c>
      <c r="B1860">
        <v>2</v>
      </c>
      <c r="C1860" s="13">
        <v>1</v>
      </c>
      <c r="D1860" s="13">
        <v>0</v>
      </c>
      <c r="E1860" s="13">
        <v>213760</v>
      </c>
      <c r="F1860" s="13">
        <v>139120</v>
      </c>
      <c r="G1860" s="13">
        <v>308</v>
      </c>
      <c r="H1860" s="13">
        <v>2310288</v>
      </c>
      <c r="I1860" s="13">
        <v>2</v>
      </c>
      <c r="J1860" s="13">
        <v>0</v>
      </c>
      <c r="K1860" s="13">
        <v>25026</v>
      </c>
      <c r="L1860" s="13">
        <v>12</v>
      </c>
      <c r="M1860" s="13">
        <v>3015</v>
      </c>
      <c r="N1860" s="13">
        <v>1927</v>
      </c>
      <c r="O1860" s="13">
        <v>16</v>
      </c>
      <c r="P1860" s="13">
        <v>9</v>
      </c>
      <c r="Q1860" s="13">
        <v>48</v>
      </c>
      <c r="R1860" s="13">
        <v>26</v>
      </c>
      <c r="S1860" s="13">
        <v>0</v>
      </c>
      <c r="T1860" s="23">
        <v>46247.699374999997</v>
      </c>
      <c r="U1860" s="55">
        <f t="shared" si="84"/>
        <v>0.33333333333333331</v>
      </c>
      <c r="V1860" s="55">
        <f t="shared" si="85"/>
        <v>0.66666666666666663</v>
      </c>
      <c r="W1860" s="56">
        <f t="shared" si="86"/>
        <v>21118.833333333332</v>
      </c>
    </row>
    <row r="1861" spans="1:23" x14ac:dyDescent="0.3">
      <c r="A1861" s="13" t="str" cm="1">
        <f t="array" ref="A1861:B1861">INDEX(BenchmarkResults!$B$1:$D$35,SUMPRODUCT((T1861&gt;=BenchmarkResults!$F$3:$F$35)*(mongodb_hardware_log!T1861&lt;BenchmarkResults!$G$3:$G$35)*ROW(BenchmarkResults!$F$3:$F$35)),{1,3})</f>
        <v>q4_category_revenue</v>
      </c>
      <c r="B1861">
        <v>2</v>
      </c>
      <c r="C1861" s="13">
        <v>0</v>
      </c>
      <c r="D1861" s="13">
        <v>1</v>
      </c>
      <c r="E1861" s="13">
        <v>213504</v>
      </c>
      <c r="F1861" s="13">
        <v>108152</v>
      </c>
      <c r="G1861" s="13">
        <v>332</v>
      </c>
      <c r="H1861" s="13">
        <v>2350548</v>
      </c>
      <c r="I1861" s="13">
        <v>15</v>
      </c>
      <c r="J1861" s="13">
        <v>0</v>
      </c>
      <c r="K1861" s="13">
        <v>19985</v>
      </c>
      <c r="L1861" s="13">
        <v>42</v>
      </c>
      <c r="M1861" s="13">
        <v>3567</v>
      </c>
      <c r="N1861" s="13">
        <v>2433</v>
      </c>
      <c r="O1861" s="13">
        <v>21</v>
      </c>
      <c r="P1861" s="13">
        <v>10</v>
      </c>
      <c r="Q1861" s="13">
        <v>45</v>
      </c>
      <c r="R1861" s="13">
        <v>24</v>
      </c>
      <c r="S1861" s="13">
        <v>1</v>
      </c>
      <c r="T1861" s="23">
        <v>46247.699490740742</v>
      </c>
      <c r="U1861" s="55">
        <f t="shared" si="84"/>
        <v>0.33333333333333331</v>
      </c>
      <c r="V1861" s="55">
        <f t="shared" si="85"/>
        <v>0.66666666666666663</v>
      </c>
      <c r="W1861" s="56">
        <f t="shared" si="86"/>
        <v>21308.333333333332</v>
      </c>
    </row>
    <row r="1862" spans="1:23" x14ac:dyDescent="0.3">
      <c r="A1862" s="13" t="str" cm="1">
        <f t="array" ref="A1862:B1862">INDEX(BenchmarkResults!$B$1:$D$35,SUMPRODUCT((T1862&gt;=BenchmarkResults!$F$3:$F$35)*(mongodb_hardware_log!T1862&lt;BenchmarkResults!$G$3:$G$35)*ROW(BenchmarkResults!$F$3:$F$35)),{1,3})</f>
        <v>q4_category_revenue</v>
      </c>
      <c r="B1862">
        <v>2</v>
      </c>
      <c r="C1862" s="13">
        <v>2</v>
      </c>
      <c r="D1862" s="13">
        <v>0</v>
      </c>
      <c r="E1862" s="13">
        <v>213504</v>
      </c>
      <c r="F1862" s="13">
        <v>124304</v>
      </c>
      <c r="G1862" s="13">
        <v>348</v>
      </c>
      <c r="H1862" s="13">
        <v>2335940</v>
      </c>
      <c r="I1862" s="13">
        <v>3</v>
      </c>
      <c r="J1862" s="13">
        <v>0</v>
      </c>
      <c r="K1862" s="13">
        <v>19814</v>
      </c>
      <c r="L1862" s="13">
        <v>18</v>
      </c>
      <c r="M1862" s="13">
        <v>3476</v>
      </c>
      <c r="N1862" s="13">
        <v>2396</v>
      </c>
      <c r="O1862" s="13">
        <v>20</v>
      </c>
      <c r="P1862" s="13">
        <v>10</v>
      </c>
      <c r="Q1862" s="13">
        <v>45</v>
      </c>
      <c r="R1862" s="13">
        <v>25</v>
      </c>
      <c r="S1862" s="13">
        <v>1</v>
      </c>
      <c r="T1862" s="23">
        <v>46247.699606481481</v>
      </c>
      <c r="U1862" s="55">
        <f t="shared" si="84"/>
        <v>0.66666666666666663</v>
      </c>
      <c r="V1862" s="55">
        <f t="shared" si="85"/>
        <v>0.5</v>
      </c>
      <c r="W1862" s="56">
        <f t="shared" si="86"/>
        <v>21689</v>
      </c>
    </row>
    <row r="1863" spans="1:23" x14ac:dyDescent="0.3">
      <c r="A1863" s="13" t="str" cm="1">
        <f t="array" ref="A1863:B1863">INDEX(BenchmarkResults!$B$1:$D$35,SUMPRODUCT((T1863&gt;=BenchmarkResults!$F$3:$F$35)*(mongodb_hardware_log!T1863&lt;BenchmarkResults!$G$3:$G$35)*ROW(BenchmarkResults!$F$3:$F$35)),{1,3})</f>
        <v>q4_category_revenue</v>
      </c>
      <c r="B1863">
        <v>2</v>
      </c>
      <c r="C1863" s="13">
        <v>1</v>
      </c>
      <c r="D1863" s="13">
        <v>0</v>
      </c>
      <c r="E1863" s="13">
        <v>213504</v>
      </c>
      <c r="F1863" s="13">
        <v>111660</v>
      </c>
      <c r="G1863" s="13">
        <v>360</v>
      </c>
      <c r="H1863" s="13">
        <v>2347032</v>
      </c>
      <c r="I1863" s="13">
        <v>1</v>
      </c>
      <c r="J1863" s="13">
        <v>0</v>
      </c>
      <c r="K1863" s="13">
        <v>19723</v>
      </c>
      <c r="L1863" s="13">
        <v>15</v>
      </c>
      <c r="M1863" s="13">
        <v>3353</v>
      </c>
      <c r="N1863" s="13">
        <v>2267</v>
      </c>
      <c r="O1863" s="13">
        <v>20</v>
      </c>
      <c r="P1863" s="13">
        <v>8</v>
      </c>
      <c r="Q1863" s="13">
        <v>46</v>
      </c>
      <c r="R1863" s="13">
        <v>26</v>
      </c>
      <c r="S1863" s="13">
        <v>1</v>
      </c>
      <c r="T1863" s="23">
        <v>46247.69972222222</v>
      </c>
      <c r="U1863" s="55">
        <f t="shared" si="84"/>
        <v>0.83333333333333337</v>
      </c>
      <c r="V1863" s="55">
        <f t="shared" si="85"/>
        <v>0.33333333333333331</v>
      </c>
      <c r="W1863" s="56">
        <f t="shared" si="86"/>
        <v>22116.666666666668</v>
      </c>
    </row>
    <row r="1864" spans="1:23" x14ac:dyDescent="0.3">
      <c r="A1864" s="13" t="str" cm="1">
        <f t="array" ref="A1864:B1864">INDEX(BenchmarkResults!$B$1:$D$35,SUMPRODUCT((T1864&gt;=BenchmarkResults!$F$3:$F$35)*(mongodb_hardware_log!T1864&lt;BenchmarkResults!$G$3:$G$35)*ROW(BenchmarkResults!$F$3:$F$35)),{1,3})</f>
        <v>q4_category_revenue</v>
      </c>
      <c r="B1864">
        <v>2</v>
      </c>
      <c r="C1864" s="13">
        <v>1</v>
      </c>
      <c r="D1864" s="13">
        <v>0</v>
      </c>
      <c r="E1864" s="13">
        <v>213504</v>
      </c>
      <c r="F1864" s="13">
        <v>133132</v>
      </c>
      <c r="G1864" s="13">
        <v>348</v>
      </c>
      <c r="H1864" s="13">
        <v>2321612</v>
      </c>
      <c r="I1864" s="13">
        <v>1</v>
      </c>
      <c r="J1864" s="13">
        <v>13</v>
      </c>
      <c r="K1864" s="13">
        <v>17490</v>
      </c>
      <c r="L1864" s="13">
        <v>40</v>
      </c>
      <c r="M1864" s="13">
        <v>3565</v>
      </c>
      <c r="N1864" s="13">
        <v>2433</v>
      </c>
      <c r="O1864" s="13">
        <v>22</v>
      </c>
      <c r="P1864" s="13">
        <v>9</v>
      </c>
      <c r="Q1864" s="13">
        <v>45</v>
      </c>
      <c r="R1864" s="13">
        <v>23</v>
      </c>
      <c r="S1864" s="13">
        <v>0</v>
      </c>
      <c r="T1864" s="23">
        <v>46247.699837962966</v>
      </c>
      <c r="U1864" s="55">
        <f t="shared" si="84"/>
        <v>0.83333333333333337</v>
      </c>
      <c r="V1864" s="55">
        <f t="shared" si="85"/>
        <v>0.33333333333333331</v>
      </c>
      <c r="W1864" s="56">
        <f t="shared" si="86"/>
        <v>21439.5</v>
      </c>
    </row>
    <row r="1865" spans="1:23" x14ac:dyDescent="0.3">
      <c r="A1865" s="13" t="str" cm="1">
        <f t="array" ref="A1865:B1865">INDEX(BenchmarkResults!$B$1:$D$35,SUMPRODUCT((T1865&gt;=BenchmarkResults!$F$3:$F$35)*(mongodb_hardware_log!T1865&lt;BenchmarkResults!$G$3:$G$35)*ROW(BenchmarkResults!$F$3:$F$35)),{1,3})</f>
        <v>q4_category_revenue</v>
      </c>
      <c r="B1865">
        <v>2</v>
      </c>
      <c r="C1865" s="13">
        <v>1</v>
      </c>
      <c r="D1865" s="13">
        <v>0</v>
      </c>
      <c r="E1865" s="13">
        <v>213760</v>
      </c>
      <c r="F1865" s="13">
        <v>113792</v>
      </c>
      <c r="G1865" s="13">
        <v>196</v>
      </c>
      <c r="H1865" s="13">
        <v>2338156</v>
      </c>
      <c r="I1865" s="13">
        <v>3</v>
      </c>
      <c r="J1865" s="13">
        <v>12</v>
      </c>
      <c r="K1865" s="13">
        <v>18517</v>
      </c>
      <c r="L1865" s="13">
        <v>52</v>
      </c>
      <c r="M1865" s="13">
        <v>3411</v>
      </c>
      <c r="N1865" s="13">
        <v>2368</v>
      </c>
      <c r="O1865" s="13">
        <v>22</v>
      </c>
      <c r="P1865" s="13">
        <v>9</v>
      </c>
      <c r="Q1865" s="13">
        <v>45</v>
      </c>
      <c r="R1865" s="13">
        <v>24</v>
      </c>
      <c r="S1865" s="13">
        <v>0</v>
      </c>
      <c r="T1865" s="23">
        <v>46247.699953703705</v>
      </c>
      <c r="U1865" s="55">
        <f t="shared" ref="U1865:U1928" si="87">AVERAGE(C1860:C1865)</f>
        <v>1</v>
      </c>
      <c r="V1865" s="55">
        <f t="shared" ref="V1865:V1928" si="88">AVERAGE(D1860:D1865)</f>
        <v>0.16666666666666666</v>
      </c>
      <c r="W1865" s="56">
        <f t="shared" ref="W1865:W1928" si="89">AVERAGE(K1860:K1865)</f>
        <v>20092.5</v>
      </c>
    </row>
    <row r="1866" spans="1:23" x14ac:dyDescent="0.3">
      <c r="A1866" s="13" t="str" cm="1">
        <f t="array" ref="A1866:B1866">INDEX(BenchmarkResults!$B$1:$D$35,SUMPRODUCT((T1866&gt;=BenchmarkResults!$F$3:$F$35)*(mongodb_hardware_log!T1866&lt;BenchmarkResults!$G$3:$G$35)*ROW(BenchmarkResults!$F$3:$F$35)),{1,3})</f>
        <v>q4_category_revenue</v>
      </c>
      <c r="B1866">
        <v>2</v>
      </c>
      <c r="C1866" s="13">
        <v>0</v>
      </c>
      <c r="D1866" s="13">
        <v>1</v>
      </c>
      <c r="E1866" s="13">
        <v>213760</v>
      </c>
      <c r="F1866" s="13">
        <v>111072</v>
      </c>
      <c r="G1866" s="13">
        <v>208</v>
      </c>
      <c r="H1866" s="13">
        <v>2346304</v>
      </c>
      <c r="I1866" s="13">
        <v>3</v>
      </c>
      <c r="J1866" s="13">
        <v>0</v>
      </c>
      <c r="K1866" s="13">
        <v>19264</v>
      </c>
      <c r="L1866" s="13">
        <v>10</v>
      </c>
      <c r="M1866" s="13">
        <v>3292</v>
      </c>
      <c r="N1866" s="13">
        <v>2257</v>
      </c>
      <c r="O1866" s="13">
        <v>19</v>
      </c>
      <c r="P1866" s="13">
        <v>8</v>
      </c>
      <c r="Q1866" s="13">
        <v>46</v>
      </c>
      <c r="R1866" s="13">
        <v>26</v>
      </c>
      <c r="S1866" s="13">
        <v>1</v>
      </c>
      <c r="T1866" s="23">
        <v>46247.700069444443</v>
      </c>
      <c r="U1866" s="55">
        <f t="shared" si="87"/>
        <v>0.83333333333333337</v>
      </c>
      <c r="V1866" s="55">
        <f t="shared" si="88"/>
        <v>0.33333333333333331</v>
      </c>
      <c r="W1866" s="56">
        <f t="shared" si="89"/>
        <v>19132.166666666668</v>
      </c>
    </row>
    <row r="1867" spans="1:23" x14ac:dyDescent="0.3">
      <c r="A1867" s="13" t="str" cm="1">
        <f t="array" ref="A1867:B1867">INDEX(BenchmarkResults!$B$1:$D$35,SUMPRODUCT((T1867&gt;=BenchmarkResults!$F$3:$F$35)*(mongodb_hardware_log!T1867&lt;BenchmarkResults!$G$3:$G$35)*ROW(BenchmarkResults!$F$3:$F$35)),{1,3})</f>
        <v>q4_category_revenue</v>
      </c>
      <c r="B1867">
        <v>2</v>
      </c>
      <c r="C1867" s="13">
        <v>2</v>
      </c>
      <c r="D1867" s="13">
        <v>0</v>
      </c>
      <c r="E1867" s="13">
        <v>213760</v>
      </c>
      <c r="F1867" s="13">
        <v>106936</v>
      </c>
      <c r="G1867" s="13">
        <v>232</v>
      </c>
      <c r="H1867" s="13">
        <v>2346616</v>
      </c>
      <c r="I1867" s="13">
        <v>10</v>
      </c>
      <c r="J1867" s="13">
        <v>16</v>
      </c>
      <c r="K1867" s="13">
        <v>17903</v>
      </c>
      <c r="L1867" s="13">
        <v>51</v>
      </c>
      <c r="M1867" s="13">
        <v>3285</v>
      </c>
      <c r="N1867" s="13">
        <v>2252</v>
      </c>
      <c r="O1867" s="13">
        <v>22</v>
      </c>
      <c r="P1867" s="13">
        <v>8</v>
      </c>
      <c r="Q1867" s="13">
        <v>46</v>
      </c>
      <c r="R1867" s="13">
        <v>24</v>
      </c>
      <c r="S1867" s="13">
        <v>1</v>
      </c>
      <c r="T1867" s="23">
        <v>46247.700185185182</v>
      </c>
      <c r="U1867" s="55">
        <f t="shared" si="87"/>
        <v>1.1666666666666667</v>
      </c>
      <c r="V1867" s="55">
        <f t="shared" si="88"/>
        <v>0.16666666666666666</v>
      </c>
      <c r="W1867" s="56">
        <f t="shared" si="89"/>
        <v>18785.166666666668</v>
      </c>
    </row>
    <row r="1868" spans="1:23" x14ac:dyDescent="0.3">
      <c r="A1868" s="13" t="str" cm="1">
        <f t="array" ref="A1868:B1868">INDEX(BenchmarkResults!$B$1:$D$35,SUMPRODUCT((T1868&gt;=BenchmarkResults!$F$3:$F$35)*(mongodb_hardware_log!T1868&lt;BenchmarkResults!$G$3:$G$35)*ROW(BenchmarkResults!$F$3:$F$35)),{1,3})</f>
        <v>q4_category_revenue</v>
      </c>
      <c r="B1868">
        <v>2</v>
      </c>
      <c r="C1868" s="13">
        <v>0</v>
      </c>
      <c r="D1868" s="13">
        <v>1</v>
      </c>
      <c r="E1868" s="13">
        <v>215040</v>
      </c>
      <c r="F1868" s="13">
        <v>124000</v>
      </c>
      <c r="G1868" s="13">
        <v>248</v>
      </c>
      <c r="H1868" s="13">
        <v>2329844</v>
      </c>
      <c r="I1868" s="13">
        <v>20</v>
      </c>
      <c r="J1868" s="13">
        <v>174</v>
      </c>
      <c r="K1868" s="13">
        <v>18749</v>
      </c>
      <c r="L1868" s="13">
        <v>191</v>
      </c>
      <c r="M1868" s="13">
        <v>3583</v>
      </c>
      <c r="N1868" s="13">
        <v>2492</v>
      </c>
      <c r="O1868" s="13">
        <v>20</v>
      </c>
      <c r="P1868" s="13">
        <v>9</v>
      </c>
      <c r="Q1868" s="13">
        <v>45</v>
      </c>
      <c r="R1868" s="13">
        <v>25</v>
      </c>
      <c r="S1868" s="13">
        <v>1</v>
      </c>
      <c r="T1868" s="23">
        <v>46247.700300925928</v>
      </c>
      <c r="U1868" s="55">
        <f t="shared" si="87"/>
        <v>0.83333333333333337</v>
      </c>
      <c r="V1868" s="55">
        <f t="shared" si="88"/>
        <v>0.33333333333333331</v>
      </c>
      <c r="W1868" s="56">
        <f t="shared" si="89"/>
        <v>18607.666666666668</v>
      </c>
    </row>
    <row r="1869" spans="1:23" x14ac:dyDescent="0.3">
      <c r="A1869" s="13" t="str" cm="1">
        <f t="array" ref="A1869:B1869">INDEX(BenchmarkResults!$B$1:$D$35,SUMPRODUCT((T1869&gt;=BenchmarkResults!$F$3:$F$35)*(mongodb_hardware_log!T1869&lt;BenchmarkResults!$G$3:$G$35)*ROW(BenchmarkResults!$F$3:$F$35)),{1,3})</f>
        <v>q4_category_revenue</v>
      </c>
      <c r="B1869">
        <v>2</v>
      </c>
      <c r="C1869" s="13">
        <v>1</v>
      </c>
      <c r="D1869" s="13">
        <v>0</v>
      </c>
      <c r="E1869" s="13">
        <v>214784</v>
      </c>
      <c r="F1869" s="13">
        <v>147756</v>
      </c>
      <c r="G1869" s="13">
        <v>256</v>
      </c>
      <c r="H1869" s="13">
        <v>2303044</v>
      </c>
      <c r="I1869" s="13">
        <v>3</v>
      </c>
      <c r="J1869" s="13">
        <v>0</v>
      </c>
      <c r="K1869" s="13">
        <v>18792</v>
      </c>
      <c r="L1869" s="13">
        <v>13</v>
      </c>
      <c r="M1869" s="13">
        <v>3591</v>
      </c>
      <c r="N1869" s="13">
        <v>2453</v>
      </c>
      <c r="O1869" s="13">
        <v>23</v>
      </c>
      <c r="P1869" s="13">
        <v>8</v>
      </c>
      <c r="Q1869" s="13">
        <v>45</v>
      </c>
      <c r="R1869" s="13">
        <v>22</v>
      </c>
      <c r="S1869" s="13">
        <v>0</v>
      </c>
      <c r="T1869" s="23">
        <v>46247.700416666667</v>
      </c>
      <c r="U1869" s="55">
        <f t="shared" si="87"/>
        <v>0.83333333333333337</v>
      </c>
      <c r="V1869" s="55">
        <f t="shared" si="88"/>
        <v>0.33333333333333331</v>
      </c>
      <c r="W1869" s="56">
        <f t="shared" si="89"/>
        <v>18452.5</v>
      </c>
    </row>
    <row r="1870" spans="1:23" x14ac:dyDescent="0.3">
      <c r="A1870" s="13" t="str" cm="1">
        <f t="array" ref="A1870:B1870">INDEX(BenchmarkResults!$B$1:$D$35,SUMPRODUCT((T1870&gt;=BenchmarkResults!$F$3:$F$35)*(mongodb_hardware_log!T1870&lt;BenchmarkResults!$G$3:$G$35)*ROW(BenchmarkResults!$F$3:$F$35)),{1,3})</f>
        <v>q4_category_revenue</v>
      </c>
      <c r="B1870">
        <v>2</v>
      </c>
      <c r="C1870" s="13">
        <v>0</v>
      </c>
      <c r="D1870" s="13">
        <v>1</v>
      </c>
      <c r="E1870" s="13">
        <v>214784</v>
      </c>
      <c r="F1870" s="13">
        <v>134856</v>
      </c>
      <c r="G1870" s="13">
        <v>272</v>
      </c>
      <c r="H1870" s="13">
        <v>2308408</v>
      </c>
      <c r="I1870" s="13">
        <v>20</v>
      </c>
      <c r="J1870" s="13">
        <v>0</v>
      </c>
      <c r="K1870" s="13">
        <v>19518</v>
      </c>
      <c r="L1870" s="13">
        <v>20</v>
      </c>
      <c r="M1870" s="13">
        <v>3599</v>
      </c>
      <c r="N1870" s="13">
        <v>2568</v>
      </c>
      <c r="O1870" s="13">
        <v>23</v>
      </c>
      <c r="P1870" s="13">
        <v>9</v>
      </c>
      <c r="Q1870" s="13">
        <v>45</v>
      </c>
      <c r="R1870" s="13">
        <v>22</v>
      </c>
      <c r="S1870" s="13">
        <v>0</v>
      </c>
      <c r="T1870" s="23">
        <v>46247.700532407405</v>
      </c>
      <c r="U1870" s="55">
        <f t="shared" si="87"/>
        <v>0.66666666666666663</v>
      </c>
      <c r="V1870" s="55">
        <f t="shared" si="88"/>
        <v>0.5</v>
      </c>
      <c r="W1870" s="56">
        <f t="shared" si="89"/>
        <v>18790.5</v>
      </c>
    </row>
    <row r="1871" spans="1:23" x14ac:dyDescent="0.3">
      <c r="A1871" s="13" t="str" cm="1">
        <f t="array" ref="A1871:B1871">INDEX(BenchmarkResults!$B$1:$D$35,SUMPRODUCT((T1871&gt;=BenchmarkResults!$F$3:$F$35)*(mongodb_hardware_log!T1871&lt;BenchmarkResults!$G$3:$G$35)*ROW(BenchmarkResults!$F$3:$F$35)),{1,3})</f>
        <v>q4_category_revenue</v>
      </c>
      <c r="B1871">
        <v>2</v>
      </c>
      <c r="C1871" s="13">
        <v>1</v>
      </c>
      <c r="D1871" s="13">
        <v>0</v>
      </c>
      <c r="E1871" s="13">
        <v>214528</v>
      </c>
      <c r="F1871" s="13">
        <v>130588</v>
      </c>
      <c r="G1871" s="13">
        <v>424</v>
      </c>
      <c r="H1871" s="13">
        <v>2321776</v>
      </c>
      <c r="I1871" s="13">
        <v>11</v>
      </c>
      <c r="J1871" s="13">
        <v>0</v>
      </c>
      <c r="K1871" s="13">
        <v>19207</v>
      </c>
      <c r="L1871" s="13">
        <v>30</v>
      </c>
      <c r="M1871" s="13">
        <v>3247</v>
      </c>
      <c r="N1871" s="13">
        <v>2143</v>
      </c>
      <c r="O1871" s="13">
        <v>21</v>
      </c>
      <c r="P1871" s="13">
        <v>8</v>
      </c>
      <c r="Q1871" s="13">
        <v>46</v>
      </c>
      <c r="R1871" s="13">
        <v>24</v>
      </c>
      <c r="S1871" s="13">
        <v>1</v>
      </c>
      <c r="T1871" s="23">
        <v>46247.700648148151</v>
      </c>
      <c r="U1871" s="55">
        <f t="shared" si="87"/>
        <v>0.66666666666666663</v>
      </c>
      <c r="V1871" s="55">
        <f t="shared" si="88"/>
        <v>0.5</v>
      </c>
      <c r="W1871" s="56">
        <f t="shared" si="89"/>
        <v>18905.5</v>
      </c>
    </row>
    <row r="1872" spans="1:23" x14ac:dyDescent="0.3">
      <c r="A1872" s="13" t="str" cm="1">
        <f t="array" ref="A1872:B1872">INDEX(BenchmarkResults!$B$1:$D$35,SUMPRODUCT((T1872&gt;=BenchmarkResults!$F$3:$F$35)*(mongodb_hardware_log!T1872&lt;BenchmarkResults!$G$3:$G$35)*ROW(BenchmarkResults!$F$3:$F$35)),{1,3})</f>
        <v>q4_category_revenue</v>
      </c>
      <c r="B1872">
        <v>2</v>
      </c>
      <c r="C1872" s="13">
        <v>0</v>
      </c>
      <c r="D1872" s="13">
        <v>0</v>
      </c>
      <c r="E1872" s="13">
        <v>214528</v>
      </c>
      <c r="F1872" s="13">
        <v>103996</v>
      </c>
      <c r="G1872" s="13">
        <v>556</v>
      </c>
      <c r="H1872" s="13">
        <v>2342008</v>
      </c>
      <c r="I1872" s="13">
        <v>31</v>
      </c>
      <c r="J1872" s="13">
        <v>0</v>
      </c>
      <c r="K1872" s="13">
        <v>19468</v>
      </c>
      <c r="L1872" s="13">
        <v>15</v>
      </c>
      <c r="M1872" s="13">
        <v>3093</v>
      </c>
      <c r="N1872" s="13">
        <v>2036</v>
      </c>
      <c r="O1872" s="13">
        <v>18</v>
      </c>
      <c r="P1872" s="13">
        <v>8</v>
      </c>
      <c r="Q1872" s="13">
        <v>46</v>
      </c>
      <c r="R1872" s="13">
        <v>27</v>
      </c>
      <c r="S1872" s="13">
        <v>1</v>
      </c>
      <c r="T1872" s="23">
        <v>46247.70076388889</v>
      </c>
      <c r="U1872" s="55">
        <f t="shared" si="87"/>
        <v>0.66666666666666663</v>
      </c>
      <c r="V1872" s="55">
        <f t="shared" si="88"/>
        <v>0.33333333333333331</v>
      </c>
      <c r="W1872" s="56">
        <f t="shared" si="89"/>
        <v>18939.5</v>
      </c>
    </row>
    <row r="1873" spans="1:23" x14ac:dyDescent="0.3">
      <c r="A1873" s="13" t="str" cm="1">
        <f t="array" ref="A1873:B1873">INDEX(BenchmarkResults!$B$1:$D$35,SUMPRODUCT((T1873&gt;=BenchmarkResults!$F$3:$F$35)*(mongodb_hardware_log!T1873&lt;BenchmarkResults!$G$3:$G$35)*ROW(BenchmarkResults!$F$3:$F$35)),{1,3})</f>
        <v>q4_category_revenue</v>
      </c>
      <c r="B1873">
        <v>2</v>
      </c>
      <c r="C1873" s="13">
        <v>0</v>
      </c>
      <c r="D1873" s="13">
        <v>1</v>
      </c>
      <c r="E1873" s="13">
        <v>214272</v>
      </c>
      <c r="F1873" s="13">
        <v>118852</v>
      </c>
      <c r="G1873" s="13">
        <v>616</v>
      </c>
      <c r="H1873" s="13">
        <v>2332216</v>
      </c>
      <c r="I1873" s="13">
        <v>7</v>
      </c>
      <c r="J1873" s="13">
        <v>0</v>
      </c>
      <c r="K1873" s="13">
        <v>18100</v>
      </c>
      <c r="L1873" s="13">
        <v>34</v>
      </c>
      <c r="M1873" s="13">
        <v>3534</v>
      </c>
      <c r="N1873" s="13">
        <v>2484</v>
      </c>
      <c r="O1873" s="13">
        <v>20</v>
      </c>
      <c r="P1873" s="13">
        <v>9</v>
      </c>
      <c r="Q1873" s="13">
        <v>45</v>
      </c>
      <c r="R1873" s="13">
        <v>25</v>
      </c>
      <c r="S1873" s="13">
        <v>1</v>
      </c>
      <c r="T1873" s="23">
        <v>46247.700879629629</v>
      </c>
      <c r="U1873" s="55">
        <f t="shared" si="87"/>
        <v>0.33333333333333331</v>
      </c>
      <c r="V1873" s="55">
        <f t="shared" si="88"/>
        <v>0.5</v>
      </c>
      <c r="W1873" s="56">
        <f t="shared" si="89"/>
        <v>18972.333333333332</v>
      </c>
    </row>
    <row r="1874" spans="1:23" x14ac:dyDescent="0.3">
      <c r="A1874" s="13" t="str" cm="1">
        <f t="array" ref="A1874:B1874">INDEX(BenchmarkResults!$B$1:$D$35,SUMPRODUCT((T1874&gt;=BenchmarkResults!$F$3:$F$35)*(mongodb_hardware_log!T1874&lt;BenchmarkResults!$G$3:$G$35)*ROW(BenchmarkResults!$F$3:$F$35)),{1,3})</f>
        <v>q4_category_revenue</v>
      </c>
      <c r="B1874">
        <v>2</v>
      </c>
      <c r="C1874" s="13">
        <v>0</v>
      </c>
      <c r="D1874" s="13">
        <v>1</v>
      </c>
      <c r="E1874" s="13">
        <v>214784</v>
      </c>
      <c r="F1874" s="13">
        <v>141064</v>
      </c>
      <c r="G1874" s="13">
        <v>448</v>
      </c>
      <c r="H1874" s="13">
        <v>2319700</v>
      </c>
      <c r="I1874" s="13">
        <v>7</v>
      </c>
      <c r="J1874" s="13">
        <v>15</v>
      </c>
      <c r="K1874" s="13">
        <v>17825</v>
      </c>
      <c r="L1874" s="13">
        <v>51</v>
      </c>
      <c r="M1874" s="13">
        <v>3383</v>
      </c>
      <c r="N1874" s="13">
        <v>2361</v>
      </c>
      <c r="O1874" s="13">
        <v>20</v>
      </c>
      <c r="P1874" s="13">
        <v>9</v>
      </c>
      <c r="Q1874" s="13">
        <v>45</v>
      </c>
      <c r="R1874" s="13">
        <v>25</v>
      </c>
      <c r="S1874" s="13">
        <v>1</v>
      </c>
      <c r="T1874" s="23">
        <v>46247.700995370367</v>
      </c>
      <c r="U1874" s="55">
        <f t="shared" si="87"/>
        <v>0.33333333333333331</v>
      </c>
      <c r="V1874" s="55">
        <f t="shared" si="88"/>
        <v>0.5</v>
      </c>
      <c r="W1874" s="56">
        <f t="shared" si="89"/>
        <v>18818.333333333332</v>
      </c>
    </row>
    <row r="1875" spans="1:23" x14ac:dyDescent="0.3">
      <c r="A1875" s="13" t="str" cm="1">
        <f t="array" ref="A1875:B1875">INDEX(BenchmarkResults!$B$1:$D$35,SUMPRODUCT((T1875&gt;=BenchmarkResults!$F$3:$F$35)*(mongodb_hardware_log!T1875&lt;BenchmarkResults!$G$3:$G$35)*ROW(BenchmarkResults!$F$3:$F$35)),{1,3})</f>
        <v>q4_category_revenue</v>
      </c>
      <c r="B1875">
        <v>2</v>
      </c>
      <c r="C1875" s="13">
        <v>2</v>
      </c>
      <c r="D1875" s="13">
        <v>0</v>
      </c>
      <c r="E1875" s="13">
        <v>214528</v>
      </c>
      <c r="F1875" s="13">
        <v>107240</v>
      </c>
      <c r="G1875" s="13">
        <v>460</v>
      </c>
      <c r="H1875" s="13">
        <v>2352376</v>
      </c>
      <c r="I1875" s="13">
        <v>6</v>
      </c>
      <c r="J1875" s="13">
        <v>0</v>
      </c>
      <c r="K1875" s="13">
        <v>16254</v>
      </c>
      <c r="L1875" s="13">
        <v>18</v>
      </c>
      <c r="M1875" s="13">
        <v>2732</v>
      </c>
      <c r="N1875" s="13">
        <v>1873</v>
      </c>
      <c r="O1875" s="13">
        <v>20</v>
      </c>
      <c r="P1875" s="13">
        <v>7</v>
      </c>
      <c r="Q1875" s="13">
        <v>49</v>
      </c>
      <c r="R1875" s="13">
        <v>24</v>
      </c>
      <c r="S1875" s="13">
        <v>0</v>
      </c>
      <c r="T1875" s="23">
        <v>46247.701111111113</v>
      </c>
      <c r="U1875" s="55">
        <f t="shared" si="87"/>
        <v>0.5</v>
      </c>
      <c r="V1875" s="55">
        <f t="shared" si="88"/>
        <v>0.5</v>
      </c>
      <c r="W1875" s="56">
        <f t="shared" si="89"/>
        <v>18395.333333333332</v>
      </c>
    </row>
    <row r="1876" spans="1:23" x14ac:dyDescent="0.3">
      <c r="A1876" s="13" t="str" cm="1">
        <f t="array" ref="A1876:B1876">INDEX(BenchmarkResults!$B$1:$D$35,SUMPRODUCT((T1876&gt;=BenchmarkResults!$F$3:$F$35)*(mongodb_hardware_log!T1876&lt;BenchmarkResults!$G$3:$G$35)*ROW(BenchmarkResults!$F$3:$F$35)),{1,3})</f>
        <v>q4_category_revenue</v>
      </c>
      <c r="B1876">
        <v>2</v>
      </c>
      <c r="C1876" s="13">
        <v>1</v>
      </c>
      <c r="D1876" s="13">
        <v>0</v>
      </c>
      <c r="E1876" s="13">
        <v>214528</v>
      </c>
      <c r="F1876" s="13">
        <v>133280</v>
      </c>
      <c r="G1876" s="13">
        <v>364</v>
      </c>
      <c r="H1876" s="13">
        <v>2322768</v>
      </c>
      <c r="I1876" s="13">
        <v>3</v>
      </c>
      <c r="J1876" s="13">
        <v>10</v>
      </c>
      <c r="K1876" s="13">
        <v>15727</v>
      </c>
      <c r="L1876" s="13">
        <v>32</v>
      </c>
      <c r="M1876" s="13">
        <v>2578</v>
      </c>
      <c r="N1876" s="13">
        <v>1673</v>
      </c>
      <c r="O1876" s="13">
        <v>20</v>
      </c>
      <c r="P1876" s="13">
        <v>6</v>
      </c>
      <c r="Q1876" s="13">
        <v>50</v>
      </c>
      <c r="R1876" s="13">
        <v>23</v>
      </c>
      <c r="S1876" s="13">
        <v>0</v>
      </c>
      <c r="T1876" s="23">
        <v>46247.701226851852</v>
      </c>
      <c r="U1876" s="55">
        <f t="shared" si="87"/>
        <v>0.66666666666666663</v>
      </c>
      <c r="V1876" s="55">
        <f t="shared" si="88"/>
        <v>0.33333333333333331</v>
      </c>
      <c r="W1876" s="56">
        <f t="shared" si="89"/>
        <v>17763.5</v>
      </c>
    </row>
    <row r="1877" spans="1:23" x14ac:dyDescent="0.3">
      <c r="A1877" s="13" t="str" cm="1">
        <f t="array" ref="A1877:B1877">INDEX(BenchmarkResults!$B$1:$D$35,SUMPRODUCT((T1877&gt;=BenchmarkResults!$F$3:$F$35)*(mongodb_hardware_log!T1877&lt;BenchmarkResults!$G$3:$G$35)*ROW(BenchmarkResults!$F$3:$F$35)),{1,3})</f>
        <v>q4_category_revenue</v>
      </c>
      <c r="B1877">
        <v>2</v>
      </c>
      <c r="C1877" s="13">
        <v>0</v>
      </c>
      <c r="D1877" s="13">
        <v>1</v>
      </c>
      <c r="E1877" s="13">
        <v>214528</v>
      </c>
      <c r="F1877" s="13">
        <v>122884</v>
      </c>
      <c r="G1877" s="13">
        <v>372</v>
      </c>
      <c r="H1877" s="13">
        <v>2327148</v>
      </c>
      <c r="I1877" s="13">
        <v>4</v>
      </c>
      <c r="J1877" s="13">
        <v>0</v>
      </c>
      <c r="K1877" s="13">
        <v>14516</v>
      </c>
      <c r="L1877" s="13">
        <v>22</v>
      </c>
      <c r="M1877" s="13">
        <v>2606</v>
      </c>
      <c r="N1877" s="13">
        <v>1696</v>
      </c>
      <c r="O1877" s="13">
        <v>19</v>
      </c>
      <c r="P1877" s="13">
        <v>6</v>
      </c>
      <c r="Q1877" s="13">
        <v>49</v>
      </c>
      <c r="R1877" s="13">
        <v>25</v>
      </c>
      <c r="S1877" s="13">
        <v>1</v>
      </c>
      <c r="T1877" s="23">
        <v>46247.701342592591</v>
      </c>
      <c r="U1877" s="55">
        <f t="shared" si="87"/>
        <v>0.5</v>
      </c>
      <c r="V1877" s="55">
        <f t="shared" si="88"/>
        <v>0.5</v>
      </c>
      <c r="W1877" s="56">
        <f t="shared" si="89"/>
        <v>16981.666666666668</v>
      </c>
    </row>
    <row r="1878" spans="1:23" x14ac:dyDescent="0.3">
      <c r="A1878" s="13" t="str" cm="1">
        <f t="array" ref="A1878:B1878">INDEX(BenchmarkResults!$B$1:$D$35,SUMPRODUCT((T1878&gt;=BenchmarkResults!$F$3:$F$35)*(mongodb_hardware_log!T1878&lt;BenchmarkResults!$G$3:$G$35)*ROW(BenchmarkResults!$F$3:$F$35)),{1,3})</f>
        <v>q4_category_revenue</v>
      </c>
      <c r="B1878">
        <v>2</v>
      </c>
      <c r="C1878" s="13">
        <v>1</v>
      </c>
      <c r="D1878" s="13">
        <v>0</v>
      </c>
      <c r="E1878" s="13">
        <v>214528</v>
      </c>
      <c r="F1878" s="13">
        <v>123324</v>
      </c>
      <c r="G1878" s="13">
        <v>380</v>
      </c>
      <c r="H1878" s="13">
        <v>2328880</v>
      </c>
      <c r="I1878" s="13">
        <v>7</v>
      </c>
      <c r="J1878" s="13">
        <v>0</v>
      </c>
      <c r="K1878" s="13">
        <v>11207</v>
      </c>
      <c r="L1878" s="13">
        <v>9</v>
      </c>
      <c r="M1878" s="13">
        <v>2144</v>
      </c>
      <c r="N1878" s="13">
        <v>1340</v>
      </c>
      <c r="O1878" s="13">
        <v>17</v>
      </c>
      <c r="P1878" s="13">
        <v>6</v>
      </c>
      <c r="Q1878" s="13">
        <v>48</v>
      </c>
      <c r="R1878" s="13">
        <v>27</v>
      </c>
      <c r="S1878" s="13">
        <v>3</v>
      </c>
      <c r="T1878" s="23">
        <v>46247.701458333337</v>
      </c>
      <c r="U1878" s="55">
        <f t="shared" si="87"/>
        <v>0.66666666666666663</v>
      </c>
      <c r="V1878" s="55">
        <f t="shared" si="88"/>
        <v>0.5</v>
      </c>
      <c r="W1878" s="56">
        <f t="shared" si="89"/>
        <v>15604.833333333334</v>
      </c>
    </row>
    <row r="1879" spans="1:23" x14ac:dyDescent="0.3">
      <c r="A1879" s="13" t="str" cm="1">
        <f t="array" ref="A1879:B1879">INDEX(BenchmarkResults!$B$1:$D$35,SUMPRODUCT((T1879&gt;=BenchmarkResults!$F$3:$F$35)*(mongodb_hardware_log!T1879&lt;BenchmarkResults!$G$3:$G$35)*ROW(BenchmarkResults!$F$3:$F$35)),{1,3})</f>
        <v>q4_category_revenue</v>
      </c>
      <c r="B1879">
        <v>2</v>
      </c>
      <c r="C1879" s="13">
        <v>1</v>
      </c>
      <c r="D1879" s="13">
        <v>0</v>
      </c>
      <c r="E1879" s="13">
        <v>214016</v>
      </c>
      <c r="F1879" s="13">
        <v>139056</v>
      </c>
      <c r="G1879" s="13">
        <v>420</v>
      </c>
      <c r="H1879" s="13">
        <v>2312756</v>
      </c>
      <c r="I1879" s="13">
        <v>16</v>
      </c>
      <c r="J1879" s="13">
        <v>0</v>
      </c>
      <c r="K1879" s="13">
        <v>14152</v>
      </c>
      <c r="L1879" s="13">
        <v>36</v>
      </c>
      <c r="M1879" s="13">
        <v>2634</v>
      </c>
      <c r="N1879" s="13">
        <v>1671</v>
      </c>
      <c r="O1879" s="13">
        <v>21</v>
      </c>
      <c r="P1879" s="13">
        <v>7</v>
      </c>
      <c r="Q1879" s="13">
        <v>47</v>
      </c>
      <c r="R1879" s="13">
        <v>25</v>
      </c>
      <c r="S1879" s="13">
        <v>1</v>
      </c>
      <c r="T1879" s="23">
        <v>46247.701574074075</v>
      </c>
      <c r="U1879" s="55">
        <f t="shared" si="87"/>
        <v>0.83333333333333337</v>
      </c>
      <c r="V1879" s="55">
        <f t="shared" si="88"/>
        <v>0.33333333333333331</v>
      </c>
      <c r="W1879" s="56">
        <f t="shared" si="89"/>
        <v>14946.833333333334</v>
      </c>
    </row>
    <row r="1880" spans="1:23" x14ac:dyDescent="0.3">
      <c r="A1880" s="13" t="str" cm="1">
        <f t="array" ref="A1880:B1880">INDEX(BenchmarkResults!$B$1:$D$35,SUMPRODUCT((T1880&gt;=BenchmarkResults!$F$3:$F$35)*(mongodb_hardware_log!T1880&lt;BenchmarkResults!$G$3:$G$35)*ROW(BenchmarkResults!$F$3:$F$35)),{1,3})</f>
        <v>q4_category_revenue</v>
      </c>
      <c r="B1880">
        <v>2</v>
      </c>
      <c r="C1880" s="13">
        <v>1</v>
      </c>
      <c r="D1880" s="13">
        <v>0</v>
      </c>
      <c r="E1880" s="13">
        <v>214016</v>
      </c>
      <c r="F1880" s="13">
        <v>132816</v>
      </c>
      <c r="G1880" s="13">
        <v>416</v>
      </c>
      <c r="H1880" s="13">
        <v>2319868</v>
      </c>
      <c r="I1880" s="13">
        <v>3</v>
      </c>
      <c r="J1880" s="13">
        <v>0</v>
      </c>
      <c r="K1880" s="13">
        <v>17322</v>
      </c>
      <c r="L1880" s="13">
        <v>17</v>
      </c>
      <c r="M1880" s="13">
        <v>3275</v>
      </c>
      <c r="N1880" s="13">
        <v>2245</v>
      </c>
      <c r="O1880" s="13">
        <v>20</v>
      </c>
      <c r="P1880" s="13">
        <v>9</v>
      </c>
      <c r="Q1880" s="13">
        <v>44</v>
      </c>
      <c r="R1880" s="13">
        <v>26</v>
      </c>
      <c r="S1880" s="13">
        <v>1</v>
      </c>
      <c r="T1880" s="23">
        <v>46247.701689814814</v>
      </c>
      <c r="U1880" s="55">
        <f t="shared" si="87"/>
        <v>1</v>
      </c>
      <c r="V1880" s="55">
        <f t="shared" si="88"/>
        <v>0.16666666666666666</v>
      </c>
      <c r="W1880" s="56">
        <f t="shared" si="89"/>
        <v>14863</v>
      </c>
    </row>
    <row r="1881" spans="1:23" x14ac:dyDescent="0.3">
      <c r="A1881" s="13" t="str" cm="1">
        <f t="array" ref="A1881:B1881">INDEX(BenchmarkResults!$B$1:$D$35,SUMPRODUCT((T1881&gt;=BenchmarkResults!$F$3:$F$35)*(mongodb_hardware_log!T1881&lt;BenchmarkResults!$G$3:$G$35)*ROW(BenchmarkResults!$F$3:$F$35)),{1,3})</f>
        <v>q4_category_revenue</v>
      </c>
      <c r="B1881">
        <v>2</v>
      </c>
      <c r="C1881" s="13">
        <v>1</v>
      </c>
      <c r="D1881" s="13">
        <v>0</v>
      </c>
      <c r="E1881" s="13">
        <v>214016</v>
      </c>
      <c r="F1881" s="13">
        <v>125320</v>
      </c>
      <c r="G1881" s="13">
        <v>564</v>
      </c>
      <c r="H1881" s="13">
        <v>2315592</v>
      </c>
      <c r="I1881" s="13">
        <v>6</v>
      </c>
      <c r="J1881" s="13">
        <v>0</v>
      </c>
      <c r="K1881" s="13">
        <v>18672</v>
      </c>
      <c r="L1881" s="13">
        <v>28</v>
      </c>
      <c r="M1881" s="13">
        <v>3678</v>
      </c>
      <c r="N1881" s="13">
        <v>2638</v>
      </c>
      <c r="O1881" s="13">
        <v>22</v>
      </c>
      <c r="P1881" s="13">
        <v>10</v>
      </c>
      <c r="Q1881" s="13">
        <v>44</v>
      </c>
      <c r="R1881" s="13">
        <v>23</v>
      </c>
      <c r="S1881" s="13">
        <v>1</v>
      </c>
      <c r="T1881" s="23">
        <v>46247.701805555553</v>
      </c>
      <c r="U1881" s="55">
        <f t="shared" si="87"/>
        <v>0.83333333333333337</v>
      </c>
      <c r="V1881" s="55">
        <f t="shared" si="88"/>
        <v>0.16666666666666666</v>
      </c>
      <c r="W1881" s="56">
        <f t="shared" si="89"/>
        <v>15266</v>
      </c>
    </row>
    <row r="1882" spans="1:23" x14ac:dyDescent="0.3">
      <c r="A1882" s="13" t="str" cm="1">
        <f t="array" ref="A1882:B1882">INDEX(BenchmarkResults!$B$1:$D$35,SUMPRODUCT((T1882&gt;=BenchmarkResults!$F$3:$F$35)*(mongodb_hardware_log!T1882&lt;BenchmarkResults!$G$3:$G$35)*ROW(BenchmarkResults!$F$3:$F$35)),{1,3})</f>
        <v>q4_category_revenue</v>
      </c>
      <c r="B1882">
        <v>2</v>
      </c>
      <c r="C1882" s="13">
        <v>0</v>
      </c>
      <c r="D1882" s="13">
        <v>1</v>
      </c>
      <c r="E1882" s="13">
        <v>214016</v>
      </c>
      <c r="F1882" s="13">
        <v>123060</v>
      </c>
      <c r="G1882" s="13">
        <v>572</v>
      </c>
      <c r="H1882" s="13">
        <v>2335496</v>
      </c>
      <c r="I1882" s="13">
        <v>5</v>
      </c>
      <c r="J1882" s="13">
        <v>0</v>
      </c>
      <c r="K1882" s="13">
        <v>18794</v>
      </c>
      <c r="L1882" s="13">
        <v>10</v>
      </c>
      <c r="M1882" s="13">
        <v>3182</v>
      </c>
      <c r="N1882" s="13">
        <v>2145</v>
      </c>
      <c r="O1882" s="13">
        <v>21</v>
      </c>
      <c r="P1882" s="13">
        <v>8</v>
      </c>
      <c r="Q1882" s="13">
        <v>46</v>
      </c>
      <c r="R1882" s="13">
        <v>24</v>
      </c>
      <c r="S1882" s="13">
        <v>1</v>
      </c>
      <c r="T1882" s="23">
        <v>46247.701921296299</v>
      </c>
      <c r="U1882" s="55">
        <f t="shared" si="87"/>
        <v>0.66666666666666663</v>
      </c>
      <c r="V1882" s="55">
        <f t="shared" si="88"/>
        <v>0.33333333333333331</v>
      </c>
      <c r="W1882" s="56">
        <f t="shared" si="89"/>
        <v>15777.166666666666</v>
      </c>
    </row>
    <row r="1883" spans="1:23" x14ac:dyDescent="0.3">
      <c r="A1883" s="13" t="str" cm="1">
        <f t="array" ref="A1883:B1883">INDEX(BenchmarkResults!$B$1:$D$35,SUMPRODUCT((T1883&gt;=BenchmarkResults!$F$3:$F$35)*(mongodb_hardware_log!T1883&lt;BenchmarkResults!$G$3:$G$35)*ROW(BenchmarkResults!$F$3:$F$35)),{1,3})</f>
        <v>q4_category_revenue</v>
      </c>
      <c r="B1883">
        <v>2</v>
      </c>
      <c r="C1883" s="13">
        <v>1</v>
      </c>
      <c r="D1883" s="13">
        <v>0</v>
      </c>
      <c r="E1883" s="13">
        <v>214016</v>
      </c>
      <c r="F1883" s="13">
        <v>133900</v>
      </c>
      <c r="G1883" s="13">
        <v>588</v>
      </c>
      <c r="H1883" s="13">
        <v>2327364</v>
      </c>
      <c r="I1883" s="13">
        <v>6</v>
      </c>
      <c r="J1883" s="13">
        <v>0</v>
      </c>
      <c r="K1883" s="13">
        <v>19334</v>
      </c>
      <c r="L1883" s="13">
        <v>14</v>
      </c>
      <c r="M1883" s="13">
        <v>3197</v>
      </c>
      <c r="N1883" s="13">
        <v>2202</v>
      </c>
      <c r="O1883" s="13">
        <v>20</v>
      </c>
      <c r="P1883" s="13">
        <v>10</v>
      </c>
      <c r="Q1883" s="13">
        <v>45</v>
      </c>
      <c r="R1883" s="13">
        <v>25</v>
      </c>
      <c r="S1883" s="13">
        <v>1</v>
      </c>
      <c r="T1883" s="23">
        <v>46247.702037037037</v>
      </c>
      <c r="U1883" s="55">
        <f t="shared" si="87"/>
        <v>0.83333333333333337</v>
      </c>
      <c r="V1883" s="55">
        <f t="shared" si="88"/>
        <v>0.16666666666666666</v>
      </c>
      <c r="W1883" s="56">
        <f t="shared" si="89"/>
        <v>16580.166666666668</v>
      </c>
    </row>
    <row r="1884" spans="1:23" x14ac:dyDescent="0.3">
      <c r="A1884" s="13" t="str" cm="1">
        <f t="array" ref="A1884:B1884">INDEX(BenchmarkResults!$B$1:$D$35,SUMPRODUCT((T1884&gt;=BenchmarkResults!$F$3:$F$35)*(mongodb_hardware_log!T1884&lt;BenchmarkResults!$G$3:$G$35)*ROW(BenchmarkResults!$F$3:$F$35)),{1,3})</f>
        <v>q4_category_revenue</v>
      </c>
      <c r="B1884">
        <v>2</v>
      </c>
      <c r="C1884" s="13">
        <v>2</v>
      </c>
      <c r="D1884" s="13">
        <v>0</v>
      </c>
      <c r="E1884" s="13">
        <v>214016</v>
      </c>
      <c r="F1884" s="13">
        <v>128296</v>
      </c>
      <c r="G1884" s="13">
        <v>596</v>
      </c>
      <c r="H1884" s="13">
        <v>2331216</v>
      </c>
      <c r="I1884" s="13">
        <v>2</v>
      </c>
      <c r="J1884" s="13">
        <v>0</v>
      </c>
      <c r="K1884" s="13">
        <v>18076</v>
      </c>
      <c r="L1884" s="13">
        <v>10</v>
      </c>
      <c r="M1884" s="13">
        <v>3110</v>
      </c>
      <c r="N1884" s="13">
        <v>2043</v>
      </c>
      <c r="O1884" s="13">
        <v>19</v>
      </c>
      <c r="P1884" s="13">
        <v>9</v>
      </c>
      <c r="Q1884" s="13">
        <v>46</v>
      </c>
      <c r="R1884" s="13">
        <v>26</v>
      </c>
      <c r="S1884" s="13">
        <v>1</v>
      </c>
      <c r="T1884" s="23">
        <v>46247.702152777776</v>
      </c>
      <c r="U1884" s="55">
        <f t="shared" si="87"/>
        <v>1</v>
      </c>
      <c r="V1884" s="55">
        <f t="shared" si="88"/>
        <v>0.16666666666666666</v>
      </c>
      <c r="W1884" s="56">
        <f t="shared" si="89"/>
        <v>17725</v>
      </c>
    </row>
    <row r="1885" spans="1:23" x14ac:dyDescent="0.3">
      <c r="A1885" s="13" t="str" cm="1">
        <f t="array" ref="A1885:B1885">INDEX(BenchmarkResults!$B$1:$D$35,SUMPRODUCT((T1885&gt;=BenchmarkResults!$F$3:$F$35)*(mongodb_hardware_log!T1885&lt;BenchmarkResults!$G$3:$G$35)*ROW(BenchmarkResults!$F$3:$F$35)),{1,3})</f>
        <v>q4_category_revenue</v>
      </c>
      <c r="B1885">
        <v>2</v>
      </c>
      <c r="C1885" s="13">
        <v>3</v>
      </c>
      <c r="D1885" s="13">
        <v>0</v>
      </c>
      <c r="E1885" s="13">
        <v>214272</v>
      </c>
      <c r="F1885" s="13">
        <v>124724</v>
      </c>
      <c r="G1885" s="13">
        <v>312</v>
      </c>
      <c r="H1885" s="13">
        <v>2335832</v>
      </c>
      <c r="I1885" s="13">
        <v>11</v>
      </c>
      <c r="J1885" s="13">
        <v>19</v>
      </c>
      <c r="K1885" s="13">
        <v>15598</v>
      </c>
      <c r="L1885" s="13">
        <v>57</v>
      </c>
      <c r="M1885" s="13">
        <v>2942</v>
      </c>
      <c r="N1885" s="13">
        <v>2099</v>
      </c>
      <c r="O1885" s="13">
        <v>18</v>
      </c>
      <c r="P1885" s="13">
        <v>9</v>
      </c>
      <c r="Q1885" s="13">
        <v>48</v>
      </c>
      <c r="R1885" s="13">
        <v>24</v>
      </c>
      <c r="S1885" s="13">
        <v>1</v>
      </c>
      <c r="T1885" s="23">
        <v>46247.702268518522</v>
      </c>
      <c r="U1885" s="55">
        <f t="shared" si="87"/>
        <v>1.3333333333333333</v>
      </c>
      <c r="V1885" s="55">
        <f t="shared" si="88"/>
        <v>0.16666666666666666</v>
      </c>
      <c r="W1885" s="56">
        <f t="shared" si="89"/>
        <v>17966</v>
      </c>
    </row>
    <row r="1886" spans="1:23" x14ac:dyDescent="0.3">
      <c r="A1886" s="13" t="str" cm="1">
        <f t="array" ref="A1886:B1886">INDEX(BenchmarkResults!$B$1:$D$35,SUMPRODUCT((T1886&gt;=BenchmarkResults!$F$3:$F$35)*(mongodb_hardware_log!T1886&lt;BenchmarkResults!$G$3:$G$35)*ROW(BenchmarkResults!$F$3:$F$35)),{1,3})</f>
        <v>q4_category_revenue</v>
      </c>
      <c r="B1886">
        <v>2</v>
      </c>
      <c r="C1886" s="13">
        <v>2</v>
      </c>
      <c r="D1886" s="13">
        <v>1</v>
      </c>
      <c r="E1886" s="13">
        <v>213760</v>
      </c>
      <c r="F1886" s="13">
        <v>129896</v>
      </c>
      <c r="G1886" s="13">
        <v>328</v>
      </c>
      <c r="H1886" s="13">
        <v>2326300</v>
      </c>
      <c r="I1886" s="13">
        <v>22</v>
      </c>
      <c r="J1886" s="13">
        <v>15</v>
      </c>
      <c r="K1886" s="13">
        <v>14549</v>
      </c>
      <c r="L1886" s="13">
        <v>38</v>
      </c>
      <c r="M1886" s="13">
        <v>2618</v>
      </c>
      <c r="N1886" s="13">
        <v>1753</v>
      </c>
      <c r="O1886" s="13">
        <v>19</v>
      </c>
      <c r="P1886" s="13">
        <v>7</v>
      </c>
      <c r="Q1886" s="13">
        <v>50</v>
      </c>
      <c r="R1886" s="13">
        <v>24</v>
      </c>
      <c r="S1886" s="13">
        <v>1</v>
      </c>
      <c r="T1886" s="23">
        <v>46247.702384259261</v>
      </c>
      <c r="U1886" s="55">
        <f t="shared" si="87"/>
        <v>1.5</v>
      </c>
      <c r="V1886" s="55">
        <f t="shared" si="88"/>
        <v>0.33333333333333331</v>
      </c>
      <c r="W1886" s="56">
        <f t="shared" si="89"/>
        <v>17503.833333333332</v>
      </c>
    </row>
    <row r="1887" spans="1:23" x14ac:dyDescent="0.3">
      <c r="A1887" s="13" t="str" cm="1">
        <f t="array" ref="A1887:B1887">INDEX(BenchmarkResults!$B$1:$D$35,SUMPRODUCT((T1887&gt;=BenchmarkResults!$F$3:$F$35)*(mongodb_hardware_log!T1887&lt;BenchmarkResults!$G$3:$G$35)*ROW(BenchmarkResults!$F$3:$F$35)),{1,3})</f>
        <v>q4_category_revenue</v>
      </c>
      <c r="B1887">
        <v>2</v>
      </c>
      <c r="C1887" s="13">
        <v>0</v>
      </c>
      <c r="D1887" s="13">
        <v>1</v>
      </c>
      <c r="E1887" s="13">
        <v>213760</v>
      </c>
      <c r="F1887" s="13">
        <v>140140</v>
      </c>
      <c r="G1887" s="13">
        <v>336</v>
      </c>
      <c r="H1887" s="13">
        <v>2320624</v>
      </c>
      <c r="I1887" s="13">
        <v>20</v>
      </c>
      <c r="J1887" s="13">
        <v>4</v>
      </c>
      <c r="K1887" s="13">
        <v>15758</v>
      </c>
      <c r="L1887" s="13">
        <v>16</v>
      </c>
      <c r="M1887" s="13">
        <v>2915</v>
      </c>
      <c r="N1887" s="13">
        <v>1990</v>
      </c>
      <c r="O1887" s="13">
        <v>20</v>
      </c>
      <c r="P1887" s="13">
        <v>8</v>
      </c>
      <c r="Q1887" s="13">
        <v>49</v>
      </c>
      <c r="R1887" s="13">
        <v>23</v>
      </c>
      <c r="S1887" s="13">
        <v>0</v>
      </c>
      <c r="T1887" s="23">
        <v>46247.702499999999</v>
      </c>
      <c r="U1887" s="55">
        <f t="shared" si="87"/>
        <v>1.3333333333333333</v>
      </c>
      <c r="V1887" s="55">
        <f t="shared" si="88"/>
        <v>0.5</v>
      </c>
      <c r="W1887" s="56">
        <f t="shared" si="89"/>
        <v>17018.166666666668</v>
      </c>
    </row>
    <row r="1888" spans="1:23" x14ac:dyDescent="0.3">
      <c r="A1888" s="13" t="str" cm="1">
        <f t="array" ref="A1888:B1888">INDEX(BenchmarkResults!$B$1:$D$35,SUMPRODUCT((T1888&gt;=BenchmarkResults!$F$3:$F$35)*(mongodb_hardware_log!T1888&lt;BenchmarkResults!$G$3:$G$35)*ROW(BenchmarkResults!$F$3:$F$35)),{1,3})</f>
        <v>q4_category_revenue</v>
      </c>
      <c r="B1888">
        <v>2</v>
      </c>
      <c r="C1888" s="13">
        <v>0</v>
      </c>
      <c r="D1888" s="13">
        <v>1</v>
      </c>
      <c r="E1888" s="13">
        <v>213760</v>
      </c>
      <c r="F1888" s="13">
        <v>117752</v>
      </c>
      <c r="G1888" s="13">
        <v>352</v>
      </c>
      <c r="H1888" s="13">
        <v>2340244</v>
      </c>
      <c r="I1888" s="13">
        <v>10</v>
      </c>
      <c r="J1888" s="13">
        <v>0</v>
      </c>
      <c r="K1888" s="13">
        <v>16412</v>
      </c>
      <c r="L1888" s="13">
        <v>34</v>
      </c>
      <c r="M1888" s="13">
        <v>2883</v>
      </c>
      <c r="N1888" s="13">
        <v>1957</v>
      </c>
      <c r="O1888" s="13">
        <v>19</v>
      </c>
      <c r="P1888" s="13">
        <v>7</v>
      </c>
      <c r="Q1888" s="13">
        <v>49</v>
      </c>
      <c r="R1888" s="13">
        <v>25</v>
      </c>
      <c r="S1888" s="13">
        <v>0</v>
      </c>
      <c r="T1888" s="23">
        <v>46247.702615740738</v>
      </c>
      <c r="U1888" s="55">
        <f t="shared" si="87"/>
        <v>1.3333333333333333</v>
      </c>
      <c r="V1888" s="55">
        <f t="shared" si="88"/>
        <v>0.5</v>
      </c>
      <c r="W1888" s="56">
        <f t="shared" si="89"/>
        <v>16621.166666666668</v>
      </c>
    </row>
    <row r="1889" spans="1:23" x14ac:dyDescent="0.3">
      <c r="A1889" s="13" t="str" cm="1">
        <f t="array" ref="A1889:B1889">INDEX(BenchmarkResults!$B$1:$D$35,SUMPRODUCT((T1889&gt;=BenchmarkResults!$F$3:$F$35)*(mongodb_hardware_log!T1889&lt;BenchmarkResults!$G$3:$G$35)*ROW(BenchmarkResults!$F$3:$F$35)),{1,3})</f>
        <v>q4_category_revenue</v>
      </c>
      <c r="B1889">
        <v>2</v>
      </c>
      <c r="C1889" s="13">
        <v>1</v>
      </c>
      <c r="D1889" s="13">
        <v>0</v>
      </c>
      <c r="E1889" s="13">
        <v>214528</v>
      </c>
      <c r="F1889" s="13">
        <v>114660</v>
      </c>
      <c r="G1889" s="13">
        <v>356</v>
      </c>
      <c r="H1889" s="13">
        <v>2327188</v>
      </c>
      <c r="I1889" s="13">
        <v>8</v>
      </c>
      <c r="J1889" s="13">
        <v>86</v>
      </c>
      <c r="K1889" s="13">
        <v>15169</v>
      </c>
      <c r="L1889" s="13">
        <v>95</v>
      </c>
      <c r="M1889" s="13">
        <v>2860</v>
      </c>
      <c r="N1889" s="13">
        <v>2007</v>
      </c>
      <c r="O1889" s="13">
        <v>19</v>
      </c>
      <c r="P1889" s="13">
        <v>8</v>
      </c>
      <c r="Q1889" s="13">
        <v>50</v>
      </c>
      <c r="R1889" s="13">
        <v>23</v>
      </c>
      <c r="S1889" s="13">
        <v>1</v>
      </c>
      <c r="T1889" s="23">
        <v>46247.702731481484</v>
      </c>
      <c r="U1889" s="55">
        <f t="shared" si="87"/>
        <v>1.3333333333333333</v>
      </c>
      <c r="V1889" s="55">
        <f t="shared" si="88"/>
        <v>0.5</v>
      </c>
      <c r="W1889" s="56">
        <f t="shared" si="89"/>
        <v>15927</v>
      </c>
    </row>
    <row r="1890" spans="1:23" x14ac:dyDescent="0.3">
      <c r="A1890" s="13" t="str" cm="1">
        <f t="array" ref="A1890:B1890">INDEX(BenchmarkResults!$B$1:$D$35,SUMPRODUCT((T1890&gt;=BenchmarkResults!$F$3:$F$35)*(mongodb_hardware_log!T1890&lt;BenchmarkResults!$G$3:$G$35)*ROW(BenchmarkResults!$F$3:$F$35)),{1,3})</f>
        <v>q4_category_revenue</v>
      </c>
      <c r="B1890">
        <v>2</v>
      </c>
      <c r="C1890" s="13">
        <v>2</v>
      </c>
      <c r="D1890" s="13">
        <v>0</v>
      </c>
      <c r="E1890" s="13">
        <v>214528</v>
      </c>
      <c r="F1890" s="13">
        <v>127808</v>
      </c>
      <c r="G1890" s="13">
        <v>364</v>
      </c>
      <c r="H1890" s="13">
        <v>2323016</v>
      </c>
      <c r="I1890" s="13">
        <v>6</v>
      </c>
      <c r="J1890" s="13">
        <v>0</v>
      </c>
      <c r="K1890" s="13">
        <v>15305</v>
      </c>
      <c r="L1890" s="13">
        <v>12</v>
      </c>
      <c r="M1890" s="13">
        <v>2629</v>
      </c>
      <c r="N1890" s="13">
        <v>1842</v>
      </c>
      <c r="O1890" s="13">
        <v>20</v>
      </c>
      <c r="P1890" s="13">
        <v>7</v>
      </c>
      <c r="Q1890" s="13">
        <v>50</v>
      </c>
      <c r="R1890" s="13">
        <v>22</v>
      </c>
      <c r="S1890" s="13">
        <v>0</v>
      </c>
      <c r="T1890" s="23">
        <v>46247.702847222223</v>
      </c>
      <c r="U1890" s="55">
        <f t="shared" si="87"/>
        <v>1.3333333333333333</v>
      </c>
      <c r="V1890" s="55">
        <f t="shared" si="88"/>
        <v>0.5</v>
      </c>
      <c r="W1890" s="56">
        <f t="shared" si="89"/>
        <v>15465.166666666666</v>
      </c>
    </row>
    <row r="1891" spans="1:23" x14ac:dyDescent="0.3">
      <c r="A1891" s="13" t="str" cm="1">
        <f t="array" ref="A1891:B1891">INDEX(BenchmarkResults!$B$1:$D$35,SUMPRODUCT((T1891&gt;=BenchmarkResults!$F$3:$F$35)*(mongodb_hardware_log!T1891&lt;BenchmarkResults!$G$3:$G$35)*ROW(BenchmarkResults!$F$3:$F$35)),{1,3})</f>
        <v>q4_category_revenue</v>
      </c>
      <c r="B1891">
        <v>2</v>
      </c>
      <c r="C1891" s="13">
        <v>1</v>
      </c>
      <c r="D1891" s="13">
        <v>0</v>
      </c>
      <c r="E1891" s="13">
        <v>213760</v>
      </c>
      <c r="F1891" s="13">
        <v>130800</v>
      </c>
      <c r="G1891" s="13">
        <v>524</v>
      </c>
      <c r="H1891" s="13">
        <v>2320752</v>
      </c>
      <c r="I1891" s="13">
        <v>239</v>
      </c>
      <c r="J1891" s="13">
        <v>0</v>
      </c>
      <c r="K1891" s="13">
        <v>15881</v>
      </c>
      <c r="L1891" s="13">
        <v>74</v>
      </c>
      <c r="M1891" s="13">
        <v>2732</v>
      </c>
      <c r="N1891" s="13">
        <v>1946</v>
      </c>
      <c r="O1891" s="13">
        <v>19</v>
      </c>
      <c r="P1891" s="13">
        <v>8</v>
      </c>
      <c r="Q1891" s="13">
        <v>45</v>
      </c>
      <c r="R1891" s="13">
        <v>27</v>
      </c>
      <c r="S1891" s="13">
        <v>1</v>
      </c>
      <c r="T1891" s="23">
        <v>46247.702962962961</v>
      </c>
      <c r="U1891" s="55">
        <f t="shared" si="87"/>
        <v>1</v>
      </c>
      <c r="V1891" s="55">
        <f t="shared" si="88"/>
        <v>0.5</v>
      </c>
      <c r="W1891" s="56">
        <f t="shared" si="89"/>
        <v>15512.333333333334</v>
      </c>
    </row>
    <row r="1892" spans="1:23" x14ac:dyDescent="0.3">
      <c r="A1892" s="13" t="str" cm="1">
        <f t="array" ref="A1892:B1892">INDEX(BenchmarkResults!$B$1:$D$35,SUMPRODUCT((T1892&gt;=BenchmarkResults!$F$3:$F$35)*(mongodb_hardware_log!T1892&lt;BenchmarkResults!$G$3:$G$35)*ROW(BenchmarkResults!$F$3:$F$35)),{1,3})</f>
        <v>q4_category_revenue</v>
      </c>
      <c r="B1892">
        <v>2</v>
      </c>
      <c r="C1892" s="13">
        <v>0</v>
      </c>
      <c r="D1892" s="13">
        <v>1</v>
      </c>
      <c r="E1892" s="13">
        <v>213248</v>
      </c>
      <c r="F1892" s="13">
        <v>108900</v>
      </c>
      <c r="G1892" s="13">
        <v>536</v>
      </c>
      <c r="H1892" s="13">
        <v>2342224</v>
      </c>
      <c r="I1892" s="13">
        <v>98</v>
      </c>
      <c r="J1892" s="13">
        <v>0</v>
      </c>
      <c r="K1892" s="13">
        <v>16814</v>
      </c>
      <c r="L1892" s="13">
        <v>18</v>
      </c>
      <c r="M1892" s="13">
        <v>2736</v>
      </c>
      <c r="N1892" s="13">
        <v>1809</v>
      </c>
      <c r="O1892" s="13">
        <v>19</v>
      </c>
      <c r="P1892" s="13">
        <v>8</v>
      </c>
      <c r="Q1892" s="13">
        <v>48</v>
      </c>
      <c r="R1892" s="13">
        <v>25</v>
      </c>
      <c r="S1892" s="13">
        <v>1</v>
      </c>
      <c r="T1892" s="23">
        <v>46247.7030787037</v>
      </c>
      <c r="U1892" s="55">
        <f t="shared" si="87"/>
        <v>0.66666666666666663</v>
      </c>
      <c r="V1892" s="55">
        <f t="shared" si="88"/>
        <v>0.5</v>
      </c>
      <c r="W1892" s="56">
        <f t="shared" si="89"/>
        <v>15889.833333333334</v>
      </c>
    </row>
    <row r="1893" spans="1:23" x14ac:dyDescent="0.3">
      <c r="A1893" s="13" t="str" cm="1">
        <f t="array" ref="A1893:B1893">INDEX(BenchmarkResults!$B$1:$D$35,SUMPRODUCT((T1893&gt;=BenchmarkResults!$F$3:$F$35)*(mongodb_hardware_log!T1893&lt;BenchmarkResults!$G$3:$G$35)*ROW(BenchmarkResults!$F$3:$F$35)),{1,3})</f>
        <v>q4_category_revenue</v>
      </c>
      <c r="B1893">
        <v>2</v>
      </c>
      <c r="C1893" s="13">
        <v>1</v>
      </c>
      <c r="D1893" s="13">
        <v>0</v>
      </c>
      <c r="E1893" s="13">
        <v>213248</v>
      </c>
      <c r="F1893" s="13">
        <v>123696</v>
      </c>
      <c r="G1893" s="13">
        <v>544</v>
      </c>
      <c r="H1893" s="13">
        <v>2327276</v>
      </c>
      <c r="I1893" s="13">
        <v>83</v>
      </c>
      <c r="J1893" s="13">
        <v>0</v>
      </c>
      <c r="K1893" s="13">
        <v>20465</v>
      </c>
      <c r="L1893" s="13">
        <v>13</v>
      </c>
      <c r="M1893" s="13">
        <v>2965</v>
      </c>
      <c r="N1893" s="13">
        <v>1966</v>
      </c>
      <c r="O1893" s="13">
        <v>19</v>
      </c>
      <c r="P1893" s="13">
        <v>7</v>
      </c>
      <c r="Q1893" s="13">
        <v>48</v>
      </c>
      <c r="R1893" s="13">
        <v>25</v>
      </c>
      <c r="S1893" s="13">
        <v>0</v>
      </c>
      <c r="T1893" s="23">
        <v>46247.703194444446</v>
      </c>
      <c r="U1893" s="55">
        <f t="shared" si="87"/>
        <v>0.83333333333333337</v>
      </c>
      <c r="V1893" s="55">
        <f t="shared" si="88"/>
        <v>0.33333333333333331</v>
      </c>
      <c r="W1893" s="56">
        <f t="shared" si="89"/>
        <v>16674.333333333332</v>
      </c>
    </row>
    <row r="1894" spans="1:23" x14ac:dyDescent="0.3">
      <c r="A1894" s="13" t="str" cm="1">
        <f t="array" ref="A1894:B1894">INDEX(BenchmarkResults!$B$1:$D$35,SUMPRODUCT((T1894&gt;=BenchmarkResults!$F$3:$F$35)*(mongodb_hardware_log!T1894&lt;BenchmarkResults!$G$3:$G$35)*ROW(BenchmarkResults!$F$3:$F$35)),{1,3})</f>
        <v>q4_category_revenue</v>
      </c>
      <c r="B1894">
        <v>2</v>
      </c>
      <c r="C1894" s="13">
        <v>1</v>
      </c>
      <c r="D1894" s="13">
        <v>0</v>
      </c>
      <c r="E1894" s="13">
        <v>213248</v>
      </c>
      <c r="F1894" s="13">
        <v>119148</v>
      </c>
      <c r="G1894" s="13">
        <v>568</v>
      </c>
      <c r="H1894" s="13">
        <v>2331696</v>
      </c>
      <c r="I1894" s="13">
        <v>2</v>
      </c>
      <c r="J1894" s="13">
        <v>0</v>
      </c>
      <c r="K1894" s="13">
        <v>19688</v>
      </c>
      <c r="L1894" s="13">
        <v>20</v>
      </c>
      <c r="M1894" s="13">
        <v>3220</v>
      </c>
      <c r="N1894" s="13">
        <v>2160</v>
      </c>
      <c r="O1894" s="13">
        <v>19</v>
      </c>
      <c r="P1894" s="13">
        <v>8</v>
      </c>
      <c r="Q1894" s="13">
        <v>48</v>
      </c>
      <c r="R1894" s="13">
        <v>24</v>
      </c>
      <c r="S1894" s="13">
        <v>0</v>
      </c>
      <c r="T1894" s="23">
        <v>46247.703310185185</v>
      </c>
      <c r="U1894" s="55">
        <f t="shared" si="87"/>
        <v>1</v>
      </c>
      <c r="V1894" s="55">
        <f t="shared" si="88"/>
        <v>0.16666666666666666</v>
      </c>
      <c r="W1894" s="56">
        <f t="shared" si="89"/>
        <v>17220.333333333332</v>
      </c>
    </row>
    <row r="1895" spans="1:23" x14ac:dyDescent="0.3">
      <c r="A1895" s="13" t="str" cm="1">
        <f t="array" ref="A1895:B1895">INDEX(BenchmarkResults!$B$1:$D$35,SUMPRODUCT((T1895&gt;=BenchmarkResults!$F$3:$F$35)*(mongodb_hardware_log!T1895&lt;BenchmarkResults!$G$3:$G$35)*ROW(BenchmarkResults!$F$3:$F$35)),{1,3})</f>
        <v>q4_category_revenue</v>
      </c>
      <c r="B1895">
        <v>2</v>
      </c>
      <c r="C1895" s="13">
        <v>1</v>
      </c>
      <c r="D1895" s="13">
        <v>0</v>
      </c>
      <c r="E1895" s="13">
        <v>213248</v>
      </c>
      <c r="F1895" s="13">
        <v>122428</v>
      </c>
      <c r="G1895" s="13">
        <v>576</v>
      </c>
      <c r="H1895" s="13">
        <v>2327548</v>
      </c>
      <c r="I1895" s="13">
        <v>2</v>
      </c>
      <c r="J1895" s="13">
        <v>0</v>
      </c>
      <c r="K1895" s="13">
        <v>18523</v>
      </c>
      <c r="L1895" s="13">
        <v>15</v>
      </c>
      <c r="M1895" s="13">
        <v>2863</v>
      </c>
      <c r="N1895" s="13">
        <v>2026</v>
      </c>
      <c r="O1895" s="13">
        <v>18</v>
      </c>
      <c r="P1895" s="13">
        <v>9</v>
      </c>
      <c r="Q1895" s="13">
        <v>48</v>
      </c>
      <c r="R1895" s="13">
        <v>24</v>
      </c>
      <c r="S1895" s="13">
        <v>1</v>
      </c>
      <c r="T1895" s="23">
        <v>46247.703425925924</v>
      </c>
      <c r="U1895" s="55">
        <f t="shared" si="87"/>
        <v>1</v>
      </c>
      <c r="V1895" s="55">
        <f t="shared" si="88"/>
        <v>0.16666666666666666</v>
      </c>
      <c r="W1895" s="56">
        <f t="shared" si="89"/>
        <v>17779.333333333332</v>
      </c>
    </row>
    <row r="1896" spans="1:23" x14ac:dyDescent="0.3">
      <c r="A1896" s="13" t="str" cm="1">
        <f t="array" ref="A1896:B1896">INDEX(BenchmarkResults!$B$1:$D$35,SUMPRODUCT((T1896&gt;=BenchmarkResults!$F$3:$F$35)*(mongodb_hardware_log!T1896&lt;BenchmarkResults!$G$3:$G$35)*ROW(BenchmarkResults!$F$3:$F$35)),{1,3})</f>
        <v>q4_category_revenue</v>
      </c>
      <c r="B1896">
        <v>2</v>
      </c>
      <c r="C1896" s="13">
        <v>1</v>
      </c>
      <c r="D1896" s="13">
        <v>0</v>
      </c>
      <c r="E1896" s="13">
        <v>212992</v>
      </c>
      <c r="F1896" s="13">
        <v>137060</v>
      </c>
      <c r="G1896" s="13">
        <v>584</v>
      </c>
      <c r="H1896" s="13">
        <v>2319196</v>
      </c>
      <c r="I1896" s="13">
        <v>6</v>
      </c>
      <c r="J1896" s="13">
        <v>0</v>
      </c>
      <c r="K1896" s="13">
        <v>17376</v>
      </c>
      <c r="L1896" s="13">
        <v>26</v>
      </c>
      <c r="M1896" s="13">
        <v>2898</v>
      </c>
      <c r="N1896" s="13">
        <v>1957</v>
      </c>
      <c r="O1896" s="13">
        <v>19</v>
      </c>
      <c r="P1896" s="13">
        <v>7</v>
      </c>
      <c r="Q1896" s="13">
        <v>49</v>
      </c>
      <c r="R1896" s="13">
        <v>24</v>
      </c>
      <c r="S1896" s="13">
        <v>0</v>
      </c>
      <c r="T1896" s="23">
        <v>46247.703541666669</v>
      </c>
      <c r="U1896" s="55">
        <f t="shared" si="87"/>
        <v>0.83333333333333337</v>
      </c>
      <c r="V1896" s="55">
        <f t="shared" si="88"/>
        <v>0.16666666666666666</v>
      </c>
      <c r="W1896" s="56">
        <f t="shared" si="89"/>
        <v>18124.5</v>
      </c>
    </row>
    <row r="1897" spans="1:23" x14ac:dyDescent="0.3">
      <c r="A1897" s="13" t="str" cm="1">
        <f t="array" ref="A1897:B1897">INDEX(BenchmarkResults!$B$1:$D$35,SUMPRODUCT((T1897&gt;=BenchmarkResults!$F$3:$F$35)*(mongodb_hardware_log!T1897&lt;BenchmarkResults!$G$3:$G$35)*ROW(BenchmarkResults!$F$3:$F$35)),{1,3})</f>
        <v>q4_category_revenue</v>
      </c>
      <c r="B1897">
        <v>2</v>
      </c>
      <c r="C1897" s="13">
        <v>0</v>
      </c>
      <c r="D1897" s="13">
        <v>1</v>
      </c>
      <c r="E1897" s="13">
        <v>212992</v>
      </c>
      <c r="F1897" s="13">
        <v>124548</v>
      </c>
      <c r="G1897" s="13">
        <v>224</v>
      </c>
      <c r="H1897" s="13">
        <v>2332368</v>
      </c>
      <c r="I1897" s="13">
        <v>8</v>
      </c>
      <c r="J1897" s="13">
        <v>16</v>
      </c>
      <c r="K1897" s="13">
        <v>17625</v>
      </c>
      <c r="L1897" s="13">
        <v>54</v>
      </c>
      <c r="M1897" s="13">
        <v>3013</v>
      </c>
      <c r="N1897" s="13">
        <v>1944</v>
      </c>
      <c r="O1897" s="13">
        <v>21</v>
      </c>
      <c r="P1897" s="13">
        <v>7</v>
      </c>
      <c r="Q1897" s="13">
        <v>47</v>
      </c>
      <c r="R1897" s="13">
        <v>24</v>
      </c>
      <c r="S1897" s="13">
        <v>0</v>
      </c>
      <c r="T1897" s="23">
        <v>46247.703657407408</v>
      </c>
      <c r="U1897" s="55">
        <f t="shared" si="87"/>
        <v>0.66666666666666663</v>
      </c>
      <c r="V1897" s="55">
        <f t="shared" si="88"/>
        <v>0.33333333333333331</v>
      </c>
      <c r="W1897" s="56">
        <f t="shared" si="89"/>
        <v>18415.166666666668</v>
      </c>
    </row>
    <row r="1898" spans="1:23" x14ac:dyDescent="0.3">
      <c r="A1898" s="13" t="str" cm="1">
        <f t="array" ref="A1898:B1898">INDEX(BenchmarkResults!$B$1:$D$35,SUMPRODUCT((T1898&gt;=BenchmarkResults!$F$3:$F$35)*(mongodb_hardware_log!T1898&lt;BenchmarkResults!$G$3:$G$35)*ROW(BenchmarkResults!$F$3:$F$35)),{1,3})</f>
        <v>q4_category_revenue</v>
      </c>
      <c r="B1898">
        <v>2</v>
      </c>
      <c r="C1898" s="13">
        <v>0</v>
      </c>
      <c r="D1898" s="13">
        <v>1</v>
      </c>
      <c r="E1898" s="13">
        <v>212992</v>
      </c>
      <c r="F1898" s="13">
        <v>118360</v>
      </c>
      <c r="G1898" s="13">
        <v>236</v>
      </c>
      <c r="H1898" s="13">
        <v>2337968</v>
      </c>
      <c r="I1898" s="13">
        <v>10</v>
      </c>
      <c r="J1898" s="13">
        <v>0</v>
      </c>
      <c r="K1898" s="13">
        <v>16666</v>
      </c>
      <c r="L1898" s="13">
        <v>16</v>
      </c>
      <c r="M1898" s="13">
        <v>3132</v>
      </c>
      <c r="N1898" s="13">
        <v>2118</v>
      </c>
      <c r="O1898" s="13">
        <v>18</v>
      </c>
      <c r="P1898" s="13">
        <v>8</v>
      </c>
      <c r="Q1898" s="13">
        <v>46</v>
      </c>
      <c r="R1898" s="13">
        <v>28</v>
      </c>
      <c r="S1898" s="13">
        <v>1</v>
      </c>
      <c r="T1898" s="23">
        <v>46247.703773148147</v>
      </c>
      <c r="U1898" s="55">
        <f t="shared" si="87"/>
        <v>0.66666666666666663</v>
      </c>
      <c r="V1898" s="55">
        <f t="shared" si="88"/>
        <v>0.33333333333333331</v>
      </c>
      <c r="W1898" s="56">
        <f t="shared" si="89"/>
        <v>18390.5</v>
      </c>
    </row>
    <row r="1899" spans="1:23" x14ac:dyDescent="0.3">
      <c r="A1899" s="13" t="str" cm="1">
        <f t="array" ref="A1899:B1899">INDEX(BenchmarkResults!$B$1:$D$35,SUMPRODUCT((T1899&gt;=BenchmarkResults!$F$3:$F$35)*(mongodb_hardware_log!T1899&lt;BenchmarkResults!$G$3:$G$35)*ROW(BenchmarkResults!$F$3:$F$35)),{1,3})</f>
        <v>q4_category_revenue</v>
      </c>
      <c r="B1899">
        <v>2</v>
      </c>
      <c r="C1899" s="13">
        <v>0</v>
      </c>
      <c r="D1899" s="13">
        <v>1</v>
      </c>
      <c r="E1899" s="13">
        <v>212992</v>
      </c>
      <c r="F1899" s="13">
        <v>107900</v>
      </c>
      <c r="G1899" s="13">
        <v>244</v>
      </c>
      <c r="H1899" s="13">
        <v>2346880</v>
      </c>
      <c r="I1899" s="13">
        <v>4</v>
      </c>
      <c r="J1899" s="13">
        <v>1</v>
      </c>
      <c r="K1899" s="13">
        <v>17977</v>
      </c>
      <c r="L1899" s="13">
        <v>14</v>
      </c>
      <c r="M1899" s="13">
        <v>3328</v>
      </c>
      <c r="N1899" s="13">
        <v>2237</v>
      </c>
      <c r="O1899" s="13">
        <v>20</v>
      </c>
      <c r="P1899" s="13">
        <v>8</v>
      </c>
      <c r="Q1899" s="13">
        <v>45</v>
      </c>
      <c r="R1899" s="13">
        <v>26</v>
      </c>
      <c r="S1899" s="13">
        <v>1</v>
      </c>
      <c r="T1899" s="23">
        <v>46247.703888888886</v>
      </c>
      <c r="U1899" s="55">
        <f t="shared" si="87"/>
        <v>0.5</v>
      </c>
      <c r="V1899" s="55">
        <f t="shared" si="88"/>
        <v>0.5</v>
      </c>
      <c r="W1899" s="56">
        <f t="shared" si="89"/>
        <v>17975.833333333332</v>
      </c>
    </row>
    <row r="1900" spans="1:23" x14ac:dyDescent="0.3">
      <c r="A1900" s="13" t="str" cm="1">
        <f t="array" ref="A1900:B1900">INDEX(BenchmarkResults!$B$1:$D$35,SUMPRODUCT((T1900&gt;=BenchmarkResults!$F$3:$F$35)*(mongodb_hardware_log!T1900&lt;BenchmarkResults!$G$3:$G$35)*ROW(BenchmarkResults!$F$3:$F$35)),{1,3})</f>
        <v>q4_category_revenue</v>
      </c>
      <c r="B1900">
        <v>2</v>
      </c>
      <c r="C1900" s="13">
        <v>2</v>
      </c>
      <c r="D1900" s="13">
        <v>0</v>
      </c>
      <c r="E1900" s="13">
        <v>216320</v>
      </c>
      <c r="F1900" s="13">
        <v>108052</v>
      </c>
      <c r="G1900" s="13">
        <v>244</v>
      </c>
      <c r="H1900" s="13">
        <v>2352236</v>
      </c>
      <c r="I1900" s="13">
        <v>11</v>
      </c>
      <c r="J1900" s="13">
        <v>359</v>
      </c>
      <c r="K1900" s="13">
        <v>18162</v>
      </c>
      <c r="L1900" s="13">
        <v>394</v>
      </c>
      <c r="M1900" s="13">
        <v>3561</v>
      </c>
      <c r="N1900" s="13">
        <v>2400</v>
      </c>
      <c r="O1900" s="13">
        <v>22</v>
      </c>
      <c r="P1900" s="13">
        <v>9</v>
      </c>
      <c r="Q1900" s="13">
        <v>45</v>
      </c>
      <c r="R1900" s="13">
        <v>24</v>
      </c>
      <c r="S1900" s="13">
        <v>0</v>
      </c>
      <c r="T1900" s="23">
        <v>46247.704004629632</v>
      </c>
      <c r="U1900" s="55">
        <f t="shared" si="87"/>
        <v>0.66666666666666663</v>
      </c>
      <c r="V1900" s="55">
        <f t="shared" si="88"/>
        <v>0.5</v>
      </c>
      <c r="W1900" s="56">
        <f t="shared" si="89"/>
        <v>17721.5</v>
      </c>
    </row>
    <row r="1901" spans="1:23" x14ac:dyDescent="0.3">
      <c r="A1901" s="13" t="str" cm="1">
        <f t="array" ref="A1901:B1901">INDEX(BenchmarkResults!$B$1:$D$35,SUMPRODUCT((T1901&gt;=BenchmarkResults!$F$3:$F$35)*(mongodb_hardware_log!T1901&lt;BenchmarkResults!$G$3:$G$35)*ROW(BenchmarkResults!$F$3:$F$35)),{1,3})</f>
        <v>q4_category_revenue</v>
      </c>
      <c r="B1901">
        <v>2</v>
      </c>
      <c r="C1901" s="13">
        <v>0</v>
      </c>
      <c r="D1901" s="13">
        <v>1</v>
      </c>
      <c r="E1901" s="13">
        <v>216320</v>
      </c>
      <c r="F1901" s="13">
        <v>135888</v>
      </c>
      <c r="G1901" s="13">
        <v>252</v>
      </c>
      <c r="H1901" s="13">
        <v>2310992</v>
      </c>
      <c r="I1901" s="13">
        <v>5</v>
      </c>
      <c r="J1901" s="13">
        <v>0</v>
      </c>
      <c r="K1901" s="13">
        <v>16716</v>
      </c>
      <c r="L1901" s="13">
        <v>13</v>
      </c>
      <c r="M1901" s="13">
        <v>3304</v>
      </c>
      <c r="N1901" s="13">
        <v>2332</v>
      </c>
      <c r="O1901" s="13">
        <v>22</v>
      </c>
      <c r="P1901" s="13">
        <v>9</v>
      </c>
      <c r="Q1901" s="13">
        <v>45</v>
      </c>
      <c r="R1901" s="13">
        <v>23</v>
      </c>
      <c r="S1901" s="13">
        <v>1</v>
      </c>
      <c r="T1901" s="23">
        <v>46247.70412037037</v>
      </c>
      <c r="U1901" s="55">
        <f t="shared" si="87"/>
        <v>0.5</v>
      </c>
      <c r="V1901" s="55">
        <f t="shared" si="88"/>
        <v>0.66666666666666663</v>
      </c>
      <c r="W1901" s="56">
        <f t="shared" si="89"/>
        <v>17420.333333333332</v>
      </c>
    </row>
    <row r="1902" spans="1:23" x14ac:dyDescent="0.3">
      <c r="A1902" s="13" t="str" cm="1">
        <f t="array" ref="A1902:B1902">INDEX(BenchmarkResults!$B$1:$D$35,SUMPRODUCT((T1902&gt;=BenchmarkResults!$F$3:$F$35)*(mongodb_hardware_log!T1902&lt;BenchmarkResults!$G$3:$G$35)*ROW(BenchmarkResults!$F$3:$F$35)),{1,3})</f>
        <v>q4_category_revenue</v>
      </c>
      <c r="B1902">
        <v>2</v>
      </c>
      <c r="C1902" s="13">
        <v>4</v>
      </c>
      <c r="D1902" s="13">
        <v>0</v>
      </c>
      <c r="E1902" s="13">
        <v>216064</v>
      </c>
      <c r="F1902" s="13">
        <v>138800</v>
      </c>
      <c r="G1902" s="13">
        <v>300</v>
      </c>
      <c r="H1902" s="13">
        <v>2313760</v>
      </c>
      <c r="I1902" s="13">
        <v>57</v>
      </c>
      <c r="J1902" s="13">
        <v>0</v>
      </c>
      <c r="K1902" s="13">
        <v>16616</v>
      </c>
      <c r="L1902" s="13">
        <v>10</v>
      </c>
      <c r="M1902" s="13">
        <v>2779</v>
      </c>
      <c r="N1902" s="13">
        <v>1806</v>
      </c>
      <c r="O1902" s="13">
        <v>19</v>
      </c>
      <c r="P1902" s="13">
        <v>7</v>
      </c>
      <c r="Q1902" s="13">
        <v>48</v>
      </c>
      <c r="R1902" s="13">
        <v>25</v>
      </c>
      <c r="S1902" s="13">
        <v>1</v>
      </c>
      <c r="T1902" s="23">
        <v>46247.704236111109</v>
      </c>
      <c r="U1902" s="55">
        <f t="shared" si="87"/>
        <v>1</v>
      </c>
      <c r="V1902" s="55">
        <f t="shared" si="88"/>
        <v>0.66666666666666663</v>
      </c>
      <c r="W1902" s="56">
        <f t="shared" si="89"/>
        <v>17293.666666666668</v>
      </c>
    </row>
    <row r="1903" spans="1:23" x14ac:dyDescent="0.3">
      <c r="A1903" s="13" t="str" cm="1">
        <f t="array" ref="A1903:B1903">INDEX(BenchmarkResults!$B$1:$D$35,SUMPRODUCT((T1903&gt;=BenchmarkResults!$F$3:$F$35)*(mongodb_hardware_log!T1903&lt;BenchmarkResults!$G$3:$G$35)*ROW(BenchmarkResults!$F$3:$F$35)),{1,3})</f>
        <v>q4_category_revenue</v>
      </c>
      <c r="B1903">
        <v>2</v>
      </c>
      <c r="C1903" s="13">
        <v>0</v>
      </c>
      <c r="D1903" s="13">
        <v>1</v>
      </c>
      <c r="E1903" s="13">
        <v>216064</v>
      </c>
      <c r="F1903" s="13">
        <v>138632</v>
      </c>
      <c r="G1903" s="13">
        <v>352</v>
      </c>
      <c r="H1903" s="13">
        <v>2319820</v>
      </c>
      <c r="I1903" s="13">
        <v>8</v>
      </c>
      <c r="J1903" s="13">
        <v>0</v>
      </c>
      <c r="K1903" s="13">
        <v>15123</v>
      </c>
      <c r="L1903" s="13">
        <v>46</v>
      </c>
      <c r="M1903" s="13">
        <v>2778</v>
      </c>
      <c r="N1903" s="13">
        <v>1897</v>
      </c>
      <c r="O1903" s="13">
        <v>19</v>
      </c>
      <c r="P1903" s="13">
        <v>8</v>
      </c>
      <c r="Q1903" s="13">
        <v>49</v>
      </c>
      <c r="R1903" s="13">
        <v>23</v>
      </c>
      <c r="S1903" s="13">
        <v>1</v>
      </c>
      <c r="T1903" s="23">
        <v>46247.704351851855</v>
      </c>
      <c r="U1903" s="55">
        <f t="shared" si="87"/>
        <v>1</v>
      </c>
      <c r="V1903" s="55">
        <f t="shared" si="88"/>
        <v>0.66666666666666663</v>
      </c>
      <c r="W1903" s="56">
        <f t="shared" si="89"/>
        <v>16876.666666666668</v>
      </c>
    </row>
    <row r="1904" spans="1:23" x14ac:dyDescent="0.3">
      <c r="A1904" s="13" t="str" cm="1">
        <f t="array" ref="A1904:B1904">INDEX(BenchmarkResults!$B$1:$D$35,SUMPRODUCT((T1904&gt;=BenchmarkResults!$F$3:$F$35)*(mongodb_hardware_log!T1904&lt;BenchmarkResults!$G$3:$G$35)*ROW(BenchmarkResults!$F$3:$F$35)),{1,3})</f>
        <v>q4_category_revenue</v>
      </c>
      <c r="B1904">
        <v>2</v>
      </c>
      <c r="C1904" s="13">
        <v>1</v>
      </c>
      <c r="D1904" s="13">
        <v>0</v>
      </c>
      <c r="E1904" s="13">
        <v>215808</v>
      </c>
      <c r="F1904" s="13">
        <v>124376</v>
      </c>
      <c r="G1904" s="13">
        <v>368</v>
      </c>
      <c r="H1904" s="13">
        <v>2331520</v>
      </c>
      <c r="I1904" s="13">
        <v>20</v>
      </c>
      <c r="J1904" s="13">
        <v>0</v>
      </c>
      <c r="K1904" s="13">
        <v>17591</v>
      </c>
      <c r="L1904" s="13">
        <v>16</v>
      </c>
      <c r="M1904" s="13">
        <v>2619</v>
      </c>
      <c r="N1904" s="13">
        <v>1637</v>
      </c>
      <c r="O1904" s="13">
        <v>18</v>
      </c>
      <c r="P1904" s="13">
        <v>6</v>
      </c>
      <c r="Q1904" s="13">
        <v>48</v>
      </c>
      <c r="R1904" s="13">
        <v>27</v>
      </c>
      <c r="S1904" s="13">
        <v>1</v>
      </c>
      <c r="T1904" s="23">
        <v>46247.704467592594</v>
      </c>
      <c r="U1904" s="55">
        <f t="shared" si="87"/>
        <v>1.1666666666666667</v>
      </c>
      <c r="V1904" s="55">
        <f t="shared" si="88"/>
        <v>0.5</v>
      </c>
      <c r="W1904" s="56">
        <f t="shared" si="89"/>
        <v>17030.833333333332</v>
      </c>
    </row>
    <row r="1905" spans="1:23" x14ac:dyDescent="0.3">
      <c r="A1905" s="13" t="str" cm="1">
        <f t="array" ref="A1905:B1905">INDEX(BenchmarkResults!$B$1:$D$35,SUMPRODUCT((T1905&gt;=BenchmarkResults!$F$3:$F$35)*(mongodb_hardware_log!T1905&lt;BenchmarkResults!$G$3:$G$35)*ROW(BenchmarkResults!$F$3:$F$35)),{1,3})</f>
        <v>q4_category_revenue</v>
      </c>
      <c r="B1905">
        <v>2</v>
      </c>
      <c r="C1905" s="13">
        <v>0</v>
      </c>
      <c r="D1905" s="13">
        <v>1</v>
      </c>
      <c r="E1905" s="13">
        <v>215808</v>
      </c>
      <c r="F1905" s="13">
        <v>123512</v>
      </c>
      <c r="G1905" s="13">
        <v>376</v>
      </c>
      <c r="H1905" s="13">
        <v>2332992</v>
      </c>
      <c r="I1905" s="13">
        <v>7</v>
      </c>
      <c r="J1905" s="13">
        <v>0</v>
      </c>
      <c r="K1905" s="13">
        <v>16798</v>
      </c>
      <c r="L1905" s="13">
        <v>28</v>
      </c>
      <c r="M1905" s="13">
        <v>2744</v>
      </c>
      <c r="N1905" s="13">
        <v>1893</v>
      </c>
      <c r="O1905" s="13">
        <v>19</v>
      </c>
      <c r="P1905" s="13">
        <v>7</v>
      </c>
      <c r="Q1905" s="13">
        <v>50</v>
      </c>
      <c r="R1905" s="13">
        <v>24</v>
      </c>
      <c r="S1905" s="13">
        <v>0</v>
      </c>
      <c r="T1905" s="23">
        <v>46247.704583333332</v>
      </c>
      <c r="U1905" s="55">
        <f t="shared" si="87"/>
        <v>1.1666666666666667</v>
      </c>
      <c r="V1905" s="55">
        <f t="shared" si="88"/>
        <v>0.5</v>
      </c>
      <c r="W1905" s="56">
        <f t="shared" si="89"/>
        <v>16834.333333333332</v>
      </c>
    </row>
    <row r="1906" spans="1:23" x14ac:dyDescent="0.3">
      <c r="A1906" s="13" t="str" cm="1">
        <f t="array" ref="A1906:B1906">INDEX(BenchmarkResults!$B$1:$D$35,SUMPRODUCT((T1906&gt;=BenchmarkResults!$F$3:$F$35)*(mongodb_hardware_log!T1906&lt;BenchmarkResults!$G$3:$G$35)*ROW(BenchmarkResults!$F$3:$F$35)),{1,3})</f>
        <v>q4_category_revenue</v>
      </c>
      <c r="B1906">
        <v>2</v>
      </c>
      <c r="C1906" s="13">
        <v>1</v>
      </c>
      <c r="D1906" s="13">
        <v>0</v>
      </c>
      <c r="E1906" s="13">
        <v>215808</v>
      </c>
      <c r="F1906" s="13">
        <v>130080</v>
      </c>
      <c r="G1906" s="13">
        <v>384</v>
      </c>
      <c r="H1906" s="13">
        <v>2320044</v>
      </c>
      <c r="I1906" s="13">
        <v>2</v>
      </c>
      <c r="J1906" s="13">
        <v>0</v>
      </c>
      <c r="K1906" s="13">
        <v>17806</v>
      </c>
      <c r="L1906" s="13">
        <v>10</v>
      </c>
      <c r="M1906" s="13">
        <v>2849</v>
      </c>
      <c r="N1906" s="13">
        <v>1874</v>
      </c>
      <c r="O1906" s="13">
        <v>19</v>
      </c>
      <c r="P1906" s="13">
        <v>8</v>
      </c>
      <c r="Q1906" s="13">
        <v>49</v>
      </c>
      <c r="R1906" s="13">
        <v>24</v>
      </c>
      <c r="S1906" s="13">
        <v>0</v>
      </c>
      <c r="T1906" s="23">
        <v>46247.704699074071</v>
      </c>
      <c r="U1906" s="55">
        <f t="shared" si="87"/>
        <v>1</v>
      </c>
      <c r="V1906" s="55">
        <f t="shared" si="88"/>
        <v>0.5</v>
      </c>
      <c r="W1906" s="56">
        <f t="shared" si="89"/>
        <v>16775</v>
      </c>
    </row>
    <row r="1907" spans="1:23" x14ac:dyDescent="0.3">
      <c r="A1907" s="13" t="str" cm="1">
        <f t="array" ref="A1907:B1907">INDEX(BenchmarkResults!$B$1:$D$35,SUMPRODUCT((T1907&gt;=BenchmarkResults!$F$3:$F$35)*(mongodb_hardware_log!T1907&lt;BenchmarkResults!$G$3:$G$35)*ROW(BenchmarkResults!$F$3:$F$35)),{1,3})</f>
        <v>q4_category_revenue</v>
      </c>
      <c r="B1907">
        <v>2</v>
      </c>
      <c r="C1907" s="13">
        <v>1</v>
      </c>
      <c r="D1907" s="13">
        <v>0</v>
      </c>
      <c r="E1907" s="13">
        <v>215808</v>
      </c>
      <c r="F1907" s="13">
        <v>109488</v>
      </c>
      <c r="G1907" s="13">
        <v>392</v>
      </c>
      <c r="H1907" s="13">
        <v>2335028</v>
      </c>
      <c r="I1907" s="13">
        <v>2</v>
      </c>
      <c r="J1907" s="13">
        <v>0</v>
      </c>
      <c r="K1907" s="13">
        <v>17444</v>
      </c>
      <c r="L1907" s="13">
        <v>18</v>
      </c>
      <c r="M1907" s="13">
        <v>2852</v>
      </c>
      <c r="N1907" s="13">
        <v>1833</v>
      </c>
      <c r="O1907" s="13">
        <v>19</v>
      </c>
      <c r="P1907" s="13">
        <v>7</v>
      </c>
      <c r="Q1907" s="13">
        <v>49</v>
      </c>
      <c r="R1907" s="13">
        <v>25</v>
      </c>
      <c r="S1907" s="13">
        <v>0</v>
      </c>
      <c r="T1907" s="23">
        <v>46247.704814814817</v>
      </c>
      <c r="U1907" s="55">
        <f t="shared" si="87"/>
        <v>1.1666666666666667</v>
      </c>
      <c r="V1907" s="55">
        <f t="shared" si="88"/>
        <v>0.33333333333333331</v>
      </c>
      <c r="W1907" s="56">
        <f t="shared" si="89"/>
        <v>16896.333333333332</v>
      </c>
    </row>
    <row r="1908" spans="1:23" x14ac:dyDescent="0.3">
      <c r="A1908" s="13" t="str" cm="1">
        <f t="array" ref="A1908:B1908">INDEX(BenchmarkResults!$B$1:$D$35,SUMPRODUCT((T1908&gt;=BenchmarkResults!$F$3:$F$35)*(mongodb_hardware_log!T1908&lt;BenchmarkResults!$G$3:$G$35)*ROW(BenchmarkResults!$F$3:$F$35)),{1,3})</f>
        <v>q4_category_revenue</v>
      </c>
      <c r="B1908">
        <v>2</v>
      </c>
      <c r="C1908" s="13">
        <v>0</v>
      </c>
      <c r="D1908" s="13">
        <v>1</v>
      </c>
      <c r="E1908" s="13">
        <v>215808</v>
      </c>
      <c r="F1908" s="13">
        <v>150008</v>
      </c>
      <c r="G1908" s="13">
        <v>232</v>
      </c>
      <c r="H1908" s="13">
        <v>2309860</v>
      </c>
      <c r="I1908" s="13">
        <v>8</v>
      </c>
      <c r="J1908" s="13">
        <v>2</v>
      </c>
      <c r="K1908" s="13">
        <v>14001</v>
      </c>
      <c r="L1908" s="13">
        <v>11</v>
      </c>
      <c r="M1908" s="13">
        <v>2943</v>
      </c>
      <c r="N1908" s="13">
        <v>2151</v>
      </c>
      <c r="O1908" s="13">
        <v>19</v>
      </c>
      <c r="P1908" s="13">
        <v>9</v>
      </c>
      <c r="Q1908" s="13">
        <v>48</v>
      </c>
      <c r="R1908" s="13">
        <v>24</v>
      </c>
      <c r="S1908" s="13">
        <v>1</v>
      </c>
      <c r="T1908" s="23">
        <v>46247.704930555556</v>
      </c>
      <c r="U1908" s="55">
        <f t="shared" si="87"/>
        <v>0.5</v>
      </c>
      <c r="V1908" s="55">
        <f t="shared" si="88"/>
        <v>0.5</v>
      </c>
      <c r="W1908" s="56">
        <f t="shared" si="89"/>
        <v>16460.5</v>
      </c>
    </row>
    <row r="1909" spans="1:23" x14ac:dyDescent="0.3">
      <c r="A1909" s="13" t="str" cm="1">
        <f t="array" ref="A1909:B1909">INDEX(BenchmarkResults!$B$1:$D$35,SUMPRODUCT((T1909&gt;=BenchmarkResults!$F$3:$F$35)*(mongodb_hardware_log!T1909&lt;BenchmarkResults!$G$3:$G$35)*ROW(BenchmarkResults!$F$3:$F$35)),{1,3})</f>
        <v>q4_category_revenue</v>
      </c>
      <c r="B1909">
        <v>2</v>
      </c>
      <c r="C1909" s="13">
        <v>0</v>
      </c>
      <c r="D1909" s="13">
        <v>1</v>
      </c>
      <c r="E1909" s="13">
        <v>215808</v>
      </c>
      <c r="F1909" s="13">
        <v>141848</v>
      </c>
      <c r="G1909" s="13">
        <v>264</v>
      </c>
      <c r="H1909" s="13">
        <v>2318064</v>
      </c>
      <c r="I1909" s="13">
        <v>1</v>
      </c>
      <c r="J1909" s="13">
        <v>8</v>
      </c>
      <c r="K1909" s="13">
        <v>16552</v>
      </c>
      <c r="L1909" s="13">
        <v>50</v>
      </c>
      <c r="M1909" s="13">
        <v>2867</v>
      </c>
      <c r="N1909" s="13">
        <v>2005</v>
      </c>
      <c r="O1909" s="13">
        <v>19</v>
      </c>
      <c r="P1909" s="13">
        <v>7</v>
      </c>
      <c r="Q1909" s="13">
        <v>50</v>
      </c>
      <c r="R1909" s="13">
        <v>23</v>
      </c>
      <c r="S1909" s="13">
        <v>0</v>
      </c>
      <c r="T1909" s="23">
        <v>46247.705046296294</v>
      </c>
      <c r="U1909" s="55">
        <f t="shared" si="87"/>
        <v>0.5</v>
      </c>
      <c r="V1909" s="55">
        <f t="shared" si="88"/>
        <v>0.5</v>
      </c>
      <c r="W1909" s="56">
        <f t="shared" si="89"/>
        <v>16698.666666666668</v>
      </c>
    </row>
    <row r="1910" spans="1:23" x14ac:dyDescent="0.3">
      <c r="A1910" s="13" t="str" cm="1">
        <f t="array" ref="A1910:B1910">INDEX(BenchmarkResults!$B$1:$D$35,SUMPRODUCT((T1910&gt;=BenchmarkResults!$F$3:$F$35)*(mongodb_hardware_log!T1910&lt;BenchmarkResults!$G$3:$G$35)*ROW(BenchmarkResults!$F$3:$F$35)),{1,3})</f>
        <v>q4_category_revenue</v>
      </c>
      <c r="B1910">
        <v>2</v>
      </c>
      <c r="C1910" s="13">
        <v>0</v>
      </c>
      <c r="D1910" s="13">
        <v>1</v>
      </c>
      <c r="E1910" s="13">
        <v>212992</v>
      </c>
      <c r="F1910" s="13">
        <v>124736</v>
      </c>
      <c r="G1910" s="13">
        <v>272</v>
      </c>
      <c r="H1910" s="13">
        <v>2328880</v>
      </c>
      <c r="I1910" s="13">
        <v>42</v>
      </c>
      <c r="J1910" s="13">
        <v>0</v>
      </c>
      <c r="K1910" s="13">
        <v>16581</v>
      </c>
      <c r="L1910" s="13">
        <v>5</v>
      </c>
      <c r="M1910" s="13">
        <v>2804</v>
      </c>
      <c r="N1910" s="13">
        <v>2022</v>
      </c>
      <c r="O1910" s="13">
        <v>19</v>
      </c>
      <c r="P1910" s="13">
        <v>7</v>
      </c>
      <c r="Q1910" s="13">
        <v>49</v>
      </c>
      <c r="R1910" s="13">
        <v>24</v>
      </c>
      <c r="S1910" s="13">
        <v>0</v>
      </c>
      <c r="T1910" s="23">
        <v>46247.70516203704</v>
      </c>
      <c r="U1910" s="55">
        <f t="shared" si="87"/>
        <v>0.33333333333333331</v>
      </c>
      <c r="V1910" s="55">
        <f t="shared" si="88"/>
        <v>0.66666666666666663</v>
      </c>
      <c r="W1910" s="56">
        <f t="shared" si="89"/>
        <v>16530.333333333332</v>
      </c>
    </row>
    <row r="1911" spans="1:23" x14ac:dyDescent="0.3">
      <c r="A1911" s="13" t="str" cm="1">
        <f t="array" ref="A1911:B1911">INDEX(BenchmarkResults!$B$1:$D$35,SUMPRODUCT((T1911&gt;=BenchmarkResults!$F$3:$F$35)*(mongodb_hardware_log!T1911&lt;BenchmarkResults!$G$3:$G$35)*ROW(BenchmarkResults!$F$3:$F$35)),{1,3})</f>
        <v>q4_category_revenue</v>
      </c>
      <c r="B1911">
        <v>3</v>
      </c>
      <c r="C1911" s="13">
        <v>0</v>
      </c>
      <c r="D1911" s="13">
        <v>1</v>
      </c>
      <c r="E1911" s="13">
        <v>212992</v>
      </c>
      <c r="F1911" s="13">
        <v>193464</v>
      </c>
      <c r="G1911" s="13">
        <v>300</v>
      </c>
      <c r="H1911" s="13">
        <v>2259240</v>
      </c>
      <c r="I1911" s="13">
        <v>45</v>
      </c>
      <c r="J1911" s="13">
        <v>45</v>
      </c>
      <c r="K1911" s="13">
        <v>15867</v>
      </c>
      <c r="L1911" s="13">
        <v>74</v>
      </c>
      <c r="M1911" s="13">
        <v>2701</v>
      </c>
      <c r="N1911" s="13">
        <v>1757</v>
      </c>
      <c r="O1911" s="13">
        <v>19</v>
      </c>
      <c r="P1911" s="13">
        <v>7</v>
      </c>
      <c r="Q1911" s="13">
        <v>49</v>
      </c>
      <c r="R1911" s="13">
        <v>24</v>
      </c>
      <c r="S1911" s="13">
        <v>0</v>
      </c>
      <c r="T1911" s="23">
        <v>46247.705277777779</v>
      </c>
      <c r="U1911" s="55">
        <f t="shared" si="87"/>
        <v>0.33333333333333331</v>
      </c>
      <c r="V1911" s="55">
        <f t="shared" si="88"/>
        <v>0.66666666666666663</v>
      </c>
      <c r="W1911" s="56">
        <f t="shared" si="89"/>
        <v>16375.166666666666</v>
      </c>
    </row>
    <row r="1912" spans="1:23" x14ac:dyDescent="0.3">
      <c r="A1912" s="13" t="str" cm="1">
        <f t="array" ref="A1912:B1912">INDEX(BenchmarkResults!$B$1:$D$35,SUMPRODUCT((T1912&gt;=BenchmarkResults!$F$3:$F$35)*(mongodb_hardware_log!T1912&lt;BenchmarkResults!$G$3:$G$35)*ROW(BenchmarkResults!$F$3:$F$35)),{1,3})</f>
        <v>q4_category_revenue</v>
      </c>
      <c r="B1912">
        <v>3</v>
      </c>
      <c r="C1912" s="13">
        <v>2</v>
      </c>
      <c r="D1912" s="13">
        <v>0</v>
      </c>
      <c r="E1912" s="13">
        <v>212736</v>
      </c>
      <c r="F1912" s="13">
        <v>130064</v>
      </c>
      <c r="G1912" s="13">
        <v>312</v>
      </c>
      <c r="H1912" s="13">
        <v>2323228</v>
      </c>
      <c r="I1912" s="13">
        <v>5</v>
      </c>
      <c r="J1912" s="13">
        <v>0</v>
      </c>
      <c r="K1912" s="13">
        <v>16674</v>
      </c>
      <c r="L1912" s="13">
        <v>40</v>
      </c>
      <c r="M1912" s="13">
        <v>2788</v>
      </c>
      <c r="N1912" s="13">
        <v>1961</v>
      </c>
      <c r="O1912" s="13">
        <v>19</v>
      </c>
      <c r="P1912" s="13">
        <v>7</v>
      </c>
      <c r="Q1912" s="13">
        <v>49</v>
      </c>
      <c r="R1912" s="13">
        <v>24</v>
      </c>
      <c r="S1912" s="13">
        <v>0</v>
      </c>
      <c r="T1912" s="23">
        <v>46247.705393518518</v>
      </c>
      <c r="U1912" s="55">
        <f t="shared" si="87"/>
        <v>0.5</v>
      </c>
      <c r="V1912" s="55">
        <f t="shared" si="88"/>
        <v>0.66666666666666663</v>
      </c>
      <c r="W1912" s="56">
        <f t="shared" si="89"/>
        <v>16186.5</v>
      </c>
    </row>
    <row r="1913" spans="1:23" x14ac:dyDescent="0.3">
      <c r="A1913" s="13" t="str" cm="1">
        <f t="array" ref="A1913:B1913">INDEX(BenchmarkResults!$B$1:$D$35,SUMPRODUCT((T1913&gt;=BenchmarkResults!$F$3:$F$35)*(mongodb_hardware_log!T1913&lt;BenchmarkResults!$G$3:$G$35)*ROW(BenchmarkResults!$F$3:$F$35)),{1,3})</f>
        <v>q4_category_revenue</v>
      </c>
      <c r="B1913">
        <v>3</v>
      </c>
      <c r="C1913" s="13">
        <v>0</v>
      </c>
      <c r="D1913" s="13">
        <v>1</v>
      </c>
      <c r="E1913" s="13">
        <v>212736</v>
      </c>
      <c r="F1913" s="13">
        <v>139752</v>
      </c>
      <c r="G1913" s="13">
        <v>328</v>
      </c>
      <c r="H1913" s="13">
        <v>2310036</v>
      </c>
      <c r="I1913" s="13">
        <v>9</v>
      </c>
      <c r="J1913" s="13">
        <v>0</v>
      </c>
      <c r="K1913" s="13">
        <v>14851</v>
      </c>
      <c r="L1913" s="13">
        <v>12</v>
      </c>
      <c r="M1913" s="13">
        <v>2592</v>
      </c>
      <c r="N1913" s="13">
        <v>1743</v>
      </c>
      <c r="O1913" s="13">
        <v>20</v>
      </c>
      <c r="P1913" s="13">
        <v>7</v>
      </c>
      <c r="Q1913" s="13">
        <v>50</v>
      </c>
      <c r="R1913" s="13">
        <v>22</v>
      </c>
      <c r="S1913" s="13">
        <v>0</v>
      </c>
      <c r="T1913" s="23">
        <v>46247.705509259256</v>
      </c>
      <c r="U1913" s="55">
        <f t="shared" si="87"/>
        <v>0.33333333333333331</v>
      </c>
      <c r="V1913" s="55">
        <f t="shared" si="88"/>
        <v>0.83333333333333337</v>
      </c>
      <c r="W1913" s="56">
        <f t="shared" si="89"/>
        <v>15754.333333333334</v>
      </c>
    </row>
    <row r="1914" spans="1:23" x14ac:dyDescent="0.3">
      <c r="A1914" s="13" t="str" cm="1">
        <f t="array" ref="A1914:B1914">INDEX(BenchmarkResults!$B$1:$D$35,SUMPRODUCT((T1914&gt;=BenchmarkResults!$F$3:$F$35)*(mongodb_hardware_log!T1914&lt;BenchmarkResults!$G$3:$G$35)*ROW(BenchmarkResults!$F$3:$F$35)),{1,3})</f>
        <v>q4_category_revenue</v>
      </c>
      <c r="B1914">
        <v>3</v>
      </c>
      <c r="C1914" s="13">
        <v>0</v>
      </c>
      <c r="D1914" s="13">
        <v>1</v>
      </c>
      <c r="E1914" s="13">
        <v>212480</v>
      </c>
      <c r="F1914" s="13">
        <v>136228</v>
      </c>
      <c r="G1914" s="13">
        <v>336</v>
      </c>
      <c r="H1914" s="13">
        <v>2317436</v>
      </c>
      <c r="I1914" s="13">
        <v>6</v>
      </c>
      <c r="J1914" s="13">
        <v>0</v>
      </c>
      <c r="K1914" s="13">
        <v>16559</v>
      </c>
      <c r="L1914" s="13">
        <v>24</v>
      </c>
      <c r="M1914" s="13">
        <v>3033</v>
      </c>
      <c r="N1914" s="13">
        <v>2169</v>
      </c>
      <c r="O1914" s="13">
        <v>20</v>
      </c>
      <c r="P1914" s="13">
        <v>9</v>
      </c>
      <c r="Q1914" s="13">
        <v>48</v>
      </c>
      <c r="R1914" s="13">
        <v>23</v>
      </c>
      <c r="S1914" s="13">
        <v>0</v>
      </c>
      <c r="T1914" s="23">
        <v>46247.705625000002</v>
      </c>
      <c r="U1914" s="55">
        <f t="shared" si="87"/>
        <v>0.33333333333333331</v>
      </c>
      <c r="V1914" s="55">
        <f t="shared" si="88"/>
        <v>0.83333333333333337</v>
      </c>
      <c r="W1914" s="56">
        <f t="shared" si="89"/>
        <v>16180.666666666666</v>
      </c>
    </row>
    <row r="1915" spans="1:23" x14ac:dyDescent="0.3">
      <c r="A1915" s="13" t="str" cm="1">
        <f t="array" ref="A1915:B1915">INDEX(BenchmarkResults!$B$1:$D$35,SUMPRODUCT((T1915&gt;=BenchmarkResults!$F$3:$F$35)*(mongodb_hardware_log!T1915&lt;BenchmarkResults!$G$3:$G$35)*ROW(BenchmarkResults!$F$3:$F$35)),{1,3})</f>
        <v>q4_category_revenue</v>
      </c>
      <c r="B1915">
        <v>3</v>
      </c>
      <c r="C1915" s="13">
        <v>0</v>
      </c>
      <c r="D1915" s="13">
        <v>1</v>
      </c>
      <c r="E1915" s="13">
        <v>212480</v>
      </c>
      <c r="F1915" s="13">
        <v>112496</v>
      </c>
      <c r="G1915" s="13">
        <v>404</v>
      </c>
      <c r="H1915" s="13">
        <v>2339376</v>
      </c>
      <c r="I1915" s="13">
        <v>6</v>
      </c>
      <c r="J1915" s="13">
        <v>0</v>
      </c>
      <c r="K1915" s="13">
        <v>15524</v>
      </c>
      <c r="L1915" s="13">
        <v>50</v>
      </c>
      <c r="M1915" s="13">
        <v>2822</v>
      </c>
      <c r="N1915" s="13">
        <v>2046</v>
      </c>
      <c r="O1915" s="13">
        <v>20</v>
      </c>
      <c r="P1915" s="13">
        <v>9</v>
      </c>
      <c r="Q1915" s="13">
        <v>49</v>
      </c>
      <c r="R1915" s="13">
        <v>22</v>
      </c>
      <c r="S1915" s="13">
        <v>0</v>
      </c>
      <c r="T1915" s="23">
        <v>46247.705740740741</v>
      </c>
      <c r="U1915" s="55">
        <f t="shared" si="87"/>
        <v>0.33333333333333331</v>
      </c>
      <c r="V1915" s="55">
        <f t="shared" si="88"/>
        <v>0.83333333333333337</v>
      </c>
      <c r="W1915" s="56">
        <f t="shared" si="89"/>
        <v>16009.333333333334</v>
      </c>
    </row>
    <row r="1916" spans="1:23" x14ac:dyDescent="0.3">
      <c r="A1916" s="13" t="str" cm="1">
        <f t="array" ref="A1916:B1916">INDEX(BenchmarkResults!$B$1:$D$35,SUMPRODUCT((T1916&gt;=BenchmarkResults!$F$3:$F$35)*(mongodb_hardware_log!T1916&lt;BenchmarkResults!$G$3:$G$35)*ROW(BenchmarkResults!$F$3:$F$35)),{1,3})</f>
        <v>q4_category_revenue</v>
      </c>
      <c r="B1916">
        <v>3</v>
      </c>
      <c r="C1916" s="13">
        <v>0</v>
      </c>
      <c r="D1916" s="13">
        <v>1</v>
      </c>
      <c r="E1916" s="13">
        <v>212480</v>
      </c>
      <c r="F1916" s="13">
        <v>115768</v>
      </c>
      <c r="G1916" s="13">
        <v>420</v>
      </c>
      <c r="H1916" s="13">
        <v>2333352</v>
      </c>
      <c r="I1916" s="13">
        <v>5</v>
      </c>
      <c r="J1916" s="13">
        <v>0</v>
      </c>
      <c r="K1916" s="13">
        <v>15963</v>
      </c>
      <c r="L1916" s="13">
        <v>16</v>
      </c>
      <c r="M1916" s="13">
        <v>2669</v>
      </c>
      <c r="N1916" s="13">
        <v>1713</v>
      </c>
      <c r="O1916" s="13">
        <v>19</v>
      </c>
      <c r="P1916" s="13">
        <v>7</v>
      </c>
      <c r="Q1916" s="13">
        <v>50</v>
      </c>
      <c r="R1916" s="13">
        <v>24</v>
      </c>
      <c r="S1916" s="13">
        <v>0</v>
      </c>
      <c r="T1916" s="23">
        <v>46247.70585648148</v>
      </c>
      <c r="U1916" s="55">
        <f t="shared" si="87"/>
        <v>0.33333333333333331</v>
      </c>
      <c r="V1916" s="55">
        <f t="shared" si="88"/>
        <v>0.83333333333333337</v>
      </c>
      <c r="W1916" s="56">
        <f t="shared" si="89"/>
        <v>15906.333333333334</v>
      </c>
    </row>
    <row r="1917" spans="1:23" x14ac:dyDescent="0.3">
      <c r="A1917" s="13" t="str" cm="1">
        <f t="array" ref="A1917:B1917">INDEX(BenchmarkResults!$B$1:$D$35,SUMPRODUCT((T1917&gt;=BenchmarkResults!$F$3:$F$35)*(mongodb_hardware_log!T1917&lt;BenchmarkResults!$G$3:$G$35)*ROW(BenchmarkResults!$F$3:$F$35)),{1,3})</f>
        <v>q4_category_revenue</v>
      </c>
      <c r="B1917">
        <v>3</v>
      </c>
      <c r="C1917" s="13">
        <v>0</v>
      </c>
      <c r="D1917" s="13">
        <v>1</v>
      </c>
      <c r="E1917" s="13">
        <v>212480</v>
      </c>
      <c r="F1917" s="13">
        <v>104648</v>
      </c>
      <c r="G1917" s="13">
        <v>424</v>
      </c>
      <c r="H1917" s="13">
        <v>2343308</v>
      </c>
      <c r="I1917" s="13">
        <v>0</v>
      </c>
      <c r="J1917" s="13">
        <v>0</v>
      </c>
      <c r="K1917" s="13">
        <v>17930</v>
      </c>
      <c r="L1917" s="13">
        <v>8</v>
      </c>
      <c r="M1917" s="13">
        <v>2853</v>
      </c>
      <c r="N1917" s="13">
        <v>1854</v>
      </c>
      <c r="O1917" s="13">
        <v>18</v>
      </c>
      <c r="P1917" s="13">
        <v>7</v>
      </c>
      <c r="Q1917" s="13">
        <v>49</v>
      </c>
      <c r="R1917" s="13">
        <v>25</v>
      </c>
      <c r="S1917" s="13">
        <v>0</v>
      </c>
      <c r="T1917" s="23">
        <v>46247.705972222226</v>
      </c>
      <c r="U1917" s="55">
        <f t="shared" si="87"/>
        <v>0.33333333333333331</v>
      </c>
      <c r="V1917" s="55">
        <f t="shared" si="88"/>
        <v>0.83333333333333337</v>
      </c>
      <c r="W1917" s="56">
        <f t="shared" si="89"/>
        <v>16250.166666666666</v>
      </c>
    </row>
    <row r="1918" spans="1:23" x14ac:dyDescent="0.3">
      <c r="A1918" s="13" t="str" cm="1">
        <f t="array" ref="A1918:B1918">INDEX(BenchmarkResults!$B$1:$D$35,SUMPRODUCT((T1918&gt;=BenchmarkResults!$F$3:$F$35)*(mongodb_hardware_log!T1918&lt;BenchmarkResults!$G$3:$G$35)*ROW(BenchmarkResults!$F$3:$F$35)),{1,3})</f>
        <v>q4_category_revenue</v>
      </c>
      <c r="B1918">
        <v>3</v>
      </c>
      <c r="C1918" s="13">
        <v>1</v>
      </c>
      <c r="D1918" s="13">
        <v>1</v>
      </c>
      <c r="E1918" s="13">
        <v>212480</v>
      </c>
      <c r="F1918" s="13">
        <v>113660</v>
      </c>
      <c r="G1918" s="13">
        <v>432</v>
      </c>
      <c r="H1918" s="13">
        <v>2334448</v>
      </c>
      <c r="I1918" s="13">
        <v>2</v>
      </c>
      <c r="J1918" s="13">
        <v>0</v>
      </c>
      <c r="K1918" s="13">
        <v>18970</v>
      </c>
      <c r="L1918" s="13">
        <v>13</v>
      </c>
      <c r="M1918" s="13">
        <v>2954</v>
      </c>
      <c r="N1918" s="13">
        <v>2073</v>
      </c>
      <c r="O1918" s="13">
        <v>19</v>
      </c>
      <c r="P1918" s="13">
        <v>8</v>
      </c>
      <c r="Q1918" s="13">
        <v>48</v>
      </c>
      <c r="R1918" s="13">
        <v>25</v>
      </c>
      <c r="S1918" s="13">
        <v>0</v>
      </c>
      <c r="T1918" s="23">
        <v>46247.706087962964</v>
      </c>
      <c r="U1918" s="55">
        <f t="shared" si="87"/>
        <v>0.16666666666666666</v>
      </c>
      <c r="V1918" s="55">
        <f t="shared" si="88"/>
        <v>1</v>
      </c>
      <c r="W1918" s="56">
        <f t="shared" si="89"/>
        <v>16632.833333333332</v>
      </c>
    </row>
    <row r="1919" spans="1:23" x14ac:dyDescent="0.3">
      <c r="A1919" s="13" t="str" cm="1">
        <f t="array" ref="A1919:B1919">INDEX(BenchmarkResults!$B$1:$D$35,SUMPRODUCT((T1919&gt;=BenchmarkResults!$F$3:$F$35)*(mongodb_hardware_log!T1919&lt;BenchmarkResults!$G$3:$G$35)*ROW(BenchmarkResults!$F$3:$F$35)),{1,3})</f>
        <v>q4_category_revenue</v>
      </c>
      <c r="B1919">
        <v>3</v>
      </c>
      <c r="C1919" s="13">
        <v>0</v>
      </c>
      <c r="D1919" s="13">
        <v>0</v>
      </c>
      <c r="E1919" s="13">
        <v>214016</v>
      </c>
      <c r="F1919" s="13">
        <v>699216</v>
      </c>
      <c r="G1919" s="13">
        <v>256</v>
      </c>
      <c r="H1919" s="13">
        <v>1731076</v>
      </c>
      <c r="I1919" s="13">
        <v>9</v>
      </c>
      <c r="J1919" s="13">
        <v>199</v>
      </c>
      <c r="K1919" s="13">
        <v>13507</v>
      </c>
      <c r="L1919" s="13">
        <v>212</v>
      </c>
      <c r="M1919" s="13">
        <v>2248</v>
      </c>
      <c r="N1919" s="13">
        <v>1544</v>
      </c>
      <c r="O1919" s="13">
        <v>19</v>
      </c>
      <c r="P1919" s="13">
        <v>17</v>
      </c>
      <c r="Q1919" s="13">
        <v>40</v>
      </c>
      <c r="R1919" s="13">
        <v>24</v>
      </c>
      <c r="S1919" s="13">
        <v>0</v>
      </c>
      <c r="T1919" s="23">
        <v>46247.706203703703</v>
      </c>
      <c r="U1919" s="55">
        <f t="shared" si="87"/>
        <v>0.16666666666666666</v>
      </c>
      <c r="V1919" s="55">
        <f t="shared" si="88"/>
        <v>0.83333333333333337</v>
      </c>
      <c r="W1919" s="56">
        <f t="shared" si="89"/>
        <v>16408.833333333332</v>
      </c>
    </row>
    <row r="1920" spans="1:23" x14ac:dyDescent="0.3">
      <c r="A1920" s="13" t="str" cm="1">
        <f t="array" ref="A1920:B1920">INDEX(BenchmarkResults!$B$1:$D$35,SUMPRODUCT((T1920&gt;=BenchmarkResults!$F$3:$F$35)*(mongodb_hardware_log!T1920&lt;BenchmarkResults!$G$3:$G$35)*ROW(BenchmarkResults!$F$3:$F$35)),{1,3})</f>
        <v>q4_category_revenue</v>
      </c>
      <c r="B1920">
        <v>3</v>
      </c>
      <c r="C1920" s="13">
        <v>1</v>
      </c>
      <c r="D1920" s="13">
        <v>0</v>
      </c>
      <c r="E1920" s="13">
        <v>214016</v>
      </c>
      <c r="F1920" s="13">
        <v>506472</v>
      </c>
      <c r="G1920" s="13">
        <v>272</v>
      </c>
      <c r="H1920" s="13">
        <v>1940160</v>
      </c>
      <c r="I1920" s="13">
        <v>5</v>
      </c>
      <c r="J1920" s="13">
        <v>0</v>
      </c>
      <c r="K1920" s="13">
        <v>20914</v>
      </c>
      <c r="L1920" s="13">
        <v>33</v>
      </c>
      <c r="M1920" s="13">
        <v>2779</v>
      </c>
      <c r="N1920" s="13">
        <v>1799</v>
      </c>
      <c r="O1920" s="13">
        <v>14</v>
      </c>
      <c r="P1920" s="13">
        <v>9</v>
      </c>
      <c r="Q1920" s="13">
        <v>49</v>
      </c>
      <c r="R1920" s="13">
        <v>28</v>
      </c>
      <c r="S1920" s="13">
        <v>1</v>
      </c>
      <c r="T1920" s="23">
        <v>46247.706319444442</v>
      </c>
      <c r="U1920" s="55">
        <f t="shared" si="87"/>
        <v>0.33333333333333331</v>
      </c>
      <c r="V1920" s="55">
        <f t="shared" si="88"/>
        <v>0.66666666666666663</v>
      </c>
      <c r="W1920" s="56">
        <f t="shared" si="89"/>
        <v>17134.666666666668</v>
      </c>
    </row>
    <row r="1921" spans="1:23" x14ac:dyDescent="0.3">
      <c r="A1921" s="13" t="str" cm="1">
        <f t="array" ref="A1921:B1921">INDEX(BenchmarkResults!$B$1:$D$35,SUMPRODUCT((T1921&gt;=BenchmarkResults!$F$3:$F$35)*(mongodb_hardware_log!T1921&lt;BenchmarkResults!$G$3:$G$35)*ROW(BenchmarkResults!$F$3:$F$35)),{1,3})</f>
        <v>q4_category_revenue</v>
      </c>
      <c r="B1921">
        <v>3</v>
      </c>
      <c r="C1921" s="13">
        <v>0</v>
      </c>
      <c r="D1921" s="13">
        <v>1</v>
      </c>
      <c r="E1921" s="13">
        <v>214016</v>
      </c>
      <c r="F1921" s="13">
        <v>305380</v>
      </c>
      <c r="G1921" s="13">
        <v>288</v>
      </c>
      <c r="H1921" s="13">
        <v>2140492</v>
      </c>
      <c r="I1921" s="13">
        <v>2</v>
      </c>
      <c r="J1921" s="13">
        <v>0</v>
      </c>
      <c r="K1921" s="13">
        <v>20030</v>
      </c>
      <c r="L1921" s="13">
        <v>22</v>
      </c>
      <c r="M1921" s="13">
        <v>2910</v>
      </c>
      <c r="N1921" s="13">
        <v>1825</v>
      </c>
      <c r="O1921" s="13">
        <v>14</v>
      </c>
      <c r="P1921" s="13">
        <v>9</v>
      </c>
      <c r="Q1921" s="13">
        <v>48</v>
      </c>
      <c r="R1921" s="13">
        <v>29</v>
      </c>
      <c r="S1921" s="13">
        <v>1</v>
      </c>
      <c r="T1921" s="23">
        <v>46247.706435185188</v>
      </c>
      <c r="U1921" s="55">
        <f t="shared" si="87"/>
        <v>0.33333333333333331</v>
      </c>
      <c r="V1921" s="55">
        <f t="shared" si="88"/>
        <v>0.66666666666666663</v>
      </c>
      <c r="W1921" s="56">
        <f t="shared" si="89"/>
        <v>17885.666666666668</v>
      </c>
    </row>
    <row r="1922" spans="1:23" x14ac:dyDescent="0.3">
      <c r="A1922" s="13" t="str" cm="1">
        <f t="array" ref="A1922:B1922">INDEX(BenchmarkResults!$B$1:$D$35,SUMPRODUCT((T1922&gt;=BenchmarkResults!$F$3:$F$35)*(mongodb_hardware_log!T1922&lt;BenchmarkResults!$G$3:$G$35)*ROW(BenchmarkResults!$F$3:$F$35)),{1,3})</f>
        <v>q4_category_revenue</v>
      </c>
      <c r="B1922">
        <v>3</v>
      </c>
      <c r="C1922" s="13">
        <v>1</v>
      </c>
      <c r="D1922" s="13">
        <v>0</v>
      </c>
      <c r="E1922" s="13">
        <v>213504</v>
      </c>
      <c r="F1922" s="13">
        <v>132988</v>
      </c>
      <c r="G1922" s="13">
        <v>304</v>
      </c>
      <c r="H1922" s="13">
        <v>2316436</v>
      </c>
      <c r="I1922" s="13">
        <v>9</v>
      </c>
      <c r="J1922" s="13">
        <v>0</v>
      </c>
      <c r="K1922" s="13">
        <v>17612</v>
      </c>
      <c r="L1922" s="13">
        <v>30</v>
      </c>
      <c r="M1922" s="13">
        <v>3252</v>
      </c>
      <c r="N1922" s="13">
        <v>2285</v>
      </c>
      <c r="O1922" s="13">
        <v>19</v>
      </c>
      <c r="P1922" s="13">
        <v>9</v>
      </c>
      <c r="Q1922" s="13">
        <v>46</v>
      </c>
      <c r="R1922" s="13">
        <v>26</v>
      </c>
      <c r="S1922" s="13">
        <v>1</v>
      </c>
      <c r="T1922" s="23">
        <v>46247.706550925926</v>
      </c>
      <c r="U1922" s="55">
        <f t="shared" si="87"/>
        <v>0.5</v>
      </c>
      <c r="V1922" s="55">
        <f t="shared" si="88"/>
        <v>0.5</v>
      </c>
      <c r="W1922" s="56">
        <f t="shared" si="89"/>
        <v>18160.5</v>
      </c>
    </row>
    <row r="1923" spans="1:23" x14ac:dyDescent="0.3">
      <c r="A1923" s="13" t="str" cm="1">
        <f t="array" ref="A1923:B1923">INDEX(BenchmarkResults!$B$1:$D$35,SUMPRODUCT((T1923&gt;=BenchmarkResults!$F$3:$F$35)*(mongodb_hardware_log!T1923&lt;BenchmarkResults!$G$3:$G$35)*ROW(BenchmarkResults!$F$3:$F$35)),{1,3})</f>
        <v>q4_category_revenue</v>
      </c>
      <c r="B1923">
        <v>3</v>
      </c>
      <c r="C1923" s="13">
        <v>0</v>
      </c>
      <c r="D1923" s="13">
        <v>1</v>
      </c>
      <c r="E1923" s="13">
        <v>215296</v>
      </c>
      <c r="F1923" s="13">
        <v>140980</v>
      </c>
      <c r="G1923" s="13">
        <v>272</v>
      </c>
      <c r="H1923" s="13">
        <v>2308168</v>
      </c>
      <c r="I1923" s="13">
        <v>23</v>
      </c>
      <c r="J1923" s="13">
        <v>215</v>
      </c>
      <c r="K1923" s="13">
        <v>19709</v>
      </c>
      <c r="L1923" s="13">
        <v>233</v>
      </c>
      <c r="M1923" s="13">
        <v>3199</v>
      </c>
      <c r="N1923" s="13">
        <v>2084</v>
      </c>
      <c r="O1923" s="13">
        <v>20</v>
      </c>
      <c r="P1923" s="13">
        <v>8</v>
      </c>
      <c r="Q1923" s="13">
        <v>47</v>
      </c>
      <c r="R1923" s="13">
        <v>25</v>
      </c>
      <c r="S1923" s="13">
        <v>0</v>
      </c>
      <c r="T1923" s="23">
        <v>46247.706666666665</v>
      </c>
      <c r="U1923" s="55">
        <f t="shared" si="87"/>
        <v>0.5</v>
      </c>
      <c r="V1923" s="55">
        <f t="shared" si="88"/>
        <v>0.5</v>
      </c>
      <c r="W1923" s="56">
        <f t="shared" si="89"/>
        <v>18457</v>
      </c>
    </row>
    <row r="1924" spans="1:23" x14ac:dyDescent="0.3">
      <c r="A1924" s="13" t="str" cm="1">
        <f t="array" ref="A1924:B1924">INDEX(BenchmarkResults!$B$1:$D$35,SUMPRODUCT((T1924&gt;=BenchmarkResults!$F$3:$F$35)*(mongodb_hardware_log!T1924&lt;BenchmarkResults!$G$3:$G$35)*ROW(BenchmarkResults!$F$3:$F$35)),{1,3})</f>
        <v>q4_category_revenue</v>
      </c>
      <c r="B1924">
        <v>3</v>
      </c>
      <c r="C1924" s="13">
        <v>0</v>
      </c>
      <c r="D1924" s="13">
        <v>1</v>
      </c>
      <c r="E1924" s="13">
        <v>215040</v>
      </c>
      <c r="F1924" s="13">
        <v>147484</v>
      </c>
      <c r="G1924" s="13">
        <v>280</v>
      </c>
      <c r="H1924" s="13">
        <v>2302472</v>
      </c>
      <c r="I1924" s="13">
        <v>20</v>
      </c>
      <c r="J1924" s="13">
        <v>0</v>
      </c>
      <c r="K1924" s="13">
        <v>14394</v>
      </c>
      <c r="L1924" s="13">
        <v>19</v>
      </c>
      <c r="M1924" s="13">
        <v>2595</v>
      </c>
      <c r="N1924" s="13">
        <v>1820</v>
      </c>
      <c r="O1924" s="13">
        <v>20</v>
      </c>
      <c r="P1924" s="13">
        <v>8</v>
      </c>
      <c r="Q1924" s="13">
        <v>50</v>
      </c>
      <c r="R1924" s="13">
        <v>21</v>
      </c>
      <c r="S1924" s="13">
        <v>0</v>
      </c>
      <c r="T1924" s="23">
        <v>46247.706782407404</v>
      </c>
      <c r="U1924" s="55">
        <f t="shared" si="87"/>
        <v>0.33333333333333331</v>
      </c>
      <c r="V1924" s="55">
        <f t="shared" si="88"/>
        <v>0.5</v>
      </c>
      <c r="W1924" s="56">
        <f t="shared" si="89"/>
        <v>17694.333333333332</v>
      </c>
    </row>
    <row r="1925" spans="1:23" x14ac:dyDescent="0.3">
      <c r="A1925" s="13" t="str" cm="1">
        <f t="array" ref="A1925:B1925">INDEX(BenchmarkResults!$B$1:$D$35,SUMPRODUCT((T1925&gt;=BenchmarkResults!$F$3:$F$35)*(mongodb_hardware_log!T1925&lt;BenchmarkResults!$G$3:$G$35)*ROW(BenchmarkResults!$F$3:$F$35)),{1,3})</f>
        <v>q4_category_revenue</v>
      </c>
      <c r="B1925">
        <v>3</v>
      </c>
      <c r="C1925" s="13">
        <v>0</v>
      </c>
      <c r="D1925" s="13">
        <v>0</v>
      </c>
      <c r="E1925" s="13">
        <v>215040</v>
      </c>
      <c r="F1925" s="13">
        <v>120884</v>
      </c>
      <c r="G1925" s="13">
        <v>288</v>
      </c>
      <c r="H1925" s="13">
        <v>2330884</v>
      </c>
      <c r="I1925" s="13">
        <v>20</v>
      </c>
      <c r="J1925" s="13">
        <v>0</v>
      </c>
      <c r="K1925" s="13">
        <v>13656</v>
      </c>
      <c r="L1925" s="13">
        <v>13</v>
      </c>
      <c r="M1925" s="13">
        <v>2572</v>
      </c>
      <c r="N1925" s="13">
        <v>1766</v>
      </c>
      <c r="O1925" s="13">
        <v>21</v>
      </c>
      <c r="P1925" s="13">
        <v>7</v>
      </c>
      <c r="Q1925" s="13">
        <v>51</v>
      </c>
      <c r="R1925" s="13">
        <v>21</v>
      </c>
      <c r="S1925" s="13">
        <v>0</v>
      </c>
      <c r="T1925" s="23">
        <v>46247.70689814815</v>
      </c>
      <c r="U1925" s="55">
        <f t="shared" si="87"/>
        <v>0.33333333333333331</v>
      </c>
      <c r="V1925" s="55">
        <f t="shared" si="88"/>
        <v>0.5</v>
      </c>
      <c r="W1925" s="56">
        <f t="shared" si="89"/>
        <v>17719.166666666668</v>
      </c>
    </row>
    <row r="1926" spans="1:23" x14ac:dyDescent="0.3">
      <c r="A1926" s="13" t="str" cm="1">
        <f t="array" ref="A1926:B1926">INDEX(BenchmarkResults!$B$1:$D$35,SUMPRODUCT((T1926&gt;=BenchmarkResults!$F$3:$F$35)*(mongodb_hardware_log!T1926&lt;BenchmarkResults!$G$3:$G$35)*ROW(BenchmarkResults!$F$3:$F$35)),{1,3})</f>
        <v>q4_category_revenue</v>
      </c>
      <c r="B1926">
        <v>3</v>
      </c>
      <c r="C1926" s="13">
        <v>0</v>
      </c>
      <c r="D1926" s="13">
        <v>1</v>
      </c>
      <c r="E1926" s="13">
        <v>214784</v>
      </c>
      <c r="F1926" s="13">
        <v>107172</v>
      </c>
      <c r="G1926" s="13">
        <v>304</v>
      </c>
      <c r="H1926" s="13">
        <v>2337252</v>
      </c>
      <c r="I1926" s="13">
        <v>6</v>
      </c>
      <c r="J1926" s="13">
        <v>0</v>
      </c>
      <c r="K1926" s="13">
        <v>15980</v>
      </c>
      <c r="L1926" s="13">
        <v>31</v>
      </c>
      <c r="M1926" s="13">
        <v>2609</v>
      </c>
      <c r="N1926" s="13">
        <v>1785</v>
      </c>
      <c r="O1926" s="13">
        <v>20</v>
      </c>
      <c r="P1926" s="13">
        <v>7</v>
      </c>
      <c r="Q1926" s="13">
        <v>51</v>
      </c>
      <c r="R1926" s="13">
        <v>22</v>
      </c>
      <c r="S1926" s="13">
        <v>0</v>
      </c>
      <c r="T1926" s="23">
        <v>46247.707013888888</v>
      </c>
      <c r="U1926" s="55">
        <f t="shared" si="87"/>
        <v>0.16666666666666666</v>
      </c>
      <c r="V1926" s="55">
        <f t="shared" si="88"/>
        <v>0.66666666666666663</v>
      </c>
      <c r="W1926" s="56">
        <f t="shared" si="89"/>
        <v>16896.833333333332</v>
      </c>
    </row>
    <row r="1927" spans="1:23" x14ac:dyDescent="0.3">
      <c r="A1927" s="13" t="str" cm="1">
        <f t="array" ref="A1927:B1927">INDEX(BenchmarkResults!$B$1:$D$35,SUMPRODUCT((T1927&gt;=BenchmarkResults!$F$3:$F$35)*(mongodb_hardware_log!T1927&lt;BenchmarkResults!$G$3:$G$35)*ROW(BenchmarkResults!$F$3:$F$35)),{1,3})</f>
        <v>q4_category_revenue</v>
      </c>
      <c r="B1927">
        <v>3</v>
      </c>
      <c r="C1927" s="13">
        <v>0</v>
      </c>
      <c r="D1927" s="13">
        <v>1</v>
      </c>
      <c r="E1927" s="13">
        <v>214528</v>
      </c>
      <c r="F1927" s="13">
        <v>107280</v>
      </c>
      <c r="G1927" s="13">
        <v>320</v>
      </c>
      <c r="H1927" s="13">
        <v>2334008</v>
      </c>
      <c r="I1927" s="13">
        <v>22</v>
      </c>
      <c r="J1927" s="13">
        <v>0</v>
      </c>
      <c r="K1927" s="13">
        <v>13543</v>
      </c>
      <c r="L1927" s="13">
        <v>23</v>
      </c>
      <c r="M1927" s="13">
        <v>2656</v>
      </c>
      <c r="N1927" s="13">
        <v>1880</v>
      </c>
      <c r="O1927" s="13">
        <v>20</v>
      </c>
      <c r="P1927" s="13">
        <v>8</v>
      </c>
      <c r="Q1927" s="13">
        <v>51</v>
      </c>
      <c r="R1927" s="13">
        <v>20</v>
      </c>
      <c r="S1927" s="13">
        <v>0</v>
      </c>
      <c r="T1927" s="23">
        <v>46247.707129629627</v>
      </c>
      <c r="U1927" s="55">
        <f t="shared" si="87"/>
        <v>0.16666666666666666</v>
      </c>
      <c r="V1927" s="55">
        <f t="shared" si="88"/>
        <v>0.66666666666666663</v>
      </c>
      <c r="W1927" s="56">
        <f t="shared" si="89"/>
        <v>15815.666666666666</v>
      </c>
    </row>
    <row r="1928" spans="1:23" x14ac:dyDescent="0.3">
      <c r="A1928" s="13" t="str" cm="1">
        <f t="array" ref="A1928:B1928">INDEX(BenchmarkResults!$B$1:$D$35,SUMPRODUCT((T1928&gt;=BenchmarkResults!$F$3:$F$35)*(mongodb_hardware_log!T1928&lt;BenchmarkResults!$G$3:$G$35)*ROW(BenchmarkResults!$F$3:$F$35)),{1,3})</f>
        <v>q4_category_revenue</v>
      </c>
      <c r="B1928">
        <v>3</v>
      </c>
      <c r="C1928" s="13">
        <v>1</v>
      </c>
      <c r="D1928" s="13">
        <v>0</v>
      </c>
      <c r="E1928" s="13">
        <v>214528</v>
      </c>
      <c r="F1928" s="13">
        <v>118160</v>
      </c>
      <c r="G1928" s="13">
        <v>332</v>
      </c>
      <c r="H1928" s="13">
        <v>2318348</v>
      </c>
      <c r="I1928" s="13">
        <v>4</v>
      </c>
      <c r="J1928" s="13">
        <v>0</v>
      </c>
      <c r="K1928" s="13">
        <v>16038</v>
      </c>
      <c r="L1928" s="13">
        <v>24</v>
      </c>
      <c r="M1928" s="13">
        <v>2944</v>
      </c>
      <c r="N1928" s="13">
        <v>2044</v>
      </c>
      <c r="O1928" s="13">
        <v>19</v>
      </c>
      <c r="P1928" s="13">
        <v>8</v>
      </c>
      <c r="Q1928" s="13">
        <v>49</v>
      </c>
      <c r="R1928" s="13">
        <v>24</v>
      </c>
      <c r="S1928" s="13">
        <v>0</v>
      </c>
      <c r="T1928" s="23">
        <v>46247.707245370373</v>
      </c>
      <c r="U1928" s="55">
        <f t="shared" si="87"/>
        <v>0.16666666666666666</v>
      </c>
      <c r="V1928" s="55">
        <f t="shared" si="88"/>
        <v>0.66666666666666663</v>
      </c>
      <c r="W1928" s="56">
        <f t="shared" si="89"/>
        <v>15553.333333333334</v>
      </c>
    </row>
    <row r="1929" spans="1:23" x14ac:dyDescent="0.3">
      <c r="A1929" s="13" t="str" cm="1">
        <f t="array" ref="A1929:B1929">INDEX(BenchmarkResults!$B$1:$D$35,SUMPRODUCT((T1929&gt;=BenchmarkResults!$F$3:$F$35)*(mongodb_hardware_log!T1929&lt;BenchmarkResults!$G$3:$G$35)*ROW(BenchmarkResults!$F$3:$F$35)),{1,3})</f>
        <v>q4_category_revenue</v>
      </c>
      <c r="B1929">
        <v>3</v>
      </c>
      <c r="C1929" s="13">
        <v>0</v>
      </c>
      <c r="D1929" s="13">
        <v>1</v>
      </c>
      <c r="E1929" s="13">
        <v>214272</v>
      </c>
      <c r="F1929" s="13">
        <v>134956</v>
      </c>
      <c r="G1929" s="13">
        <v>340</v>
      </c>
      <c r="H1929" s="13">
        <v>2319548</v>
      </c>
      <c r="I1929" s="13">
        <v>8</v>
      </c>
      <c r="J1929" s="13">
        <v>0</v>
      </c>
      <c r="K1929" s="13">
        <v>15735</v>
      </c>
      <c r="L1929" s="13">
        <v>18</v>
      </c>
      <c r="M1929" s="13">
        <v>2909</v>
      </c>
      <c r="N1929" s="13">
        <v>2020</v>
      </c>
      <c r="O1929" s="13">
        <v>19</v>
      </c>
      <c r="P1929" s="13">
        <v>8</v>
      </c>
      <c r="Q1929" s="13">
        <v>49</v>
      </c>
      <c r="R1929" s="13">
        <v>23</v>
      </c>
      <c r="S1929" s="13">
        <v>0</v>
      </c>
      <c r="T1929" s="23">
        <v>46247.707361111112</v>
      </c>
      <c r="U1929" s="55">
        <f t="shared" ref="U1929:U1992" si="90">AVERAGE(C1924:C1929)</f>
        <v>0.16666666666666666</v>
      </c>
      <c r="V1929" s="55">
        <f t="shared" ref="V1929:V1992" si="91">AVERAGE(D1924:D1929)</f>
        <v>0.66666666666666663</v>
      </c>
      <c r="W1929" s="56">
        <f t="shared" ref="W1929:W1992" si="92">AVERAGE(K1924:K1929)</f>
        <v>14891</v>
      </c>
    </row>
    <row r="1930" spans="1:23" x14ac:dyDescent="0.3">
      <c r="A1930" s="13" t="str" cm="1">
        <f t="array" ref="A1930:B1930">INDEX(BenchmarkResults!$B$1:$D$35,SUMPRODUCT((T1930&gt;=BenchmarkResults!$F$3:$F$35)*(mongodb_hardware_log!T1930&lt;BenchmarkResults!$G$3:$G$35)*ROW(BenchmarkResults!$F$3:$F$35)),{1,3})</f>
        <v>q4_category_revenue</v>
      </c>
      <c r="B1930">
        <v>3</v>
      </c>
      <c r="C1930" s="13">
        <v>1</v>
      </c>
      <c r="D1930" s="13">
        <v>0</v>
      </c>
      <c r="E1930" s="13">
        <v>214272</v>
      </c>
      <c r="F1930" s="13">
        <v>128212</v>
      </c>
      <c r="G1930" s="13">
        <v>352</v>
      </c>
      <c r="H1930" s="13">
        <v>2326276</v>
      </c>
      <c r="I1930" s="13">
        <v>11</v>
      </c>
      <c r="J1930" s="13">
        <v>0</v>
      </c>
      <c r="K1930" s="13">
        <v>14694</v>
      </c>
      <c r="L1930" s="13">
        <v>14</v>
      </c>
      <c r="M1930" s="13">
        <v>3016</v>
      </c>
      <c r="N1930" s="13">
        <v>2112</v>
      </c>
      <c r="O1930" s="13">
        <v>19</v>
      </c>
      <c r="P1930" s="13">
        <v>9</v>
      </c>
      <c r="Q1930" s="13">
        <v>49</v>
      </c>
      <c r="R1930" s="13">
        <v>23</v>
      </c>
      <c r="S1930" s="13">
        <v>0</v>
      </c>
      <c r="T1930" s="23">
        <v>46247.707476851851</v>
      </c>
      <c r="U1930" s="55">
        <f t="shared" si="90"/>
        <v>0.33333333333333331</v>
      </c>
      <c r="V1930" s="55">
        <f t="shared" si="91"/>
        <v>0.5</v>
      </c>
      <c r="W1930" s="56">
        <f t="shared" si="92"/>
        <v>14941</v>
      </c>
    </row>
    <row r="1931" spans="1:23" x14ac:dyDescent="0.3">
      <c r="A1931" s="13" t="str" cm="1">
        <f t="array" ref="A1931:B1931">INDEX(BenchmarkResults!$B$1:$D$35,SUMPRODUCT((T1931&gt;=BenchmarkResults!$F$3:$F$35)*(mongodb_hardware_log!T1931&lt;BenchmarkResults!$G$3:$G$35)*ROW(BenchmarkResults!$F$3:$F$35)),{1,3})</f>
        <v>q4_category_revenue</v>
      </c>
      <c r="B1931">
        <v>3</v>
      </c>
      <c r="C1931" s="13">
        <v>1</v>
      </c>
      <c r="D1931" s="13">
        <v>0</v>
      </c>
      <c r="E1931" s="13">
        <v>214272</v>
      </c>
      <c r="F1931" s="13">
        <v>122720</v>
      </c>
      <c r="G1931" s="13">
        <v>368</v>
      </c>
      <c r="H1931" s="13">
        <v>2333964</v>
      </c>
      <c r="I1931" s="13">
        <v>3</v>
      </c>
      <c r="J1931" s="13">
        <v>0</v>
      </c>
      <c r="K1931" s="13">
        <v>16784</v>
      </c>
      <c r="L1931" s="13">
        <v>19</v>
      </c>
      <c r="M1931" s="13">
        <v>2668</v>
      </c>
      <c r="N1931" s="13">
        <v>1773</v>
      </c>
      <c r="O1931" s="13">
        <v>19</v>
      </c>
      <c r="P1931" s="13">
        <v>7</v>
      </c>
      <c r="Q1931" s="13">
        <v>50</v>
      </c>
      <c r="R1931" s="13">
        <v>24</v>
      </c>
      <c r="S1931" s="13">
        <v>0</v>
      </c>
      <c r="T1931" s="23">
        <v>46247.707592592589</v>
      </c>
      <c r="U1931" s="55">
        <f t="shared" si="90"/>
        <v>0.5</v>
      </c>
      <c r="V1931" s="55">
        <f t="shared" si="91"/>
        <v>0.5</v>
      </c>
      <c r="W1931" s="56">
        <f t="shared" si="92"/>
        <v>15462.333333333334</v>
      </c>
    </row>
    <row r="1932" spans="1:23" x14ac:dyDescent="0.3">
      <c r="A1932" s="13" t="str" cm="1">
        <f t="array" ref="A1932:B1932">INDEX(BenchmarkResults!$B$1:$D$35,SUMPRODUCT((T1932&gt;=BenchmarkResults!$F$3:$F$35)*(mongodb_hardware_log!T1932&lt;BenchmarkResults!$G$3:$G$35)*ROW(BenchmarkResults!$F$3:$F$35)),{1,3})</f>
        <v>q4_category_revenue</v>
      </c>
      <c r="B1932">
        <v>3</v>
      </c>
      <c r="C1932" s="13">
        <v>2</v>
      </c>
      <c r="D1932" s="13">
        <v>0</v>
      </c>
      <c r="E1932" s="13">
        <v>214528</v>
      </c>
      <c r="F1932" s="13">
        <v>109776</v>
      </c>
      <c r="G1932" s="13">
        <v>324</v>
      </c>
      <c r="H1932" s="13">
        <v>2333184</v>
      </c>
      <c r="I1932" s="13">
        <v>45</v>
      </c>
      <c r="J1932" s="13">
        <v>38</v>
      </c>
      <c r="K1932" s="13">
        <v>14182</v>
      </c>
      <c r="L1932" s="13">
        <v>41</v>
      </c>
      <c r="M1932" s="13">
        <v>2698</v>
      </c>
      <c r="N1932" s="13">
        <v>1816</v>
      </c>
      <c r="O1932" s="13">
        <v>19</v>
      </c>
      <c r="P1932" s="13">
        <v>7</v>
      </c>
      <c r="Q1932" s="13">
        <v>48</v>
      </c>
      <c r="R1932" s="13">
        <v>24</v>
      </c>
      <c r="S1932" s="13">
        <v>1</v>
      </c>
      <c r="T1932" s="23">
        <v>46247.707708333335</v>
      </c>
      <c r="U1932" s="55">
        <f t="shared" si="90"/>
        <v>0.83333333333333337</v>
      </c>
      <c r="V1932" s="55">
        <f t="shared" si="91"/>
        <v>0.33333333333333331</v>
      </c>
      <c r="W1932" s="56">
        <f t="shared" si="92"/>
        <v>15162.666666666666</v>
      </c>
    </row>
    <row r="1933" spans="1:23" x14ac:dyDescent="0.3">
      <c r="A1933" s="13" t="str" cm="1">
        <f t="array" ref="A1933:B1933">INDEX(BenchmarkResults!$B$1:$D$35,SUMPRODUCT((T1933&gt;=BenchmarkResults!$F$3:$F$35)*(mongodb_hardware_log!T1933&lt;BenchmarkResults!$G$3:$G$35)*ROW(BenchmarkResults!$F$3:$F$35)),{1,3})</f>
        <v>q4_category_revenue</v>
      </c>
      <c r="B1933">
        <v>3</v>
      </c>
      <c r="C1933" s="13">
        <v>1</v>
      </c>
      <c r="D1933" s="13">
        <v>0</v>
      </c>
      <c r="E1933" s="13">
        <v>214272</v>
      </c>
      <c r="F1933" s="13">
        <v>145728</v>
      </c>
      <c r="G1933" s="13">
        <v>400</v>
      </c>
      <c r="H1933" s="13">
        <v>2311696</v>
      </c>
      <c r="I1933" s="13">
        <v>8</v>
      </c>
      <c r="J1933" s="13">
        <v>4</v>
      </c>
      <c r="K1933" s="13">
        <v>15662</v>
      </c>
      <c r="L1933" s="13">
        <v>69</v>
      </c>
      <c r="M1933" s="13">
        <v>3257</v>
      </c>
      <c r="N1933" s="13">
        <v>2259</v>
      </c>
      <c r="O1933" s="13">
        <v>19</v>
      </c>
      <c r="P1933" s="13">
        <v>8</v>
      </c>
      <c r="Q1933" s="13">
        <v>45</v>
      </c>
      <c r="R1933" s="13">
        <v>27</v>
      </c>
      <c r="S1933" s="13">
        <v>1</v>
      </c>
      <c r="T1933" s="23">
        <v>46247.707824074074</v>
      </c>
      <c r="U1933" s="55">
        <f t="shared" si="90"/>
        <v>1</v>
      </c>
      <c r="V1933" s="55">
        <f t="shared" si="91"/>
        <v>0.16666666666666666</v>
      </c>
      <c r="W1933" s="56">
        <f t="shared" si="92"/>
        <v>15515.833333333334</v>
      </c>
    </row>
    <row r="1934" spans="1:23" x14ac:dyDescent="0.3">
      <c r="A1934" s="13" t="str" cm="1">
        <f t="array" ref="A1934:B1934">INDEX(BenchmarkResults!$B$1:$D$35,SUMPRODUCT((T1934&gt;=BenchmarkResults!$F$3:$F$35)*(mongodb_hardware_log!T1934&lt;BenchmarkResults!$G$3:$G$35)*ROW(BenchmarkResults!$F$3:$F$35)),{1,3})</f>
        <v>q4_category_revenue</v>
      </c>
      <c r="B1934">
        <v>3</v>
      </c>
      <c r="C1934" s="13">
        <v>1</v>
      </c>
      <c r="D1934" s="13">
        <v>0</v>
      </c>
      <c r="E1934" s="13">
        <v>214272</v>
      </c>
      <c r="F1934" s="13">
        <v>137088</v>
      </c>
      <c r="G1934" s="13">
        <v>416</v>
      </c>
      <c r="H1934" s="13">
        <v>2320380</v>
      </c>
      <c r="I1934" s="13">
        <v>4</v>
      </c>
      <c r="J1934" s="13">
        <v>0</v>
      </c>
      <c r="K1934" s="13">
        <v>13800</v>
      </c>
      <c r="L1934" s="13">
        <v>14</v>
      </c>
      <c r="M1934" s="13">
        <v>2681</v>
      </c>
      <c r="N1934" s="13">
        <v>1728</v>
      </c>
      <c r="O1934" s="13">
        <v>18</v>
      </c>
      <c r="P1934" s="13">
        <v>6</v>
      </c>
      <c r="Q1934" s="13">
        <v>47</v>
      </c>
      <c r="R1934" s="13">
        <v>27</v>
      </c>
      <c r="S1934" s="13">
        <v>2</v>
      </c>
      <c r="T1934" s="23">
        <v>46247.707939814813</v>
      </c>
      <c r="U1934" s="55">
        <f t="shared" si="90"/>
        <v>1</v>
      </c>
      <c r="V1934" s="55">
        <f t="shared" si="91"/>
        <v>0.16666666666666666</v>
      </c>
      <c r="W1934" s="56">
        <f t="shared" si="92"/>
        <v>15142.833333333334</v>
      </c>
    </row>
    <row r="1935" spans="1:23" x14ac:dyDescent="0.3">
      <c r="A1935" s="13" t="str" cm="1">
        <f t="array" ref="A1935:B1935">INDEX(BenchmarkResults!$B$1:$D$35,SUMPRODUCT((T1935&gt;=BenchmarkResults!$F$3:$F$35)*(mongodb_hardware_log!T1935&lt;BenchmarkResults!$G$3:$G$35)*ROW(BenchmarkResults!$F$3:$F$35)),{1,3})</f>
        <v>q4_category_revenue</v>
      </c>
      <c r="B1935">
        <v>3</v>
      </c>
      <c r="C1935" s="13">
        <v>0</v>
      </c>
      <c r="D1935" s="13">
        <v>1</v>
      </c>
      <c r="E1935" s="13">
        <v>214016</v>
      </c>
      <c r="F1935" s="13">
        <v>127264</v>
      </c>
      <c r="G1935" s="13">
        <v>432</v>
      </c>
      <c r="H1935" s="13">
        <v>2332324</v>
      </c>
      <c r="I1935" s="13">
        <v>5</v>
      </c>
      <c r="J1935" s="13">
        <v>0</v>
      </c>
      <c r="K1935" s="13">
        <v>15695</v>
      </c>
      <c r="L1935" s="13">
        <v>15</v>
      </c>
      <c r="M1935" s="13">
        <v>3041</v>
      </c>
      <c r="N1935" s="13">
        <v>2045</v>
      </c>
      <c r="O1935" s="13">
        <v>20</v>
      </c>
      <c r="P1935" s="13">
        <v>7</v>
      </c>
      <c r="Q1935" s="13">
        <v>46</v>
      </c>
      <c r="R1935" s="13">
        <v>26</v>
      </c>
      <c r="S1935" s="13">
        <v>1</v>
      </c>
      <c r="T1935" s="23">
        <v>46247.708055555559</v>
      </c>
      <c r="U1935" s="55">
        <f t="shared" si="90"/>
        <v>1</v>
      </c>
      <c r="V1935" s="55">
        <f t="shared" si="91"/>
        <v>0.16666666666666666</v>
      </c>
      <c r="W1935" s="56">
        <f t="shared" si="92"/>
        <v>15136.166666666666</v>
      </c>
    </row>
    <row r="1936" spans="1:23" x14ac:dyDescent="0.3">
      <c r="A1936" s="13" t="str" cm="1">
        <f t="array" ref="A1936:B1936">INDEX(BenchmarkResults!$B$1:$D$35,SUMPRODUCT((T1936&gt;=BenchmarkResults!$F$3:$F$35)*(mongodb_hardware_log!T1936&lt;BenchmarkResults!$G$3:$G$35)*ROW(BenchmarkResults!$F$3:$F$35)),{1,3})</f>
        <v>q4_category_revenue</v>
      </c>
      <c r="B1936">
        <v>3</v>
      </c>
      <c r="C1936" s="13">
        <v>1</v>
      </c>
      <c r="D1936" s="13">
        <v>0</v>
      </c>
      <c r="E1936" s="13">
        <v>214016</v>
      </c>
      <c r="F1936" s="13">
        <v>109880</v>
      </c>
      <c r="G1936" s="13">
        <v>428</v>
      </c>
      <c r="H1936" s="13">
        <v>2345856</v>
      </c>
      <c r="I1936" s="13">
        <v>13</v>
      </c>
      <c r="J1936" s="13">
        <v>0</v>
      </c>
      <c r="K1936" s="13">
        <v>17996</v>
      </c>
      <c r="L1936" s="13">
        <v>33</v>
      </c>
      <c r="M1936" s="13">
        <v>3289</v>
      </c>
      <c r="N1936" s="13">
        <v>2211</v>
      </c>
      <c r="O1936" s="13">
        <v>20</v>
      </c>
      <c r="P1936" s="13">
        <v>8</v>
      </c>
      <c r="Q1936" s="13">
        <v>46</v>
      </c>
      <c r="R1936" s="13">
        <v>25</v>
      </c>
      <c r="S1936" s="13">
        <v>1</v>
      </c>
      <c r="T1936" s="23">
        <v>46247.708171296297</v>
      </c>
      <c r="U1936" s="55">
        <f t="shared" si="90"/>
        <v>1</v>
      </c>
      <c r="V1936" s="55">
        <f t="shared" si="91"/>
        <v>0.16666666666666666</v>
      </c>
      <c r="W1936" s="56">
        <f t="shared" si="92"/>
        <v>15686.5</v>
      </c>
    </row>
    <row r="1937" spans="1:23" x14ac:dyDescent="0.3">
      <c r="A1937" s="13" t="str" cm="1">
        <f t="array" ref="A1937:B1937">INDEX(BenchmarkResults!$B$1:$D$35,SUMPRODUCT((T1937&gt;=BenchmarkResults!$F$3:$F$35)*(mongodb_hardware_log!T1937&lt;BenchmarkResults!$G$3:$G$35)*ROW(BenchmarkResults!$F$3:$F$35)),{1,3})</f>
        <v>q4_category_revenue</v>
      </c>
      <c r="B1937">
        <v>3</v>
      </c>
      <c r="C1937" s="13">
        <v>1</v>
      </c>
      <c r="D1937" s="13">
        <v>0</v>
      </c>
      <c r="E1937" s="13">
        <v>214016</v>
      </c>
      <c r="F1937" s="13">
        <v>143636</v>
      </c>
      <c r="G1937" s="13">
        <v>444</v>
      </c>
      <c r="H1937" s="13">
        <v>2315784</v>
      </c>
      <c r="I1937" s="13">
        <v>4</v>
      </c>
      <c r="J1937" s="13">
        <v>0</v>
      </c>
      <c r="K1937" s="13">
        <v>13025</v>
      </c>
      <c r="L1937" s="13">
        <v>14</v>
      </c>
      <c r="M1937" s="13">
        <v>2608</v>
      </c>
      <c r="N1937" s="13">
        <v>1770</v>
      </c>
      <c r="O1937" s="13">
        <v>21</v>
      </c>
      <c r="P1937" s="13">
        <v>7</v>
      </c>
      <c r="Q1937" s="13">
        <v>51</v>
      </c>
      <c r="R1937" s="13">
        <v>21</v>
      </c>
      <c r="S1937" s="13">
        <v>0</v>
      </c>
      <c r="T1937" s="23">
        <v>46247.708287037036</v>
      </c>
      <c r="U1937" s="55">
        <f t="shared" si="90"/>
        <v>1</v>
      </c>
      <c r="V1937" s="55">
        <f t="shared" si="91"/>
        <v>0.16666666666666666</v>
      </c>
      <c r="W1937" s="56">
        <f t="shared" si="92"/>
        <v>15060</v>
      </c>
    </row>
    <row r="1938" spans="1:23" x14ac:dyDescent="0.3">
      <c r="A1938" s="13" t="str" cm="1">
        <f t="array" ref="A1938:B1938">INDEX(BenchmarkResults!$B$1:$D$35,SUMPRODUCT((T1938&gt;=BenchmarkResults!$F$3:$F$35)*(mongodb_hardware_log!T1938&lt;BenchmarkResults!$G$3:$G$35)*ROW(BenchmarkResults!$F$3:$F$35)),{1,3})</f>
        <v>q4_category_revenue</v>
      </c>
      <c r="B1938">
        <v>3</v>
      </c>
      <c r="C1938" s="13">
        <v>2</v>
      </c>
      <c r="D1938" s="13">
        <v>0</v>
      </c>
      <c r="E1938" s="13">
        <v>213760</v>
      </c>
      <c r="F1938" s="13">
        <v>151588</v>
      </c>
      <c r="G1938" s="13">
        <v>452</v>
      </c>
      <c r="H1938" s="13">
        <v>2301904</v>
      </c>
      <c r="I1938" s="13">
        <v>5</v>
      </c>
      <c r="J1938" s="13">
        <v>0</v>
      </c>
      <c r="K1938" s="13">
        <v>14969</v>
      </c>
      <c r="L1938" s="13">
        <v>10</v>
      </c>
      <c r="M1938" s="13">
        <v>2629</v>
      </c>
      <c r="N1938" s="13">
        <v>1707</v>
      </c>
      <c r="O1938" s="13">
        <v>19</v>
      </c>
      <c r="P1938" s="13">
        <v>7</v>
      </c>
      <c r="Q1938" s="13">
        <v>48</v>
      </c>
      <c r="R1938" s="13">
        <v>25</v>
      </c>
      <c r="S1938" s="13">
        <v>1</v>
      </c>
      <c r="T1938" s="23">
        <v>46247.708402777775</v>
      </c>
      <c r="U1938" s="55">
        <f t="shared" si="90"/>
        <v>1</v>
      </c>
      <c r="V1938" s="55">
        <f t="shared" si="91"/>
        <v>0.16666666666666666</v>
      </c>
      <c r="W1938" s="56">
        <f t="shared" si="92"/>
        <v>15191.166666666666</v>
      </c>
    </row>
    <row r="1939" spans="1:23" x14ac:dyDescent="0.3">
      <c r="A1939" s="13" t="str" cm="1">
        <f t="array" ref="A1939:B1939">INDEX(BenchmarkResults!$B$1:$D$35,SUMPRODUCT((T1939&gt;=BenchmarkResults!$F$3:$F$35)*(mongodb_hardware_log!T1939&lt;BenchmarkResults!$G$3:$G$35)*ROW(BenchmarkResults!$F$3:$F$35)),{1,3})</f>
        <v>q4_category_revenue</v>
      </c>
      <c r="B1939">
        <v>3</v>
      </c>
      <c r="C1939" s="13">
        <v>0</v>
      </c>
      <c r="D1939" s="13">
        <v>1</v>
      </c>
      <c r="E1939" s="13">
        <v>213760</v>
      </c>
      <c r="F1939" s="13">
        <v>154924</v>
      </c>
      <c r="G1939" s="13">
        <v>484</v>
      </c>
      <c r="H1939" s="13">
        <v>2307204</v>
      </c>
      <c r="I1939" s="13">
        <v>2</v>
      </c>
      <c r="J1939" s="13">
        <v>0</v>
      </c>
      <c r="K1939" s="13">
        <v>14815</v>
      </c>
      <c r="L1939" s="13">
        <v>28</v>
      </c>
      <c r="M1939" s="13">
        <v>2911</v>
      </c>
      <c r="N1939" s="13">
        <v>2079</v>
      </c>
      <c r="O1939" s="13">
        <v>19</v>
      </c>
      <c r="P1939" s="13">
        <v>8</v>
      </c>
      <c r="Q1939" s="13">
        <v>48</v>
      </c>
      <c r="R1939" s="13">
        <v>24</v>
      </c>
      <c r="S1939" s="13">
        <v>1</v>
      </c>
      <c r="T1939" s="23">
        <v>46247.708518518521</v>
      </c>
      <c r="U1939" s="55">
        <f t="shared" si="90"/>
        <v>0.83333333333333337</v>
      </c>
      <c r="V1939" s="55">
        <f t="shared" si="91"/>
        <v>0.33333333333333331</v>
      </c>
      <c r="W1939" s="56">
        <f t="shared" si="92"/>
        <v>15050</v>
      </c>
    </row>
    <row r="1940" spans="1:23" x14ac:dyDescent="0.3">
      <c r="A1940" s="13" t="str" cm="1">
        <f t="array" ref="A1940:B1940">INDEX(BenchmarkResults!$B$1:$D$35,SUMPRODUCT((T1940&gt;=BenchmarkResults!$F$3:$F$35)*(mongodb_hardware_log!T1940&lt;BenchmarkResults!$G$3:$G$35)*ROW(BenchmarkResults!$F$3:$F$35)),{1,3})</f>
        <v>q4_category_revenue</v>
      </c>
      <c r="B1940">
        <v>3</v>
      </c>
      <c r="C1940" s="13">
        <v>2</v>
      </c>
      <c r="D1940" s="13">
        <v>0</v>
      </c>
      <c r="E1940" s="13">
        <v>210432</v>
      </c>
      <c r="F1940" s="13">
        <v>122980</v>
      </c>
      <c r="G1940" s="13">
        <v>500</v>
      </c>
      <c r="H1940" s="13">
        <v>2313404</v>
      </c>
      <c r="I1940" s="13">
        <v>2</v>
      </c>
      <c r="J1940" s="13">
        <v>0</v>
      </c>
      <c r="K1940" s="13">
        <v>14339</v>
      </c>
      <c r="L1940" s="13">
        <v>21</v>
      </c>
      <c r="M1940" s="13">
        <v>2771</v>
      </c>
      <c r="N1940" s="13">
        <v>1884</v>
      </c>
      <c r="O1940" s="13">
        <v>20</v>
      </c>
      <c r="P1940" s="13">
        <v>8</v>
      </c>
      <c r="Q1940" s="13">
        <v>50</v>
      </c>
      <c r="R1940" s="13">
        <v>22</v>
      </c>
      <c r="S1940" s="13">
        <v>0</v>
      </c>
      <c r="T1940" s="23">
        <v>46247.708634259259</v>
      </c>
      <c r="U1940" s="55">
        <f t="shared" si="90"/>
        <v>1</v>
      </c>
      <c r="V1940" s="55">
        <f t="shared" si="91"/>
        <v>0.33333333333333331</v>
      </c>
      <c r="W1940" s="56">
        <f t="shared" si="92"/>
        <v>15139.833333333334</v>
      </c>
    </row>
    <row r="1941" spans="1:23" x14ac:dyDescent="0.3">
      <c r="A1941" s="13" t="str" cm="1">
        <f t="array" ref="A1941:B1941">INDEX(BenchmarkResults!$B$1:$D$35,SUMPRODUCT((T1941&gt;=BenchmarkResults!$F$3:$F$35)*(mongodb_hardware_log!T1941&lt;BenchmarkResults!$G$3:$G$35)*ROW(BenchmarkResults!$F$3:$F$35)),{1,3})</f>
        <v>q4_category_revenue</v>
      </c>
      <c r="B1941">
        <v>3</v>
      </c>
      <c r="C1941" s="13">
        <v>0</v>
      </c>
      <c r="D1941" s="13">
        <v>1</v>
      </c>
      <c r="E1941" s="13">
        <v>210432</v>
      </c>
      <c r="F1941" s="13">
        <v>127868</v>
      </c>
      <c r="G1941" s="13">
        <v>516</v>
      </c>
      <c r="H1941" s="13">
        <v>2322376</v>
      </c>
      <c r="I1941" s="13">
        <v>5</v>
      </c>
      <c r="J1941" s="13">
        <v>0</v>
      </c>
      <c r="K1941" s="13">
        <v>18866</v>
      </c>
      <c r="L1941" s="13">
        <v>26</v>
      </c>
      <c r="M1941" s="13">
        <v>3517</v>
      </c>
      <c r="N1941" s="13">
        <v>2438</v>
      </c>
      <c r="O1941" s="13">
        <v>20</v>
      </c>
      <c r="P1941" s="13">
        <v>9</v>
      </c>
      <c r="Q1941" s="13">
        <v>46</v>
      </c>
      <c r="R1941" s="13">
        <v>25</v>
      </c>
      <c r="S1941" s="13">
        <v>1</v>
      </c>
      <c r="T1941" s="23">
        <v>46247.708749999998</v>
      </c>
      <c r="U1941" s="55">
        <f t="shared" si="90"/>
        <v>1</v>
      </c>
      <c r="V1941" s="55">
        <f t="shared" si="91"/>
        <v>0.33333333333333331</v>
      </c>
      <c r="W1941" s="56">
        <f t="shared" si="92"/>
        <v>15668.333333333334</v>
      </c>
    </row>
    <row r="1942" spans="1:23" x14ac:dyDescent="0.3">
      <c r="A1942" s="13" t="str" cm="1">
        <f t="array" ref="A1942:B1942">INDEX(BenchmarkResults!$B$1:$D$35,SUMPRODUCT((T1942&gt;=BenchmarkResults!$F$3:$F$35)*(mongodb_hardware_log!T1942&lt;BenchmarkResults!$G$3:$G$35)*ROW(BenchmarkResults!$F$3:$F$35)),{1,3})</f>
        <v>q4_category_revenue</v>
      </c>
      <c r="B1942">
        <v>3</v>
      </c>
      <c r="C1942" s="13">
        <v>0</v>
      </c>
      <c r="D1942" s="13">
        <v>1</v>
      </c>
      <c r="E1942" s="13">
        <v>210432</v>
      </c>
      <c r="F1942" s="13">
        <v>121324</v>
      </c>
      <c r="G1942" s="13">
        <v>524</v>
      </c>
      <c r="H1942" s="13">
        <v>2336944</v>
      </c>
      <c r="I1942" s="13">
        <v>4</v>
      </c>
      <c r="J1942" s="13">
        <v>0</v>
      </c>
      <c r="K1942" s="13">
        <v>15597</v>
      </c>
      <c r="L1942" s="13">
        <v>10</v>
      </c>
      <c r="M1942" s="13">
        <v>2988</v>
      </c>
      <c r="N1942" s="13">
        <v>2079</v>
      </c>
      <c r="O1942" s="13">
        <v>20</v>
      </c>
      <c r="P1942" s="13">
        <v>9</v>
      </c>
      <c r="Q1942" s="13">
        <v>49</v>
      </c>
      <c r="R1942" s="13">
        <v>22</v>
      </c>
      <c r="S1942" s="13">
        <v>0</v>
      </c>
      <c r="T1942" s="23">
        <v>46247.708865740744</v>
      </c>
      <c r="U1942" s="55">
        <f t="shared" si="90"/>
        <v>0.83333333333333337</v>
      </c>
      <c r="V1942" s="55">
        <f t="shared" si="91"/>
        <v>0.5</v>
      </c>
      <c r="W1942" s="56">
        <f t="shared" si="92"/>
        <v>15268.5</v>
      </c>
    </row>
    <row r="1943" spans="1:23" x14ac:dyDescent="0.3">
      <c r="A1943" s="13" t="str" cm="1">
        <f t="array" ref="A1943:B1943">INDEX(BenchmarkResults!$B$1:$D$35,SUMPRODUCT((T1943&gt;=BenchmarkResults!$F$3:$F$35)*(mongodb_hardware_log!T1943&lt;BenchmarkResults!$G$3:$G$35)*ROW(BenchmarkResults!$F$3:$F$35)),{1,3})</f>
        <v>q4_category_revenue</v>
      </c>
      <c r="B1943">
        <v>3</v>
      </c>
      <c r="C1943" s="13">
        <v>1</v>
      </c>
      <c r="D1943" s="13">
        <v>0</v>
      </c>
      <c r="E1943" s="13">
        <v>210176</v>
      </c>
      <c r="F1943" s="13">
        <v>135496</v>
      </c>
      <c r="G1943" s="13">
        <v>244</v>
      </c>
      <c r="H1943" s="13">
        <v>2323512</v>
      </c>
      <c r="I1943" s="13">
        <v>18</v>
      </c>
      <c r="J1943" s="13">
        <v>0</v>
      </c>
      <c r="K1943" s="13">
        <v>16617</v>
      </c>
      <c r="L1943" s="13">
        <v>11</v>
      </c>
      <c r="M1943" s="13">
        <v>2639</v>
      </c>
      <c r="N1943" s="13">
        <v>1720</v>
      </c>
      <c r="O1943" s="13">
        <v>19</v>
      </c>
      <c r="P1943" s="13">
        <v>9</v>
      </c>
      <c r="Q1943" s="13">
        <v>48</v>
      </c>
      <c r="R1943" s="13">
        <v>24</v>
      </c>
      <c r="S1943" s="13">
        <v>0</v>
      </c>
      <c r="T1943" s="23">
        <v>46247.708981481483</v>
      </c>
      <c r="U1943" s="55">
        <f t="shared" si="90"/>
        <v>0.83333333333333337</v>
      </c>
      <c r="V1943" s="55">
        <f t="shared" si="91"/>
        <v>0.5</v>
      </c>
      <c r="W1943" s="56">
        <f t="shared" si="92"/>
        <v>15867.166666666666</v>
      </c>
    </row>
    <row r="1944" spans="1:23" x14ac:dyDescent="0.3">
      <c r="A1944" s="13" t="str" cm="1">
        <f t="array" ref="A1944:B1944">INDEX(BenchmarkResults!$B$1:$D$35,SUMPRODUCT((T1944&gt;=BenchmarkResults!$F$3:$F$35)*(mongodb_hardware_log!T1944&lt;BenchmarkResults!$G$3:$G$35)*ROW(BenchmarkResults!$F$3:$F$35)),{1,3})</f>
        <v>q4_category_revenue</v>
      </c>
      <c r="B1944">
        <v>3</v>
      </c>
      <c r="C1944" s="13">
        <v>0</v>
      </c>
      <c r="D1944" s="13">
        <v>1</v>
      </c>
      <c r="E1944" s="13">
        <v>210688</v>
      </c>
      <c r="F1944" s="13">
        <v>132260</v>
      </c>
      <c r="G1944" s="13">
        <v>248</v>
      </c>
      <c r="H1944" s="13">
        <v>2327164</v>
      </c>
      <c r="I1944" s="13">
        <v>10</v>
      </c>
      <c r="J1944" s="13">
        <v>29</v>
      </c>
      <c r="K1944" s="13">
        <v>16117</v>
      </c>
      <c r="L1944" s="13">
        <v>41</v>
      </c>
      <c r="M1944" s="13">
        <v>2717</v>
      </c>
      <c r="N1944" s="13">
        <v>1811</v>
      </c>
      <c r="O1944" s="13">
        <v>19</v>
      </c>
      <c r="P1944" s="13">
        <v>7</v>
      </c>
      <c r="Q1944" s="13">
        <v>49</v>
      </c>
      <c r="R1944" s="13">
        <v>24</v>
      </c>
      <c r="S1944" s="13">
        <v>0</v>
      </c>
      <c r="T1944" s="23">
        <v>46247.709097222221</v>
      </c>
      <c r="U1944" s="55">
        <f t="shared" si="90"/>
        <v>0.5</v>
      </c>
      <c r="V1944" s="55">
        <f t="shared" si="91"/>
        <v>0.66666666666666663</v>
      </c>
      <c r="W1944" s="56">
        <f t="shared" si="92"/>
        <v>16058.5</v>
      </c>
    </row>
    <row r="1945" spans="1:23" x14ac:dyDescent="0.3">
      <c r="A1945" s="13" t="str" cm="1">
        <f t="array" ref="A1945:B1945">INDEX(BenchmarkResults!$B$1:$D$35,SUMPRODUCT((T1945&gt;=BenchmarkResults!$F$3:$F$35)*(mongodb_hardware_log!T1945&lt;BenchmarkResults!$G$3:$G$35)*ROW(BenchmarkResults!$F$3:$F$35)),{1,3})</f>
        <v>q4_category_revenue</v>
      </c>
      <c r="B1945">
        <v>3</v>
      </c>
      <c r="C1945" s="13">
        <v>0</v>
      </c>
      <c r="D1945" s="13">
        <v>1</v>
      </c>
      <c r="E1945" s="13">
        <v>210688</v>
      </c>
      <c r="F1945" s="13">
        <v>142060</v>
      </c>
      <c r="G1945" s="13">
        <v>284</v>
      </c>
      <c r="H1945" s="13">
        <v>2307536</v>
      </c>
      <c r="I1945" s="13">
        <v>21</v>
      </c>
      <c r="J1945" s="13">
        <v>1</v>
      </c>
      <c r="K1945" s="13">
        <v>14913</v>
      </c>
      <c r="L1945" s="13">
        <v>33</v>
      </c>
      <c r="M1945" s="13">
        <v>2618</v>
      </c>
      <c r="N1945" s="13">
        <v>1740</v>
      </c>
      <c r="O1945" s="13">
        <v>19</v>
      </c>
      <c r="P1945" s="13">
        <v>6</v>
      </c>
      <c r="Q1945" s="13">
        <v>49</v>
      </c>
      <c r="R1945" s="13">
        <v>25</v>
      </c>
      <c r="S1945" s="13">
        <v>0</v>
      </c>
      <c r="T1945" s="23">
        <v>46247.70921296296</v>
      </c>
      <c r="U1945" s="55">
        <f t="shared" si="90"/>
        <v>0.5</v>
      </c>
      <c r="V1945" s="55">
        <f t="shared" si="91"/>
        <v>0.66666666666666663</v>
      </c>
      <c r="W1945" s="56">
        <f t="shared" si="92"/>
        <v>16074.833333333334</v>
      </c>
    </row>
    <row r="1946" spans="1:23" x14ac:dyDescent="0.3">
      <c r="A1946" s="13" t="str" cm="1">
        <f t="array" ref="A1946:B1946">INDEX(BenchmarkResults!$B$1:$D$35,SUMPRODUCT((T1946&gt;=BenchmarkResults!$F$3:$F$35)*(mongodb_hardware_log!T1946&lt;BenchmarkResults!$G$3:$G$35)*ROW(BenchmarkResults!$F$3:$F$35)),{1,3})</f>
        <v>q4_category_revenue</v>
      </c>
      <c r="B1946">
        <v>3</v>
      </c>
      <c r="C1946" s="13">
        <v>1</v>
      </c>
      <c r="D1946" s="13">
        <v>0</v>
      </c>
      <c r="E1946" s="13">
        <v>210432</v>
      </c>
      <c r="F1946" s="13">
        <v>124332</v>
      </c>
      <c r="G1946" s="13">
        <v>300</v>
      </c>
      <c r="H1946" s="13">
        <v>2333960</v>
      </c>
      <c r="I1946" s="13">
        <v>14</v>
      </c>
      <c r="J1946" s="13">
        <v>0</v>
      </c>
      <c r="K1946" s="13">
        <v>14903</v>
      </c>
      <c r="L1946" s="13">
        <v>16</v>
      </c>
      <c r="M1946" s="13">
        <v>2565</v>
      </c>
      <c r="N1946" s="13">
        <v>1595</v>
      </c>
      <c r="O1946" s="13">
        <v>18</v>
      </c>
      <c r="P1946" s="13">
        <v>6</v>
      </c>
      <c r="Q1946" s="13">
        <v>48</v>
      </c>
      <c r="R1946" s="13">
        <v>28</v>
      </c>
      <c r="S1946" s="13">
        <v>1</v>
      </c>
      <c r="T1946" s="23">
        <v>46247.709328703706</v>
      </c>
      <c r="U1946" s="55">
        <f t="shared" si="90"/>
        <v>0.33333333333333331</v>
      </c>
      <c r="V1946" s="55">
        <f t="shared" si="91"/>
        <v>0.66666666666666663</v>
      </c>
      <c r="W1946" s="56">
        <f t="shared" si="92"/>
        <v>16168.833333333334</v>
      </c>
    </row>
    <row r="1947" spans="1:23" x14ac:dyDescent="0.3">
      <c r="A1947" s="13" t="str" cm="1">
        <f t="array" ref="A1947:B1947">INDEX(BenchmarkResults!$B$1:$D$35,SUMPRODUCT((T1947&gt;=BenchmarkResults!$F$3:$F$35)*(mongodb_hardware_log!T1947&lt;BenchmarkResults!$G$3:$G$35)*ROW(BenchmarkResults!$F$3:$F$35)),{1,3})</f>
        <v>q4_category_revenue</v>
      </c>
      <c r="B1947">
        <v>3</v>
      </c>
      <c r="C1947" s="13">
        <v>1</v>
      </c>
      <c r="D1947" s="13">
        <v>0</v>
      </c>
      <c r="E1947" s="13">
        <v>210944</v>
      </c>
      <c r="F1947" s="13">
        <v>161280</v>
      </c>
      <c r="G1947" s="13">
        <v>308</v>
      </c>
      <c r="H1947" s="13">
        <v>2290728</v>
      </c>
      <c r="I1947" s="13">
        <v>1</v>
      </c>
      <c r="J1947" s="13">
        <v>69</v>
      </c>
      <c r="K1947" s="13">
        <v>16331</v>
      </c>
      <c r="L1947" s="13">
        <v>85</v>
      </c>
      <c r="M1947" s="13">
        <v>3114</v>
      </c>
      <c r="N1947" s="13">
        <v>2077</v>
      </c>
      <c r="O1947" s="13">
        <v>21</v>
      </c>
      <c r="P1947" s="13">
        <v>8</v>
      </c>
      <c r="Q1947" s="13">
        <v>46</v>
      </c>
      <c r="R1947" s="13">
        <v>25</v>
      </c>
      <c r="S1947" s="13">
        <v>1</v>
      </c>
      <c r="T1947" s="23">
        <v>46247.709444444445</v>
      </c>
      <c r="U1947" s="55">
        <f t="shared" si="90"/>
        <v>0.5</v>
      </c>
      <c r="V1947" s="55">
        <f t="shared" si="91"/>
        <v>0.5</v>
      </c>
      <c r="W1947" s="56">
        <f t="shared" si="92"/>
        <v>15746.333333333334</v>
      </c>
    </row>
    <row r="1948" spans="1:23" x14ac:dyDescent="0.3">
      <c r="A1948" s="13" t="str" cm="1">
        <f t="array" ref="A1948:B1948">INDEX(BenchmarkResults!$B$1:$D$35,SUMPRODUCT((T1948&gt;=BenchmarkResults!$F$3:$F$35)*(mongodb_hardware_log!T1948&lt;BenchmarkResults!$G$3:$G$35)*ROW(BenchmarkResults!$F$3:$F$35)),{1,3})</f>
        <v>q4_category_revenue</v>
      </c>
      <c r="B1948">
        <v>3</v>
      </c>
      <c r="C1948" s="13">
        <v>2</v>
      </c>
      <c r="D1948" s="13">
        <v>0</v>
      </c>
      <c r="E1948" s="13">
        <v>210944</v>
      </c>
      <c r="F1948" s="13">
        <v>108864</v>
      </c>
      <c r="G1948" s="13">
        <v>324</v>
      </c>
      <c r="H1948" s="13">
        <v>2342180</v>
      </c>
      <c r="I1948" s="13">
        <v>8</v>
      </c>
      <c r="J1948" s="13">
        <v>0</v>
      </c>
      <c r="K1948" s="13">
        <v>15572</v>
      </c>
      <c r="L1948" s="13">
        <v>44</v>
      </c>
      <c r="M1948" s="13">
        <v>2789</v>
      </c>
      <c r="N1948" s="13">
        <v>1802</v>
      </c>
      <c r="O1948" s="13">
        <v>17</v>
      </c>
      <c r="P1948" s="13">
        <v>7</v>
      </c>
      <c r="Q1948" s="13">
        <v>46</v>
      </c>
      <c r="R1948" s="13">
        <v>28</v>
      </c>
      <c r="S1948" s="13">
        <v>1</v>
      </c>
      <c r="T1948" s="23">
        <v>46247.709560185183</v>
      </c>
      <c r="U1948" s="55">
        <f t="shared" si="90"/>
        <v>0.83333333333333337</v>
      </c>
      <c r="V1948" s="55">
        <f t="shared" si="91"/>
        <v>0.33333333333333331</v>
      </c>
      <c r="W1948" s="56">
        <f t="shared" si="92"/>
        <v>15742.166666666666</v>
      </c>
    </row>
    <row r="1949" spans="1:23" x14ac:dyDescent="0.3">
      <c r="A1949" s="13" t="str" cm="1">
        <f t="array" ref="A1949:B1949">INDEX(BenchmarkResults!$B$1:$D$35,SUMPRODUCT((T1949&gt;=BenchmarkResults!$F$3:$F$35)*(mongodb_hardware_log!T1949&lt;BenchmarkResults!$G$3:$G$35)*ROW(BenchmarkResults!$F$3:$F$35)),{1,3})</f>
        <v>q4_category_revenue</v>
      </c>
      <c r="B1949">
        <v>3</v>
      </c>
      <c r="C1949" s="13">
        <v>2</v>
      </c>
      <c r="D1949" s="13">
        <v>0</v>
      </c>
      <c r="E1949" s="13">
        <v>210944</v>
      </c>
      <c r="F1949" s="13">
        <v>147704</v>
      </c>
      <c r="G1949" s="13">
        <v>332</v>
      </c>
      <c r="H1949" s="13">
        <v>2314856</v>
      </c>
      <c r="I1949" s="13">
        <v>5</v>
      </c>
      <c r="J1949" s="13">
        <v>0</v>
      </c>
      <c r="K1949" s="13">
        <v>13018</v>
      </c>
      <c r="L1949" s="13">
        <v>10</v>
      </c>
      <c r="M1949" s="13">
        <v>2654</v>
      </c>
      <c r="N1949" s="13">
        <v>1705</v>
      </c>
      <c r="O1949" s="13">
        <v>20</v>
      </c>
      <c r="P1949" s="13">
        <v>7</v>
      </c>
      <c r="Q1949" s="13">
        <v>47</v>
      </c>
      <c r="R1949" s="13">
        <v>24</v>
      </c>
      <c r="S1949" s="13">
        <v>1</v>
      </c>
      <c r="T1949" s="23">
        <v>46247.709675925929</v>
      </c>
      <c r="U1949" s="55">
        <f t="shared" si="90"/>
        <v>1</v>
      </c>
      <c r="V1949" s="55">
        <f t="shared" si="91"/>
        <v>0.33333333333333331</v>
      </c>
      <c r="W1949" s="56">
        <f t="shared" si="92"/>
        <v>15142.333333333334</v>
      </c>
    </row>
    <row r="1950" spans="1:23" x14ac:dyDescent="0.3">
      <c r="A1950" s="13" t="str" cm="1">
        <f t="array" ref="A1950:B1950">INDEX(BenchmarkResults!$B$1:$D$35,SUMPRODUCT((T1950&gt;=BenchmarkResults!$F$3:$F$35)*(mongodb_hardware_log!T1950&lt;BenchmarkResults!$G$3:$G$35)*ROW(BenchmarkResults!$F$3:$F$35)),{1,3})</f>
        <v>q4_category_revenue</v>
      </c>
      <c r="B1950">
        <v>3</v>
      </c>
      <c r="C1950" s="13">
        <v>1</v>
      </c>
      <c r="D1950" s="13">
        <v>0</v>
      </c>
      <c r="E1950" s="13">
        <v>210688</v>
      </c>
      <c r="F1950" s="13">
        <v>110860</v>
      </c>
      <c r="G1950" s="13">
        <v>340</v>
      </c>
      <c r="H1950" s="13">
        <v>2331016</v>
      </c>
      <c r="I1950" s="13">
        <v>5</v>
      </c>
      <c r="J1950" s="13">
        <v>0</v>
      </c>
      <c r="K1950" s="13">
        <v>12616</v>
      </c>
      <c r="L1950" s="13">
        <v>12</v>
      </c>
      <c r="M1950" s="13">
        <v>2516</v>
      </c>
      <c r="N1950" s="13">
        <v>1673</v>
      </c>
      <c r="O1950" s="13">
        <v>19</v>
      </c>
      <c r="P1950" s="13">
        <v>7</v>
      </c>
      <c r="Q1950" s="13">
        <v>49</v>
      </c>
      <c r="R1950" s="13">
        <v>24</v>
      </c>
      <c r="S1950" s="13">
        <v>2</v>
      </c>
      <c r="T1950" s="23">
        <v>46247.709791666668</v>
      </c>
      <c r="U1950" s="55">
        <f t="shared" si="90"/>
        <v>1.1666666666666667</v>
      </c>
      <c r="V1950" s="55">
        <f t="shared" si="91"/>
        <v>0.16666666666666666</v>
      </c>
      <c r="W1950" s="56">
        <f t="shared" si="92"/>
        <v>14558.833333333334</v>
      </c>
    </row>
    <row r="1951" spans="1:23" x14ac:dyDescent="0.3">
      <c r="A1951" s="13" t="str" cm="1">
        <f t="array" ref="A1951:B1951">INDEX(BenchmarkResults!$B$1:$D$35,SUMPRODUCT((T1951&gt;=BenchmarkResults!$F$3:$F$35)*(mongodb_hardware_log!T1951&lt;BenchmarkResults!$G$3:$G$35)*ROW(BenchmarkResults!$F$3:$F$35)),{1,3})</f>
        <v>q4_category_revenue</v>
      </c>
      <c r="B1951">
        <v>3</v>
      </c>
      <c r="C1951" s="13">
        <v>1</v>
      </c>
      <c r="D1951" s="13">
        <v>0</v>
      </c>
      <c r="E1951" s="13">
        <v>210688</v>
      </c>
      <c r="F1951" s="13">
        <v>163860</v>
      </c>
      <c r="G1951" s="13">
        <v>364</v>
      </c>
      <c r="H1951" s="13">
        <v>2288992</v>
      </c>
      <c r="I1951" s="13">
        <v>2</v>
      </c>
      <c r="J1951" s="13">
        <v>0</v>
      </c>
      <c r="K1951" s="13">
        <v>15220</v>
      </c>
      <c r="L1951" s="13">
        <v>27</v>
      </c>
      <c r="M1951" s="13">
        <v>2488</v>
      </c>
      <c r="N1951" s="13">
        <v>1565</v>
      </c>
      <c r="O1951" s="13">
        <v>18</v>
      </c>
      <c r="P1951" s="13">
        <v>6</v>
      </c>
      <c r="Q1951" s="13">
        <v>50</v>
      </c>
      <c r="R1951" s="13">
        <v>25</v>
      </c>
      <c r="S1951" s="13">
        <v>1</v>
      </c>
      <c r="T1951" s="23">
        <v>46247.709907407407</v>
      </c>
      <c r="U1951" s="55">
        <f t="shared" si="90"/>
        <v>1.3333333333333333</v>
      </c>
      <c r="V1951" s="55">
        <f t="shared" si="91"/>
        <v>0</v>
      </c>
      <c r="W1951" s="56">
        <f t="shared" si="92"/>
        <v>14610</v>
      </c>
    </row>
    <row r="1952" spans="1:23" x14ac:dyDescent="0.3">
      <c r="A1952" s="13" t="str" cm="1">
        <f t="array" ref="A1952:B1952">INDEX(BenchmarkResults!$B$1:$D$35,SUMPRODUCT((T1952&gt;=BenchmarkResults!$F$3:$F$35)*(mongodb_hardware_log!T1952&lt;BenchmarkResults!$G$3:$G$35)*ROW(BenchmarkResults!$F$3:$F$35)),{1,3})</f>
        <v>q4_category_revenue</v>
      </c>
      <c r="B1952">
        <v>3</v>
      </c>
      <c r="C1952" s="13">
        <v>0</v>
      </c>
      <c r="D1952" s="13">
        <v>1</v>
      </c>
      <c r="E1952" s="13">
        <v>210688</v>
      </c>
      <c r="F1952" s="13">
        <v>118552</v>
      </c>
      <c r="G1952" s="13">
        <v>380</v>
      </c>
      <c r="H1952" s="13">
        <v>2338232</v>
      </c>
      <c r="I1952" s="13">
        <v>7</v>
      </c>
      <c r="J1952" s="13">
        <v>0</v>
      </c>
      <c r="K1952" s="13">
        <v>13925</v>
      </c>
      <c r="L1952" s="13">
        <v>21</v>
      </c>
      <c r="M1952" s="13">
        <v>2563</v>
      </c>
      <c r="N1952" s="13">
        <v>1753</v>
      </c>
      <c r="O1952" s="13">
        <v>20</v>
      </c>
      <c r="P1952" s="13">
        <v>7</v>
      </c>
      <c r="Q1952" s="13">
        <v>49</v>
      </c>
      <c r="R1952" s="13">
        <v>23</v>
      </c>
      <c r="S1952" s="13">
        <v>1</v>
      </c>
      <c r="T1952" s="23">
        <v>46247.710023148145</v>
      </c>
      <c r="U1952" s="55">
        <f t="shared" si="90"/>
        <v>1.1666666666666667</v>
      </c>
      <c r="V1952" s="55">
        <f t="shared" si="91"/>
        <v>0.16666666666666666</v>
      </c>
      <c r="W1952" s="56">
        <f t="shared" si="92"/>
        <v>14447</v>
      </c>
    </row>
    <row r="1953" spans="1:23" x14ac:dyDescent="0.3">
      <c r="A1953" s="13" t="str" cm="1">
        <f t="array" ref="A1953:B1953">INDEX(BenchmarkResults!$B$1:$D$35,SUMPRODUCT((T1953&gt;=BenchmarkResults!$F$3:$F$35)*(mongodb_hardware_log!T1953&lt;BenchmarkResults!$G$3:$G$35)*ROW(BenchmarkResults!$F$3:$F$35)),{1,3})</f>
        <v>q4_category_revenue</v>
      </c>
      <c r="B1953">
        <v>3</v>
      </c>
      <c r="C1953" s="13">
        <v>1</v>
      </c>
      <c r="D1953" s="13">
        <v>0</v>
      </c>
      <c r="E1953" s="13">
        <v>209920</v>
      </c>
      <c r="F1953" s="13">
        <v>132384</v>
      </c>
      <c r="G1953" s="13">
        <v>500</v>
      </c>
      <c r="H1953" s="13">
        <v>2317624</v>
      </c>
      <c r="I1953" s="13">
        <v>240</v>
      </c>
      <c r="J1953" s="13">
        <v>0</v>
      </c>
      <c r="K1953" s="13">
        <v>19286</v>
      </c>
      <c r="L1953" s="13">
        <v>13</v>
      </c>
      <c r="M1953" s="13">
        <v>2921</v>
      </c>
      <c r="N1953" s="13">
        <v>2068</v>
      </c>
      <c r="O1953" s="13">
        <v>19</v>
      </c>
      <c r="P1953" s="13">
        <v>8</v>
      </c>
      <c r="Q1953" s="13">
        <v>47</v>
      </c>
      <c r="R1953" s="13">
        <v>26</v>
      </c>
      <c r="S1953" s="13">
        <v>0</v>
      </c>
      <c r="T1953" s="23">
        <v>46247.710138888891</v>
      </c>
      <c r="U1953" s="55">
        <f t="shared" si="90"/>
        <v>1.1666666666666667</v>
      </c>
      <c r="V1953" s="55">
        <f t="shared" si="91"/>
        <v>0.16666666666666666</v>
      </c>
      <c r="W1953" s="56">
        <f t="shared" si="92"/>
        <v>14939.5</v>
      </c>
    </row>
    <row r="1954" spans="1:23" x14ac:dyDescent="0.3">
      <c r="A1954" s="13" t="str" cm="1">
        <f t="array" ref="A1954:B1954">INDEX(BenchmarkResults!$B$1:$D$35,SUMPRODUCT((T1954&gt;=BenchmarkResults!$F$3:$F$35)*(mongodb_hardware_log!T1954&lt;BenchmarkResults!$G$3:$G$35)*ROW(BenchmarkResults!$F$3:$F$35)),{1,3})</f>
        <v>q4_category_revenue</v>
      </c>
      <c r="B1954">
        <v>3</v>
      </c>
      <c r="C1954" s="13">
        <v>0</v>
      </c>
      <c r="D1954" s="13">
        <v>1</v>
      </c>
      <c r="E1954" s="13">
        <v>209920</v>
      </c>
      <c r="F1954" s="13">
        <v>112252</v>
      </c>
      <c r="G1954" s="13">
        <v>504</v>
      </c>
      <c r="H1954" s="13">
        <v>2331276</v>
      </c>
      <c r="I1954" s="13">
        <v>3</v>
      </c>
      <c r="J1954" s="13">
        <v>0</v>
      </c>
      <c r="K1954" s="13">
        <v>17012</v>
      </c>
      <c r="L1954" s="13">
        <v>16</v>
      </c>
      <c r="M1954" s="13">
        <v>2874</v>
      </c>
      <c r="N1954" s="13">
        <v>2038</v>
      </c>
      <c r="O1954" s="13">
        <v>19</v>
      </c>
      <c r="P1954" s="13">
        <v>8</v>
      </c>
      <c r="Q1954" s="13">
        <v>49</v>
      </c>
      <c r="R1954" s="13">
        <v>23</v>
      </c>
      <c r="S1954" s="13">
        <v>0</v>
      </c>
      <c r="T1954" s="23">
        <v>46247.71025462963</v>
      </c>
      <c r="U1954" s="55">
        <f t="shared" si="90"/>
        <v>0.83333333333333337</v>
      </c>
      <c r="V1954" s="55">
        <f t="shared" si="91"/>
        <v>0.33333333333333331</v>
      </c>
      <c r="W1954" s="56">
        <f t="shared" si="92"/>
        <v>15179.5</v>
      </c>
    </row>
    <row r="1955" spans="1:23" x14ac:dyDescent="0.3">
      <c r="A1955" s="13" t="str" cm="1">
        <f t="array" ref="A1955:B1955">INDEX(BenchmarkResults!$B$1:$D$35,SUMPRODUCT((T1955&gt;=BenchmarkResults!$F$3:$F$35)*(mongodb_hardware_log!T1955&lt;BenchmarkResults!$G$3:$G$35)*ROW(BenchmarkResults!$F$3:$F$35)),{1,3})</f>
        <v>q4_category_revenue</v>
      </c>
      <c r="B1955">
        <v>3</v>
      </c>
      <c r="C1955" s="13">
        <v>0</v>
      </c>
      <c r="D1955" s="13">
        <v>1</v>
      </c>
      <c r="E1955" s="13">
        <v>209920</v>
      </c>
      <c r="F1955" s="13">
        <v>123132</v>
      </c>
      <c r="G1955" s="13">
        <v>520</v>
      </c>
      <c r="H1955" s="13">
        <v>2326620</v>
      </c>
      <c r="I1955" s="13">
        <v>4</v>
      </c>
      <c r="J1955" s="13">
        <v>0</v>
      </c>
      <c r="K1955" s="13">
        <v>17075</v>
      </c>
      <c r="L1955" s="13">
        <v>18</v>
      </c>
      <c r="M1955" s="13">
        <v>2668</v>
      </c>
      <c r="N1955" s="13">
        <v>1755</v>
      </c>
      <c r="O1955" s="13">
        <v>20</v>
      </c>
      <c r="P1955" s="13">
        <v>7</v>
      </c>
      <c r="Q1955" s="13">
        <v>50</v>
      </c>
      <c r="R1955" s="13">
        <v>23</v>
      </c>
      <c r="S1955" s="13">
        <v>0</v>
      </c>
      <c r="T1955" s="23">
        <v>46247.710370370369</v>
      </c>
      <c r="U1955" s="55">
        <f t="shared" si="90"/>
        <v>0.5</v>
      </c>
      <c r="V1955" s="55">
        <f t="shared" si="91"/>
        <v>0.5</v>
      </c>
      <c r="W1955" s="56">
        <f t="shared" si="92"/>
        <v>15855.666666666666</v>
      </c>
    </row>
    <row r="1956" spans="1:23" x14ac:dyDescent="0.3">
      <c r="A1956" s="13" t="str" cm="1">
        <f t="array" ref="A1956:B1956">INDEX(BenchmarkResults!$B$1:$D$35,SUMPRODUCT((T1956&gt;=BenchmarkResults!$F$3:$F$35)*(mongodb_hardware_log!T1956&lt;BenchmarkResults!$G$3:$G$35)*ROW(BenchmarkResults!$F$3:$F$35)),{1,3})</f>
        <v>q4_category_revenue</v>
      </c>
      <c r="B1956">
        <v>3</v>
      </c>
      <c r="C1956" s="13">
        <v>2</v>
      </c>
      <c r="D1956" s="13">
        <v>0</v>
      </c>
      <c r="E1956" s="13">
        <v>209920</v>
      </c>
      <c r="F1956" s="13">
        <v>141392</v>
      </c>
      <c r="G1956" s="13">
        <v>300</v>
      </c>
      <c r="H1956" s="13">
        <v>2305856</v>
      </c>
      <c r="I1956" s="13">
        <v>0</v>
      </c>
      <c r="J1956" s="13">
        <v>18</v>
      </c>
      <c r="K1956" s="13">
        <v>15846</v>
      </c>
      <c r="L1956" s="13">
        <v>67</v>
      </c>
      <c r="M1956" s="13">
        <v>2884</v>
      </c>
      <c r="N1956" s="13">
        <v>2008</v>
      </c>
      <c r="O1956" s="13">
        <v>20</v>
      </c>
      <c r="P1956" s="13">
        <v>8</v>
      </c>
      <c r="Q1956" s="13">
        <v>49</v>
      </c>
      <c r="R1956" s="13">
        <v>24</v>
      </c>
      <c r="S1956" s="13">
        <v>0</v>
      </c>
      <c r="T1956" s="23">
        <v>46247.710486111115</v>
      </c>
      <c r="U1956" s="55">
        <f t="shared" si="90"/>
        <v>0.66666666666666663</v>
      </c>
      <c r="V1956" s="55">
        <f t="shared" si="91"/>
        <v>0.5</v>
      </c>
      <c r="W1956" s="56">
        <f t="shared" si="92"/>
        <v>16394</v>
      </c>
    </row>
    <row r="1957" spans="1:23" x14ac:dyDescent="0.3">
      <c r="A1957" s="13" t="str" cm="1">
        <f t="array" ref="A1957:B1957">INDEX(BenchmarkResults!$B$1:$D$35,SUMPRODUCT((T1957&gt;=BenchmarkResults!$F$3:$F$35)*(mongodb_hardware_log!T1957&lt;BenchmarkResults!$G$3:$G$35)*ROW(BenchmarkResults!$F$3:$F$35)),{1,3})</f>
        <v>q4_category_revenue</v>
      </c>
      <c r="B1957">
        <v>3</v>
      </c>
      <c r="C1957" s="13">
        <v>1</v>
      </c>
      <c r="D1957" s="13">
        <v>0</v>
      </c>
      <c r="E1957" s="13">
        <v>209664</v>
      </c>
      <c r="F1957" s="13">
        <v>113652</v>
      </c>
      <c r="G1957" s="13">
        <v>332</v>
      </c>
      <c r="H1957" s="13">
        <v>2332140</v>
      </c>
      <c r="I1957" s="13">
        <v>6</v>
      </c>
      <c r="J1957" s="13">
        <v>4</v>
      </c>
      <c r="K1957" s="13">
        <v>15306</v>
      </c>
      <c r="L1957" s="13">
        <v>36</v>
      </c>
      <c r="M1957" s="13">
        <v>2844</v>
      </c>
      <c r="N1957" s="13">
        <v>1983</v>
      </c>
      <c r="O1957" s="13">
        <v>20</v>
      </c>
      <c r="P1957" s="13">
        <v>8</v>
      </c>
      <c r="Q1957" s="13">
        <v>50</v>
      </c>
      <c r="R1957" s="13">
        <v>23</v>
      </c>
      <c r="S1957" s="13">
        <v>0</v>
      </c>
      <c r="T1957" s="23">
        <v>46247.710601851853</v>
      </c>
      <c r="U1957" s="55">
        <f t="shared" si="90"/>
        <v>0.66666666666666663</v>
      </c>
      <c r="V1957" s="55">
        <f t="shared" si="91"/>
        <v>0.5</v>
      </c>
      <c r="W1957" s="56">
        <f t="shared" si="92"/>
        <v>16408.333333333332</v>
      </c>
    </row>
    <row r="1958" spans="1:23" x14ac:dyDescent="0.3">
      <c r="A1958" s="13" t="str" cm="1">
        <f t="array" ref="A1958:B1958">INDEX(BenchmarkResults!$B$1:$D$35,SUMPRODUCT((T1958&gt;=BenchmarkResults!$F$3:$F$35)*(mongodb_hardware_log!T1958&lt;BenchmarkResults!$G$3:$G$35)*ROW(BenchmarkResults!$F$3:$F$35)),{1,3})</f>
        <v>q4_category_revenue</v>
      </c>
      <c r="B1958">
        <v>3</v>
      </c>
      <c r="C1958" s="13">
        <v>0</v>
      </c>
      <c r="D1958" s="13">
        <v>1</v>
      </c>
      <c r="E1958" s="13">
        <v>209664</v>
      </c>
      <c r="F1958" s="13">
        <v>109520</v>
      </c>
      <c r="G1958" s="13">
        <v>348</v>
      </c>
      <c r="H1958" s="13">
        <v>2337712</v>
      </c>
      <c r="I1958" s="13">
        <v>12</v>
      </c>
      <c r="J1958" s="13">
        <v>0</v>
      </c>
      <c r="K1958" s="13">
        <v>16362</v>
      </c>
      <c r="L1958" s="13">
        <v>26</v>
      </c>
      <c r="M1958" s="13">
        <v>2834</v>
      </c>
      <c r="N1958" s="13">
        <v>1933</v>
      </c>
      <c r="O1958" s="13">
        <v>19</v>
      </c>
      <c r="P1958" s="13">
        <v>7</v>
      </c>
      <c r="Q1958" s="13">
        <v>49</v>
      </c>
      <c r="R1958" s="13">
        <v>25</v>
      </c>
      <c r="S1958" s="13">
        <v>1</v>
      </c>
      <c r="T1958" s="23">
        <v>46247.710717592592</v>
      </c>
      <c r="U1958" s="55">
        <f t="shared" si="90"/>
        <v>0.66666666666666663</v>
      </c>
      <c r="V1958" s="55">
        <f t="shared" si="91"/>
        <v>0.5</v>
      </c>
      <c r="W1958" s="56">
        <f t="shared" si="92"/>
        <v>16814.5</v>
      </c>
    </row>
    <row r="1959" spans="1:23" x14ac:dyDescent="0.3">
      <c r="A1959" s="13" t="str" cm="1">
        <f t="array" ref="A1959:B1959">INDEX(BenchmarkResults!$B$1:$D$35,SUMPRODUCT((T1959&gt;=BenchmarkResults!$F$3:$F$35)*(mongodb_hardware_log!T1959&lt;BenchmarkResults!$G$3:$G$35)*ROW(BenchmarkResults!$F$3:$F$35)),{1,3})</f>
        <v>q4_category_revenue</v>
      </c>
      <c r="B1959">
        <v>3</v>
      </c>
      <c r="C1959" s="13">
        <v>1</v>
      </c>
      <c r="D1959" s="13">
        <v>0</v>
      </c>
      <c r="E1959" s="13">
        <v>210432</v>
      </c>
      <c r="F1959" s="13">
        <v>131856</v>
      </c>
      <c r="G1959" s="13">
        <v>356</v>
      </c>
      <c r="H1959" s="13">
        <v>2318156</v>
      </c>
      <c r="I1959" s="13">
        <v>2</v>
      </c>
      <c r="J1959" s="13">
        <v>74</v>
      </c>
      <c r="K1959" s="13">
        <v>14356</v>
      </c>
      <c r="L1959" s="13">
        <v>84</v>
      </c>
      <c r="M1959" s="13">
        <v>3004</v>
      </c>
      <c r="N1959" s="13">
        <v>2137</v>
      </c>
      <c r="O1959" s="13">
        <v>20</v>
      </c>
      <c r="P1959" s="13">
        <v>9</v>
      </c>
      <c r="Q1959" s="13">
        <v>49</v>
      </c>
      <c r="R1959" s="13">
        <v>21</v>
      </c>
      <c r="S1959" s="13">
        <v>0</v>
      </c>
      <c r="T1959" s="23">
        <v>46247.710833333331</v>
      </c>
      <c r="U1959" s="55">
        <f t="shared" si="90"/>
        <v>0.66666666666666663</v>
      </c>
      <c r="V1959" s="55">
        <f t="shared" si="91"/>
        <v>0.5</v>
      </c>
      <c r="W1959" s="56">
        <f t="shared" si="92"/>
        <v>15992.833333333334</v>
      </c>
    </row>
    <row r="1960" spans="1:23" x14ac:dyDescent="0.3">
      <c r="A1960" s="13" t="str" cm="1">
        <f t="array" ref="A1960:B1960">INDEX(BenchmarkResults!$B$1:$D$35,SUMPRODUCT((T1960&gt;=BenchmarkResults!$F$3:$F$35)*(mongodb_hardware_log!T1960&lt;BenchmarkResults!$G$3:$G$35)*ROW(BenchmarkResults!$F$3:$F$35)),{1,3})</f>
        <v>q4_category_revenue</v>
      </c>
      <c r="B1960">
        <v>3</v>
      </c>
      <c r="C1960" s="13">
        <v>1</v>
      </c>
      <c r="D1960" s="13">
        <v>0</v>
      </c>
      <c r="E1960" s="13">
        <v>210432</v>
      </c>
      <c r="F1960" s="13">
        <v>121132</v>
      </c>
      <c r="G1960" s="13">
        <v>372</v>
      </c>
      <c r="H1960" s="13">
        <v>2332588</v>
      </c>
      <c r="I1960" s="13">
        <v>4</v>
      </c>
      <c r="J1960" s="13">
        <v>0</v>
      </c>
      <c r="K1960" s="13">
        <v>15426</v>
      </c>
      <c r="L1960" s="13">
        <v>28</v>
      </c>
      <c r="M1960" s="13">
        <v>2802</v>
      </c>
      <c r="N1960" s="13">
        <v>1882</v>
      </c>
      <c r="O1960" s="13">
        <v>20</v>
      </c>
      <c r="P1960" s="13">
        <v>7</v>
      </c>
      <c r="Q1960" s="13">
        <v>50</v>
      </c>
      <c r="R1960" s="13">
        <v>23</v>
      </c>
      <c r="S1960" s="13">
        <v>0</v>
      </c>
      <c r="T1960" s="23">
        <v>46247.710949074077</v>
      </c>
      <c r="U1960" s="55">
        <f t="shared" si="90"/>
        <v>0.83333333333333337</v>
      </c>
      <c r="V1960" s="55">
        <f t="shared" si="91"/>
        <v>0.33333333333333331</v>
      </c>
      <c r="W1960" s="56">
        <f t="shared" si="92"/>
        <v>15728.5</v>
      </c>
    </row>
    <row r="1961" spans="1:23" x14ac:dyDescent="0.3">
      <c r="A1961" s="13" t="str" cm="1">
        <f t="array" ref="A1961:B1961">INDEX(BenchmarkResults!$B$1:$D$35,SUMPRODUCT((T1961&gt;=BenchmarkResults!$F$3:$F$35)*(mongodb_hardware_log!T1961&lt;BenchmarkResults!$G$3:$G$35)*ROW(BenchmarkResults!$F$3:$F$35)),{1,3})</f>
        <v>q4_category_revenue</v>
      </c>
      <c r="B1961">
        <v>3</v>
      </c>
      <c r="C1961" s="13">
        <v>1</v>
      </c>
      <c r="D1961" s="13">
        <v>0</v>
      </c>
      <c r="E1961" s="13">
        <v>210432</v>
      </c>
      <c r="F1961" s="13">
        <v>135912</v>
      </c>
      <c r="G1961" s="13">
        <v>388</v>
      </c>
      <c r="H1961" s="13">
        <v>2308640</v>
      </c>
      <c r="I1961" s="13">
        <v>4</v>
      </c>
      <c r="J1961" s="13">
        <v>0</v>
      </c>
      <c r="K1961" s="13">
        <v>13430</v>
      </c>
      <c r="L1961" s="13">
        <v>23</v>
      </c>
      <c r="M1961" s="13">
        <v>2456</v>
      </c>
      <c r="N1961" s="13">
        <v>1579</v>
      </c>
      <c r="O1961" s="13">
        <v>21</v>
      </c>
      <c r="P1961" s="13">
        <v>7</v>
      </c>
      <c r="Q1961" s="13">
        <v>51</v>
      </c>
      <c r="R1961" s="13">
        <v>21</v>
      </c>
      <c r="S1961" s="13">
        <v>0</v>
      </c>
      <c r="T1961" s="23">
        <v>46247.711064814815</v>
      </c>
      <c r="U1961" s="55">
        <f t="shared" si="90"/>
        <v>1</v>
      </c>
      <c r="V1961" s="55">
        <f t="shared" si="91"/>
        <v>0.16666666666666666</v>
      </c>
      <c r="W1961" s="56">
        <f t="shared" si="92"/>
        <v>15121</v>
      </c>
    </row>
    <row r="1962" spans="1:23" x14ac:dyDescent="0.3">
      <c r="A1962" s="13" t="str" cm="1">
        <f t="array" ref="A1962:B1962">INDEX(BenchmarkResults!$B$1:$D$35,SUMPRODUCT((T1962&gt;=BenchmarkResults!$F$3:$F$35)*(mongodb_hardware_log!T1962&lt;BenchmarkResults!$G$3:$G$35)*ROW(BenchmarkResults!$F$3:$F$35)),{1,3})</f>
        <v>q4_category_revenue</v>
      </c>
      <c r="B1962">
        <v>3</v>
      </c>
      <c r="C1962" s="13">
        <v>1</v>
      </c>
      <c r="D1962" s="13">
        <v>0</v>
      </c>
      <c r="E1962" s="13">
        <v>210176</v>
      </c>
      <c r="F1962" s="13">
        <v>162200</v>
      </c>
      <c r="G1962" s="13">
        <v>432</v>
      </c>
      <c r="H1962" s="13">
        <v>2291424</v>
      </c>
      <c r="I1962" s="13">
        <v>13</v>
      </c>
      <c r="J1962" s="13">
        <v>0</v>
      </c>
      <c r="K1962" s="13">
        <v>14848</v>
      </c>
      <c r="L1962" s="13">
        <v>9</v>
      </c>
      <c r="M1962" s="13">
        <v>2582</v>
      </c>
      <c r="N1962" s="13">
        <v>1712</v>
      </c>
      <c r="O1962" s="13">
        <v>20</v>
      </c>
      <c r="P1962" s="13">
        <v>7</v>
      </c>
      <c r="Q1962" s="13">
        <v>50</v>
      </c>
      <c r="R1962" s="13">
        <v>22</v>
      </c>
      <c r="S1962" s="13">
        <v>0</v>
      </c>
      <c r="T1962" s="23">
        <v>46247.711180555554</v>
      </c>
      <c r="U1962" s="55">
        <f t="shared" si="90"/>
        <v>0.83333333333333337</v>
      </c>
      <c r="V1962" s="55">
        <f t="shared" si="91"/>
        <v>0.16666666666666666</v>
      </c>
      <c r="W1962" s="56">
        <f t="shared" si="92"/>
        <v>14954.666666666666</v>
      </c>
    </row>
    <row r="1963" spans="1:23" x14ac:dyDescent="0.3">
      <c r="A1963" s="13" t="str" cm="1">
        <f t="array" ref="A1963:B1963">INDEX(BenchmarkResults!$B$1:$D$35,SUMPRODUCT((T1963&gt;=BenchmarkResults!$F$3:$F$35)*(mongodb_hardware_log!T1963&lt;BenchmarkResults!$G$3:$G$35)*ROW(BenchmarkResults!$F$3:$F$35)),{1,3})</f>
        <v>q4_category_revenue</v>
      </c>
      <c r="B1963">
        <v>3</v>
      </c>
      <c r="C1963" s="13">
        <v>0</v>
      </c>
      <c r="D1963" s="13">
        <v>1</v>
      </c>
      <c r="E1963" s="13">
        <v>209920</v>
      </c>
      <c r="F1963" s="13">
        <v>128696</v>
      </c>
      <c r="G1963" s="13">
        <v>468</v>
      </c>
      <c r="H1963" s="13">
        <v>2312212</v>
      </c>
      <c r="I1963" s="13">
        <v>3</v>
      </c>
      <c r="J1963" s="13">
        <v>0</v>
      </c>
      <c r="K1963" s="13">
        <v>16458</v>
      </c>
      <c r="L1963" s="13">
        <v>39</v>
      </c>
      <c r="M1963" s="13">
        <v>2731</v>
      </c>
      <c r="N1963" s="13">
        <v>1815</v>
      </c>
      <c r="O1963" s="13">
        <v>20</v>
      </c>
      <c r="P1963" s="13">
        <v>7</v>
      </c>
      <c r="Q1963" s="13">
        <v>50</v>
      </c>
      <c r="R1963" s="13">
        <v>23</v>
      </c>
      <c r="S1963" s="13">
        <v>0</v>
      </c>
      <c r="T1963" s="23">
        <v>46247.711296296293</v>
      </c>
      <c r="U1963" s="55">
        <f t="shared" si="90"/>
        <v>0.66666666666666663</v>
      </c>
      <c r="V1963" s="55">
        <f t="shared" si="91"/>
        <v>0.33333333333333331</v>
      </c>
      <c r="W1963" s="56">
        <f t="shared" si="92"/>
        <v>15146.666666666666</v>
      </c>
    </row>
    <row r="1964" spans="1:23" x14ac:dyDescent="0.3">
      <c r="A1964" s="13" t="str" cm="1">
        <f t="array" ref="A1964:B1964">INDEX(BenchmarkResults!$B$1:$D$35,SUMPRODUCT((T1964&gt;=BenchmarkResults!$F$3:$F$35)*(mongodb_hardware_log!T1964&lt;BenchmarkResults!$G$3:$G$35)*ROW(BenchmarkResults!$F$3:$F$35)),{1,3})</f>
        <v>q4_category_revenue</v>
      </c>
      <c r="B1964">
        <v>3</v>
      </c>
      <c r="C1964" s="13">
        <v>0</v>
      </c>
      <c r="D1964" s="13">
        <v>1</v>
      </c>
      <c r="E1964" s="13">
        <v>209920</v>
      </c>
      <c r="F1964" s="13">
        <v>116928</v>
      </c>
      <c r="G1964" s="13">
        <v>484</v>
      </c>
      <c r="H1964" s="13">
        <v>2332204</v>
      </c>
      <c r="I1964" s="13">
        <v>7</v>
      </c>
      <c r="J1964" s="13">
        <v>0</v>
      </c>
      <c r="K1964" s="13">
        <v>14748</v>
      </c>
      <c r="L1964" s="13">
        <v>12</v>
      </c>
      <c r="M1964" s="13">
        <v>2602</v>
      </c>
      <c r="N1964" s="13">
        <v>1794</v>
      </c>
      <c r="O1964" s="13">
        <v>20</v>
      </c>
      <c r="P1964" s="13">
        <v>8</v>
      </c>
      <c r="Q1964" s="13">
        <v>50</v>
      </c>
      <c r="R1964" s="13">
        <v>21</v>
      </c>
      <c r="S1964" s="13">
        <v>0</v>
      </c>
      <c r="T1964" s="23">
        <v>46247.711412037039</v>
      </c>
      <c r="U1964" s="55">
        <f t="shared" si="90"/>
        <v>0.66666666666666663</v>
      </c>
      <c r="V1964" s="55">
        <f t="shared" si="91"/>
        <v>0.33333333333333331</v>
      </c>
      <c r="W1964" s="56">
        <f t="shared" si="92"/>
        <v>14877.666666666666</v>
      </c>
    </row>
    <row r="1965" spans="1:23" x14ac:dyDescent="0.3">
      <c r="A1965" s="13" t="str" cm="1">
        <f t="array" ref="A1965:B1965">INDEX(BenchmarkResults!$B$1:$D$35,SUMPRODUCT((T1965&gt;=BenchmarkResults!$F$3:$F$35)*(mongodb_hardware_log!T1965&lt;BenchmarkResults!$G$3:$G$35)*ROW(BenchmarkResults!$F$3:$F$35)),{1,3})</f>
        <v>q4_category_revenue</v>
      </c>
      <c r="B1965">
        <v>3</v>
      </c>
      <c r="C1965" s="13">
        <v>0</v>
      </c>
      <c r="D1965" s="13">
        <v>1</v>
      </c>
      <c r="E1965" s="13">
        <v>209920</v>
      </c>
      <c r="F1965" s="13">
        <v>120168</v>
      </c>
      <c r="G1965" s="13">
        <v>496</v>
      </c>
      <c r="H1965" s="13">
        <v>2323908</v>
      </c>
      <c r="I1965" s="13">
        <v>6</v>
      </c>
      <c r="J1965" s="13">
        <v>0</v>
      </c>
      <c r="K1965" s="13">
        <v>17814</v>
      </c>
      <c r="L1965" s="13">
        <v>22</v>
      </c>
      <c r="M1965" s="13">
        <v>2923</v>
      </c>
      <c r="N1965" s="13">
        <v>2117</v>
      </c>
      <c r="O1965" s="13">
        <v>19</v>
      </c>
      <c r="P1965" s="13">
        <v>8</v>
      </c>
      <c r="Q1965" s="13">
        <v>49</v>
      </c>
      <c r="R1965" s="13">
        <v>24</v>
      </c>
      <c r="S1965" s="13">
        <v>0</v>
      </c>
      <c r="T1965" s="23">
        <v>46247.711527777778</v>
      </c>
      <c r="U1965" s="55">
        <f t="shared" si="90"/>
        <v>0.5</v>
      </c>
      <c r="V1965" s="55">
        <f t="shared" si="91"/>
        <v>0.5</v>
      </c>
      <c r="W1965" s="56">
        <f t="shared" si="92"/>
        <v>15454</v>
      </c>
    </row>
    <row r="1966" spans="1:23" x14ac:dyDescent="0.3">
      <c r="A1966" s="13" t="str" cm="1">
        <f t="array" ref="A1966:B1966">INDEX(BenchmarkResults!$B$1:$D$35,SUMPRODUCT((T1966&gt;=BenchmarkResults!$F$3:$F$35)*(mongodb_hardware_log!T1966&lt;BenchmarkResults!$G$3:$G$35)*ROW(BenchmarkResults!$F$3:$F$35)),{1,3})</f>
        <v>q4_category_revenue</v>
      </c>
      <c r="B1966">
        <v>3</v>
      </c>
      <c r="C1966" s="13">
        <v>1</v>
      </c>
      <c r="D1966" s="13">
        <v>0</v>
      </c>
      <c r="E1966" s="13">
        <v>209920</v>
      </c>
      <c r="F1966" s="13">
        <v>138784</v>
      </c>
      <c r="G1966" s="13">
        <v>504</v>
      </c>
      <c r="H1966" s="13">
        <v>2307640</v>
      </c>
      <c r="I1966" s="13">
        <v>2</v>
      </c>
      <c r="J1966" s="13">
        <v>0</v>
      </c>
      <c r="K1966" s="13">
        <v>15802</v>
      </c>
      <c r="L1966" s="13">
        <v>10</v>
      </c>
      <c r="M1966" s="13">
        <v>2678</v>
      </c>
      <c r="N1966" s="13">
        <v>1785</v>
      </c>
      <c r="O1966" s="13">
        <v>20</v>
      </c>
      <c r="P1966" s="13">
        <v>7</v>
      </c>
      <c r="Q1966" s="13">
        <v>50</v>
      </c>
      <c r="R1966" s="13">
        <v>23</v>
      </c>
      <c r="S1966" s="13">
        <v>0</v>
      </c>
      <c r="T1966" s="23">
        <v>46247.711643518516</v>
      </c>
      <c r="U1966" s="55">
        <f t="shared" si="90"/>
        <v>0.5</v>
      </c>
      <c r="V1966" s="55">
        <f t="shared" si="91"/>
        <v>0.5</v>
      </c>
      <c r="W1966" s="56">
        <f t="shared" si="92"/>
        <v>15516.666666666666</v>
      </c>
    </row>
    <row r="1967" spans="1:23" x14ac:dyDescent="0.3">
      <c r="A1967" s="13" t="str" cm="1">
        <f t="array" ref="A1967:B1967">INDEX(BenchmarkResults!$B$1:$D$35,SUMPRODUCT((T1967&gt;=BenchmarkResults!$F$3:$F$35)*(mongodb_hardware_log!T1967&lt;BenchmarkResults!$G$3:$G$35)*ROW(BenchmarkResults!$F$3:$F$35)),{1,3})</f>
        <v>q4_category_revenue</v>
      </c>
      <c r="B1967">
        <v>3</v>
      </c>
      <c r="C1967" s="13">
        <v>0</v>
      </c>
      <c r="D1967" s="13">
        <v>1</v>
      </c>
      <c r="E1967" s="13">
        <v>207616</v>
      </c>
      <c r="F1967" s="13">
        <v>112592</v>
      </c>
      <c r="G1967" s="13">
        <v>256</v>
      </c>
      <c r="H1967" s="13">
        <v>2334836</v>
      </c>
      <c r="I1967" s="13">
        <v>236</v>
      </c>
      <c r="J1967" s="13">
        <v>0</v>
      </c>
      <c r="K1967" s="13">
        <v>17129</v>
      </c>
      <c r="L1967" s="13">
        <v>16</v>
      </c>
      <c r="M1967" s="13">
        <v>2804</v>
      </c>
      <c r="N1967" s="13">
        <v>1864</v>
      </c>
      <c r="O1967" s="13">
        <v>19</v>
      </c>
      <c r="P1967" s="13">
        <v>8</v>
      </c>
      <c r="Q1967" s="13">
        <v>49</v>
      </c>
      <c r="R1967" s="13">
        <v>24</v>
      </c>
      <c r="S1967" s="13">
        <v>0</v>
      </c>
      <c r="T1967" s="23">
        <v>46247.711759259262</v>
      </c>
      <c r="U1967" s="55">
        <f t="shared" si="90"/>
        <v>0.33333333333333331</v>
      </c>
      <c r="V1967" s="55">
        <f t="shared" si="91"/>
        <v>0.66666666666666663</v>
      </c>
      <c r="W1967" s="56">
        <f t="shared" si="92"/>
        <v>16133.166666666666</v>
      </c>
    </row>
    <row r="1968" spans="1:23" x14ac:dyDescent="0.3">
      <c r="A1968" s="13" t="str" cm="1">
        <f t="array" ref="A1968:B1968">INDEX(BenchmarkResults!$B$1:$D$35,SUMPRODUCT((T1968&gt;=BenchmarkResults!$F$3:$F$35)*(mongodb_hardware_log!T1968&lt;BenchmarkResults!$G$3:$G$35)*ROW(BenchmarkResults!$F$3:$F$35)),{1,3})</f>
        <v>q4_category_revenue</v>
      </c>
      <c r="B1968">
        <v>3</v>
      </c>
      <c r="C1968" s="13">
        <v>0</v>
      </c>
      <c r="D1968" s="13">
        <v>1</v>
      </c>
      <c r="E1968" s="13">
        <v>207616</v>
      </c>
      <c r="F1968" s="13">
        <v>116208</v>
      </c>
      <c r="G1968" s="13">
        <v>252</v>
      </c>
      <c r="H1968" s="13">
        <v>2335164</v>
      </c>
      <c r="I1968" s="13">
        <v>2</v>
      </c>
      <c r="J1968" s="13">
        <v>6</v>
      </c>
      <c r="K1968" s="13">
        <v>15390</v>
      </c>
      <c r="L1968" s="13">
        <v>12</v>
      </c>
      <c r="M1968" s="13">
        <v>2600</v>
      </c>
      <c r="N1968" s="13">
        <v>1782</v>
      </c>
      <c r="O1968" s="13">
        <v>19</v>
      </c>
      <c r="P1968" s="13">
        <v>7</v>
      </c>
      <c r="Q1968" s="13">
        <v>50</v>
      </c>
      <c r="R1968" s="13">
        <v>24</v>
      </c>
      <c r="S1968" s="13">
        <v>1</v>
      </c>
      <c r="T1968" s="23">
        <v>46247.711875000001</v>
      </c>
      <c r="U1968" s="55">
        <f t="shared" si="90"/>
        <v>0.16666666666666666</v>
      </c>
      <c r="V1968" s="55">
        <f t="shared" si="91"/>
        <v>0.83333333333333337</v>
      </c>
      <c r="W1968" s="56">
        <f t="shared" si="92"/>
        <v>16223.5</v>
      </c>
    </row>
    <row r="1969" spans="1:23" x14ac:dyDescent="0.3">
      <c r="A1969" s="13" t="str" cm="1">
        <f t="array" ref="A1969:B1969">INDEX(BenchmarkResults!$B$1:$D$35,SUMPRODUCT((T1969&gt;=BenchmarkResults!$F$3:$F$35)*(mongodb_hardware_log!T1969&lt;BenchmarkResults!$G$3:$G$35)*ROW(BenchmarkResults!$F$3:$F$35)),{1,3})</f>
        <v>q4_category_revenue</v>
      </c>
      <c r="B1969">
        <v>3</v>
      </c>
      <c r="C1969" s="13">
        <v>1</v>
      </c>
      <c r="D1969" s="13">
        <v>0</v>
      </c>
      <c r="E1969" s="13">
        <v>207616</v>
      </c>
      <c r="F1969" s="13">
        <v>133672</v>
      </c>
      <c r="G1969" s="13">
        <v>412</v>
      </c>
      <c r="H1969" s="13">
        <v>2323000</v>
      </c>
      <c r="I1969" s="13">
        <v>2</v>
      </c>
      <c r="J1969" s="13">
        <v>0</v>
      </c>
      <c r="K1969" s="13">
        <v>15668</v>
      </c>
      <c r="L1969" s="13">
        <v>32</v>
      </c>
      <c r="M1969" s="13">
        <v>2665</v>
      </c>
      <c r="N1969" s="13">
        <v>1838</v>
      </c>
      <c r="O1969" s="13">
        <v>20</v>
      </c>
      <c r="P1969" s="13">
        <v>7</v>
      </c>
      <c r="Q1969" s="13">
        <v>50</v>
      </c>
      <c r="R1969" s="13">
        <v>24</v>
      </c>
      <c r="S1969" s="13">
        <v>0</v>
      </c>
      <c r="T1969" s="23">
        <v>46247.71199074074</v>
      </c>
      <c r="U1969" s="55">
        <f t="shared" si="90"/>
        <v>0.33333333333333331</v>
      </c>
      <c r="V1969" s="55">
        <f t="shared" si="91"/>
        <v>0.66666666666666663</v>
      </c>
      <c r="W1969" s="56">
        <f t="shared" si="92"/>
        <v>16091.833333333334</v>
      </c>
    </row>
    <row r="1970" spans="1:23" x14ac:dyDescent="0.3">
      <c r="A1970" s="13" t="str" cm="1">
        <f t="array" ref="A1970:B1970">INDEX(BenchmarkResults!$B$1:$D$35,SUMPRODUCT((T1970&gt;=BenchmarkResults!$F$3:$F$35)*(mongodb_hardware_log!T1970&lt;BenchmarkResults!$G$3:$G$35)*ROW(BenchmarkResults!$F$3:$F$35)),{1,3})</f>
        <v>q4_category_revenue</v>
      </c>
      <c r="B1970">
        <v>3</v>
      </c>
      <c r="C1970" s="13">
        <v>0</v>
      </c>
      <c r="D1970" s="13">
        <v>1</v>
      </c>
      <c r="E1970" s="13">
        <v>207616</v>
      </c>
      <c r="F1970" s="13">
        <v>129208</v>
      </c>
      <c r="G1970" s="13">
        <v>428</v>
      </c>
      <c r="H1970" s="13">
        <v>2327028</v>
      </c>
      <c r="I1970" s="13">
        <v>1</v>
      </c>
      <c r="J1970" s="13">
        <v>0</v>
      </c>
      <c r="K1970" s="13">
        <v>16659</v>
      </c>
      <c r="L1970" s="13">
        <v>16</v>
      </c>
      <c r="M1970" s="13">
        <v>2929</v>
      </c>
      <c r="N1970" s="13">
        <v>1999</v>
      </c>
      <c r="O1970" s="13">
        <v>19</v>
      </c>
      <c r="P1970" s="13">
        <v>7</v>
      </c>
      <c r="Q1970" s="13">
        <v>49</v>
      </c>
      <c r="R1970" s="13">
        <v>24</v>
      </c>
      <c r="S1970" s="13">
        <v>0</v>
      </c>
      <c r="T1970" s="23">
        <v>46247.712106481478</v>
      </c>
      <c r="U1970" s="55">
        <f t="shared" si="90"/>
        <v>0.33333333333333331</v>
      </c>
      <c r="V1970" s="55">
        <f t="shared" si="91"/>
        <v>0.66666666666666663</v>
      </c>
      <c r="W1970" s="56">
        <f t="shared" si="92"/>
        <v>16410.333333333332</v>
      </c>
    </row>
    <row r="1971" spans="1:23" x14ac:dyDescent="0.3">
      <c r="A1971" s="13" t="str" cm="1">
        <f t="array" ref="A1971:B1971">INDEX(BenchmarkResults!$B$1:$D$35,SUMPRODUCT((T1971&gt;=BenchmarkResults!$F$3:$F$35)*(mongodb_hardware_log!T1971&lt;BenchmarkResults!$G$3:$G$35)*ROW(BenchmarkResults!$F$3:$F$35)),{1,3})</f>
        <v>q4_category_revenue</v>
      </c>
      <c r="B1971">
        <v>3</v>
      </c>
      <c r="C1971" s="13">
        <v>1</v>
      </c>
      <c r="D1971" s="13">
        <v>0</v>
      </c>
      <c r="E1971" s="13">
        <v>208384</v>
      </c>
      <c r="F1971" s="13">
        <v>149332</v>
      </c>
      <c r="G1971" s="13">
        <v>436</v>
      </c>
      <c r="H1971" s="13">
        <v>2302972</v>
      </c>
      <c r="I1971" s="13">
        <v>1</v>
      </c>
      <c r="J1971" s="13">
        <v>64</v>
      </c>
      <c r="K1971" s="13">
        <v>14779</v>
      </c>
      <c r="L1971" s="13">
        <v>73</v>
      </c>
      <c r="M1971" s="13">
        <v>2650</v>
      </c>
      <c r="N1971" s="13">
        <v>1785</v>
      </c>
      <c r="O1971" s="13">
        <v>21</v>
      </c>
      <c r="P1971" s="13">
        <v>7</v>
      </c>
      <c r="Q1971" s="13">
        <v>50</v>
      </c>
      <c r="R1971" s="13">
        <v>22</v>
      </c>
      <c r="S1971" s="13">
        <v>0</v>
      </c>
      <c r="T1971" s="23">
        <v>46247.712222222224</v>
      </c>
      <c r="U1971" s="55">
        <f t="shared" si="90"/>
        <v>0.5</v>
      </c>
      <c r="V1971" s="55">
        <f t="shared" si="91"/>
        <v>0.5</v>
      </c>
      <c r="W1971" s="56">
        <f t="shared" si="92"/>
        <v>15904.5</v>
      </c>
    </row>
    <row r="1972" spans="1:23" x14ac:dyDescent="0.3">
      <c r="A1972" s="13" t="str" cm="1">
        <f t="array" ref="A1972:B1972">INDEX(BenchmarkResults!$B$1:$D$35,SUMPRODUCT((T1972&gt;=BenchmarkResults!$F$3:$F$35)*(mongodb_hardware_log!T1972&lt;BenchmarkResults!$G$3:$G$35)*ROW(BenchmarkResults!$F$3:$F$35)),{1,3})</f>
        <v>q4_category_revenue</v>
      </c>
      <c r="B1972">
        <v>3</v>
      </c>
      <c r="C1972" s="13">
        <v>2</v>
      </c>
      <c r="D1972" s="13">
        <v>1</v>
      </c>
      <c r="E1972" s="13">
        <v>201984</v>
      </c>
      <c r="F1972" s="13">
        <v>139036</v>
      </c>
      <c r="G1972" s="13">
        <v>444</v>
      </c>
      <c r="H1972" s="13">
        <v>2314764</v>
      </c>
      <c r="I1972" s="13">
        <v>6</v>
      </c>
      <c r="J1972" s="13">
        <v>0</v>
      </c>
      <c r="K1972" s="13">
        <v>17027</v>
      </c>
      <c r="L1972" s="13">
        <v>44</v>
      </c>
      <c r="M1972" s="13">
        <v>2881</v>
      </c>
      <c r="N1972" s="13">
        <v>1949</v>
      </c>
      <c r="O1972" s="13">
        <v>19</v>
      </c>
      <c r="P1972" s="13">
        <v>8</v>
      </c>
      <c r="Q1972" s="13">
        <v>49</v>
      </c>
      <c r="R1972" s="13">
        <v>24</v>
      </c>
      <c r="S1972" s="13">
        <v>0</v>
      </c>
      <c r="T1972" s="23">
        <v>46247.712337962963</v>
      </c>
      <c r="U1972" s="55">
        <f t="shared" si="90"/>
        <v>0.66666666666666663</v>
      </c>
      <c r="V1972" s="55">
        <f t="shared" si="91"/>
        <v>0.66666666666666663</v>
      </c>
      <c r="W1972" s="56">
        <f t="shared" si="92"/>
        <v>16108.666666666666</v>
      </c>
    </row>
    <row r="1973" spans="1:23" x14ac:dyDescent="0.3">
      <c r="A1973" s="13" t="str" cm="1">
        <f t="array" ref="A1973:B1973">INDEX(BenchmarkResults!$B$1:$D$35,SUMPRODUCT((T1973&gt;=BenchmarkResults!$F$3:$F$35)*(mongodb_hardware_log!T1973&lt;BenchmarkResults!$G$3:$G$35)*ROW(BenchmarkResults!$F$3:$F$35)),{1,3})</f>
        <v>q4_category_revenue</v>
      </c>
      <c r="B1973">
        <v>3</v>
      </c>
      <c r="C1973" s="13">
        <v>1</v>
      </c>
      <c r="D1973" s="13">
        <v>1</v>
      </c>
      <c r="E1973" s="13">
        <v>201984</v>
      </c>
      <c r="F1973" s="13">
        <v>139464</v>
      </c>
      <c r="G1973" s="13">
        <v>460</v>
      </c>
      <c r="H1973" s="13">
        <v>2308816</v>
      </c>
      <c r="I1973" s="13">
        <v>8</v>
      </c>
      <c r="J1973" s="13">
        <v>0</v>
      </c>
      <c r="K1973" s="13">
        <v>15207</v>
      </c>
      <c r="L1973" s="13">
        <v>10</v>
      </c>
      <c r="M1973" s="13">
        <v>2706</v>
      </c>
      <c r="N1973" s="13">
        <v>1899</v>
      </c>
      <c r="O1973" s="13">
        <v>21</v>
      </c>
      <c r="P1973" s="13">
        <v>11</v>
      </c>
      <c r="Q1973" s="13">
        <v>48</v>
      </c>
      <c r="R1973" s="13">
        <v>20</v>
      </c>
      <c r="S1973" s="13">
        <v>0</v>
      </c>
      <c r="T1973" s="23">
        <v>46247.712453703702</v>
      </c>
      <c r="U1973" s="55">
        <f t="shared" si="90"/>
        <v>0.83333333333333337</v>
      </c>
      <c r="V1973" s="55">
        <f t="shared" si="91"/>
        <v>0.66666666666666663</v>
      </c>
      <c r="W1973" s="56">
        <f t="shared" si="92"/>
        <v>15788.333333333334</v>
      </c>
    </row>
    <row r="1974" spans="1:23" x14ac:dyDescent="0.3">
      <c r="A1974" s="13" t="str" cm="1">
        <f t="array" ref="A1974:B1974">INDEX(BenchmarkResults!$B$1:$D$35,SUMPRODUCT((T1974&gt;=BenchmarkResults!$F$3:$F$35)*(mongodb_hardware_log!T1974&lt;BenchmarkResults!$G$3:$G$35)*ROW(BenchmarkResults!$F$3:$F$35)),{1,3})</f>
        <v>q4_category_revenue</v>
      </c>
      <c r="B1974">
        <v>3</v>
      </c>
      <c r="C1974" s="13">
        <v>0</v>
      </c>
      <c r="D1974" s="13">
        <v>1</v>
      </c>
      <c r="E1974" s="13">
        <v>201984</v>
      </c>
      <c r="F1974" s="13">
        <v>126336</v>
      </c>
      <c r="G1974" s="13">
        <v>476</v>
      </c>
      <c r="H1974" s="13">
        <v>2318824</v>
      </c>
      <c r="I1974" s="13">
        <v>3</v>
      </c>
      <c r="J1974" s="13">
        <v>0</v>
      </c>
      <c r="K1974" s="13">
        <v>15996</v>
      </c>
      <c r="L1974" s="13">
        <v>16</v>
      </c>
      <c r="M1974" s="13">
        <v>2957</v>
      </c>
      <c r="N1974" s="13">
        <v>2103</v>
      </c>
      <c r="O1974" s="13">
        <v>20</v>
      </c>
      <c r="P1974" s="13">
        <v>9</v>
      </c>
      <c r="Q1974" s="13">
        <v>48</v>
      </c>
      <c r="R1974" s="13">
        <v>23</v>
      </c>
      <c r="S1974" s="13">
        <v>0</v>
      </c>
      <c r="T1974" s="23">
        <v>46247.712569444448</v>
      </c>
      <c r="U1974" s="55">
        <f t="shared" si="90"/>
        <v>0.83333333333333337</v>
      </c>
      <c r="V1974" s="55">
        <f t="shared" si="91"/>
        <v>0.66666666666666663</v>
      </c>
      <c r="W1974" s="56">
        <f t="shared" si="92"/>
        <v>15889.333333333334</v>
      </c>
    </row>
    <row r="1975" spans="1:23" x14ac:dyDescent="0.3">
      <c r="A1975" s="13" t="str" cm="1">
        <f t="array" ref="A1975:B1975">INDEX(BenchmarkResults!$B$1:$D$35,SUMPRODUCT((T1975&gt;=BenchmarkResults!$F$3:$F$35)*(mongodb_hardware_log!T1975&lt;BenchmarkResults!$G$3:$G$35)*ROW(BenchmarkResults!$F$3:$F$35)),{1,3})</f>
        <v>q4_category_revenue</v>
      </c>
      <c r="B1975">
        <v>3</v>
      </c>
      <c r="C1975" s="13">
        <v>1</v>
      </c>
      <c r="D1975" s="13">
        <v>1</v>
      </c>
      <c r="E1975" s="13">
        <v>201984</v>
      </c>
      <c r="F1975" s="13">
        <v>119444</v>
      </c>
      <c r="G1975" s="13">
        <v>520</v>
      </c>
      <c r="H1975" s="13">
        <v>2324940</v>
      </c>
      <c r="I1975" s="13">
        <v>2</v>
      </c>
      <c r="J1975" s="13">
        <v>0</v>
      </c>
      <c r="K1975" s="13">
        <v>18049</v>
      </c>
      <c r="L1975" s="13">
        <v>48</v>
      </c>
      <c r="M1975" s="13">
        <v>2873</v>
      </c>
      <c r="N1975" s="13">
        <v>1943</v>
      </c>
      <c r="O1975" s="13">
        <v>19</v>
      </c>
      <c r="P1975" s="13">
        <v>7</v>
      </c>
      <c r="Q1975" s="13">
        <v>49</v>
      </c>
      <c r="R1975" s="13">
        <v>25</v>
      </c>
      <c r="S1975" s="13">
        <v>0</v>
      </c>
      <c r="T1975" s="23">
        <v>46247.712685185186</v>
      </c>
      <c r="U1975" s="55">
        <f t="shared" si="90"/>
        <v>0.83333333333333337</v>
      </c>
      <c r="V1975" s="55">
        <f t="shared" si="91"/>
        <v>0.83333333333333337</v>
      </c>
      <c r="W1975" s="56">
        <f t="shared" si="92"/>
        <v>16286.166666666666</v>
      </c>
    </row>
    <row r="1976" spans="1:23" x14ac:dyDescent="0.3">
      <c r="A1976" s="13" t="str" cm="1">
        <f t="array" ref="A1976:B1976">INDEX(BenchmarkResults!$B$1:$D$35,SUMPRODUCT((T1976&gt;=BenchmarkResults!$F$3:$F$35)*(mongodb_hardware_log!T1976&lt;BenchmarkResults!$G$3:$G$35)*ROW(BenchmarkResults!$F$3:$F$35)),{1,3})</f>
        <v>q4_category_revenue</v>
      </c>
      <c r="B1976">
        <v>3</v>
      </c>
      <c r="C1976" s="13">
        <v>0</v>
      </c>
      <c r="D1976" s="13">
        <v>1</v>
      </c>
      <c r="E1976" s="13">
        <v>201984</v>
      </c>
      <c r="F1976" s="13">
        <v>126424</v>
      </c>
      <c r="G1976" s="13">
        <v>540</v>
      </c>
      <c r="H1976" s="13">
        <v>2315472</v>
      </c>
      <c r="I1976" s="13">
        <v>6</v>
      </c>
      <c r="J1976" s="13">
        <v>0</v>
      </c>
      <c r="K1976" s="13">
        <v>16414</v>
      </c>
      <c r="L1976" s="13">
        <v>15</v>
      </c>
      <c r="M1976" s="13">
        <v>2751</v>
      </c>
      <c r="N1976" s="13">
        <v>1788</v>
      </c>
      <c r="O1976" s="13">
        <v>19</v>
      </c>
      <c r="P1976" s="13">
        <v>7</v>
      </c>
      <c r="Q1976" s="13">
        <v>50</v>
      </c>
      <c r="R1976" s="13">
        <v>23</v>
      </c>
      <c r="S1976" s="13">
        <v>0</v>
      </c>
      <c r="T1976" s="23">
        <v>46247.712800925925</v>
      </c>
      <c r="U1976" s="55">
        <f t="shared" si="90"/>
        <v>0.83333333333333337</v>
      </c>
      <c r="V1976" s="55">
        <f t="shared" si="91"/>
        <v>0.83333333333333337</v>
      </c>
      <c r="W1976" s="56">
        <f t="shared" si="92"/>
        <v>16245.333333333334</v>
      </c>
    </row>
    <row r="1977" spans="1:23" x14ac:dyDescent="0.3">
      <c r="A1977" s="13" t="str" cm="1">
        <f t="array" ref="A1977:B1977">INDEX(BenchmarkResults!$B$1:$D$35,SUMPRODUCT((T1977&gt;=BenchmarkResults!$F$3:$F$35)*(mongodb_hardware_log!T1977&lt;BenchmarkResults!$G$3:$G$35)*ROW(BenchmarkResults!$F$3:$F$35)),{1,3})</f>
        <v>q4_category_revenue</v>
      </c>
      <c r="B1977">
        <v>3</v>
      </c>
      <c r="C1977" s="13">
        <v>0</v>
      </c>
      <c r="D1977" s="13">
        <v>1</v>
      </c>
      <c r="E1977" s="13">
        <v>201728</v>
      </c>
      <c r="F1977" s="13">
        <v>141448</v>
      </c>
      <c r="G1977" s="13">
        <v>548</v>
      </c>
      <c r="H1977" s="13">
        <v>2305436</v>
      </c>
      <c r="I1977" s="13">
        <v>4</v>
      </c>
      <c r="J1977" s="13">
        <v>0</v>
      </c>
      <c r="K1977" s="13">
        <v>18709</v>
      </c>
      <c r="L1977" s="13">
        <v>13</v>
      </c>
      <c r="M1977" s="13">
        <v>3037</v>
      </c>
      <c r="N1977" s="13">
        <v>2124</v>
      </c>
      <c r="O1977" s="13">
        <v>20</v>
      </c>
      <c r="P1977" s="13">
        <v>9</v>
      </c>
      <c r="Q1977" s="13">
        <v>48</v>
      </c>
      <c r="R1977" s="13">
        <v>23</v>
      </c>
      <c r="S1977" s="13">
        <v>0</v>
      </c>
      <c r="T1977" s="23">
        <v>46247.712916666664</v>
      </c>
      <c r="U1977" s="55">
        <f t="shared" si="90"/>
        <v>0.66666666666666663</v>
      </c>
      <c r="V1977" s="55">
        <f t="shared" si="91"/>
        <v>1</v>
      </c>
      <c r="W1977" s="56">
        <f t="shared" si="92"/>
        <v>16900.333333333332</v>
      </c>
    </row>
    <row r="1978" spans="1:23" x14ac:dyDescent="0.3">
      <c r="A1978" s="13" t="str" cm="1">
        <f t="array" ref="A1978:B1978">INDEX(BenchmarkResults!$B$1:$D$35,SUMPRODUCT((T1978&gt;=BenchmarkResults!$F$3:$F$35)*(mongodb_hardware_log!T1978&lt;BenchmarkResults!$G$3:$G$35)*ROW(BenchmarkResults!$F$3:$F$35)),{1,3})</f>
        <v>q4_category_revenue</v>
      </c>
      <c r="B1978">
        <v>3</v>
      </c>
      <c r="C1978" s="13">
        <v>0</v>
      </c>
      <c r="D1978" s="13">
        <v>1</v>
      </c>
      <c r="E1978" s="13">
        <v>201728</v>
      </c>
      <c r="F1978" s="13">
        <v>127440</v>
      </c>
      <c r="G1978" s="13">
        <v>556</v>
      </c>
      <c r="H1978" s="13">
        <v>2323620</v>
      </c>
      <c r="I1978" s="13">
        <v>2</v>
      </c>
      <c r="J1978" s="13">
        <v>0</v>
      </c>
      <c r="K1978" s="13">
        <v>17768</v>
      </c>
      <c r="L1978" s="13">
        <v>34</v>
      </c>
      <c r="M1978" s="13">
        <v>2800</v>
      </c>
      <c r="N1978" s="13">
        <v>1869</v>
      </c>
      <c r="O1978" s="13">
        <v>19</v>
      </c>
      <c r="P1978" s="13">
        <v>8</v>
      </c>
      <c r="Q1978" s="13">
        <v>49</v>
      </c>
      <c r="R1978" s="13">
        <v>24</v>
      </c>
      <c r="S1978" s="13">
        <v>0</v>
      </c>
      <c r="T1978" s="23">
        <v>46247.71303240741</v>
      </c>
      <c r="U1978" s="55">
        <f t="shared" si="90"/>
        <v>0.33333333333333331</v>
      </c>
      <c r="V1978" s="55">
        <f t="shared" si="91"/>
        <v>1</v>
      </c>
      <c r="W1978" s="56">
        <f t="shared" si="92"/>
        <v>17023.833333333332</v>
      </c>
    </row>
    <row r="1979" spans="1:23" x14ac:dyDescent="0.3">
      <c r="A1979" s="13" t="str" cm="1">
        <f t="array" ref="A1979:B1979">INDEX(BenchmarkResults!$B$1:$D$35,SUMPRODUCT((T1979&gt;=BenchmarkResults!$F$3:$F$35)*(mongodb_hardware_log!T1979&lt;BenchmarkResults!$G$3:$G$35)*ROW(BenchmarkResults!$F$3:$F$35)),{1,3})</f>
        <v>q4_category_revenue</v>
      </c>
      <c r="B1979">
        <v>3</v>
      </c>
      <c r="C1979" s="13">
        <v>2</v>
      </c>
      <c r="D1979" s="13">
        <v>0</v>
      </c>
      <c r="E1979" s="13">
        <v>193024</v>
      </c>
      <c r="F1979" s="13">
        <v>116064</v>
      </c>
      <c r="G1979" s="13">
        <v>372</v>
      </c>
      <c r="H1979" s="13">
        <v>2318580</v>
      </c>
      <c r="I1979" s="13">
        <v>14</v>
      </c>
      <c r="J1979" s="13">
        <v>18</v>
      </c>
      <c r="K1979" s="13">
        <v>15945</v>
      </c>
      <c r="L1979" s="13">
        <v>34</v>
      </c>
      <c r="M1979" s="13">
        <v>2763</v>
      </c>
      <c r="N1979" s="13">
        <v>1835</v>
      </c>
      <c r="O1979" s="13">
        <v>19</v>
      </c>
      <c r="P1979" s="13">
        <v>7</v>
      </c>
      <c r="Q1979" s="13">
        <v>49</v>
      </c>
      <c r="R1979" s="13">
        <v>24</v>
      </c>
      <c r="S1979" s="13">
        <v>0</v>
      </c>
      <c r="T1979" s="23">
        <v>46247.713148148148</v>
      </c>
      <c r="U1979" s="55">
        <f t="shared" si="90"/>
        <v>0.5</v>
      </c>
      <c r="V1979" s="55">
        <f t="shared" si="91"/>
        <v>0.83333333333333337</v>
      </c>
      <c r="W1979" s="56">
        <f t="shared" si="92"/>
        <v>17146.833333333332</v>
      </c>
    </row>
    <row r="1980" spans="1:23" x14ac:dyDescent="0.3">
      <c r="A1980" s="13" t="str" cm="1">
        <f t="array" ref="A1980:B1980">INDEX(BenchmarkResults!$B$1:$D$35,SUMPRODUCT((T1980&gt;=BenchmarkResults!$F$3:$F$35)*(mongodb_hardware_log!T1980&lt;BenchmarkResults!$G$3:$G$35)*ROW(BenchmarkResults!$F$3:$F$35)),{1,3})</f>
        <v>q4_category_revenue</v>
      </c>
      <c r="B1980">
        <v>3</v>
      </c>
      <c r="C1980" s="13">
        <v>1</v>
      </c>
      <c r="D1980" s="13">
        <v>1</v>
      </c>
      <c r="E1980" s="13">
        <v>194560</v>
      </c>
      <c r="F1980" s="13">
        <v>663492</v>
      </c>
      <c r="G1980" s="13">
        <v>348</v>
      </c>
      <c r="H1980" s="13">
        <v>1687756</v>
      </c>
      <c r="I1980" s="13">
        <v>3</v>
      </c>
      <c r="J1980" s="13">
        <v>157</v>
      </c>
      <c r="K1980" s="13">
        <v>9819</v>
      </c>
      <c r="L1980" s="13">
        <v>169</v>
      </c>
      <c r="M1980" s="13">
        <v>2071</v>
      </c>
      <c r="N1980" s="13">
        <v>1312</v>
      </c>
      <c r="O1980" s="13">
        <v>16</v>
      </c>
      <c r="P1980" s="13">
        <v>18</v>
      </c>
      <c r="Q1980" s="13">
        <v>36</v>
      </c>
      <c r="R1980" s="13">
        <v>28</v>
      </c>
      <c r="S1980" s="13">
        <v>1</v>
      </c>
      <c r="T1980" s="23">
        <v>46247.713263888887</v>
      </c>
      <c r="U1980" s="55">
        <f t="shared" si="90"/>
        <v>0.66666666666666663</v>
      </c>
      <c r="V1980" s="55">
        <f t="shared" si="91"/>
        <v>0.83333333333333337</v>
      </c>
      <c r="W1980" s="56">
        <f t="shared" si="92"/>
        <v>16117.333333333334</v>
      </c>
    </row>
    <row r="1981" spans="1:23" x14ac:dyDescent="0.3">
      <c r="A1981" s="13" t="str" cm="1">
        <f t="array" ref="A1981:B1981">INDEX(BenchmarkResults!$B$1:$D$35,SUMPRODUCT((T1981&gt;=BenchmarkResults!$F$3:$F$35)*(mongodb_hardware_log!T1981&lt;BenchmarkResults!$G$3:$G$35)*ROW(BenchmarkResults!$F$3:$F$35)),{1,3})</f>
        <v>q4_category_revenue</v>
      </c>
      <c r="B1981">
        <v>3</v>
      </c>
      <c r="C1981" s="13">
        <v>0</v>
      </c>
      <c r="D1981" s="13">
        <v>1</v>
      </c>
      <c r="E1981" s="13">
        <v>194304</v>
      </c>
      <c r="F1981" s="13">
        <v>598204</v>
      </c>
      <c r="G1981" s="13">
        <v>384</v>
      </c>
      <c r="H1981" s="13">
        <v>1830656</v>
      </c>
      <c r="I1981" s="13">
        <v>10</v>
      </c>
      <c r="J1981" s="13">
        <v>0</v>
      </c>
      <c r="K1981" s="13">
        <v>14288</v>
      </c>
      <c r="L1981" s="13">
        <v>48</v>
      </c>
      <c r="M1981" s="13">
        <v>2179</v>
      </c>
      <c r="N1981" s="13">
        <v>1338</v>
      </c>
      <c r="O1981" s="13">
        <v>10</v>
      </c>
      <c r="P1981" s="13">
        <v>9</v>
      </c>
      <c r="Q1981" s="13">
        <v>45</v>
      </c>
      <c r="R1981" s="13">
        <v>34</v>
      </c>
      <c r="S1981" s="13">
        <v>2</v>
      </c>
      <c r="T1981" s="23">
        <v>46247.713379629633</v>
      </c>
      <c r="U1981" s="55">
        <f t="shared" si="90"/>
        <v>0.5</v>
      </c>
      <c r="V1981" s="55">
        <f t="shared" si="91"/>
        <v>0.83333333333333337</v>
      </c>
      <c r="W1981" s="56">
        <f t="shared" si="92"/>
        <v>15490.5</v>
      </c>
    </row>
    <row r="1982" spans="1:23" x14ac:dyDescent="0.3">
      <c r="A1982" s="13" t="str" cm="1">
        <f t="array" ref="A1982:B1982">INDEX(BenchmarkResults!$B$1:$D$35,SUMPRODUCT((T1982&gt;=BenchmarkResults!$F$3:$F$35)*(mongodb_hardware_log!T1982&lt;BenchmarkResults!$G$3:$G$35)*ROW(BenchmarkResults!$F$3:$F$35)),{1,3})</f>
        <v>q4_category_revenue</v>
      </c>
      <c r="B1982">
        <v>3</v>
      </c>
      <c r="C1982" s="13">
        <v>1</v>
      </c>
      <c r="D1982" s="13">
        <v>0</v>
      </c>
      <c r="E1982" s="13">
        <v>194304</v>
      </c>
      <c r="F1982" s="13">
        <v>440452</v>
      </c>
      <c r="G1982" s="13">
        <v>392</v>
      </c>
      <c r="H1982" s="13">
        <v>2001756</v>
      </c>
      <c r="I1982" s="13">
        <v>6</v>
      </c>
      <c r="J1982" s="13">
        <v>0</v>
      </c>
      <c r="K1982" s="13">
        <v>17112</v>
      </c>
      <c r="L1982" s="13">
        <v>17</v>
      </c>
      <c r="M1982" s="13">
        <v>2385</v>
      </c>
      <c r="N1982" s="13">
        <v>1436</v>
      </c>
      <c r="O1982" s="13">
        <v>11</v>
      </c>
      <c r="P1982" s="13">
        <v>7</v>
      </c>
      <c r="Q1982" s="13">
        <v>48</v>
      </c>
      <c r="R1982" s="13">
        <v>33</v>
      </c>
      <c r="S1982" s="13">
        <v>1</v>
      </c>
      <c r="T1982" s="23">
        <v>46247.713495370372</v>
      </c>
      <c r="U1982" s="55">
        <f t="shared" si="90"/>
        <v>0.66666666666666663</v>
      </c>
      <c r="V1982" s="55">
        <f t="shared" si="91"/>
        <v>0.66666666666666663</v>
      </c>
      <c r="W1982" s="56">
        <f t="shared" si="92"/>
        <v>15606.833333333334</v>
      </c>
    </row>
    <row r="1983" spans="1:23" x14ac:dyDescent="0.3">
      <c r="A1983" s="13" t="str" cm="1">
        <f t="array" ref="A1983:B1983">INDEX(BenchmarkResults!$B$1:$D$35,SUMPRODUCT((T1983&gt;=BenchmarkResults!$F$3:$F$35)*(mongodb_hardware_log!T1983&lt;BenchmarkResults!$G$3:$G$35)*ROW(BenchmarkResults!$F$3:$F$35)),{1,3})</f>
        <v>q4_category_revenue</v>
      </c>
      <c r="B1983">
        <v>3</v>
      </c>
      <c r="C1983" s="13">
        <v>1</v>
      </c>
      <c r="D1983" s="13">
        <v>0</v>
      </c>
      <c r="E1983" s="13">
        <v>194304</v>
      </c>
      <c r="F1983" s="13">
        <v>240896</v>
      </c>
      <c r="G1983" s="13">
        <v>400</v>
      </c>
      <c r="H1983" s="13">
        <v>2195924</v>
      </c>
      <c r="I1983" s="13">
        <v>2</v>
      </c>
      <c r="J1983" s="13">
        <v>0</v>
      </c>
      <c r="K1983" s="13">
        <v>19418</v>
      </c>
      <c r="L1983" s="13">
        <v>13</v>
      </c>
      <c r="M1983" s="13">
        <v>2701</v>
      </c>
      <c r="N1983" s="13">
        <v>1590</v>
      </c>
      <c r="O1983" s="13">
        <v>13</v>
      </c>
      <c r="P1983" s="13">
        <v>7</v>
      </c>
      <c r="Q1983" s="13">
        <v>48</v>
      </c>
      <c r="R1983" s="13">
        <v>32</v>
      </c>
      <c r="S1983" s="13">
        <v>1</v>
      </c>
      <c r="T1983" s="23">
        <v>46247.71361111111</v>
      </c>
      <c r="U1983" s="55">
        <f t="shared" si="90"/>
        <v>0.83333333333333337</v>
      </c>
      <c r="V1983" s="55">
        <f t="shared" si="91"/>
        <v>0.5</v>
      </c>
      <c r="W1983" s="56">
        <f t="shared" si="92"/>
        <v>15725</v>
      </c>
    </row>
    <row r="1984" spans="1:23" x14ac:dyDescent="0.3">
      <c r="A1984" s="13" t="str" cm="1">
        <f t="array" ref="A1984:B1984">INDEX(BenchmarkResults!$B$1:$D$35,SUMPRODUCT((T1984&gt;=BenchmarkResults!$F$3:$F$35)*(mongodb_hardware_log!T1984&lt;BenchmarkResults!$G$3:$G$35)*ROW(BenchmarkResults!$F$3:$F$35)),{1,3})</f>
        <v>q4_category_revenue</v>
      </c>
      <c r="B1984">
        <v>3</v>
      </c>
      <c r="C1984" s="13">
        <v>2</v>
      </c>
      <c r="D1984" s="13">
        <v>0</v>
      </c>
      <c r="E1984" s="13">
        <v>194304</v>
      </c>
      <c r="F1984" s="13">
        <v>148724</v>
      </c>
      <c r="G1984" s="13">
        <v>416</v>
      </c>
      <c r="H1984" s="13">
        <v>2287604</v>
      </c>
      <c r="I1984" s="13">
        <v>1</v>
      </c>
      <c r="J1984" s="13">
        <v>0</v>
      </c>
      <c r="K1984" s="13">
        <v>14473</v>
      </c>
      <c r="L1984" s="13">
        <v>32</v>
      </c>
      <c r="M1984" s="13">
        <v>2350</v>
      </c>
      <c r="N1984" s="13">
        <v>1419</v>
      </c>
      <c r="O1984" s="13">
        <v>15</v>
      </c>
      <c r="P1984" s="13">
        <v>6</v>
      </c>
      <c r="Q1984" s="13">
        <v>48</v>
      </c>
      <c r="R1984" s="13">
        <v>30</v>
      </c>
      <c r="S1984" s="13">
        <v>1</v>
      </c>
      <c r="T1984" s="23">
        <v>46247.713726851849</v>
      </c>
      <c r="U1984" s="55">
        <f t="shared" si="90"/>
        <v>1.1666666666666667</v>
      </c>
      <c r="V1984" s="55">
        <f t="shared" si="91"/>
        <v>0.33333333333333331</v>
      </c>
      <c r="W1984" s="56">
        <f t="shared" si="92"/>
        <v>15175.833333333334</v>
      </c>
    </row>
    <row r="1985" spans="1:23" x14ac:dyDescent="0.3">
      <c r="A1985" s="13" t="str" cm="1">
        <f t="array" ref="A1985:B1985">INDEX(BenchmarkResults!$B$1:$D$35,SUMPRODUCT((T1985&gt;=BenchmarkResults!$F$3:$F$35)*(mongodb_hardware_log!T1985&lt;BenchmarkResults!$G$3:$G$35)*ROW(BenchmarkResults!$F$3:$F$35)),{1,3})</f>
        <v>q4_category_revenue</v>
      </c>
      <c r="B1985">
        <v>3</v>
      </c>
      <c r="C1985" s="13">
        <v>1</v>
      </c>
      <c r="D1985" s="13">
        <v>0</v>
      </c>
      <c r="E1985" s="13">
        <v>194304</v>
      </c>
      <c r="F1985" s="13">
        <v>137968</v>
      </c>
      <c r="G1985" s="13">
        <v>424</v>
      </c>
      <c r="H1985" s="13">
        <v>2288952</v>
      </c>
      <c r="I1985" s="13">
        <v>3</v>
      </c>
      <c r="J1985" s="13">
        <v>0</v>
      </c>
      <c r="K1985" s="13">
        <v>16155</v>
      </c>
      <c r="L1985" s="13">
        <v>14</v>
      </c>
      <c r="M1985" s="13">
        <v>3087</v>
      </c>
      <c r="N1985" s="13">
        <v>2088</v>
      </c>
      <c r="O1985" s="13">
        <v>19</v>
      </c>
      <c r="P1985" s="13">
        <v>8</v>
      </c>
      <c r="Q1985" s="13">
        <v>46</v>
      </c>
      <c r="R1985" s="13">
        <v>26</v>
      </c>
      <c r="S1985" s="13">
        <v>1</v>
      </c>
      <c r="T1985" s="23">
        <v>46247.713842592595</v>
      </c>
      <c r="U1985" s="55">
        <f t="shared" si="90"/>
        <v>1</v>
      </c>
      <c r="V1985" s="55">
        <f t="shared" si="91"/>
        <v>0.33333333333333331</v>
      </c>
      <c r="W1985" s="56">
        <f t="shared" si="92"/>
        <v>15210.833333333334</v>
      </c>
    </row>
    <row r="1986" spans="1:23" x14ac:dyDescent="0.3">
      <c r="A1986" s="13" t="str" cm="1">
        <f t="array" ref="A1986:B1986">INDEX(BenchmarkResults!$B$1:$D$35,SUMPRODUCT((T1986&gt;=BenchmarkResults!$F$3:$F$35)*(mongodb_hardware_log!T1986&lt;BenchmarkResults!$G$3:$G$35)*ROW(BenchmarkResults!$F$3:$F$35)),{1,3})</f>
        <v>q4_category_revenue</v>
      </c>
      <c r="B1986">
        <v>3</v>
      </c>
      <c r="C1986" s="13">
        <v>0</v>
      </c>
      <c r="D1986" s="13">
        <v>1</v>
      </c>
      <c r="E1986" s="13">
        <v>194304</v>
      </c>
      <c r="F1986" s="13">
        <v>128196</v>
      </c>
      <c r="G1986" s="13">
        <v>440</v>
      </c>
      <c r="H1986" s="13">
        <v>2296572</v>
      </c>
      <c r="I1986" s="13">
        <v>4</v>
      </c>
      <c r="J1986" s="13">
        <v>0</v>
      </c>
      <c r="K1986" s="13">
        <v>15992</v>
      </c>
      <c r="L1986" s="13">
        <v>20</v>
      </c>
      <c r="M1986" s="13">
        <v>2827</v>
      </c>
      <c r="N1986" s="13">
        <v>1787</v>
      </c>
      <c r="O1986" s="13">
        <v>20</v>
      </c>
      <c r="P1986" s="13">
        <v>7</v>
      </c>
      <c r="Q1986" s="13">
        <v>47</v>
      </c>
      <c r="R1986" s="13">
        <v>25</v>
      </c>
      <c r="S1986" s="13">
        <v>1</v>
      </c>
      <c r="T1986" s="23">
        <v>46247.713958333334</v>
      </c>
      <c r="U1986" s="55">
        <f t="shared" si="90"/>
        <v>0.83333333333333337</v>
      </c>
      <c r="V1986" s="55">
        <f t="shared" si="91"/>
        <v>0.33333333333333331</v>
      </c>
      <c r="W1986" s="56">
        <f t="shared" si="92"/>
        <v>16239.666666666666</v>
      </c>
    </row>
    <row r="1987" spans="1:23" x14ac:dyDescent="0.3">
      <c r="A1987" s="13" t="str" cm="1">
        <f t="array" ref="A1987:B1987">INDEX(BenchmarkResults!$B$1:$D$35,SUMPRODUCT((T1987&gt;=BenchmarkResults!$F$3:$F$35)*(mongodb_hardware_log!T1987&lt;BenchmarkResults!$G$3:$G$35)*ROW(BenchmarkResults!$F$3:$F$35)),{1,3})</f>
        <v>q4_category_revenue</v>
      </c>
      <c r="B1987">
        <v>3</v>
      </c>
      <c r="C1987" s="13">
        <v>0</v>
      </c>
      <c r="D1987" s="13">
        <v>1</v>
      </c>
      <c r="E1987" s="13">
        <v>194304</v>
      </c>
      <c r="F1987" s="13">
        <v>117588</v>
      </c>
      <c r="G1987" s="13">
        <v>456</v>
      </c>
      <c r="H1987" s="13">
        <v>2313816</v>
      </c>
      <c r="I1987" s="13">
        <v>3</v>
      </c>
      <c r="J1987" s="13">
        <v>0</v>
      </c>
      <c r="K1987" s="13">
        <v>17842</v>
      </c>
      <c r="L1987" s="13">
        <v>28</v>
      </c>
      <c r="M1987" s="13">
        <v>3436</v>
      </c>
      <c r="N1987" s="13">
        <v>2449</v>
      </c>
      <c r="O1987" s="13">
        <v>22</v>
      </c>
      <c r="P1987" s="13">
        <v>8</v>
      </c>
      <c r="Q1987" s="13">
        <v>45</v>
      </c>
      <c r="R1987" s="13">
        <v>24</v>
      </c>
      <c r="S1987" s="13">
        <v>1</v>
      </c>
      <c r="T1987" s="23">
        <v>46247.714074074072</v>
      </c>
      <c r="U1987" s="55">
        <f t="shared" si="90"/>
        <v>0.83333333333333337</v>
      </c>
      <c r="V1987" s="55">
        <f t="shared" si="91"/>
        <v>0.33333333333333331</v>
      </c>
      <c r="W1987" s="56">
        <f t="shared" si="92"/>
        <v>16832</v>
      </c>
    </row>
    <row r="1988" spans="1:23" x14ac:dyDescent="0.3">
      <c r="A1988" s="13" t="str" cm="1">
        <f t="array" ref="A1988:B1988">INDEX(BenchmarkResults!$B$1:$D$35,SUMPRODUCT((T1988&gt;=BenchmarkResults!$F$3:$F$35)*(mongodb_hardware_log!T1988&lt;BenchmarkResults!$G$3:$G$35)*ROW(BenchmarkResults!$F$3:$F$35)),{1,3})</f>
        <v>q4_category_revenue</v>
      </c>
      <c r="B1988">
        <v>3</v>
      </c>
      <c r="C1988" s="13">
        <v>1</v>
      </c>
      <c r="D1988" s="13">
        <v>0</v>
      </c>
      <c r="E1988" s="13">
        <v>194304</v>
      </c>
      <c r="F1988" s="13">
        <v>164124</v>
      </c>
      <c r="G1988" s="13">
        <v>472</v>
      </c>
      <c r="H1988" s="13">
        <v>2270948</v>
      </c>
      <c r="I1988" s="13">
        <v>4</v>
      </c>
      <c r="J1988" s="13">
        <v>0</v>
      </c>
      <c r="K1988" s="13">
        <v>17830</v>
      </c>
      <c r="L1988" s="13">
        <v>40</v>
      </c>
      <c r="M1988" s="13">
        <v>3029</v>
      </c>
      <c r="N1988" s="13">
        <v>1991</v>
      </c>
      <c r="O1988" s="13">
        <v>22</v>
      </c>
      <c r="P1988" s="13">
        <v>7</v>
      </c>
      <c r="Q1988" s="13">
        <v>47</v>
      </c>
      <c r="R1988" s="13">
        <v>24</v>
      </c>
      <c r="S1988" s="13">
        <v>1</v>
      </c>
      <c r="T1988" s="23">
        <v>46247.714189814818</v>
      </c>
      <c r="U1988" s="55">
        <f t="shared" si="90"/>
        <v>0.83333333333333337</v>
      </c>
      <c r="V1988" s="55">
        <f t="shared" si="91"/>
        <v>0.33333333333333331</v>
      </c>
      <c r="W1988" s="56">
        <f t="shared" si="92"/>
        <v>16951.666666666668</v>
      </c>
    </row>
    <row r="1989" spans="1:23" x14ac:dyDescent="0.3">
      <c r="A1989" s="13" t="str" cm="1">
        <f t="array" ref="A1989:B1989">INDEX(BenchmarkResults!$B$1:$D$35,SUMPRODUCT((T1989&gt;=BenchmarkResults!$F$3:$F$35)*(mongodb_hardware_log!T1989&lt;BenchmarkResults!$G$3:$G$35)*ROW(BenchmarkResults!$F$3:$F$35)),{1,3})</f>
        <v>q4_category_revenue</v>
      </c>
      <c r="B1989">
        <v>3</v>
      </c>
      <c r="C1989" s="13">
        <v>1</v>
      </c>
      <c r="D1989" s="13">
        <v>0</v>
      </c>
      <c r="E1989" s="13">
        <v>194048</v>
      </c>
      <c r="F1989" s="13">
        <v>157576</v>
      </c>
      <c r="G1989" s="13">
        <v>480</v>
      </c>
      <c r="H1989" s="13">
        <v>2281644</v>
      </c>
      <c r="I1989" s="13">
        <v>7</v>
      </c>
      <c r="J1989" s="13">
        <v>0</v>
      </c>
      <c r="K1989" s="13">
        <v>17530</v>
      </c>
      <c r="L1989" s="13">
        <v>11</v>
      </c>
      <c r="M1989" s="13">
        <v>3482</v>
      </c>
      <c r="N1989" s="13">
        <v>2463</v>
      </c>
      <c r="O1989" s="13">
        <v>23</v>
      </c>
      <c r="P1989" s="13">
        <v>8</v>
      </c>
      <c r="Q1989" s="13">
        <v>45</v>
      </c>
      <c r="R1989" s="13">
        <v>22</v>
      </c>
      <c r="S1989" s="13">
        <v>1</v>
      </c>
      <c r="T1989" s="23">
        <v>46247.714305555557</v>
      </c>
      <c r="U1989" s="55">
        <f t="shared" si="90"/>
        <v>0.83333333333333337</v>
      </c>
      <c r="V1989" s="55">
        <f t="shared" si="91"/>
        <v>0.33333333333333331</v>
      </c>
      <c r="W1989" s="56">
        <f t="shared" si="92"/>
        <v>16637</v>
      </c>
    </row>
    <row r="1990" spans="1:23" x14ac:dyDescent="0.3">
      <c r="A1990" s="13" t="str" cm="1">
        <f t="array" ref="A1990:B1990">INDEX(BenchmarkResults!$B$1:$D$35,SUMPRODUCT((T1990&gt;=BenchmarkResults!$F$3:$F$35)*(mongodb_hardware_log!T1990&lt;BenchmarkResults!$G$3:$G$35)*ROW(BenchmarkResults!$F$3:$F$35)),{1,3})</f>
        <v>q4_category_revenue</v>
      </c>
      <c r="B1990">
        <v>3</v>
      </c>
      <c r="C1990" s="13">
        <v>1</v>
      </c>
      <c r="D1990" s="13">
        <v>0</v>
      </c>
      <c r="E1990" s="13">
        <v>194048</v>
      </c>
      <c r="F1990" s="13">
        <v>148552</v>
      </c>
      <c r="G1990" s="13">
        <v>488</v>
      </c>
      <c r="H1990" s="13">
        <v>2295880</v>
      </c>
      <c r="I1990" s="13">
        <v>4</v>
      </c>
      <c r="J1990" s="13">
        <v>0</v>
      </c>
      <c r="K1990" s="13">
        <v>16861</v>
      </c>
      <c r="L1990" s="13">
        <v>21</v>
      </c>
      <c r="M1990" s="13">
        <v>3430</v>
      </c>
      <c r="N1990" s="13">
        <v>2403</v>
      </c>
      <c r="O1990" s="13">
        <v>24</v>
      </c>
      <c r="P1990" s="13">
        <v>8</v>
      </c>
      <c r="Q1990" s="13">
        <v>46</v>
      </c>
      <c r="R1990" s="13">
        <v>22</v>
      </c>
      <c r="S1990" s="13">
        <v>0</v>
      </c>
      <c r="T1990" s="23">
        <v>46247.714421296296</v>
      </c>
      <c r="U1990" s="55">
        <f t="shared" si="90"/>
        <v>0.66666666666666663</v>
      </c>
      <c r="V1990" s="55">
        <f t="shared" si="91"/>
        <v>0.33333333333333331</v>
      </c>
      <c r="W1990" s="56">
        <f t="shared" si="92"/>
        <v>17035</v>
      </c>
    </row>
    <row r="1991" spans="1:23" x14ac:dyDescent="0.3">
      <c r="A1991" s="13" t="str" cm="1">
        <f t="array" ref="A1991:B1991">INDEX(BenchmarkResults!$B$1:$D$35,SUMPRODUCT((T1991&gt;=BenchmarkResults!$F$3:$F$35)*(mongodb_hardware_log!T1991&lt;BenchmarkResults!$G$3:$G$35)*ROW(BenchmarkResults!$F$3:$F$35)),{1,3})</f>
        <v>q4_category_revenue</v>
      </c>
      <c r="B1991">
        <v>3</v>
      </c>
      <c r="C1991" s="13">
        <v>1</v>
      </c>
      <c r="D1991" s="13">
        <v>0</v>
      </c>
      <c r="E1991" s="13">
        <v>194048</v>
      </c>
      <c r="F1991" s="13">
        <v>139284</v>
      </c>
      <c r="G1991" s="13">
        <v>496</v>
      </c>
      <c r="H1991" s="13">
        <v>2301056</v>
      </c>
      <c r="I1991" s="13">
        <v>5</v>
      </c>
      <c r="J1991" s="13">
        <v>0</v>
      </c>
      <c r="K1991" s="13">
        <v>15801</v>
      </c>
      <c r="L1991" s="13">
        <v>17</v>
      </c>
      <c r="M1991" s="13">
        <v>3074</v>
      </c>
      <c r="N1991" s="13">
        <v>2063</v>
      </c>
      <c r="O1991" s="13">
        <v>22</v>
      </c>
      <c r="P1991" s="13">
        <v>7</v>
      </c>
      <c r="Q1991" s="13">
        <v>46</v>
      </c>
      <c r="R1991" s="13">
        <v>24</v>
      </c>
      <c r="S1991" s="13">
        <v>1</v>
      </c>
      <c r="T1991" s="23">
        <v>46247.714537037034</v>
      </c>
      <c r="U1991" s="55">
        <f t="shared" si="90"/>
        <v>0.66666666666666663</v>
      </c>
      <c r="V1991" s="55">
        <f t="shared" si="91"/>
        <v>0.33333333333333331</v>
      </c>
      <c r="W1991" s="56">
        <f t="shared" si="92"/>
        <v>16976</v>
      </c>
    </row>
    <row r="1992" spans="1:23" x14ac:dyDescent="0.3">
      <c r="A1992" s="13" t="str" cm="1">
        <f t="array" ref="A1992:B1992">INDEX(BenchmarkResults!$B$1:$D$35,SUMPRODUCT((T1992&gt;=BenchmarkResults!$F$3:$F$35)*(mongodb_hardware_log!T1992&lt;BenchmarkResults!$G$3:$G$35)*ROW(BenchmarkResults!$F$3:$F$35)),{1,3})</f>
        <v>q4_category_revenue</v>
      </c>
      <c r="B1992">
        <v>3</v>
      </c>
      <c r="C1992" s="13">
        <v>1</v>
      </c>
      <c r="D1992" s="13">
        <v>0</v>
      </c>
      <c r="E1992" s="13">
        <v>193536</v>
      </c>
      <c r="F1992" s="13">
        <v>137112</v>
      </c>
      <c r="G1992" s="13">
        <v>544</v>
      </c>
      <c r="H1992" s="13">
        <v>2301064</v>
      </c>
      <c r="I1992" s="13">
        <v>25</v>
      </c>
      <c r="J1992" s="13">
        <v>0</v>
      </c>
      <c r="K1992" s="13">
        <v>17392</v>
      </c>
      <c r="L1992" s="13">
        <v>6</v>
      </c>
      <c r="M1992" s="13">
        <v>3115</v>
      </c>
      <c r="N1992" s="13">
        <v>2167</v>
      </c>
      <c r="O1992" s="13">
        <v>23</v>
      </c>
      <c r="P1992" s="13">
        <v>8</v>
      </c>
      <c r="Q1992" s="13">
        <v>46</v>
      </c>
      <c r="R1992" s="13">
        <v>23</v>
      </c>
      <c r="S1992" s="13">
        <v>1</v>
      </c>
      <c r="T1992" s="23">
        <v>46247.71465277778</v>
      </c>
      <c r="U1992" s="55">
        <f t="shared" si="90"/>
        <v>0.83333333333333337</v>
      </c>
      <c r="V1992" s="55">
        <f t="shared" si="91"/>
        <v>0.16666666666666666</v>
      </c>
      <c r="W1992" s="56">
        <f t="shared" si="92"/>
        <v>17209.333333333332</v>
      </c>
    </row>
    <row r="1993" spans="1:23" x14ac:dyDescent="0.3">
      <c r="A1993" s="13" t="str" cm="1">
        <f t="array" ref="A1993:B1993">INDEX(BenchmarkResults!$B$1:$D$35,SUMPRODUCT((T1993&gt;=BenchmarkResults!$F$3:$F$35)*(mongodb_hardware_log!T1993&lt;BenchmarkResults!$G$3:$G$35)*ROW(BenchmarkResults!$F$3:$F$35)),{1,3})</f>
        <v>q4_category_revenue</v>
      </c>
      <c r="B1993">
        <v>3</v>
      </c>
      <c r="C1993" s="13">
        <v>0</v>
      </c>
      <c r="D1993" s="13">
        <v>1</v>
      </c>
      <c r="E1993" s="13">
        <v>193536</v>
      </c>
      <c r="F1993" s="13">
        <v>131244</v>
      </c>
      <c r="G1993" s="13">
        <v>592</v>
      </c>
      <c r="H1993" s="13">
        <v>2311808</v>
      </c>
      <c r="I1993" s="13">
        <v>4</v>
      </c>
      <c r="J1993" s="13">
        <v>0</v>
      </c>
      <c r="K1993" s="13">
        <v>14046</v>
      </c>
      <c r="L1993" s="13">
        <v>33</v>
      </c>
      <c r="M1993" s="13">
        <v>2687</v>
      </c>
      <c r="N1993" s="13">
        <v>1905</v>
      </c>
      <c r="O1993" s="13">
        <v>20</v>
      </c>
      <c r="P1993" s="13">
        <v>7</v>
      </c>
      <c r="Q1993" s="13">
        <v>50</v>
      </c>
      <c r="R1993" s="13">
        <v>22</v>
      </c>
      <c r="S1993" s="13">
        <v>0</v>
      </c>
      <c r="T1993" s="23">
        <v>46247.714768518519</v>
      </c>
      <c r="U1993" s="55">
        <f t="shared" ref="U1993:U2056" si="93">AVERAGE(C1988:C1993)</f>
        <v>0.83333333333333337</v>
      </c>
      <c r="V1993" s="55">
        <f t="shared" ref="V1993:V2056" si="94">AVERAGE(D1988:D1993)</f>
        <v>0.16666666666666666</v>
      </c>
      <c r="W1993" s="56">
        <f t="shared" ref="W1993:W2056" si="95">AVERAGE(K1988:K1993)</f>
        <v>16576.666666666668</v>
      </c>
    </row>
    <row r="1994" spans="1:23" x14ac:dyDescent="0.3">
      <c r="A1994" s="13" t="str" cm="1">
        <f t="array" ref="A1994:B1994">INDEX(BenchmarkResults!$B$1:$D$35,SUMPRODUCT((T1994&gt;=BenchmarkResults!$F$3:$F$35)*(mongodb_hardware_log!T1994&lt;BenchmarkResults!$G$3:$G$35)*ROW(BenchmarkResults!$F$3:$F$35)),{1,3})</f>
        <v>q4_category_revenue</v>
      </c>
      <c r="B1994">
        <v>3</v>
      </c>
      <c r="C1994" s="13">
        <v>0</v>
      </c>
      <c r="D1994" s="13">
        <v>1</v>
      </c>
      <c r="E1994" s="13">
        <v>193536</v>
      </c>
      <c r="F1994" s="13">
        <v>112060</v>
      </c>
      <c r="G1994" s="13">
        <v>608</v>
      </c>
      <c r="H1994" s="13">
        <v>2327184</v>
      </c>
      <c r="I1994" s="13">
        <v>4</v>
      </c>
      <c r="J1994" s="13">
        <v>0</v>
      </c>
      <c r="K1994" s="13">
        <v>12804</v>
      </c>
      <c r="L1994" s="13">
        <v>26</v>
      </c>
      <c r="M1994" s="13">
        <v>2581</v>
      </c>
      <c r="N1994" s="13">
        <v>1701</v>
      </c>
      <c r="O1994" s="13">
        <v>20</v>
      </c>
      <c r="P1994" s="13">
        <v>6</v>
      </c>
      <c r="Q1994" s="13">
        <v>51</v>
      </c>
      <c r="R1994" s="13">
        <v>23</v>
      </c>
      <c r="S1994" s="13">
        <v>1</v>
      </c>
      <c r="T1994" s="23">
        <v>46247.714884259258</v>
      </c>
      <c r="U1994" s="55">
        <f t="shared" si="93"/>
        <v>0.66666666666666663</v>
      </c>
      <c r="V1994" s="55">
        <f t="shared" si="94"/>
        <v>0.33333333333333331</v>
      </c>
      <c r="W1994" s="56">
        <f t="shared" si="95"/>
        <v>15739</v>
      </c>
    </row>
    <row r="1995" spans="1:23" x14ac:dyDescent="0.3">
      <c r="A1995" s="13" t="str" cm="1">
        <f t="array" ref="A1995:B1995">INDEX(BenchmarkResults!$B$1:$D$35,SUMPRODUCT((T1995&gt;=BenchmarkResults!$F$3:$F$35)*(mongodb_hardware_log!T1995&lt;BenchmarkResults!$G$3:$G$35)*ROW(BenchmarkResults!$F$3:$F$35)),{1,3})</f>
        <v>q4_category_revenue</v>
      </c>
      <c r="B1995">
        <v>3</v>
      </c>
      <c r="C1995" s="13">
        <v>2</v>
      </c>
      <c r="D1995" s="13">
        <v>0</v>
      </c>
      <c r="E1995" s="13">
        <v>193536</v>
      </c>
      <c r="F1995" s="13">
        <v>119028</v>
      </c>
      <c r="G1995" s="13">
        <v>624</v>
      </c>
      <c r="H1995" s="13">
        <v>2326200</v>
      </c>
      <c r="I1995" s="13">
        <v>6</v>
      </c>
      <c r="J1995" s="13">
        <v>0</v>
      </c>
      <c r="K1995" s="13">
        <v>14522</v>
      </c>
      <c r="L1995" s="13">
        <v>22</v>
      </c>
      <c r="M1995" s="13">
        <v>3125</v>
      </c>
      <c r="N1995" s="13">
        <v>2339</v>
      </c>
      <c r="O1995" s="13">
        <v>20</v>
      </c>
      <c r="P1995" s="13">
        <v>8</v>
      </c>
      <c r="Q1995" s="13">
        <v>47</v>
      </c>
      <c r="R1995" s="13">
        <v>24</v>
      </c>
      <c r="S1995" s="13">
        <v>1</v>
      </c>
      <c r="T1995" s="23">
        <v>46247.714999999997</v>
      </c>
      <c r="U1995" s="55">
        <f t="shared" si="93"/>
        <v>0.83333333333333337</v>
      </c>
      <c r="V1995" s="55">
        <f t="shared" si="94"/>
        <v>0.33333333333333331</v>
      </c>
      <c r="W1995" s="56">
        <f t="shared" si="95"/>
        <v>15237.666666666666</v>
      </c>
    </row>
    <row r="1996" spans="1:23" x14ac:dyDescent="0.3">
      <c r="A1996" s="13" t="str" cm="1">
        <f t="array" ref="A1996:B1996">INDEX(BenchmarkResults!$B$1:$D$35,SUMPRODUCT((T1996&gt;=BenchmarkResults!$F$3:$F$35)*(mongodb_hardware_log!T1996&lt;BenchmarkResults!$G$3:$G$35)*ROW(BenchmarkResults!$F$3:$F$35)),{1,3})</f>
        <v>q4_category_revenue</v>
      </c>
      <c r="B1996">
        <v>3</v>
      </c>
      <c r="C1996" s="13">
        <v>0</v>
      </c>
      <c r="D1996" s="13">
        <v>1</v>
      </c>
      <c r="E1996" s="13">
        <v>193536</v>
      </c>
      <c r="F1996" s="13">
        <v>119320</v>
      </c>
      <c r="G1996" s="13">
        <v>632</v>
      </c>
      <c r="H1996" s="13">
        <v>2319328</v>
      </c>
      <c r="I1996" s="13">
        <v>2</v>
      </c>
      <c r="J1996" s="13">
        <v>0</v>
      </c>
      <c r="K1996" s="13">
        <v>12118</v>
      </c>
      <c r="L1996" s="13">
        <v>10</v>
      </c>
      <c r="M1996" s="13">
        <v>2834</v>
      </c>
      <c r="N1996" s="13">
        <v>2020</v>
      </c>
      <c r="O1996" s="13">
        <v>20</v>
      </c>
      <c r="P1996" s="13">
        <v>8</v>
      </c>
      <c r="Q1996" s="13">
        <v>50</v>
      </c>
      <c r="R1996" s="13">
        <v>21</v>
      </c>
      <c r="S1996" s="13">
        <v>0</v>
      </c>
      <c r="T1996" s="23">
        <v>46247.715115740742</v>
      </c>
      <c r="U1996" s="55">
        <f t="shared" si="93"/>
        <v>0.66666666666666663</v>
      </c>
      <c r="V1996" s="55">
        <f t="shared" si="94"/>
        <v>0.5</v>
      </c>
      <c r="W1996" s="56">
        <f t="shared" si="95"/>
        <v>14447.166666666666</v>
      </c>
    </row>
    <row r="1997" spans="1:23" x14ac:dyDescent="0.3">
      <c r="A1997" s="13" t="str" cm="1">
        <f t="array" ref="A1997:B1997">INDEX(BenchmarkResults!$B$1:$D$35,SUMPRODUCT((T1997&gt;=BenchmarkResults!$F$3:$F$35)*(mongodb_hardware_log!T1997&lt;BenchmarkResults!$G$3:$G$35)*ROW(BenchmarkResults!$F$3:$F$35)),{1,3})</f>
        <v>q4_category_revenue</v>
      </c>
      <c r="B1997">
        <v>3</v>
      </c>
      <c r="C1997" s="13">
        <v>0</v>
      </c>
      <c r="D1997" s="13">
        <v>1</v>
      </c>
      <c r="E1997" s="13">
        <v>193536</v>
      </c>
      <c r="F1997" s="13">
        <v>115848</v>
      </c>
      <c r="G1997" s="13">
        <v>312</v>
      </c>
      <c r="H1997" s="13">
        <v>2319500</v>
      </c>
      <c r="I1997" s="13">
        <v>0</v>
      </c>
      <c r="J1997" s="13">
        <v>18</v>
      </c>
      <c r="K1997" s="13">
        <v>14071</v>
      </c>
      <c r="L1997" s="13">
        <v>28</v>
      </c>
      <c r="M1997" s="13">
        <v>2666</v>
      </c>
      <c r="N1997" s="13">
        <v>1801</v>
      </c>
      <c r="O1997" s="13">
        <v>19</v>
      </c>
      <c r="P1997" s="13">
        <v>7</v>
      </c>
      <c r="Q1997" s="13">
        <v>50</v>
      </c>
      <c r="R1997" s="13">
        <v>24</v>
      </c>
      <c r="S1997" s="13">
        <v>1</v>
      </c>
      <c r="T1997" s="23">
        <v>46247.715231481481</v>
      </c>
      <c r="U1997" s="55">
        <f t="shared" si="93"/>
        <v>0.5</v>
      </c>
      <c r="V1997" s="55">
        <f t="shared" si="94"/>
        <v>0.66666666666666663</v>
      </c>
      <c r="W1997" s="56">
        <f t="shared" si="95"/>
        <v>14158.833333333334</v>
      </c>
    </row>
    <row r="1998" spans="1:23" x14ac:dyDescent="0.3">
      <c r="A1998" s="13" t="str" cm="1">
        <f t="array" ref="A1998:B1998">INDEX(BenchmarkResults!$B$1:$D$35,SUMPRODUCT((T1998&gt;=BenchmarkResults!$F$3:$F$35)*(mongodb_hardware_log!T1998&lt;BenchmarkResults!$G$3:$G$35)*ROW(BenchmarkResults!$F$3:$F$35)),{1,3})</f>
        <v>q4_category_revenue</v>
      </c>
      <c r="B1998">
        <v>3</v>
      </c>
      <c r="C1998" s="13">
        <v>0</v>
      </c>
      <c r="D1998" s="13">
        <v>1</v>
      </c>
      <c r="E1998" s="13">
        <v>193536</v>
      </c>
      <c r="F1998" s="13">
        <v>130796</v>
      </c>
      <c r="G1998" s="13">
        <v>320</v>
      </c>
      <c r="H1998" s="13">
        <v>2312996</v>
      </c>
      <c r="I1998" s="13">
        <v>0</v>
      </c>
      <c r="J1998" s="13">
        <v>2</v>
      </c>
      <c r="K1998" s="13">
        <v>11822</v>
      </c>
      <c r="L1998" s="13">
        <v>19</v>
      </c>
      <c r="M1998" s="13">
        <v>2510</v>
      </c>
      <c r="N1998" s="13">
        <v>1724</v>
      </c>
      <c r="O1998" s="13">
        <v>19</v>
      </c>
      <c r="P1998" s="13">
        <v>6</v>
      </c>
      <c r="Q1998" s="13">
        <v>49</v>
      </c>
      <c r="R1998" s="13">
        <v>25</v>
      </c>
      <c r="S1998" s="13">
        <v>1</v>
      </c>
      <c r="T1998" s="23">
        <v>46247.71534722222</v>
      </c>
      <c r="U1998" s="55">
        <f t="shared" si="93"/>
        <v>0.33333333333333331</v>
      </c>
      <c r="V1998" s="55">
        <f t="shared" si="94"/>
        <v>0.83333333333333337</v>
      </c>
      <c r="W1998" s="56">
        <f t="shared" si="95"/>
        <v>13230.5</v>
      </c>
    </row>
    <row r="1999" spans="1:23" x14ac:dyDescent="0.3">
      <c r="A1999" s="13" t="str" cm="1">
        <f t="array" ref="A1999:B1999">INDEX(BenchmarkResults!$B$1:$D$35,SUMPRODUCT((T1999&gt;=BenchmarkResults!$F$3:$F$35)*(mongodb_hardware_log!T1999&lt;BenchmarkResults!$G$3:$G$35)*ROW(BenchmarkResults!$F$3:$F$35)),{1,3})</f>
        <v>q4_category_revenue</v>
      </c>
      <c r="B1999">
        <v>3</v>
      </c>
      <c r="C1999" s="13">
        <v>1</v>
      </c>
      <c r="D1999" s="13">
        <v>0</v>
      </c>
      <c r="E1999" s="13">
        <v>193536</v>
      </c>
      <c r="F1999" s="13">
        <v>132624</v>
      </c>
      <c r="G1999" s="13">
        <v>360</v>
      </c>
      <c r="H1999" s="13">
        <v>2311216</v>
      </c>
      <c r="I1999" s="13">
        <v>3</v>
      </c>
      <c r="J1999" s="13">
        <v>1</v>
      </c>
      <c r="K1999" s="13">
        <v>13645</v>
      </c>
      <c r="L1999" s="13">
        <v>30</v>
      </c>
      <c r="M1999" s="13">
        <v>2617</v>
      </c>
      <c r="N1999" s="13">
        <v>1878</v>
      </c>
      <c r="O1999" s="13">
        <v>19</v>
      </c>
      <c r="P1999" s="13">
        <v>7</v>
      </c>
      <c r="Q1999" s="13">
        <v>49</v>
      </c>
      <c r="R1999" s="13">
        <v>25</v>
      </c>
      <c r="S1999" s="13">
        <v>1</v>
      </c>
      <c r="T1999" s="23">
        <v>46247.715462962966</v>
      </c>
      <c r="U1999" s="55">
        <f t="shared" si="93"/>
        <v>0.5</v>
      </c>
      <c r="V1999" s="55">
        <f t="shared" si="94"/>
        <v>0.66666666666666663</v>
      </c>
      <c r="W1999" s="56">
        <f t="shared" si="95"/>
        <v>13163.666666666666</v>
      </c>
    </row>
    <row r="2000" spans="1:23" x14ac:dyDescent="0.3">
      <c r="A2000" s="13" t="str" cm="1">
        <f t="array" ref="A2000:B2000">INDEX(BenchmarkResults!$B$1:$D$35,SUMPRODUCT((T2000&gt;=BenchmarkResults!$F$3:$F$35)*(mongodb_hardware_log!T2000&lt;BenchmarkResults!$G$3:$G$35)*ROW(BenchmarkResults!$F$3:$F$35)),{1,3})</f>
        <v>q4_category_revenue</v>
      </c>
      <c r="B2000">
        <v>3</v>
      </c>
      <c r="C2000" s="13">
        <v>1</v>
      </c>
      <c r="D2000" s="13">
        <v>0</v>
      </c>
      <c r="E2000" s="13">
        <v>193792</v>
      </c>
      <c r="F2000" s="13">
        <v>140684</v>
      </c>
      <c r="G2000" s="13">
        <v>368</v>
      </c>
      <c r="H2000" s="13">
        <v>2307328</v>
      </c>
      <c r="I2000" s="13">
        <v>8</v>
      </c>
      <c r="J2000" s="13">
        <v>42</v>
      </c>
      <c r="K2000" s="13">
        <v>15327</v>
      </c>
      <c r="L2000" s="13">
        <v>58</v>
      </c>
      <c r="M2000" s="13">
        <v>2812</v>
      </c>
      <c r="N2000" s="13">
        <v>1966</v>
      </c>
      <c r="O2000" s="13">
        <v>18</v>
      </c>
      <c r="P2000" s="13">
        <v>7</v>
      </c>
      <c r="Q2000" s="13">
        <v>48</v>
      </c>
      <c r="R2000" s="13">
        <v>26</v>
      </c>
      <c r="S2000" s="13">
        <v>1</v>
      </c>
      <c r="T2000" s="23">
        <v>46247.715578703705</v>
      </c>
      <c r="U2000" s="55">
        <f t="shared" si="93"/>
        <v>0.66666666666666663</v>
      </c>
      <c r="V2000" s="55">
        <f t="shared" si="94"/>
        <v>0.5</v>
      </c>
      <c r="W2000" s="56">
        <f t="shared" si="95"/>
        <v>13584.166666666666</v>
      </c>
    </row>
    <row r="2001" spans="1:23" x14ac:dyDescent="0.3">
      <c r="A2001" s="13" t="str" cm="1">
        <f t="array" ref="A2001:B2001">INDEX(BenchmarkResults!$B$1:$D$35,SUMPRODUCT((T2001&gt;=BenchmarkResults!$F$3:$F$35)*(mongodb_hardware_log!T2001&lt;BenchmarkResults!$G$3:$G$35)*ROW(BenchmarkResults!$F$3:$F$35)),{1,3})</f>
        <v>q4_category_revenue</v>
      </c>
      <c r="B2001">
        <v>3</v>
      </c>
      <c r="C2001" s="13">
        <v>0</v>
      </c>
      <c r="D2001" s="13">
        <v>1</v>
      </c>
      <c r="E2001" s="13">
        <v>193792</v>
      </c>
      <c r="F2001" s="13">
        <v>130684</v>
      </c>
      <c r="G2001" s="13">
        <v>376</v>
      </c>
      <c r="H2001" s="13">
        <v>2313776</v>
      </c>
      <c r="I2001" s="13">
        <v>3</v>
      </c>
      <c r="J2001" s="13">
        <v>0</v>
      </c>
      <c r="K2001" s="13">
        <v>11595</v>
      </c>
      <c r="L2001" s="13">
        <v>27</v>
      </c>
      <c r="M2001" s="13">
        <v>2473</v>
      </c>
      <c r="N2001" s="13">
        <v>1736</v>
      </c>
      <c r="O2001" s="13">
        <v>20</v>
      </c>
      <c r="P2001" s="13">
        <v>7</v>
      </c>
      <c r="Q2001" s="13">
        <v>50</v>
      </c>
      <c r="R2001" s="13">
        <v>22</v>
      </c>
      <c r="S2001" s="13">
        <v>1</v>
      </c>
      <c r="T2001" s="23">
        <v>46247.715694444443</v>
      </c>
      <c r="U2001" s="55">
        <f t="shared" si="93"/>
        <v>0.33333333333333331</v>
      </c>
      <c r="V2001" s="55">
        <f t="shared" si="94"/>
        <v>0.66666666666666663</v>
      </c>
      <c r="W2001" s="56">
        <f t="shared" si="95"/>
        <v>13096.333333333334</v>
      </c>
    </row>
    <row r="2002" spans="1:23" x14ac:dyDescent="0.3">
      <c r="A2002" s="13" t="str" cm="1">
        <f t="array" ref="A2002:B2002">INDEX(BenchmarkResults!$B$1:$D$35,SUMPRODUCT((T2002&gt;=BenchmarkResults!$F$3:$F$35)*(mongodb_hardware_log!T2002&lt;BenchmarkResults!$G$3:$G$35)*ROW(BenchmarkResults!$F$3:$F$35)),{1,3})</f>
        <v>q4_category_revenue</v>
      </c>
      <c r="B2002">
        <v>3</v>
      </c>
      <c r="C2002" s="13">
        <v>0</v>
      </c>
      <c r="D2002" s="13">
        <v>1</v>
      </c>
      <c r="E2002" s="13">
        <v>193536</v>
      </c>
      <c r="F2002" s="13">
        <v>129400</v>
      </c>
      <c r="G2002" s="13">
        <v>384</v>
      </c>
      <c r="H2002" s="13">
        <v>2308700</v>
      </c>
      <c r="I2002" s="13">
        <v>4</v>
      </c>
      <c r="J2002" s="13">
        <v>0</v>
      </c>
      <c r="K2002" s="13">
        <v>15825</v>
      </c>
      <c r="L2002" s="13">
        <v>11</v>
      </c>
      <c r="M2002" s="13">
        <v>3004</v>
      </c>
      <c r="N2002" s="13">
        <v>2004</v>
      </c>
      <c r="O2002" s="13">
        <v>20</v>
      </c>
      <c r="P2002" s="13">
        <v>7</v>
      </c>
      <c r="Q2002" s="13">
        <v>47</v>
      </c>
      <c r="R2002" s="13">
        <v>25</v>
      </c>
      <c r="S2002" s="13">
        <v>1</v>
      </c>
      <c r="T2002" s="23">
        <v>46247.715810185182</v>
      </c>
      <c r="U2002" s="55">
        <f t="shared" si="93"/>
        <v>0.33333333333333331</v>
      </c>
      <c r="V2002" s="55">
        <f t="shared" si="94"/>
        <v>0.66666666666666663</v>
      </c>
      <c r="W2002" s="56">
        <f t="shared" si="95"/>
        <v>13714.166666666666</v>
      </c>
    </row>
    <row r="2003" spans="1:23" x14ac:dyDescent="0.3">
      <c r="A2003" s="13" t="str" cm="1">
        <f t="array" ref="A2003:B2003">INDEX(BenchmarkResults!$B$1:$D$35,SUMPRODUCT((T2003&gt;=BenchmarkResults!$F$3:$F$35)*(mongodb_hardware_log!T2003&lt;BenchmarkResults!$G$3:$G$35)*ROW(BenchmarkResults!$F$3:$F$35)),{1,3})</f>
        <v>q4_category_revenue</v>
      </c>
      <c r="B2003">
        <v>3</v>
      </c>
      <c r="C2003" s="13">
        <v>1</v>
      </c>
      <c r="D2003" s="13">
        <v>0</v>
      </c>
      <c r="E2003" s="13">
        <v>193536</v>
      </c>
      <c r="F2003" s="13">
        <v>147648</v>
      </c>
      <c r="G2003" s="13">
        <v>400</v>
      </c>
      <c r="H2003" s="13">
        <v>2287832</v>
      </c>
      <c r="I2003" s="13">
        <v>10</v>
      </c>
      <c r="J2003" s="13">
        <v>0</v>
      </c>
      <c r="K2003" s="13">
        <v>13351</v>
      </c>
      <c r="L2003" s="13">
        <v>18</v>
      </c>
      <c r="M2003" s="13">
        <v>2674</v>
      </c>
      <c r="N2003" s="13">
        <v>1932</v>
      </c>
      <c r="O2003" s="13">
        <v>21</v>
      </c>
      <c r="P2003" s="13">
        <v>8</v>
      </c>
      <c r="Q2003" s="13">
        <v>49</v>
      </c>
      <c r="R2003" s="13">
        <v>22</v>
      </c>
      <c r="S2003" s="13">
        <v>0</v>
      </c>
      <c r="T2003" s="23">
        <v>46247.715925925928</v>
      </c>
      <c r="U2003" s="55">
        <f t="shared" si="93"/>
        <v>0.5</v>
      </c>
      <c r="V2003" s="55">
        <f t="shared" si="94"/>
        <v>0.5</v>
      </c>
      <c r="W2003" s="56">
        <f t="shared" si="95"/>
        <v>13594.166666666666</v>
      </c>
    </row>
    <row r="2004" spans="1:23" x14ac:dyDescent="0.3">
      <c r="A2004" s="13" t="str" cm="1">
        <f t="array" ref="A2004:B2004">INDEX(BenchmarkResults!$B$1:$D$35,SUMPRODUCT((T2004&gt;=BenchmarkResults!$F$3:$F$35)*(mongodb_hardware_log!T2004&lt;BenchmarkResults!$G$3:$G$35)*ROW(BenchmarkResults!$F$3:$F$35)),{1,3})</f>
        <v>q4_category_revenue</v>
      </c>
      <c r="B2004">
        <v>3</v>
      </c>
      <c r="C2004" s="13">
        <v>2</v>
      </c>
      <c r="D2004" s="13">
        <v>0</v>
      </c>
      <c r="E2004" s="13">
        <v>193536</v>
      </c>
      <c r="F2004" s="13">
        <v>150504</v>
      </c>
      <c r="G2004" s="13">
        <v>412</v>
      </c>
      <c r="H2004" s="13">
        <v>2291676</v>
      </c>
      <c r="I2004" s="13">
        <v>3</v>
      </c>
      <c r="J2004" s="13">
        <v>0</v>
      </c>
      <c r="K2004" s="13">
        <v>13895</v>
      </c>
      <c r="L2004" s="13">
        <v>29</v>
      </c>
      <c r="M2004" s="13">
        <v>2687</v>
      </c>
      <c r="N2004" s="13">
        <v>1882</v>
      </c>
      <c r="O2004" s="13">
        <v>21</v>
      </c>
      <c r="P2004" s="13">
        <v>7</v>
      </c>
      <c r="Q2004" s="13">
        <v>51</v>
      </c>
      <c r="R2004" s="13">
        <v>21</v>
      </c>
      <c r="S2004" s="13">
        <v>0</v>
      </c>
      <c r="T2004" s="23">
        <v>46247.716041666667</v>
      </c>
      <c r="U2004" s="55">
        <f t="shared" si="93"/>
        <v>0.83333333333333337</v>
      </c>
      <c r="V2004" s="55">
        <f t="shared" si="94"/>
        <v>0.33333333333333331</v>
      </c>
      <c r="W2004" s="56">
        <f t="shared" si="95"/>
        <v>13939.666666666666</v>
      </c>
    </row>
    <row r="2005" spans="1:23" x14ac:dyDescent="0.3">
      <c r="A2005" s="13" t="str" cm="1">
        <f t="array" ref="A2005:B2005">INDEX(BenchmarkResults!$B$1:$D$35,SUMPRODUCT((T2005&gt;=BenchmarkResults!$F$3:$F$35)*(mongodb_hardware_log!T2005&lt;BenchmarkResults!$G$3:$G$35)*ROW(BenchmarkResults!$F$3:$F$35)),{1,3})</f>
        <v>q4_category_revenue</v>
      </c>
      <c r="B2005">
        <v>3</v>
      </c>
      <c r="C2005" s="13">
        <v>1</v>
      </c>
      <c r="D2005" s="13">
        <v>0</v>
      </c>
      <c r="E2005" s="13">
        <v>193536</v>
      </c>
      <c r="F2005" s="13">
        <v>128916</v>
      </c>
      <c r="G2005" s="13">
        <v>436</v>
      </c>
      <c r="H2005" s="13">
        <v>2308340</v>
      </c>
      <c r="I2005" s="13">
        <v>3</v>
      </c>
      <c r="J2005" s="13">
        <v>0</v>
      </c>
      <c r="K2005" s="13">
        <v>17334</v>
      </c>
      <c r="L2005" s="13">
        <v>33</v>
      </c>
      <c r="M2005" s="13">
        <v>3000</v>
      </c>
      <c r="N2005" s="13">
        <v>2207</v>
      </c>
      <c r="O2005" s="13">
        <v>20</v>
      </c>
      <c r="P2005" s="13">
        <v>8</v>
      </c>
      <c r="Q2005" s="13">
        <v>47</v>
      </c>
      <c r="R2005" s="13">
        <v>25</v>
      </c>
      <c r="S2005" s="13">
        <v>1</v>
      </c>
      <c r="T2005" s="23">
        <v>46247.716157407405</v>
      </c>
      <c r="U2005" s="55">
        <f t="shared" si="93"/>
        <v>0.83333333333333337</v>
      </c>
      <c r="V2005" s="55">
        <f t="shared" si="94"/>
        <v>0.33333333333333331</v>
      </c>
      <c r="W2005" s="56">
        <f t="shared" si="95"/>
        <v>14554.5</v>
      </c>
    </row>
    <row r="2006" spans="1:23" x14ac:dyDescent="0.3">
      <c r="A2006" s="13" t="str" cm="1">
        <f t="array" ref="A2006:B2006">INDEX(BenchmarkResults!$B$1:$D$35,SUMPRODUCT((T2006&gt;=BenchmarkResults!$F$3:$F$35)*(mongodb_hardware_log!T2006&lt;BenchmarkResults!$G$3:$G$35)*ROW(BenchmarkResults!$F$3:$F$35)),{1,3})</f>
        <v>q4_category_revenue</v>
      </c>
      <c r="B2006">
        <v>3</v>
      </c>
      <c r="C2006" s="13">
        <v>1</v>
      </c>
      <c r="D2006" s="13">
        <v>0</v>
      </c>
      <c r="E2006" s="13">
        <v>193280</v>
      </c>
      <c r="F2006" s="13">
        <v>109348</v>
      </c>
      <c r="G2006" s="13">
        <v>468</v>
      </c>
      <c r="H2006" s="13">
        <v>2334892</v>
      </c>
      <c r="I2006" s="13">
        <v>4</v>
      </c>
      <c r="J2006" s="13">
        <v>0</v>
      </c>
      <c r="K2006" s="13">
        <v>16412</v>
      </c>
      <c r="L2006" s="13">
        <v>26</v>
      </c>
      <c r="M2006" s="13">
        <v>3187</v>
      </c>
      <c r="N2006" s="13">
        <v>2050</v>
      </c>
      <c r="O2006" s="13">
        <v>19</v>
      </c>
      <c r="P2006" s="13">
        <v>8</v>
      </c>
      <c r="Q2006" s="13">
        <v>46</v>
      </c>
      <c r="R2006" s="13">
        <v>27</v>
      </c>
      <c r="S2006" s="13">
        <v>1</v>
      </c>
      <c r="T2006" s="23">
        <v>46247.716273148151</v>
      </c>
      <c r="U2006" s="55">
        <f t="shared" si="93"/>
        <v>0.83333333333333337</v>
      </c>
      <c r="V2006" s="55">
        <f t="shared" si="94"/>
        <v>0.33333333333333331</v>
      </c>
      <c r="W2006" s="56">
        <f t="shared" si="95"/>
        <v>14735.333333333334</v>
      </c>
    </row>
    <row r="2007" spans="1:23" x14ac:dyDescent="0.3">
      <c r="A2007" s="13" t="str" cm="1">
        <f t="array" ref="A2007:B2007">INDEX(BenchmarkResults!$B$1:$D$35,SUMPRODUCT((T2007&gt;=BenchmarkResults!$F$3:$F$35)*(mongodb_hardware_log!T2007&lt;BenchmarkResults!$G$3:$G$35)*ROW(BenchmarkResults!$F$3:$F$35)),{1,3})</f>
        <v>q4_category_revenue</v>
      </c>
      <c r="B2007">
        <v>3</v>
      </c>
      <c r="C2007" s="13">
        <v>1</v>
      </c>
      <c r="D2007" s="13">
        <v>0</v>
      </c>
      <c r="E2007" s="13">
        <v>193280</v>
      </c>
      <c r="F2007" s="13">
        <v>131832</v>
      </c>
      <c r="G2007" s="13">
        <v>472</v>
      </c>
      <c r="H2007" s="13">
        <v>2314484</v>
      </c>
      <c r="I2007" s="13">
        <v>0</v>
      </c>
      <c r="J2007" s="13">
        <v>0</v>
      </c>
      <c r="K2007" s="13">
        <v>16849</v>
      </c>
      <c r="L2007" s="13">
        <v>11</v>
      </c>
      <c r="M2007" s="13">
        <v>3442</v>
      </c>
      <c r="N2007" s="13">
        <v>2438</v>
      </c>
      <c r="O2007" s="13">
        <v>19</v>
      </c>
      <c r="P2007" s="13">
        <v>9</v>
      </c>
      <c r="Q2007" s="13">
        <v>45</v>
      </c>
      <c r="R2007" s="13">
        <v>26</v>
      </c>
      <c r="S2007" s="13">
        <v>1</v>
      </c>
      <c r="T2007" s="23">
        <v>46247.71638888889</v>
      </c>
      <c r="U2007" s="55">
        <f t="shared" si="93"/>
        <v>1</v>
      </c>
      <c r="V2007" s="55">
        <f t="shared" si="94"/>
        <v>0.16666666666666666</v>
      </c>
      <c r="W2007" s="56">
        <f t="shared" si="95"/>
        <v>15611</v>
      </c>
    </row>
    <row r="2008" spans="1:23" x14ac:dyDescent="0.3">
      <c r="A2008" s="13" t="str" cm="1">
        <f t="array" ref="A2008:B2008">INDEX(BenchmarkResults!$B$1:$D$35,SUMPRODUCT((T2008&gt;=BenchmarkResults!$F$3:$F$35)*(mongodb_hardware_log!T2008&lt;BenchmarkResults!$G$3:$G$35)*ROW(BenchmarkResults!$F$3:$F$35)),{1,3})</f>
        <v>q4_category_revenue</v>
      </c>
      <c r="B2008">
        <v>3</v>
      </c>
      <c r="C2008" s="13">
        <v>0</v>
      </c>
      <c r="D2008" s="13">
        <v>1</v>
      </c>
      <c r="E2008" s="13">
        <v>193280</v>
      </c>
      <c r="F2008" s="13">
        <v>116068</v>
      </c>
      <c r="G2008" s="13">
        <v>480</v>
      </c>
      <c r="H2008" s="13">
        <v>2334356</v>
      </c>
      <c r="I2008" s="13">
        <v>5</v>
      </c>
      <c r="J2008" s="13">
        <v>0</v>
      </c>
      <c r="K2008" s="13">
        <v>17747</v>
      </c>
      <c r="L2008" s="13">
        <v>11</v>
      </c>
      <c r="M2008" s="13">
        <v>2951</v>
      </c>
      <c r="N2008" s="13">
        <v>1939</v>
      </c>
      <c r="O2008" s="13">
        <v>19</v>
      </c>
      <c r="P2008" s="13">
        <v>8</v>
      </c>
      <c r="Q2008" s="13">
        <v>46</v>
      </c>
      <c r="R2008" s="13">
        <v>26</v>
      </c>
      <c r="S2008" s="13">
        <v>1</v>
      </c>
      <c r="T2008" s="23">
        <v>46247.716504629629</v>
      </c>
      <c r="U2008" s="55">
        <f t="shared" si="93"/>
        <v>1</v>
      </c>
      <c r="V2008" s="55">
        <f t="shared" si="94"/>
        <v>0.16666666666666666</v>
      </c>
      <c r="W2008" s="56">
        <f t="shared" si="95"/>
        <v>15931.333333333334</v>
      </c>
    </row>
    <row r="2009" spans="1:23" x14ac:dyDescent="0.3">
      <c r="A2009" s="13" t="str" cm="1">
        <f t="array" ref="A2009:B2009">INDEX(BenchmarkResults!$B$1:$D$35,SUMPRODUCT((T2009&gt;=BenchmarkResults!$F$3:$F$35)*(mongodb_hardware_log!T2009&lt;BenchmarkResults!$G$3:$G$35)*ROW(BenchmarkResults!$F$3:$F$35)),{1,3})</f>
        <v>q4_category_revenue</v>
      </c>
      <c r="B2009">
        <v>3</v>
      </c>
      <c r="C2009" s="13">
        <v>1</v>
      </c>
      <c r="D2009" s="13">
        <v>0</v>
      </c>
      <c r="E2009" s="13">
        <v>193280</v>
      </c>
      <c r="F2009" s="13">
        <v>139568</v>
      </c>
      <c r="G2009" s="13">
        <v>264</v>
      </c>
      <c r="H2009" s="13">
        <v>2305052</v>
      </c>
      <c r="I2009" s="13">
        <v>1</v>
      </c>
      <c r="J2009" s="13">
        <v>6</v>
      </c>
      <c r="K2009" s="13">
        <v>17540</v>
      </c>
      <c r="L2009" s="13">
        <v>22</v>
      </c>
      <c r="M2009" s="13">
        <v>3478</v>
      </c>
      <c r="N2009" s="13">
        <v>2406</v>
      </c>
      <c r="O2009" s="13">
        <v>19</v>
      </c>
      <c r="P2009" s="13">
        <v>8</v>
      </c>
      <c r="Q2009" s="13">
        <v>46</v>
      </c>
      <c r="R2009" s="13">
        <v>26</v>
      </c>
      <c r="S2009" s="13">
        <v>1</v>
      </c>
      <c r="T2009" s="23">
        <v>46247.716620370367</v>
      </c>
      <c r="U2009" s="55">
        <f t="shared" si="93"/>
        <v>1</v>
      </c>
      <c r="V2009" s="55">
        <f t="shared" si="94"/>
        <v>0.16666666666666666</v>
      </c>
      <c r="W2009" s="56">
        <f t="shared" si="95"/>
        <v>16629.5</v>
      </c>
    </row>
    <row r="2010" spans="1:23" x14ac:dyDescent="0.3">
      <c r="A2010" s="13" t="str" cm="1">
        <f t="array" ref="A2010:B2010">INDEX(BenchmarkResults!$B$1:$D$35,SUMPRODUCT((T2010&gt;=BenchmarkResults!$F$3:$F$35)*(mongodb_hardware_log!T2010&lt;BenchmarkResults!$G$3:$G$35)*ROW(BenchmarkResults!$F$3:$F$35)),{1,3})</f>
        <v>q4_category_revenue</v>
      </c>
      <c r="B2010">
        <v>3</v>
      </c>
      <c r="C2010" s="13">
        <v>0</v>
      </c>
      <c r="D2010" s="13">
        <v>1</v>
      </c>
      <c r="E2010" s="13">
        <v>193280</v>
      </c>
      <c r="F2010" s="13">
        <v>119684</v>
      </c>
      <c r="G2010" s="13">
        <v>268</v>
      </c>
      <c r="H2010" s="13">
        <v>2329476</v>
      </c>
      <c r="I2010" s="13">
        <v>1</v>
      </c>
      <c r="J2010" s="13">
        <v>0</v>
      </c>
      <c r="K2010" s="13">
        <v>15565</v>
      </c>
      <c r="L2010" s="13">
        <v>8</v>
      </c>
      <c r="M2010" s="13">
        <v>2617</v>
      </c>
      <c r="N2010" s="13">
        <v>1753</v>
      </c>
      <c r="O2010" s="13">
        <v>20</v>
      </c>
      <c r="P2010" s="13">
        <v>6</v>
      </c>
      <c r="Q2010" s="13">
        <v>47</v>
      </c>
      <c r="R2010" s="13">
        <v>26</v>
      </c>
      <c r="S2010" s="13">
        <v>1</v>
      </c>
      <c r="T2010" s="23">
        <v>46247.716736111113</v>
      </c>
      <c r="U2010" s="55">
        <f t="shared" si="93"/>
        <v>0.66666666666666663</v>
      </c>
      <c r="V2010" s="55">
        <f t="shared" si="94"/>
        <v>0.33333333333333331</v>
      </c>
      <c r="W2010" s="56">
        <f t="shared" si="95"/>
        <v>16907.833333333332</v>
      </c>
    </row>
    <row r="2011" spans="1:23" x14ac:dyDescent="0.3">
      <c r="A2011" s="13" t="str" cm="1">
        <f t="array" ref="A2011:B2011">INDEX(BenchmarkResults!$B$1:$D$35,SUMPRODUCT((T2011&gt;=BenchmarkResults!$F$3:$F$35)*(mongodb_hardware_log!T2011&lt;BenchmarkResults!$G$3:$G$35)*ROW(BenchmarkResults!$F$3:$F$35)),{1,3})</f>
        <v>q4_category_revenue</v>
      </c>
      <c r="B2011">
        <v>3</v>
      </c>
      <c r="C2011" s="13">
        <v>0</v>
      </c>
      <c r="D2011" s="13">
        <v>1</v>
      </c>
      <c r="E2011" s="13">
        <v>193280</v>
      </c>
      <c r="F2011" s="13">
        <v>137616</v>
      </c>
      <c r="G2011" s="13">
        <v>292</v>
      </c>
      <c r="H2011" s="13">
        <v>2311496</v>
      </c>
      <c r="I2011" s="13">
        <v>4</v>
      </c>
      <c r="J2011" s="13">
        <v>0</v>
      </c>
      <c r="K2011" s="13">
        <v>13947</v>
      </c>
      <c r="L2011" s="13">
        <v>27</v>
      </c>
      <c r="M2011" s="13">
        <v>2845</v>
      </c>
      <c r="N2011" s="13">
        <v>1844</v>
      </c>
      <c r="O2011" s="13">
        <v>19</v>
      </c>
      <c r="P2011" s="13">
        <v>6</v>
      </c>
      <c r="Q2011" s="13">
        <v>46</v>
      </c>
      <c r="R2011" s="13">
        <v>27</v>
      </c>
      <c r="S2011" s="13">
        <v>1</v>
      </c>
      <c r="T2011" s="23">
        <v>46247.716851851852</v>
      </c>
      <c r="U2011" s="55">
        <f t="shared" si="93"/>
        <v>0.5</v>
      </c>
      <c r="V2011" s="55">
        <f t="shared" si="94"/>
        <v>0.5</v>
      </c>
      <c r="W2011" s="56">
        <f t="shared" si="95"/>
        <v>16343.333333333334</v>
      </c>
    </row>
    <row r="2012" spans="1:23" x14ac:dyDescent="0.3">
      <c r="A2012" s="13" t="str" cm="1">
        <f t="array" ref="A2012:B2012">INDEX(BenchmarkResults!$B$1:$D$35,SUMPRODUCT((T2012&gt;=BenchmarkResults!$F$3:$F$35)*(mongodb_hardware_log!T2012&lt;BenchmarkResults!$G$3:$G$35)*ROW(BenchmarkResults!$F$3:$F$35)),{1,3})</f>
        <v>q4_category_revenue</v>
      </c>
      <c r="B2012">
        <v>3</v>
      </c>
      <c r="C2012" s="13">
        <v>1</v>
      </c>
      <c r="D2012" s="13">
        <v>0</v>
      </c>
      <c r="E2012" s="13">
        <v>193280</v>
      </c>
      <c r="F2012" s="13">
        <v>107304</v>
      </c>
      <c r="G2012" s="13">
        <v>308</v>
      </c>
      <c r="H2012" s="13">
        <v>2338404</v>
      </c>
      <c r="I2012" s="13">
        <v>0</v>
      </c>
      <c r="J2012" s="13">
        <v>1</v>
      </c>
      <c r="K2012" s="13">
        <v>12565</v>
      </c>
      <c r="L2012" s="13">
        <v>24</v>
      </c>
      <c r="M2012" s="13">
        <v>2805</v>
      </c>
      <c r="N2012" s="13">
        <v>1975</v>
      </c>
      <c r="O2012" s="13">
        <v>17</v>
      </c>
      <c r="P2012" s="13">
        <v>8</v>
      </c>
      <c r="Q2012" s="13">
        <v>46</v>
      </c>
      <c r="R2012" s="13">
        <v>27</v>
      </c>
      <c r="S2012" s="13">
        <v>2</v>
      </c>
      <c r="T2012" s="23">
        <v>46247.716967592591</v>
      </c>
      <c r="U2012" s="55">
        <f t="shared" si="93"/>
        <v>0.5</v>
      </c>
      <c r="V2012" s="55">
        <f t="shared" si="94"/>
        <v>0.5</v>
      </c>
      <c r="W2012" s="56">
        <f t="shared" si="95"/>
        <v>15702.166666666666</v>
      </c>
    </row>
    <row r="2013" spans="1:23" x14ac:dyDescent="0.3">
      <c r="A2013" s="13" t="str" cm="1">
        <f t="array" ref="A2013:B2013">INDEX(BenchmarkResults!$B$1:$D$35,SUMPRODUCT((T2013&gt;=BenchmarkResults!$F$3:$F$35)*(mongodb_hardware_log!T2013&lt;BenchmarkResults!$G$3:$G$35)*ROW(BenchmarkResults!$F$3:$F$35)),{1,3})</f>
        <v>q4_category_revenue</v>
      </c>
      <c r="B2013">
        <v>3</v>
      </c>
      <c r="C2013" s="13">
        <v>0</v>
      </c>
      <c r="D2013" s="13">
        <v>1</v>
      </c>
      <c r="E2013" s="13">
        <v>193024</v>
      </c>
      <c r="F2013" s="13">
        <v>151156</v>
      </c>
      <c r="G2013" s="13">
        <v>412</v>
      </c>
      <c r="H2013" s="13">
        <v>2292848</v>
      </c>
      <c r="I2013" s="13">
        <v>221</v>
      </c>
      <c r="J2013" s="13">
        <v>42</v>
      </c>
      <c r="K2013" s="13">
        <v>18036</v>
      </c>
      <c r="L2013" s="13">
        <v>57</v>
      </c>
      <c r="M2013" s="13">
        <v>3544</v>
      </c>
      <c r="N2013" s="13">
        <v>2591</v>
      </c>
      <c r="O2013" s="13">
        <v>19</v>
      </c>
      <c r="P2013" s="13">
        <v>10</v>
      </c>
      <c r="Q2013" s="13">
        <v>43</v>
      </c>
      <c r="R2013" s="13">
        <v>27</v>
      </c>
      <c r="S2013" s="13">
        <v>1</v>
      </c>
      <c r="T2013" s="23">
        <v>46247.717083333337</v>
      </c>
      <c r="U2013" s="55">
        <f t="shared" si="93"/>
        <v>0.33333333333333331</v>
      </c>
      <c r="V2013" s="55">
        <f t="shared" si="94"/>
        <v>0.66666666666666663</v>
      </c>
      <c r="W2013" s="56">
        <f t="shared" si="95"/>
        <v>15900</v>
      </c>
    </row>
    <row r="2014" spans="1:23" x14ac:dyDescent="0.3">
      <c r="A2014" s="13" t="str" cm="1">
        <f t="array" ref="A2014:B2014">INDEX(BenchmarkResults!$B$1:$D$35,SUMPRODUCT((T2014&gt;=BenchmarkResults!$F$3:$F$35)*(mongodb_hardware_log!T2014&lt;BenchmarkResults!$G$3:$G$35)*ROW(BenchmarkResults!$F$3:$F$35)),{1,3})</f>
        <v>q4_category_revenue</v>
      </c>
      <c r="B2014">
        <v>3</v>
      </c>
      <c r="C2014" s="13">
        <v>0</v>
      </c>
      <c r="D2014" s="13">
        <v>1</v>
      </c>
      <c r="E2014" s="13">
        <v>193024</v>
      </c>
      <c r="F2014" s="13">
        <v>154972</v>
      </c>
      <c r="G2014" s="13">
        <v>420</v>
      </c>
      <c r="H2014" s="13">
        <v>2287148</v>
      </c>
      <c r="I2014" s="13">
        <v>2</v>
      </c>
      <c r="J2014" s="13">
        <v>0</v>
      </c>
      <c r="K2014" s="13">
        <v>16807</v>
      </c>
      <c r="L2014" s="13">
        <v>31</v>
      </c>
      <c r="M2014" s="13">
        <v>3363</v>
      </c>
      <c r="N2014" s="13">
        <v>2263</v>
      </c>
      <c r="O2014" s="13">
        <v>22</v>
      </c>
      <c r="P2014" s="13">
        <v>9</v>
      </c>
      <c r="Q2014" s="13">
        <v>46</v>
      </c>
      <c r="R2014" s="13">
        <v>23</v>
      </c>
      <c r="S2014" s="13">
        <v>1</v>
      </c>
      <c r="T2014" s="23">
        <v>46247.717199074075</v>
      </c>
      <c r="U2014" s="55">
        <f t="shared" si="93"/>
        <v>0.33333333333333331</v>
      </c>
      <c r="V2014" s="55">
        <f t="shared" si="94"/>
        <v>0.66666666666666663</v>
      </c>
      <c r="W2014" s="56">
        <f t="shared" si="95"/>
        <v>15743.333333333334</v>
      </c>
    </row>
    <row r="2015" spans="1:23" x14ac:dyDescent="0.3">
      <c r="A2015" s="13" t="str" cm="1">
        <f t="array" ref="A2015:B2015">INDEX(BenchmarkResults!$B$1:$D$35,SUMPRODUCT((T2015&gt;=BenchmarkResults!$F$3:$F$35)*(mongodb_hardware_log!T2015&lt;BenchmarkResults!$G$3:$G$35)*ROW(BenchmarkResults!$F$3:$F$35)),{1,3})</f>
        <v>q4_category_revenue</v>
      </c>
      <c r="B2015">
        <v>3</v>
      </c>
      <c r="C2015" s="13">
        <v>1</v>
      </c>
      <c r="D2015" s="13">
        <v>0</v>
      </c>
      <c r="E2015" s="13">
        <v>192768</v>
      </c>
      <c r="F2015" s="13">
        <v>113316</v>
      </c>
      <c r="G2015" s="13">
        <v>436</v>
      </c>
      <c r="H2015" s="13">
        <v>2320292</v>
      </c>
      <c r="I2015" s="13">
        <v>17</v>
      </c>
      <c r="J2015" s="13">
        <v>0</v>
      </c>
      <c r="K2015" s="13">
        <v>18530</v>
      </c>
      <c r="L2015" s="13">
        <v>16</v>
      </c>
      <c r="M2015" s="13">
        <v>3261</v>
      </c>
      <c r="N2015" s="13">
        <v>2199</v>
      </c>
      <c r="O2015" s="13">
        <v>21</v>
      </c>
      <c r="P2015" s="13">
        <v>8</v>
      </c>
      <c r="Q2015" s="13">
        <v>46</v>
      </c>
      <c r="R2015" s="13">
        <v>24</v>
      </c>
      <c r="S2015" s="13">
        <v>0</v>
      </c>
      <c r="T2015" s="23">
        <v>46247.717314814814</v>
      </c>
      <c r="U2015" s="55">
        <f t="shared" si="93"/>
        <v>0.33333333333333331</v>
      </c>
      <c r="V2015" s="55">
        <f t="shared" si="94"/>
        <v>0.66666666666666663</v>
      </c>
      <c r="W2015" s="56">
        <f t="shared" si="95"/>
        <v>15908.333333333334</v>
      </c>
    </row>
    <row r="2016" spans="1:23" x14ac:dyDescent="0.3">
      <c r="A2016" s="13" t="str" cm="1">
        <f t="array" ref="A2016:B2016">INDEX(BenchmarkResults!$B$1:$D$35,SUMPRODUCT((T2016&gt;=BenchmarkResults!$F$3:$F$35)*(mongodb_hardware_log!T2016&lt;BenchmarkResults!$G$3:$G$35)*ROW(BenchmarkResults!$F$3:$F$35)),{1,3})</f>
        <v>q4_category_revenue</v>
      </c>
      <c r="B2016">
        <v>3</v>
      </c>
      <c r="C2016" s="13">
        <v>1</v>
      </c>
      <c r="D2016" s="13">
        <v>0</v>
      </c>
      <c r="E2016" s="13">
        <v>192768</v>
      </c>
      <c r="F2016" s="13">
        <v>105484</v>
      </c>
      <c r="G2016" s="13">
        <v>452</v>
      </c>
      <c r="H2016" s="13">
        <v>2337328</v>
      </c>
      <c r="I2016" s="13">
        <v>1</v>
      </c>
      <c r="J2016" s="13">
        <v>0</v>
      </c>
      <c r="K2016" s="13">
        <v>20308</v>
      </c>
      <c r="L2016" s="13">
        <v>20</v>
      </c>
      <c r="M2016" s="13">
        <v>3468</v>
      </c>
      <c r="N2016" s="13">
        <v>2299</v>
      </c>
      <c r="O2016" s="13">
        <v>20</v>
      </c>
      <c r="P2016" s="13">
        <v>8</v>
      </c>
      <c r="Q2016" s="13">
        <v>46</v>
      </c>
      <c r="R2016" s="13">
        <v>26</v>
      </c>
      <c r="S2016" s="13">
        <v>1</v>
      </c>
      <c r="T2016" s="23">
        <v>46247.717430555553</v>
      </c>
      <c r="U2016" s="55">
        <f t="shared" si="93"/>
        <v>0.5</v>
      </c>
      <c r="V2016" s="55">
        <f t="shared" si="94"/>
        <v>0.5</v>
      </c>
      <c r="W2016" s="56">
        <f t="shared" si="95"/>
        <v>16698.833333333332</v>
      </c>
    </row>
    <row r="2017" spans="1:23" x14ac:dyDescent="0.3">
      <c r="A2017" s="13" t="str" cm="1">
        <f t="array" ref="A2017:B2017">INDEX(BenchmarkResults!$B$1:$D$35,SUMPRODUCT((T2017&gt;=BenchmarkResults!$F$3:$F$35)*(mongodb_hardware_log!T2017&lt;BenchmarkResults!$G$3:$G$35)*ROW(BenchmarkResults!$F$3:$F$35)),{1,3})</f>
        <v>q4_category_revenue</v>
      </c>
      <c r="B2017">
        <v>3</v>
      </c>
      <c r="C2017" s="13">
        <v>1</v>
      </c>
      <c r="D2017" s="13">
        <v>0</v>
      </c>
      <c r="E2017" s="13">
        <v>192768</v>
      </c>
      <c r="F2017" s="13">
        <v>116396</v>
      </c>
      <c r="G2017" s="13">
        <v>468</v>
      </c>
      <c r="H2017" s="13">
        <v>2330432</v>
      </c>
      <c r="I2017" s="13">
        <v>2</v>
      </c>
      <c r="J2017" s="13">
        <v>0</v>
      </c>
      <c r="K2017" s="13">
        <v>17525</v>
      </c>
      <c r="L2017" s="13">
        <v>23</v>
      </c>
      <c r="M2017" s="13">
        <v>3359</v>
      </c>
      <c r="N2017" s="13">
        <v>2228</v>
      </c>
      <c r="O2017" s="13">
        <v>22</v>
      </c>
      <c r="P2017" s="13">
        <v>8</v>
      </c>
      <c r="Q2017" s="13">
        <v>46</v>
      </c>
      <c r="R2017" s="13">
        <v>24</v>
      </c>
      <c r="S2017" s="13">
        <v>1</v>
      </c>
      <c r="T2017" s="23">
        <v>46247.717546296299</v>
      </c>
      <c r="U2017" s="55">
        <f t="shared" si="93"/>
        <v>0.66666666666666663</v>
      </c>
      <c r="V2017" s="55">
        <f t="shared" si="94"/>
        <v>0.33333333333333331</v>
      </c>
      <c r="W2017" s="56">
        <f t="shared" si="95"/>
        <v>17295.166666666668</v>
      </c>
    </row>
    <row r="2018" spans="1:23" x14ac:dyDescent="0.3">
      <c r="A2018" s="13" t="str" cm="1">
        <f t="array" ref="A2018:B2018">INDEX(BenchmarkResults!$B$1:$D$35,SUMPRODUCT((T2018&gt;=BenchmarkResults!$F$3:$F$35)*(mongodb_hardware_log!T2018&lt;BenchmarkResults!$G$3:$G$35)*ROW(BenchmarkResults!$F$3:$F$35)),{1,3})</f>
        <v>q4_category_revenue</v>
      </c>
      <c r="B2018">
        <v>3</v>
      </c>
      <c r="C2018" s="13">
        <v>5</v>
      </c>
      <c r="D2018" s="13">
        <v>0</v>
      </c>
      <c r="E2018" s="13">
        <v>192768</v>
      </c>
      <c r="F2018" s="13">
        <v>133008</v>
      </c>
      <c r="G2018" s="13">
        <v>484</v>
      </c>
      <c r="H2018" s="13">
        <v>2308232</v>
      </c>
      <c r="I2018" s="13">
        <v>2</v>
      </c>
      <c r="J2018" s="13">
        <v>0</v>
      </c>
      <c r="K2018" s="13">
        <v>18237</v>
      </c>
      <c r="L2018" s="13">
        <v>52</v>
      </c>
      <c r="M2018" s="13">
        <v>3200</v>
      </c>
      <c r="N2018" s="13">
        <v>2214</v>
      </c>
      <c r="O2018" s="13">
        <v>20</v>
      </c>
      <c r="P2018" s="13">
        <v>9</v>
      </c>
      <c r="Q2018" s="13">
        <v>45</v>
      </c>
      <c r="R2018" s="13">
        <v>25</v>
      </c>
      <c r="S2018" s="13">
        <v>1</v>
      </c>
      <c r="T2018" s="23">
        <v>46247.717662037037</v>
      </c>
      <c r="U2018" s="55">
        <f t="shared" si="93"/>
        <v>1.3333333333333333</v>
      </c>
      <c r="V2018" s="55">
        <f t="shared" si="94"/>
        <v>0.33333333333333331</v>
      </c>
      <c r="W2018" s="56">
        <f t="shared" si="95"/>
        <v>18240.5</v>
      </c>
    </row>
    <row r="2019" spans="1:23" x14ac:dyDescent="0.3">
      <c r="A2019" s="13" t="str" cm="1">
        <f t="array" ref="A2019:B2019">INDEX(BenchmarkResults!$B$1:$D$35,SUMPRODUCT((T2019&gt;=BenchmarkResults!$F$3:$F$35)*(mongodb_hardware_log!T2019&lt;BenchmarkResults!$G$3:$G$35)*ROW(BenchmarkResults!$F$3:$F$35)),{1,3})</f>
        <v>q4_category_revenue</v>
      </c>
      <c r="B2019">
        <v>3</v>
      </c>
      <c r="C2019" s="13">
        <v>2</v>
      </c>
      <c r="D2019" s="13">
        <v>0</v>
      </c>
      <c r="E2019" s="13">
        <v>192768</v>
      </c>
      <c r="F2019" s="13">
        <v>137768</v>
      </c>
      <c r="G2019" s="13">
        <v>320</v>
      </c>
      <c r="H2019" s="13">
        <v>2314556</v>
      </c>
      <c r="I2019" s="13">
        <v>2</v>
      </c>
      <c r="J2019" s="13">
        <v>0</v>
      </c>
      <c r="K2019" s="13">
        <v>18981</v>
      </c>
      <c r="L2019" s="13">
        <v>16</v>
      </c>
      <c r="M2019" s="13">
        <v>3449</v>
      </c>
      <c r="N2019" s="13">
        <v>2337</v>
      </c>
      <c r="O2019" s="13">
        <v>19</v>
      </c>
      <c r="P2019" s="13">
        <v>9</v>
      </c>
      <c r="Q2019" s="13">
        <v>45</v>
      </c>
      <c r="R2019" s="13">
        <v>26</v>
      </c>
      <c r="S2019" s="13">
        <v>1</v>
      </c>
      <c r="T2019" s="23">
        <v>46247.717777777776</v>
      </c>
      <c r="U2019" s="55">
        <f t="shared" si="93"/>
        <v>1.6666666666666667</v>
      </c>
      <c r="V2019" s="55">
        <f t="shared" si="94"/>
        <v>0.16666666666666666</v>
      </c>
      <c r="W2019" s="56">
        <f t="shared" si="95"/>
        <v>18398</v>
      </c>
    </row>
    <row r="2020" spans="1:23" x14ac:dyDescent="0.3">
      <c r="A2020" s="13" t="str" cm="1">
        <f t="array" ref="A2020:B2020">INDEX(BenchmarkResults!$B$1:$D$35,SUMPRODUCT((T2020&gt;=BenchmarkResults!$F$3:$F$35)*(mongodb_hardware_log!T2020&lt;BenchmarkResults!$G$3:$G$35)*ROW(BenchmarkResults!$F$3:$F$35)),{1,3})</f>
        <v>q4_category_revenue</v>
      </c>
      <c r="B2020">
        <v>3</v>
      </c>
      <c r="C2020" s="13">
        <v>1</v>
      </c>
      <c r="D2020" s="13">
        <v>0</v>
      </c>
      <c r="E2020" s="13">
        <v>193280</v>
      </c>
      <c r="F2020" s="13">
        <v>146664</v>
      </c>
      <c r="G2020" s="13">
        <v>324</v>
      </c>
      <c r="H2020" s="13">
        <v>2305316</v>
      </c>
      <c r="I2020" s="13">
        <v>3</v>
      </c>
      <c r="J2020" s="13">
        <v>21</v>
      </c>
      <c r="K2020" s="13">
        <v>17722</v>
      </c>
      <c r="L2020" s="13">
        <v>39</v>
      </c>
      <c r="M2020" s="13">
        <v>3278</v>
      </c>
      <c r="N2020" s="13">
        <v>2328</v>
      </c>
      <c r="O2020" s="13">
        <v>20</v>
      </c>
      <c r="P2020" s="13">
        <v>8</v>
      </c>
      <c r="Q2020" s="13">
        <v>46</v>
      </c>
      <c r="R2020" s="13">
        <v>25</v>
      </c>
      <c r="S2020" s="13">
        <v>1</v>
      </c>
      <c r="T2020" s="23">
        <v>46247.717893518522</v>
      </c>
      <c r="U2020" s="55">
        <f t="shared" si="93"/>
        <v>1.8333333333333333</v>
      </c>
      <c r="V2020" s="55">
        <f t="shared" si="94"/>
        <v>0</v>
      </c>
      <c r="W2020" s="56">
        <f t="shared" si="95"/>
        <v>18550.5</v>
      </c>
    </row>
    <row r="2021" spans="1:23" x14ac:dyDescent="0.3">
      <c r="A2021" s="13" t="str" cm="1">
        <f t="array" ref="A2021:B2021">INDEX(BenchmarkResults!$B$1:$D$35,SUMPRODUCT((T2021&gt;=BenchmarkResults!$F$3:$F$35)*(mongodb_hardware_log!T2021&lt;BenchmarkResults!$G$3:$G$35)*ROW(BenchmarkResults!$F$3:$F$35)),{1,3})</f>
        <v>q4_category_revenue</v>
      </c>
      <c r="B2021">
        <v>3</v>
      </c>
      <c r="C2021" s="13">
        <v>1</v>
      </c>
      <c r="D2021" s="13">
        <v>0</v>
      </c>
      <c r="E2021" s="13">
        <v>193280</v>
      </c>
      <c r="F2021" s="13">
        <v>144924</v>
      </c>
      <c r="G2021" s="13">
        <v>332</v>
      </c>
      <c r="H2021" s="13">
        <v>2304064</v>
      </c>
      <c r="I2021" s="13">
        <v>0</v>
      </c>
      <c r="J2021" s="13">
        <v>0</v>
      </c>
      <c r="K2021" s="13">
        <v>16259</v>
      </c>
      <c r="L2021" s="13">
        <v>13</v>
      </c>
      <c r="M2021" s="13">
        <v>3111</v>
      </c>
      <c r="N2021" s="13">
        <v>2087</v>
      </c>
      <c r="O2021" s="13">
        <v>20</v>
      </c>
      <c r="P2021" s="13">
        <v>8</v>
      </c>
      <c r="Q2021" s="13">
        <v>46</v>
      </c>
      <c r="R2021" s="13">
        <v>25</v>
      </c>
      <c r="S2021" s="13">
        <v>1</v>
      </c>
      <c r="T2021" s="23">
        <v>46247.718009259261</v>
      </c>
      <c r="U2021" s="55">
        <f t="shared" si="93"/>
        <v>1.8333333333333333</v>
      </c>
      <c r="V2021" s="55">
        <f t="shared" si="94"/>
        <v>0</v>
      </c>
      <c r="W2021" s="56">
        <f t="shared" si="95"/>
        <v>18172</v>
      </c>
    </row>
    <row r="2022" spans="1:23" x14ac:dyDescent="0.3">
      <c r="A2022" s="13" t="str" cm="1">
        <f t="array" ref="A2022:B2022">INDEX(BenchmarkResults!$B$1:$D$35,SUMPRODUCT((T2022&gt;=BenchmarkResults!$F$3:$F$35)*(mongodb_hardware_log!T2022&lt;BenchmarkResults!$G$3:$G$35)*ROW(BenchmarkResults!$F$3:$F$35)),{1,3})</f>
        <v>q4_category_revenue</v>
      </c>
      <c r="B2022">
        <v>3</v>
      </c>
      <c r="C2022" s="13">
        <v>1</v>
      </c>
      <c r="D2022" s="13">
        <v>0</v>
      </c>
      <c r="E2022" s="13">
        <v>193024</v>
      </c>
      <c r="F2022" s="13">
        <v>132552</v>
      </c>
      <c r="G2022" s="13">
        <v>464</v>
      </c>
      <c r="H2022" s="13">
        <v>2314964</v>
      </c>
      <c r="I2022" s="13">
        <v>3</v>
      </c>
      <c r="J2022" s="13">
        <v>0</v>
      </c>
      <c r="K2022" s="13">
        <v>18366</v>
      </c>
      <c r="L2022" s="13">
        <v>10</v>
      </c>
      <c r="M2022" s="13">
        <v>3554</v>
      </c>
      <c r="N2022" s="13">
        <v>2481</v>
      </c>
      <c r="O2022" s="13">
        <v>20</v>
      </c>
      <c r="P2022" s="13">
        <v>9</v>
      </c>
      <c r="Q2022" s="13">
        <v>45</v>
      </c>
      <c r="R2022" s="13">
        <v>26</v>
      </c>
      <c r="S2022" s="13">
        <v>1</v>
      </c>
      <c r="T2022" s="23">
        <v>46247.718124999999</v>
      </c>
      <c r="U2022" s="55">
        <f t="shared" si="93"/>
        <v>1.8333333333333333</v>
      </c>
      <c r="V2022" s="55">
        <f t="shared" si="94"/>
        <v>0</v>
      </c>
      <c r="W2022" s="56">
        <f t="shared" si="95"/>
        <v>17848.333333333332</v>
      </c>
    </row>
    <row r="2023" spans="1:23" x14ac:dyDescent="0.3">
      <c r="A2023" s="13" t="str" cm="1">
        <f t="array" ref="A2023:B2023">INDEX(BenchmarkResults!$B$1:$D$35,SUMPRODUCT((T2023&gt;=BenchmarkResults!$F$3:$F$35)*(mongodb_hardware_log!T2023&lt;BenchmarkResults!$G$3:$G$35)*ROW(BenchmarkResults!$F$3:$F$35)),{1,3})</f>
        <v>q4_category_revenue</v>
      </c>
      <c r="B2023">
        <v>3</v>
      </c>
      <c r="C2023" s="13">
        <v>0</v>
      </c>
      <c r="D2023" s="13">
        <v>1</v>
      </c>
      <c r="E2023" s="13">
        <v>196352</v>
      </c>
      <c r="F2023" s="13">
        <v>127676</v>
      </c>
      <c r="G2023" s="13">
        <v>508</v>
      </c>
      <c r="H2023" s="13">
        <v>2316412</v>
      </c>
      <c r="I2023" s="13">
        <v>13</v>
      </c>
      <c r="J2023" s="13">
        <v>343</v>
      </c>
      <c r="K2023" s="13">
        <v>18084</v>
      </c>
      <c r="L2023" s="13">
        <v>382</v>
      </c>
      <c r="M2023" s="13">
        <v>3317</v>
      </c>
      <c r="N2023" s="13">
        <v>2282</v>
      </c>
      <c r="O2023" s="13">
        <v>21</v>
      </c>
      <c r="P2023" s="13">
        <v>8</v>
      </c>
      <c r="Q2023" s="13">
        <v>46</v>
      </c>
      <c r="R2023" s="13">
        <v>25</v>
      </c>
      <c r="S2023" s="13">
        <v>1</v>
      </c>
      <c r="T2023" s="23">
        <v>46247.718240740738</v>
      </c>
      <c r="U2023" s="55">
        <f t="shared" si="93"/>
        <v>1.6666666666666667</v>
      </c>
      <c r="V2023" s="55">
        <f t="shared" si="94"/>
        <v>0.16666666666666666</v>
      </c>
      <c r="W2023" s="56">
        <f t="shared" si="95"/>
        <v>17941.5</v>
      </c>
    </row>
    <row r="2024" spans="1:23" x14ac:dyDescent="0.3">
      <c r="A2024" s="13" t="str" cm="1">
        <f t="array" ref="A2024:B2024">INDEX(BenchmarkResults!$B$1:$D$35,SUMPRODUCT((T2024&gt;=BenchmarkResults!$F$3:$F$35)*(mongodb_hardware_log!T2024&lt;BenchmarkResults!$G$3:$G$35)*ROW(BenchmarkResults!$F$3:$F$35)),{1,3})</f>
        <v>q4_category_revenue</v>
      </c>
      <c r="B2024">
        <v>3</v>
      </c>
      <c r="C2024" s="13">
        <v>0</v>
      </c>
      <c r="D2024" s="13">
        <v>1</v>
      </c>
      <c r="E2024" s="13">
        <v>196096</v>
      </c>
      <c r="F2024" s="13">
        <v>112500</v>
      </c>
      <c r="G2024" s="13">
        <v>536</v>
      </c>
      <c r="H2024" s="13">
        <v>2338340</v>
      </c>
      <c r="I2024" s="13">
        <v>12</v>
      </c>
      <c r="J2024" s="13">
        <v>0</v>
      </c>
      <c r="K2024" s="13">
        <v>17972</v>
      </c>
      <c r="L2024" s="13">
        <v>14</v>
      </c>
      <c r="M2024" s="13">
        <v>3423</v>
      </c>
      <c r="N2024" s="13">
        <v>2297</v>
      </c>
      <c r="O2024" s="13">
        <v>21</v>
      </c>
      <c r="P2024" s="13">
        <v>8</v>
      </c>
      <c r="Q2024" s="13">
        <v>45</v>
      </c>
      <c r="R2024" s="13">
        <v>25</v>
      </c>
      <c r="S2024" s="13">
        <v>1</v>
      </c>
      <c r="T2024" s="23">
        <v>46247.718356481484</v>
      </c>
      <c r="U2024" s="55">
        <f t="shared" si="93"/>
        <v>0.83333333333333337</v>
      </c>
      <c r="V2024" s="55">
        <f t="shared" si="94"/>
        <v>0.33333333333333331</v>
      </c>
      <c r="W2024" s="56">
        <f t="shared" si="95"/>
        <v>17897.333333333332</v>
      </c>
    </row>
    <row r="2025" spans="1:23" x14ac:dyDescent="0.3">
      <c r="A2025" s="13" t="str" cm="1">
        <f t="array" ref="A2025:B2025">INDEX(BenchmarkResults!$B$1:$D$35,SUMPRODUCT((T2025&gt;=BenchmarkResults!$F$3:$F$35)*(mongodb_hardware_log!T2025&lt;BenchmarkResults!$G$3:$G$35)*ROW(BenchmarkResults!$F$3:$F$35)),{1,3})</f>
        <v>q4_category_revenue</v>
      </c>
      <c r="B2025">
        <v>3</v>
      </c>
      <c r="C2025" s="13">
        <v>0</v>
      </c>
      <c r="D2025" s="13">
        <v>1</v>
      </c>
      <c r="E2025" s="13">
        <v>196096</v>
      </c>
      <c r="F2025" s="13">
        <v>153956</v>
      </c>
      <c r="G2025" s="13">
        <v>544</v>
      </c>
      <c r="H2025" s="13">
        <v>2299180</v>
      </c>
      <c r="I2025" s="13">
        <v>23</v>
      </c>
      <c r="J2025" s="13">
        <v>0</v>
      </c>
      <c r="K2025" s="13">
        <v>17742</v>
      </c>
      <c r="L2025" s="13">
        <v>6</v>
      </c>
      <c r="M2025" s="13">
        <v>3203</v>
      </c>
      <c r="N2025" s="13">
        <v>2069</v>
      </c>
      <c r="O2025" s="13">
        <v>21</v>
      </c>
      <c r="P2025" s="13">
        <v>8</v>
      </c>
      <c r="Q2025" s="13">
        <v>46</v>
      </c>
      <c r="R2025" s="13">
        <v>25</v>
      </c>
      <c r="S2025" s="13">
        <v>1</v>
      </c>
      <c r="T2025" s="23">
        <v>46247.718472222223</v>
      </c>
      <c r="U2025" s="55">
        <f t="shared" si="93"/>
        <v>0.5</v>
      </c>
      <c r="V2025" s="55">
        <f t="shared" si="94"/>
        <v>0.5</v>
      </c>
      <c r="W2025" s="56">
        <f t="shared" si="95"/>
        <v>17690.833333333332</v>
      </c>
    </row>
    <row r="2026" spans="1:23" x14ac:dyDescent="0.3">
      <c r="A2026" s="13" t="str" cm="1">
        <f t="array" ref="A2026:B2026">INDEX(BenchmarkResults!$B$1:$D$35,SUMPRODUCT((T2026&gt;=BenchmarkResults!$F$3:$F$35)*(mongodb_hardware_log!T2026&lt;BenchmarkResults!$G$3:$G$35)*ROW(BenchmarkResults!$F$3:$F$35)),{1,3})</f>
        <v>q4_category_revenue</v>
      </c>
      <c r="B2026">
        <v>3</v>
      </c>
      <c r="C2026" s="13">
        <v>1</v>
      </c>
      <c r="D2026" s="13">
        <v>0</v>
      </c>
      <c r="E2026" s="13">
        <v>195840</v>
      </c>
      <c r="F2026" s="13">
        <v>111192</v>
      </c>
      <c r="G2026" s="13">
        <v>560</v>
      </c>
      <c r="H2026" s="13">
        <v>2338116</v>
      </c>
      <c r="I2026" s="13">
        <v>26</v>
      </c>
      <c r="J2026" s="13">
        <v>0</v>
      </c>
      <c r="K2026" s="13">
        <v>18625</v>
      </c>
      <c r="L2026" s="13">
        <v>20</v>
      </c>
      <c r="M2026" s="13">
        <v>3269</v>
      </c>
      <c r="N2026" s="13">
        <v>2148</v>
      </c>
      <c r="O2026" s="13">
        <v>21</v>
      </c>
      <c r="P2026" s="13">
        <v>8</v>
      </c>
      <c r="Q2026" s="13">
        <v>46</v>
      </c>
      <c r="R2026" s="13">
        <v>24</v>
      </c>
      <c r="S2026" s="13">
        <v>1</v>
      </c>
      <c r="T2026" s="23">
        <v>46247.718587962961</v>
      </c>
      <c r="U2026" s="55">
        <f t="shared" si="93"/>
        <v>0.5</v>
      </c>
      <c r="V2026" s="55">
        <f t="shared" si="94"/>
        <v>0.5</v>
      </c>
      <c r="W2026" s="56">
        <f t="shared" si="95"/>
        <v>17841.333333333332</v>
      </c>
    </row>
    <row r="2027" spans="1:23" x14ac:dyDescent="0.3">
      <c r="A2027" s="13" t="str" cm="1">
        <f t="array" ref="A2027:B2027">INDEX(BenchmarkResults!$B$1:$D$35,SUMPRODUCT((T2027&gt;=BenchmarkResults!$F$3:$F$35)*(mongodb_hardware_log!T2027&lt;BenchmarkResults!$G$3:$G$35)*ROW(BenchmarkResults!$F$3:$F$35)),{1,3})</f>
        <v>q4_category_revenue</v>
      </c>
      <c r="B2027">
        <v>3</v>
      </c>
      <c r="C2027" s="13">
        <v>1</v>
      </c>
      <c r="D2027" s="13">
        <v>0</v>
      </c>
      <c r="E2027" s="13">
        <v>195840</v>
      </c>
      <c r="F2027" s="13">
        <v>145188</v>
      </c>
      <c r="G2027" s="13">
        <v>568</v>
      </c>
      <c r="H2027" s="13">
        <v>2310952</v>
      </c>
      <c r="I2027" s="13">
        <v>4</v>
      </c>
      <c r="J2027" s="13">
        <v>0</v>
      </c>
      <c r="K2027" s="13">
        <v>18842</v>
      </c>
      <c r="L2027" s="13">
        <v>22</v>
      </c>
      <c r="M2027" s="13">
        <v>3427</v>
      </c>
      <c r="N2027" s="13">
        <v>2370</v>
      </c>
      <c r="O2027" s="13">
        <v>21</v>
      </c>
      <c r="P2027" s="13">
        <v>9</v>
      </c>
      <c r="Q2027" s="13">
        <v>46</v>
      </c>
      <c r="R2027" s="13">
        <v>24</v>
      </c>
      <c r="S2027" s="13">
        <v>1</v>
      </c>
      <c r="T2027" s="23">
        <v>46247.7187037037</v>
      </c>
      <c r="U2027" s="55">
        <f t="shared" si="93"/>
        <v>0.5</v>
      </c>
      <c r="V2027" s="55">
        <f t="shared" si="94"/>
        <v>0.5</v>
      </c>
      <c r="W2027" s="56">
        <f t="shared" si="95"/>
        <v>18271.833333333332</v>
      </c>
    </row>
    <row r="2028" spans="1:23" x14ac:dyDescent="0.3">
      <c r="A2028" s="13" t="str" cm="1">
        <f t="array" ref="A2028:B2028">INDEX(BenchmarkResults!$B$1:$D$35,SUMPRODUCT((T2028&gt;=BenchmarkResults!$F$3:$F$35)*(mongodb_hardware_log!T2028&lt;BenchmarkResults!$G$3:$G$35)*ROW(BenchmarkResults!$F$3:$F$35)),{1,3})</f>
        <v>q4_category_revenue</v>
      </c>
      <c r="B2028">
        <v>3</v>
      </c>
      <c r="C2028" s="13">
        <v>0</v>
      </c>
      <c r="D2028" s="13">
        <v>1</v>
      </c>
      <c r="E2028" s="13">
        <v>195584</v>
      </c>
      <c r="F2028" s="13">
        <v>119680</v>
      </c>
      <c r="G2028" s="13">
        <v>576</v>
      </c>
      <c r="H2028" s="13">
        <v>2329388</v>
      </c>
      <c r="I2028" s="13">
        <v>9</v>
      </c>
      <c r="J2028" s="13">
        <v>0</v>
      </c>
      <c r="K2028" s="13">
        <v>17420</v>
      </c>
      <c r="L2028" s="13">
        <v>9</v>
      </c>
      <c r="M2028" s="13">
        <v>3035</v>
      </c>
      <c r="N2028" s="13">
        <v>2086</v>
      </c>
      <c r="O2028" s="13">
        <v>20</v>
      </c>
      <c r="P2028" s="13">
        <v>8</v>
      </c>
      <c r="Q2028" s="13">
        <v>46</v>
      </c>
      <c r="R2028" s="13">
        <v>25</v>
      </c>
      <c r="S2028" s="13">
        <v>1</v>
      </c>
      <c r="T2028" s="23">
        <v>46247.718819444446</v>
      </c>
      <c r="U2028" s="55">
        <f t="shared" si="93"/>
        <v>0.33333333333333331</v>
      </c>
      <c r="V2028" s="55">
        <f t="shared" si="94"/>
        <v>0.66666666666666663</v>
      </c>
      <c r="W2028" s="56">
        <f t="shared" si="95"/>
        <v>18114.166666666668</v>
      </c>
    </row>
    <row r="2029" spans="1:23" x14ac:dyDescent="0.3">
      <c r="A2029" s="13" t="str" cm="1">
        <f t="array" ref="A2029:B2029">INDEX(BenchmarkResults!$B$1:$D$35,SUMPRODUCT((T2029&gt;=BenchmarkResults!$F$3:$F$35)*(mongodb_hardware_log!T2029&lt;BenchmarkResults!$G$3:$G$35)*ROW(BenchmarkResults!$F$3:$F$35)),{1,3})</f>
        <v>q4_category_revenue</v>
      </c>
      <c r="B2029">
        <v>3</v>
      </c>
      <c r="C2029" s="13">
        <v>0</v>
      </c>
      <c r="D2029" s="13">
        <v>1</v>
      </c>
      <c r="E2029" s="13">
        <v>195328</v>
      </c>
      <c r="F2029" s="13">
        <v>115776</v>
      </c>
      <c r="G2029" s="13">
        <v>600</v>
      </c>
      <c r="H2029" s="13">
        <v>2334528</v>
      </c>
      <c r="I2029" s="13">
        <v>10</v>
      </c>
      <c r="J2029" s="13">
        <v>0</v>
      </c>
      <c r="K2029" s="13">
        <v>19882</v>
      </c>
      <c r="L2029" s="13">
        <v>29</v>
      </c>
      <c r="M2029" s="13">
        <v>3568</v>
      </c>
      <c r="N2029" s="13">
        <v>2432</v>
      </c>
      <c r="O2029" s="13">
        <v>20</v>
      </c>
      <c r="P2029" s="13">
        <v>9</v>
      </c>
      <c r="Q2029" s="13">
        <v>45</v>
      </c>
      <c r="R2029" s="13">
        <v>25</v>
      </c>
      <c r="S2029" s="13">
        <v>1</v>
      </c>
      <c r="T2029" s="23">
        <v>46247.718935185185</v>
      </c>
      <c r="U2029" s="55">
        <f t="shared" si="93"/>
        <v>0.33333333333333331</v>
      </c>
      <c r="V2029" s="55">
        <f t="shared" si="94"/>
        <v>0.66666666666666663</v>
      </c>
      <c r="W2029" s="56">
        <f t="shared" si="95"/>
        <v>18413.833333333332</v>
      </c>
    </row>
    <row r="2030" spans="1:23" x14ac:dyDescent="0.3">
      <c r="A2030" s="13" t="str" cm="1">
        <f t="array" ref="A2030:B2030">INDEX(BenchmarkResults!$B$1:$D$35,SUMPRODUCT((T2030&gt;=BenchmarkResults!$F$3:$F$35)*(mongodb_hardware_log!T2030&lt;BenchmarkResults!$G$3:$G$35)*ROW(BenchmarkResults!$F$3:$F$35)),{1,3})</f>
        <v>q4_category_revenue</v>
      </c>
      <c r="B2030">
        <v>3</v>
      </c>
      <c r="C2030" s="13">
        <v>0</v>
      </c>
      <c r="D2030" s="13">
        <v>1</v>
      </c>
      <c r="E2030" s="13">
        <v>195328</v>
      </c>
      <c r="F2030" s="13">
        <v>115924</v>
      </c>
      <c r="G2030" s="13">
        <v>296</v>
      </c>
      <c r="H2030" s="13">
        <v>2338856</v>
      </c>
      <c r="I2030" s="13">
        <v>12</v>
      </c>
      <c r="J2030" s="13">
        <v>9</v>
      </c>
      <c r="K2030" s="13">
        <v>18275</v>
      </c>
      <c r="L2030" s="13">
        <v>25</v>
      </c>
      <c r="M2030" s="13">
        <v>3288</v>
      </c>
      <c r="N2030" s="13">
        <v>2168</v>
      </c>
      <c r="O2030" s="13">
        <v>21</v>
      </c>
      <c r="P2030" s="13">
        <v>8</v>
      </c>
      <c r="Q2030" s="13">
        <v>46</v>
      </c>
      <c r="R2030" s="13">
        <v>25</v>
      </c>
      <c r="S2030" s="13">
        <v>1</v>
      </c>
      <c r="T2030" s="23">
        <v>46247.719050925924</v>
      </c>
      <c r="U2030" s="55">
        <f t="shared" si="93"/>
        <v>0.33333333333333331</v>
      </c>
      <c r="V2030" s="55">
        <f t="shared" si="94"/>
        <v>0.66666666666666663</v>
      </c>
      <c r="W2030" s="56">
        <f t="shared" si="95"/>
        <v>18464.333333333332</v>
      </c>
    </row>
    <row r="2031" spans="1:23" x14ac:dyDescent="0.3">
      <c r="A2031" s="13" t="str" cm="1">
        <f t="array" ref="A2031:B2031">INDEX(BenchmarkResults!$B$1:$D$35,SUMPRODUCT((T2031&gt;=BenchmarkResults!$F$3:$F$35)*(mongodb_hardware_log!T2031&lt;BenchmarkResults!$G$3:$G$35)*ROW(BenchmarkResults!$F$3:$F$35)),{1,3})</f>
        <v>q4_category_revenue</v>
      </c>
      <c r="B2031">
        <v>3</v>
      </c>
      <c r="C2031" s="13">
        <v>5</v>
      </c>
      <c r="D2031" s="13">
        <v>1</v>
      </c>
      <c r="E2031" s="13">
        <v>195328</v>
      </c>
      <c r="F2031" s="13">
        <v>116480</v>
      </c>
      <c r="G2031" s="13">
        <v>304</v>
      </c>
      <c r="H2031" s="13">
        <v>2336524</v>
      </c>
      <c r="I2031" s="13">
        <v>8</v>
      </c>
      <c r="J2031" s="13">
        <v>19</v>
      </c>
      <c r="K2031" s="13">
        <v>15665</v>
      </c>
      <c r="L2031" s="13">
        <v>40</v>
      </c>
      <c r="M2031" s="13">
        <v>3102</v>
      </c>
      <c r="N2031" s="13">
        <v>2132</v>
      </c>
      <c r="O2031" s="13">
        <v>20</v>
      </c>
      <c r="P2031" s="13">
        <v>8</v>
      </c>
      <c r="Q2031" s="13">
        <v>48</v>
      </c>
      <c r="R2031" s="13">
        <v>24</v>
      </c>
      <c r="S2031" s="13">
        <v>0</v>
      </c>
      <c r="T2031" s="23">
        <v>46247.719166666669</v>
      </c>
      <c r="U2031" s="55">
        <f t="shared" si="93"/>
        <v>1.1666666666666667</v>
      </c>
      <c r="V2031" s="55">
        <f t="shared" si="94"/>
        <v>0.66666666666666663</v>
      </c>
      <c r="W2031" s="56">
        <f t="shared" si="95"/>
        <v>18118.166666666668</v>
      </c>
    </row>
    <row r="2032" spans="1:23" x14ac:dyDescent="0.3">
      <c r="A2032" s="13" t="str" cm="1">
        <f t="array" ref="A2032:B2032">INDEX(BenchmarkResults!$B$1:$D$35,SUMPRODUCT((T2032&gt;=BenchmarkResults!$F$3:$F$35)*(mongodb_hardware_log!T2032&lt;BenchmarkResults!$G$3:$G$35)*ROW(BenchmarkResults!$F$3:$F$35)),{1,3})</f>
        <v>q4_category_revenue</v>
      </c>
      <c r="B2032">
        <v>3</v>
      </c>
      <c r="C2032" s="13">
        <v>1</v>
      </c>
      <c r="D2032" s="13">
        <v>0</v>
      </c>
      <c r="E2032" s="13">
        <v>195328</v>
      </c>
      <c r="F2032" s="13">
        <v>137116</v>
      </c>
      <c r="G2032" s="13">
        <v>320</v>
      </c>
      <c r="H2032" s="13">
        <v>2318784</v>
      </c>
      <c r="I2032" s="13">
        <v>8</v>
      </c>
      <c r="J2032" s="13">
        <v>0</v>
      </c>
      <c r="K2032" s="13">
        <v>15398</v>
      </c>
      <c r="L2032" s="13">
        <v>32</v>
      </c>
      <c r="M2032" s="13">
        <v>2792</v>
      </c>
      <c r="N2032" s="13">
        <v>1820</v>
      </c>
      <c r="O2032" s="13">
        <v>19</v>
      </c>
      <c r="P2032" s="13">
        <v>7</v>
      </c>
      <c r="Q2032" s="13">
        <v>49</v>
      </c>
      <c r="R2032" s="13">
        <v>25</v>
      </c>
      <c r="S2032" s="13">
        <v>1</v>
      </c>
      <c r="T2032" s="23">
        <v>46247.719282407408</v>
      </c>
      <c r="U2032" s="55">
        <f t="shared" si="93"/>
        <v>1.1666666666666667</v>
      </c>
      <c r="V2032" s="55">
        <f t="shared" si="94"/>
        <v>0.66666666666666663</v>
      </c>
      <c r="W2032" s="56">
        <f t="shared" si="95"/>
        <v>17580.333333333332</v>
      </c>
    </row>
    <row r="2033" spans="1:23" x14ac:dyDescent="0.3">
      <c r="A2033" s="13" t="str" cm="1">
        <f t="array" ref="A2033:B2033">INDEX(BenchmarkResults!$B$1:$D$35,SUMPRODUCT((T2033&gt;=BenchmarkResults!$F$3:$F$35)*(mongodb_hardware_log!T2033&lt;BenchmarkResults!$G$3:$G$35)*ROW(BenchmarkResults!$F$3:$F$35)),{1,3})</f>
        <v>q4_category_revenue</v>
      </c>
      <c r="B2033">
        <v>3</v>
      </c>
      <c r="C2033" s="13">
        <v>1</v>
      </c>
      <c r="D2033" s="13">
        <v>0</v>
      </c>
      <c r="E2033" s="13">
        <v>194816</v>
      </c>
      <c r="F2033" s="13">
        <v>129596</v>
      </c>
      <c r="G2033" s="13">
        <v>336</v>
      </c>
      <c r="H2033" s="13">
        <v>2326400</v>
      </c>
      <c r="I2033" s="13">
        <v>14</v>
      </c>
      <c r="J2033" s="13">
        <v>0</v>
      </c>
      <c r="K2033" s="13">
        <v>14874</v>
      </c>
      <c r="L2033" s="13">
        <v>10</v>
      </c>
      <c r="M2033" s="13">
        <v>2707</v>
      </c>
      <c r="N2033" s="13">
        <v>1925</v>
      </c>
      <c r="O2033" s="13">
        <v>20</v>
      </c>
      <c r="P2033" s="13">
        <v>11</v>
      </c>
      <c r="Q2033" s="13">
        <v>44</v>
      </c>
      <c r="R2033" s="13">
        <v>24</v>
      </c>
      <c r="S2033" s="13">
        <v>0</v>
      </c>
      <c r="T2033" s="23">
        <v>46247.719398148147</v>
      </c>
      <c r="U2033" s="55">
        <f t="shared" si="93"/>
        <v>1.1666666666666667</v>
      </c>
      <c r="V2033" s="55">
        <f t="shared" si="94"/>
        <v>0.66666666666666663</v>
      </c>
      <c r="W2033" s="56">
        <f t="shared" si="95"/>
        <v>16919</v>
      </c>
    </row>
    <row r="2034" spans="1:23" x14ac:dyDescent="0.3">
      <c r="A2034" s="13" t="str" cm="1">
        <f t="array" ref="A2034:B2034">INDEX(BenchmarkResults!$B$1:$D$35,SUMPRODUCT((T2034&gt;=BenchmarkResults!$F$3:$F$35)*(mongodb_hardware_log!T2034&lt;BenchmarkResults!$G$3:$G$35)*ROW(BenchmarkResults!$F$3:$F$35)),{1,3})</f>
        <v>q4_category_revenue</v>
      </c>
      <c r="B2034">
        <v>3</v>
      </c>
      <c r="C2034" s="13">
        <v>0</v>
      </c>
      <c r="D2034" s="13">
        <v>1</v>
      </c>
      <c r="E2034" s="13">
        <v>194816</v>
      </c>
      <c r="F2034" s="13">
        <v>148260</v>
      </c>
      <c r="G2034" s="13">
        <v>344</v>
      </c>
      <c r="H2034" s="13">
        <v>2308864</v>
      </c>
      <c r="I2034" s="13">
        <v>5</v>
      </c>
      <c r="J2034" s="13">
        <v>0</v>
      </c>
      <c r="K2034" s="13">
        <v>15192</v>
      </c>
      <c r="L2034" s="13">
        <v>10</v>
      </c>
      <c r="M2034" s="13">
        <v>2838</v>
      </c>
      <c r="N2034" s="13">
        <v>1959</v>
      </c>
      <c r="O2034" s="13">
        <v>19</v>
      </c>
      <c r="P2034" s="13">
        <v>8</v>
      </c>
      <c r="Q2034" s="13">
        <v>49</v>
      </c>
      <c r="R2034" s="13">
        <v>23</v>
      </c>
      <c r="S2034" s="13">
        <v>1</v>
      </c>
      <c r="T2034" s="23">
        <v>46247.719513888886</v>
      </c>
      <c r="U2034" s="55">
        <f t="shared" si="93"/>
        <v>1.1666666666666667</v>
      </c>
      <c r="V2034" s="55">
        <f t="shared" si="94"/>
        <v>0.66666666666666663</v>
      </c>
      <c r="W2034" s="56">
        <f t="shared" si="95"/>
        <v>16547.666666666668</v>
      </c>
    </row>
    <row r="2035" spans="1:23" x14ac:dyDescent="0.3">
      <c r="A2035" s="13" t="str" cm="1">
        <f t="array" ref="A2035:B2035">INDEX(BenchmarkResults!$B$1:$D$35,SUMPRODUCT((T2035&gt;=BenchmarkResults!$F$3:$F$35)*(mongodb_hardware_log!T2035&lt;BenchmarkResults!$G$3:$G$35)*ROW(BenchmarkResults!$F$3:$F$35)),{1,3})</f>
        <v>q4_category_revenue</v>
      </c>
      <c r="B2035">
        <v>3</v>
      </c>
      <c r="C2035" s="13">
        <v>1</v>
      </c>
      <c r="D2035" s="13">
        <v>0</v>
      </c>
      <c r="E2035" s="13">
        <v>194816</v>
      </c>
      <c r="F2035" s="13">
        <v>112000</v>
      </c>
      <c r="G2035" s="13">
        <v>380</v>
      </c>
      <c r="H2035" s="13">
        <v>2340912</v>
      </c>
      <c r="I2035" s="13">
        <v>4</v>
      </c>
      <c r="J2035" s="13">
        <v>0</v>
      </c>
      <c r="K2035" s="13">
        <v>13608</v>
      </c>
      <c r="L2035" s="13">
        <v>27</v>
      </c>
      <c r="M2035" s="13">
        <v>2629</v>
      </c>
      <c r="N2035" s="13">
        <v>1766</v>
      </c>
      <c r="O2035" s="13">
        <v>20</v>
      </c>
      <c r="P2035" s="13">
        <v>7</v>
      </c>
      <c r="Q2035" s="13">
        <v>50</v>
      </c>
      <c r="R2035" s="13">
        <v>23</v>
      </c>
      <c r="S2035" s="13">
        <v>0</v>
      </c>
      <c r="T2035" s="23">
        <v>46247.719629629632</v>
      </c>
      <c r="U2035" s="55">
        <f t="shared" si="93"/>
        <v>1.3333333333333333</v>
      </c>
      <c r="V2035" s="55">
        <f t="shared" si="94"/>
        <v>0.5</v>
      </c>
      <c r="W2035" s="56">
        <f t="shared" si="95"/>
        <v>15502</v>
      </c>
    </row>
    <row r="2036" spans="1:23" x14ac:dyDescent="0.3">
      <c r="A2036" s="13" t="str" cm="1">
        <f t="array" ref="A2036:B2036">INDEX(BenchmarkResults!$B$1:$D$35,SUMPRODUCT((T2036&gt;=BenchmarkResults!$F$3:$F$35)*(mongodb_hardware_log!T2036&lt;BenchmarkResults!$G$3:$G$35)*ROW(BenchmarkResults!$F$3:$F$35)),{1,3})</f>
        <v>q4_category_revenue</v>
      </c>
      <c r="B2036">
        <v>3</v>
      </c>
      <c r="C2036" s="13">
        <v>1</v>
      </c>
      <c r="D2036" s="13">
        <v>0</v>
      </c>
      <c r="E2036" s="13">
        <v>194816</v>
      </c>
      <c r="F2036" s="13">
        <v>115560</v>
      </c>
      <c r="G2036" s="13">
        <v>396</v>
      </c>
      <c r="H2036" s="13">
        <v>2333396</v>
      </c>
      <c r="I2036" s="13">
        <v>11</v>
      </c>
      <c r="J2036" s="13">
        <v>0</v>
      </c>
      <c r="K2036" s="13">
        <v>15695</v>
      </c>
      <c r="L2036" s="13">
        <v>22</v>
      </c>
      <c r="M2036" s="13">
        <v>2834</v>
      </c>
      <c r="N2036" s="13">
        <v>2019</v>
      </c>
      <c r="O2036" s="13">
        <v>19</v>
      </c>
      <c r="P2036" s="13">
        <v>8</v>
      </c>
      <c r="Q2036" s="13">
        <v>49</v>
      </c>
      <c r="R2036" s="13">
        <v>23</v>
      </c>
      <c r="S2036" s="13">
        <v>0</v>
      </c>
      <c r="T2036" s="23">
        <v>46247.71974537037</v>
      </c>
      <c r="U2036" s="55">
        <f t="shared" si="93"/>
        <v>1.5</v>
      </c>
      <c r="V2036" s="55">
        <f t="shared" si="94"/>
        <v>0.33333333333333331</v>
      </c>
      <c r="W2036" s="56">
        <f t="shared" si="95"/>
        <v>15072</v>
      </c>
    </row>
    <row r="2037" spans="1:23" x14ac:dyDescent="0.3">
      <c r="A2037" s="13" t="str" cm="1">
        <f t="array" ref="A2037:B2037">INDEX(BenchmarkResults!$B$1:$D$35,SUMPRODUCT((T2037&gt;=BenchmarkResults!$F$3:$F$35)*(mongodb_hardware_log!T2037&lt;BenchmarkResults!$G$3:$G$35)*ROW(BenchmarkResults!$F$3:$F$35)),{1,3})</f>
        <v>q4_category_revenue</v>
      </c>
      <c r="B2037">
        <v>3</v>
      </c>
      <c r="C2037" s="13">
        <v>1</v>
      </c>
      <c r="D2037" s="13">
        <v>1</v>
      </c>
      <c r="E2037" s="13">
        <v>194816</v>
      </c>
      <c r="F2037" s="13">
        <v>113508</v>
      </c>
      <c r="G2037" s="13">
        <v>404</v>
      </c>
      <c r="H2037" s="13">
        <v>2332988</v>
      </c>
      <c r="I2037" s="13">
        <v>4</v>
      </c>
      <c r="J2037" s="13">
        <v>0</v>
      </c>
      <c r="K2037" s="13">
        <v>15216</v>
      </c>
      <c r="L2037" s="13">
        <v>26</v>
      </c>
      <c r="M2037" s="13">
        <v>2658</v>
      </c>
      <c r="N2037" s="13">
        <v>1788</v>
      </c>
      <c r="O2037" s="13">
        <v>20</v>
      </c>
      <c r="P2037" s="13">
        <v>7</v>
      </c>
      <c r="Q2037" s="13">
        <v>49</v>
      </c>
      <c r="R2037" s="13">
        <v>23</v>
      </c>
      <c r="S2037" s="13">
        <v>0</v>
      </c>
      <c r="T2037" s="23">
        <v>46247.719861111109</v>
      </c>
      <c r="U2037" s="55">
        <f t="shared" si="93"/>
        <v>0.83333333333333337</v>
      </c>
      <c r="V2037" s="55">
        <f t="shared" si="94"/>
        <v>0.33333333333333331</v>
      </c>
      <c r="W2037" s="56">
        <f t="shared" si="95"/>
        <v>14997.166666666666</v>
      </c>
    </row>
    <row r="2038" spans="1:23" x14ac:dyDescent="0.3">
      <c r="A2038" s="13" t="str" cm="1">
        <f t="array" ref="A2038:B2038">INDEX(BenchmarkResults!$B$1:$D$35,SUMPRODUCT((T2038&gt;=BenchmarkResults!$F$3:$F$35)*(mongodb_hardware_log!T2038&lt;BenchmarkResults!$G$3:$G$35)*ROW(BenchmarkResults!$F$3:$F$35)),{1,3})</f>
        <v>q4_category_revenue</v>
      </c>
      <c r="B2038">
        <v>3</v>
      </c>
      <c r="C2038" s="13">
        <v>0</v>
      </c>
      <c r="D2038" s="13">
        <v>1</v>
      </c>
      <c r="E2038" s="13">
        <v>194560</v>
      </c>
      <c r="F2038" s="13">
        <v>117984</v>
      </c>
      <c r="G2038" s="13">
        <v>416</v>
      </c>
      <c r="H2038" s="13">
        <v>2322112</v>
      </c>
      <c r="I2038" s="13">
        <v>8</v>
      </c>
      <c r="J2038" s="13">
        <v>0</v>
      </c>
      <c r="K2038" s="13">
        <v>16508</v>
      </c>
      <c r="L2038" s="13">
        <v>17</v>
      </c>
      <c r="M2038" s="13">
        <v>2926</v>
      </c>
      <c r="N2038" s="13">
        <v>2035</v>
      </c>
      <c r="O2038" s="13">
        <v>19</v>
      </c>
      <c r="P2038" s="13">
        <v>8</v>
      </c>
      <c r="Q2038" s="13">
        <v>49</v>
      </c>
      <c r="R2038" s="13">
        <v>24</v>
      </c>
      <c r="S2038" s="13">
        <v>1</v>
      </c>
      <c r="T2038" s="23">
        <v>46247.719976851855</v>
      </c>
      <c r="U2038" s="55">
        <f t="shared" si="93"/>
        <v>0.66666666666666663</v>
      </c>
      <c r="V2038" s="55">
        <f t="shared" si="94"/>
        <v>0.5</v>
      </c>
      <c r="W2038" s="56">
        <f t="shared" si="95"/>
        <v>15182.166666666666</v>
      </c>
    </row>
    <row r="2039" spans="1:23" x14ac:dyDescent="0.3">
      <c r="A2039" s="13" t="str" cm="1">
        <f t="array" ref="A2039:B2039">INDEX(BenchmarkResults!$B$1:$D$35,SUMPRODUCT((T2039&gt;=BenchmarkResults!$F$3:$F$35)*(mongodb_hardware_log!T2039&lt;BenchmarkResults!$G$3:$G$35)*ROW(BenchmarkResults!$F$3:$F$35)),{1,3})</f>
        <v>q4_category_revenue</v>
      </c>
      <c r="B2039">
        <v>3</v>
      </c>
      <c r="C2039" s="13">
        <v>0</v>
      </c>
      <c r="D2039" s="13">
        <v>1</v>
      </c>
      <c r="E2039" s="13">
        <v>194304</v>
      </c>
      <c r="F2039" s="13">
        <v>124556</v>
      </c>
      <c r="G2039" s="13">
        <v>424</v>
      </c>
      <c r="H2039" s="13">
        <v>2317672</v>
      </c>
      <c r="I2039" s="13">
        <v>6</v>
      </c>
      <c r="J2039" s="13">
        <v>0</v>
      </c>
      <c r="K2039" s="13">
        <v>15712</v>
      </c>
      <c r="L2039" s="13">
        <v>10</v>
      </c>
      <c r="M2039" s="13">
        <v>2780</v>
      </c>
      <c r="N2039" s="13">
        <v>1800</v>
      </c>
      <c r="O2039" s="13">
        <v>19</v>
      </c>
      <c r="P2039" s="13">
        <v>7</v>
      </c>
      <c r="Q2039" s="13">
        <v>49</v>
      </c>
      <c r="R2039" s="13">
        <v>24</v>
      </c>
      <c r="S2039" s="13">
        <v>0</v>
      </c>
      <c r="T2039" s="23">
        <v>46247.720092592594</v>
      </c>
      <c r="U2039" s="55">
        <f t="shared" si="93"/>
        <v>0.5</v>
      </c>
      <c r="V2039" s="55">
        <f t="shared" si="94"/>
        <v>0.66666666666666663</v>
      </c>
      <c r="W2039" s="56">
        <f t="shared" si="95"/>
        <v>15321.833333333334</v>
      </c>
    </row>
    <row r="2040" spans="1:23" x14ac:dyDescent="0.3">
      <c r="A2040" s="13" t="str" cm="1">
        <f t="array" ref="A2040:B2040">INDEX(BenchmarkResults!$B$1:$D$35,SUMPRODUCT((T2040&gt;=BenchmarkResults!$F$3:$F$35)*(mongodb_hardware_log!T2040&lt;BenchmarkResults!$G$3:$G$35)*ROW(BenchmarkResults!$F$3:$F$35)),{1,3})</f>
        <v>q4_category_revenue</v>
      </c>
      <c r="B2040">
        <v>3</v>
      </c>
      <c r="C2040" s="13">
        <v>0</v>
      </c>
      <c r="D2040" s="13">
        <v>1</v>
      </c>
      <c r="E2040" s="13">
        <v>194304</v>
      </c>
      <c r="F2040" s="13">
        <v>106280</v>
      </c>
      <c r="G2040" s="13">
        <v>444</v>
      </c>
      <c r="H2040" s="13">
        <v>2333296</v>
      </c>
      <c r="I2040" s="13">
        <v>15</v>
      </c>
      <c r="J2040" s="13">
        <v>0</v>
      </c>
      <c r="K2040" s="13">
        <v>14798</v>
      </c>
      <c r="L2040" s="13">
        <v>12</v>
      </c>
      <c r="M2040" s="13">
        <v>2607</v>
      </c>
      <c r="N2040" s="13">
        <v>1657</v>
      </c>
      <c r="O2040" s="13">
        <v>19</v>
      </c>
      <c r="P2040" s="13">
        <v>7</v>
      </c>
      <c r="Q2040" s="13">
        <v>49</v>
      </c>
      <c r="R2040" s="13">
        <v>25</v>
      </c>
      <c r="S2040" s="13">
        <v>1</v>
      </c>
      <c r="T2040" s="23">
        <v>46247.720208333332</v>
      </c>
      <c r="U2040" s="55">
        <f t="shared" si="93"/>
        <v>0.5</v>
      </c>
      <c r="V2040" s="55">
        <f t="shared" si="94"/>
        <v>0.66666666666666663</v>
      </c>
      <c r="W2040" s="56">
        <f t="shared" si="95"/>
        <v>15256.166666666666</v>
      </c>
    </row>
    <row r="2041" spans="1:23" x14ac:dyDescent="0.3">
      <c r="A2041" s="13" t="str" cm="1">
        <f t="array" ref="A2041:B2041">INDEX(BenchmarkResults!$B$1:$D$35,SUMPRODUCT((T2041&gt;=BenchmarkResults!$F$3:$F$35)*(mongodb_hardware_log!T2041&lt;BenchmarkResults!$G$3:$G$35)*ROW(BenchmarkResults!$F$3:$F$35)),{1,3})</f>
        <v>q4_category_revenue</v>
      </c>
      <c r="B2041">
        <v>3</v>
      </c>
      <c r="C2041" s="13">
        <v>1</v>
      </c>
      <c r="D2041" s="13">
        <v>0</v>
      </c>
      <c r="E2041" s="13">
        <v>195072</v>
      </c>
      <c r="F2041" s="13">
        <v>694680</v>
      </c>
      <c r="G2041" s="13">
        <v>208</v>
      </c>
      <c r="H2041" s="13">
        <v>1727404</v>
      </c>
      <c r="I2041" s="13">
        <v>9</v>
      </c>
      <c r="J2041" s="13">
        <v>93</v>
      </c>
      <c r="K2041" s="13">
        <v>13227</v>
      </c>
      <c r="L2041" s="13">
        <v>120</v>
      </c>
      <c r="M2041" s="13">
        <v>2367</v>
      </c>
      <c r="N2041" s="13">
        <v>1528</v>
      </c>
      <c r="O2041" s="13">
        <v>16</v>
      </c>
      <c r="P2041" s="13">
        <v>14</v>
      </c>
      <c r="Q2041" s="13">
        <v>40</v>
      </c>
      <c r="R2041" s="13">
        <v>28</v>
      </c>
      <c r="S2041" s="13">
        <v>2</v>
      </c>
      <c r="T2041" s="23">
        <v>46247.720324074071</v>
      </c>
      <c r="U2041" s="55">
        <f t="shared" si="93"/>
        <v>0.5</v>
      </c>
      <c r="V2041" s="55">
        <f t="shared" si="94"/>
        <v>0.66666666666666663</v>
      </c>
      <c r="W2041" s="56">
        <f t="shared" si="95"/>
        <v>15192.666666666666</v>
      </c>
    </row>
    <row r="2042" spans="1:23" x14ac:dyDescent="0.3">
      <c r="A2042" s="13" t="str" cm="1">
        <f t="array" ref="A2042:B2042">INDEX(BenchmarkResults!$B$1:$D$35,SUMPRODUCT((T2042&gt;=BenchmarkResults!$F$3:$F$35)*(mongodb_hardware_log!T2042&lt;BenchmarkResults!$G$3:$G$35)*ROW(BenchmarkResults!$F$3:$F$35)),{1,3})</f>
        <v>q4_category_revenue</v>
      </c>
      <c r="B2042">
        <v>3</v>
      </c>
      <c r="C2042" s="13">
        <v>1</v>
      </c>
      <c r="D2042" s="13">
        <v>0</v>
      </c>
      <c r="E2042" s="13">
        <v>195072</v>
      </c>
      <c r="F2042" s="13">
        <v>523068</v>
      </c>
      <c r="G2042" s="13">
        <v>224</v>
      </c>
      <c r="H2042" s="13">
        <v>1919164</v>
      </c>
      <c r="I2042" s="13">
        <v>6</v>
      </c>
      <c r="J2042" s="13">
        <v>0</v>
      </c>
      <c r="K2042" s="13">
        <v>19173</v>
      </c>
      <c r="L2042" s="13">
        <v>18</v>
      </c>
      <c r="M2042" s="13">
        <v>2673</v>
      </c>
      <c r="N2042" s="13">
        <v>1653</v>
      </c>
      <c r="O2042" s="13">
        <v>12</v>
      </c>
      <c r="P2042" s="13">
        <v>8</v>
      </c>
      <c r="Q2042" s="13">
        <v>48</v>
      </c>
      <c r="R2042" s="13">
        <v>31</v>
      </c>
      <c r="S2042" s="13">
        <v>1</v>
      </c>
      <c r="T2042" s="23">
        <v>46247.720439814817</v>
      </c>
      <c r="U2042" s="55">
        <f t="shared" si="93"/>
        <v>0.5</v>
      </c>
      <c r="V2042" s="55">
        <f t="shared" si="94"/>
        <v>0.66666666666666663</v>
      </c>
      <c r="W2042" s="56">
        <f t="shared" si="95"/>
        <v>15772.333333333334</v>
      </c>
    </row>
    <row r="2043" spans="1:23" x14ac:dyDescent="0.3">
      <c r="A2043" s="13" t="str" cm="1">
        <f t="array" ref="A2043:B2043">INDEX(BenchmarkResults!$B$1:$D$35,SUMPRODUCT((T2043&gt;=BenchmarkResults!$F$3:$F$35)*(mongodb_hardware_log!T2043&lt;BenchmarkResults!$G$3:$G$35)*ROW(BenchmarkResults!$F$3:$F$35)),{1,3})</f>
        <v>q4_category_revenue</v>
      </c>
      <c r="B2043">
        <v>3</v>
      </c>
      <c r="C2043" s="13">
        <v>1</v>
      </c>
      <c r="D2043" s="13">
        <v>0</v>
      </c>
      <c r="E2043" s="13">
        <v>195072</v>
      </c>
      <c r="F2043" s="13">
        <v>328020</v>
      </c>
      <c r="G2043" s="13">
        <v>252</v>
      </c>
      <c r="H2043" s="13">
        <v>2112008</v>
      </c>
      <c r="I2043" s="13">
        <v>7</v>
      </c>
      <c r="J2043" s="13">
        <v>0</v>
      </c>
      <c r="K2043" s="13">
        <v>19291</v>
      </c>
      <c r="L2043" s="13">
        <v>41</v>
      </c>
      <c r="M2043" s="13">
        <v>2959</v>
      </c>
      <c r="N2043" s="13">
        <v>1921</v>
      </c>
      <c r="O2043" s="13">
        <v>14</v>
      </c>
      <c r="P2043" s="13">
        <v>10</v>
      </c>
      <c r="Q2043" s="13">
        <v>48</v>
      </c>
      <c r="R2043" s="13">
        <v>28</v>
      </c>
      <c r="S2043" s="13">
        <v>1</v>
      </c>
      <c r="T2043" s="23">
        <v>46247.720555555556</v>
      </c>
      <c r="U2043" s="55">
        <f t="shared" si="93"/>
        <v>0.5</v>
      </c>
      <c r="V2043" s="55">
        <f t="shared" si="94"/>
        <v>0.5</v>
      </c>
      <c r="W2043" s="56">
        <f t="shared" si="95"/>
        <v>16451.5</v>
      </c>
    </row>
    <row r="2044" spans="1:23" x14ac:dyDescent="0.3">
      <c r="A2044" s="13" t="str" cm="1">
        <f t="array" ref="A2044:B2044">INDEX(BenchmarkResults!$B$1:$D$35,SUMPRODUCT((T2044&gt;=BenchmarkResults!$F$3:$F$35)*(mongodb_hardware_log!T2044&lt;BenchmarkResults!$G$3:$G$35)*ROW(BenchmarkResults!$F$3:$F$35)),{1,3})</f>
        <v>q4_category_revenue</v>
      </c>
      <c r="B2044">
        <v>3</v>
      </c>
      <c r="C2044" s="13">
        <v>0</v>
      </c>
      <c r="D2044" s="13">
        <v>1</v>
      </c>
      <c r="E2044" s="13">
        <v>194816</v>
      </c>
      <c r="F2044" s="13">
        <v>149604</v>
      </c>
      <c r="G2044" s="13">
        <v>260</v>
      </c>
      <c r="H2044" s="13">
        <v>2290888</v>
      </c>
      <c r="I2044" s="13">
        <v>5</v>
      </c>
      <c r="J2044" s="13">
        <v>0</v>
      </c>
      <c r="K2044" s="13">
        <v>17894</v>
      </c>
      <c r="L2044" s="13">
        <v>8</v>
      </c>
      <c r="M2044" s="13">
        <v>2982</v>
      </c>
      <c r="N2044" s="13">
        <v>1964</v>
      </c>
      <c r="O2044" s="13">
        <v>17</v>
      </c>
      <c r="P2044" s="13">
        <v>9</v>
      </c>
      <c r="Q2044" s="13">
        <v>47</v>
      </c>
      <c r="R2044" s="13">
        <v>27</v>
      </c>
      <c r="S2044" s="13">
        <v>1</v>
      </c>
      <c r="T2044" s="23">
        <v>46247.720671296294</v>
      </c>
      <c r="U2044" s="55">
        <f t="shared" si="93"/>
        <v>0.5</v>
      </c>
      <c r="V2044" s="55">
        <f t="shared" si="94"/>
        <v>0.5</v>
      </c>
      <c r="W2044" s="56">
        <f t="shared" si="95"/>
        <v>16682.5</v>
      </c>
    </row>
    <row r="2045" spans="1:23" x14ac:dyDescent="0.3">
      <c r="A2045" s="13" t="str" cm="1">
        <f t="array" ref="A2045:B2045">INDEX(BenchmarkResults!$B$1:$D$35,SUMPRODUCT((T2045&gt;=BenchmarkResults!$F$3:$F$35)*(mongodb_hardware_log!T2045&lt;BenchmarkResults!$G$3:$G$35)*ROW(BenchmarkResults!$F$3:$F$35)),{1,3})</f>
        <v>q4_category_revenue</v>
      </c>
      <c r="B2045">
        <v>3</v>
      </c>
      <c r="C2045" s="13">
        <v>0</v>
      </c>
      <c r="D2045" s="13">
        <v>1</v>
      </c>
      <c r="E2045" s="13">
        <v>195328</v>
      </c>
      <c r="F2045" s="13">
        <v>112756</v>
      </c>
      <c r="G2045" s="13">
        <v>288</v>
      </c>
      <c r="H2045" s="13">
        <v>2330892</v>
      </c>
      <c r="I2045" s="13">
        <v>3</v>
      </c>
      <c r="J2045" s="13">
        <v>48</v>
      </c>
      <c r="K2045" s="13">
        <v>17969</v>
      </c>
      <c r="L2045" s="13">
        <v>70</v>
      </c>
      <c r="M2045" s="13">
        <v>3130</v>
      </c>
      <c r="N2045" s="13">
        <v>2082</v>
      </c>
      <c r="O2045" s="13">
        <v>18</v>
      </c>
      <c r="P2045" s="13">
        <v>8</v>
      </c>
      <c r="Q2045" s="13">
        <v>46</v>
      </c>
      <c r="R2045" s="13">
        <v>27</v>
      </c>
      <c r="S2045" s="13">
        <v>1</v>
      </c>
      <c r="T2045" s="23">
        <v>46247.72078703704</v>
      </c>
      <c r="U2045" s="55">
        <f t="shared" si="93"/>
        <v>0.5</v>
      </c>
      <c r="V2045" s="55">
        <f t="shared" si="94"/>
        <v>0.5</v>
      </c>
      <c r="W2045" s="56">
        <f t="shared" si="95"/>
        <v>17058.666666666668</v>
      </c>
    </row>
    <row r="2046" spans="1:23" x14ac:dyDescent="0.3">
      <c r="A2046" s="13" t="str" cm="1">
        <f t="array" ref="A2046:B2046">INDEX(BenchmarkResults!$B$1:$D$35,SUMPRODUCT((T2046&gt;=BenchmarkResults!$F$3:$F$35)*(mongodb_hardware_log!T2046&lt;BenchmarkResults!$G$3:$G$35)*ROW(BenchmarkResults!$F$3:$F$35)),{1,3})</f>
        <v>q4_category_revenue</v>
      </c>
      <c r="B2046">
        <v>3</v>
      </c>
      <c r="C2046" s="13">
        <v>0</v>
      </c>
      <c r="D2046" s="13">
        <v>1</v>
      </c>
      <c r="E2046" s="13">
        <v>195072</v>
      </c>
      <c r="F2046" s="13">
        <v>105068</v>
      </c>
      <c r="G2046" s="13">
        <v>296</v>
      </c>
      <c r="H2046" s="13">
        <v>2341972</v>
      </c>
      <c r="I2046" s="13">
        <v>6</v>
      </c>
      <c r="J2046" s="13">
        <v>0</v>
      </c>
      <c r="K2046" s="13">
        <v>16212</v>
      </c>
      <c r="L2046" s="13">
        <v>10</v>
      </c>
      <c r="M2046" s="13">
        <v>3294</v>
      </c>
      <c r="N2046" s="13">
        <v>2248</v>
      </c>
      <c r="O2046" s="13">
        <v>22</v>
      </c>
      <c r="P2046" s="13">
        <v>9</v>
      </c>
      <c r="Q2046" s="13">
        <v>45</v>
      </c>
      <c r="R2046" s="13">
        <v>23</v>
      </c>
      <c r="S2046" s="13">
        <v>1</v>
      </c>
      <c r="T2046" s="23">
        <v>46247.720902777779</v>
      </c>
      <c r="U2046" s="55">
        <f t="shared" si="93"/>
        <v>0.5</v>
      </c>
      <c r="V2046" s="55">
        <f t="shared" si="94"/>
        <v>0.5</v>
      </c>
      <c r="W2046" s="56">
        <f t="shared" si="95"/>
        <v>17294.333333333332</v>
      </c>
    </row>
    <row r="2047" spans="1:23" x14ac:dyDescent="0.3">
      <c r="A2047" s="13" t="str" cm="1">
        <f t="array" ref="A2047:B2047">INDEX(BenchmarkResults!$B$1:$D$35,SUMPRODUCT((T2047&gt;=BenchmarkResults!$F$3:$F$35)*(mongodb_hardware_log!T2047&lt;BenchmarkResults!$G$3:$G$35)*ROW(BenchmarkResults!$F$3:$F$35)),{1,3})</f>
        <v>q4_category_revenue</v>
      </c>
      <c r="B2047">
        <v>3</v>
      </c>
      <c r="C2047" s="13">
        <v>1</v>
      </c>
      <c r="D2047" s="13">
        <v>0</v>
      </c>
      <c r="E2047" s="13">
        <v>195072</v>
      </c>
      <c r="F2047" s="13">
        <v>143888</v>
      </c>
      <c r="G2047" s="13">
        <v>320</v>
      </c>
      <c r="H2047" s="13">
        <v>2310412</v>
      </c>
      <c r="I2047" s="13">
        <v>5</v>
      </c>
      <c r="J2047" s="13">
        <v>0</v>
      </c>
      <c r="K2047" s="13">
        <v>17654</v>
      </c>
      <c r="L2047" s="13">
        <v>50</v>
      </c>
      <c r="M2047" s="13">
        <v>3391</v>
      </c>
      <c r="N2047" s="13">
        <v>2218</v>
      </c>
      <c r="O2047" s="13">
        <v>21</v>
      </c>
      <c r="P2047" s="13">
        <v>8</v>
      </c>
      <c r="Q2047" s="13">
        <v>46</v>
      </c>
      <c r="R2047" s="13">
        <v>24</v>
      </c>
      <c r="S2047" s="13">
        <v>1</v>
      </c>
      <c r="T2047" s="23">
        <v>46247.721018518518</v>
      </c>
      <c r="U2047" s="55">
        <f t="shared" si="93"/>
        <v>0.5</v>
      </c>
      <c r="V2047" s="55">
        <f t="shared" si="94"/>
        <v>0.5</v>
      </c>
      <c r="W2047" s="56">
        <f t="shared" si="95"/>
        <v>18032.166666666668</v>
      </c>
    </row>
    <row r="2048" spans="1:23" x14ac:dyDescent="0.3">
      <c r="A2048" s="13" t="str" cm="1">
        <f t="array" ref="A2048:B2048">INDEX(BenchmarkResults!$B$1:$D$35,SUMPRODUCT((T2048&gt;=BenchmarkResults!$F$3:$F$35)*(mongodb_hardware_log!T2048&lt;BenchmarkResults!$G$3:$G$35)*ROW(BenchmarkResults!$F$3:$F$35)),{1,3})</f>
        <v>q4_category_revenue</v>
      </c>
      <c r="B2048">
        <v>3</v>
      </c>
      <c r="C2048" s="13">
        <v>0</v>
      </c>
      <c r="D2048" s="13">
        <v>1</v>
      </c>
      <c r="E2048" s="13">
        <v>195072</v>
      </c>
      <c r="F2048" s="13">
        <v>118884</v>
      </c>
      <c r="G2048" s="13">
        <v>336</v>
      </c>
      <c r="H2048" s="13">
        <v>2331020</v>
      </c>
      <c r="I2048" s="13">
        <v>4</v>
      </c>
      <c r="J2048" s="13">
        <v>0</v>
      </c>
      <c r="K2048" s="13">
        <v>17390</v>
      </c>
      <c r="L2048" s="13">
        <v>17</v>
      </c>
      <c r="M2048" s="13">
        <v>3235</v>
      </c>
      <c r="N2048" s="13">
        <v>2196</v>
      </c>
      <c r="O2048" s="13">
        <v>21</v>
      </c>
      <c r="P2048" s="13">
        <v>8</v>
      </c>
      <c r="Q2048" s="13">
        <v>46</v>
      </c>
      <c r="R2048" s="13">
        <v>24</v>
      </c>
      <c r="S2048" s="13">
        <v>1</v>
      </c>
      <c r="T2048" s="23">
        <v>46247.721134259256</v>
      </c>
      <c r="U2048" s="55">
        <f t="shared" si="93"/>
        <v>0.33333333333333331</v>
      </c>
      <c r="V2048" s="55">
        <f t="shared" si="94"/>
        <v>0.66666666666666663</v>
      </c>
      <c r="W2048" s="56">
        <f t="shared" si="95"/>
        <v>17735</v>
      </c>
    </row>
    <row r="2049" spans="1:23" x14ac:dyDescent="0.3">
      <c r="A2049" s="13" t="str" cm="1">
        <f t="array" ref="A2049:B2049">INDEX(BenchmarkResults!$B$1:$D$35,SUMPRODUCT((T2049&gt;=BenchmarkResults!$F$3:$F$35)*(mongodb_hardware_log!T2049&lt;BenchmarkResults!$G$3:$G$35)*ROW(BenchmarkResults!$F$3:$F$35)),{1,3})</f>
        <v>q4_category_revenue</v>
      </c>
      <c r="B2049">
        <v>3</v>
      </c>
      <c r="C2049" s="13">
        <v>2</v>
      </c>
      <c r="D2049" s="13">
        <v>0</v>
      </c>
      <c r="E2049" s="13">
        <v>195072</v>
      </c>
      <c r="F2049" s="13">
        <v>114232</v>
      </c>
      <c r="G2049" s="13">
        <v>344</v>
      </c>
      <c r="H2049" s="13">
        <v>2327228</v>
      </c>
      <c r="I2049" s="13">
        <v>3</v>
      </c>
      <c r="J2049" s="13">
        <v>0</v>
      </c>
      <c r="K2049" s="13">
        <v>13904</v>
      </c>
      <c r="L2049" s="13">
        <v>10</v>
      </c>
      <c r="M2049" s="13">
        <v>2641</v>
      </c>
      <c r="N2049" s="13">
        <v>1814</v>
      </c>
      <c r="O2049" s="13">
        <v>21</v>
      </c>
      <c r="P2049" s="13">
        <v>7</v>
      </c>
      <c r="Q2049" s="13">
        <v>49</v>
      </c>
      <c r="R2049" s="13">
        <v>22</v>
      </c>
      <c r="S2049" s="13">
        <v>0</v>
      </c>
      <c r="T2049" s="23">
        <v>46247.721250000002</v>
      </c>
      <c r="U2049" s="55">
        <f t="shared" si="93"/>
        <v>0.5</v>
      </c>
      <c r="V2049" s="55">
        <f t="shared" si="94"/>
        <v>0.66666666666666663</v>
      </c>
      <c r="W2049" s="56">
        <f t="shared" si="95"/>
        <v>16837.166666666668</v>
      </c>
    </row>
    <row r="2050" spans="1:23" x14ac:dyDescent="0.3">
      <c r="A2050" s="13" t="str" cm="1">
        <f t="array" ref="A2050:B2050">INDEX(BenchmarkResults!$B$1:$D$35,SUMPRODUCT((T2050&gt;=BenchmarkResults!$F$3:$F$35)*(mongodb_hardware_log!T2050&lt;BenchmarkResults!$G$3:$G$35)*ROW(BenchmarkResults!$F$3:$F$35)),{1,3})</f>
        <v>q4_category_revenue</v>
      </c>
      <c r="B2050">
        <v>3</v>
      </c>
      <c r="C2050" s="13">
        <v>1</v>
      </c>
      <c r="D2050" s="13">
        <v>0</v>
      </c>
      <c r="E2050" s="13">
        <v>193792</v>
      </c>
      <c r="F2050" s="13">
        <v>132916</v>
      </c>
      <c r="G2050" s="13">
        <v>360</v>
      </c>
      <c r="H2050" s="13">
        <v>2317292</v>
      </c>
      <c r="I2050" s="13">
        <v>3</v>
      </c>
      <c r="J2050" s="13">
        <v>0</v>
      </c>
      <c r="K2050" s="13">
        <v>17051</v>
      </c>
      <c r="L2050" s="13">
        <v>21</v>
      </c>
      <c r="M2050" s="13">
        <v>3120</v>
      </c>
      <c r="N2050" s="13">
        <v>2088</v>
      </c>
      <c r="O2050" s="13">
        <v>21</v>
      </c>
      <c r="P2050" s="13">
        <v>7</v>
      </c>
      <c r="Q2050" s="13">
        <v>47</v>
      </c>
      <c r="R2050" s="13">
        <v>25</v>
      </c>
      <c r="S2050" s="13">
        <v>0</v>
      </c>
      <c r="T2050" s="23">
        <v>46247.721365740741</v>
      </c>
      <c r="U2050" s="55">
        <f t="shared" si="93"/>
        <v>0.66666666666666663</v>
      </c>
      <c r="V2050" s="55">
        <f t="shared" si="94"/>
        <v>0.5</v>
      </c>
      <c r="W2050" s="56">
        <f t="shared" si="95"/>
        <v>16696.666666666668</v>
      </c>
    </row>
    <row r="2051" spans="1:23" x14ac:dyDescent="0.3">
      <c r="A2051" s="13" t="str" cm="1">
        <f t="array" ref="A2051:B2051">INDEX(BenchmarkResults!$B$1:$D$35,SUMPRODUCT((T2051&gt;=BenchmarkResults!$F$3:$F$35)*(mongodb_hardware_log!T2051&lt;BenchmarkResults!$G$3:$G$35)*ROW(BenchmarkResults!$F$3:$F$35)),{1,3})</f>
        <v>q4_category_revenue</v>
      </c>
      <c r="B2051">
        <v>3</v>
      </c>
      <c r="C2051" s="13">
        <v>0</v>
      </c>
      <c r="D2051" s="13">
        <v>1</v>
      </c>
      <c r="E2051" s="13">
        <v>193792</v>
      </c>
      <c r="F2051" s="13">
        <v>124932</v>
      </c>
      <c r="G2051" s="13">
        <v>376</v>
      </c>
      <c r="H2051" s="13">
        <v>2328172</v>
      </c>
      <c r="I2051" s="13">
        <v>0</v>
      </c>
      <c r="J2051" s="13">
        <v>0</v>
      </c>
      <c r="K2051" s="13">
        <v>15210</v>
      </c>
      <c r="L2051" s="13">
        <v>19</v>
      </c>
      <c r="M2051" s="13">
        <v>2674</v>
      </c>
      <c r="N2051" s="13">
        <v>1789</v>
      </c>
      <c r="O2051" s="13">
        <v>18</v>
      </c>
      <c r="P2051" s="13">
        <v>7</v>
      </c>
      <c r="Q2051" s="13">
        <v>49</v>
      </c>
      <c r="R2051" s="13">
        <v>25</v>
      </c>
      <c r="S2051" s="13">
        <v>1</v>
      </c>
      <c r="T2051" s="23">
        <v>46247.72148148148</v>
      </c>
      <c r="U2051" s="55">
        <f t="shared" si="93"/>
        <v>0.66666666666666663</v>
      </c>
      <c r="V2051" s="55">
        <f t="shared" si="94"/>
        <v>0.5</v>
      </c>
      <c r="W2051" s="56">
        <f t="shared" si="95"/>
        <v>16236.833333333334</v>
      </c>
    </row>
    <row r="2052" spans="1:23" x14ac:dyDescent="0.3">
      <c r="A2052" s="13" t="str" cm="1">
        <f t="array" ref="A2052:B2052">INDEX(BenchmarkResults!$B$1:$D$35,SUMPRODUCT((T2052&gt;=BenchmarkResults!$F$3:$F$35)*(mongodb_hardware_log!T2052&lt;BenchmarkResults!$G$3:$G$35)*ROW(BenchmarkResults!$F$3:$F$35)),{1,3})</f>
        <v>q4_category_revenue</v>
      </c>
      <c r="B2052">
        <v>3</v>
      </c>
      <c r="C2052" s="13">
        <v>0</v>
      </c>
      <c r="D2052" s="13">
        <v>1</v>
      </c>
      <c r="E2052" s="13">
        <v>193792</v>
      </c>
      <c r="F2052" s="13">
        <v>115088</v>
      </c>
      <c r="G2052" s="13">
        <v>424</v>
      </c>
      <c r="H2052" s="13">
        <v>2335920</v>
      </c>
      <c r="I2052" s="13">
        <v>8</v>
      </c>
      <c r="J2052" s="13">
        <v>0</v>
      </c>
      <c r="K2052" s="13">
        <v>13224</v>
      </c>
      <c r="L2052" s="13">
        <v>25</v>
      </c>
      <c r="M2052" s="13">
        <v>2568</v>
      </c>
      <c r="N2052" s="13">
        <v>1753</v>
      </c>
      <c r="O2052" s="13">
        <v>20</v>
      </c>
      <c r="P2052" s="13">
        <v>8</v>
      </c>
      <c r="Q2052" s="13">
        <v>49</v>
      </c>
      <c r="R2052" s="13">
        <v>22</v>
      </c>
      <c r="S2052" s="13">
        <v>1</v>
      </c>
      <c r="T2052" s="23">
        <v>46247.721597222226</v>
      </c>
      <c r="U2052" s="55">
        <f t="shared" si="93"/>
        <v>0.66666666666666663</v>
      </c>
      <c r="V2052" s="55">
        <f t="shared" si="94"/>
        <v>0.5</v>
      </c>
      <c r="W2052" s="56">
        <f t="shared" si="95"/>
        <v>15738.833333333334</v>
      </c>
    </row>
    <row r="2053" spans="1:23" x14ac:dyDescent="0.3">
      <c r="A2053" s="13" t="str" cm="1">
        <f t="array" ref="A2053:B2053">INDEX(BenchmarkResults!$B$1:$D$35,SUMPRODUCT((T2053&gt;=BenchmarkResults!$F$3:$F$35)*(mongodb_hardware_log!T2053&lt;BenchmarkResults!$G$3:$G$35)*ROW(BenchmarkResults!$F$3:$F$35)),{1,3})</f>
        <v>q4_category_revenue</v>
      </c>
      <c r="B2053">
        <v>3</v>
      </c>
      <c r="C2053" s="13">
        <v>0</v>
      </c>
      <c r="D2053" s="13">
        <v>1</v>
      </c>
      <c r="E2053" s="13">
        <v>193536</v>
      </c>
      <c r="F2053" s="13">
        <v>122332</v>
      </c>
      <c r="G2053" s="13">
        <v>464</v>
      </c>
      <c r="H2053" s="13">
        <v>2337340</v>
      </c>
      <c r="I2053" s="13">
        <v>7</v>
      </c>
      <c r="J2053" s="13">
        <v>0</v>
      </c>
      <c r="K2053" s="13">
        <v>18729</v>
      </c>
      <c r="L2053" s="13">
        <v>27</v>
      </c>
      <c r="M2053" s="13">
        <v>2954</v>
      </c>
      <c r="N2053" s="13">
        <v>1992</v>
      </c>
      <c r="O2053" s="13">
        <v>18</v>
      </c>
      <c r="P2053" s="13">
        <v>7</v>
      </c>
      <c r="Q2053" s="13">
        <v>48</v>
      </c>
      <c r="R2053" s="13">
        <v>26</v>
      </c>
      <c r="S2053" s="13">
        <v>0</v>
      </c>
      <c r="T2053" s="23">
        <v>46247.721712962964</v>
      </c>
      <c r="U2053" s="55">
        <f t="shared" si="93"/>
        <v>0.5</v>
      </c>
      <c r="V2053" s="55">
        <f t="shared" si="94"/>
        <v>0.66666666666666663</v>
      </c>
      <c r="W2053" s="56">
        <f t="shared" si="95"/>
        <v>15918</v>
      </c>
    </row>
    <row r="2054" spans="1:23" x14ac:dyDescent="0.3">
      <c r="A2054" s="13" t="str" cm="1">
        <f t="array" ref="A2054:B2054">INDEX(BenchmarkResults!$B$1:$D$35,SUMPRODUCT((T2054&gt;=BenchmarkResults!$F$3:$F$35)*(mongodb_hardware_log!T2054&lt;BenchmarkResults!$G$3:$G$35)*ROW(BenchmarkResults!$F$3:$F$35)),{1,3})</f>
        <v>q4_category_revenue</v>
      </c>
      <c r="B2054">
        <v>3</v>
      </c>
      <c r="C2054" s="13">
        <v>0</v>
      </c>
      <c r="D2054" s="13">
        <v>1</v>
      </c>
      <c r="E2054" s="13">
        <v>193536</v>
      </c>
      <c r="F2054" s="13">
        <v>127328</v>
      </c>
      <c r="G2054" s="13">
        <v>244</v>
      </c>
      <c r="H2054" s="13">
        <v>2333068</v>
      </c>
      <c r="I2054" s="13">
        <v>13</v>
      </c>
      <c r="J2054" s="13">
        <v>27</v>
      </c>
      <c r="K2054" s="13">
        <v>15075</v>
      </c>
      <c r="L2054" s="13">
        <v>49</v>
      </c>
      <c r="M2054" s="13">
        <v>2578</v>
      </c>
      <c r="N2054" s="13">
        <v>1738</v>
      </c>
      <c r="O2054" s="13">
        <v>19</v>
      </c>
      <c r="P2054" s="13">
        <v>7</v>
      </c>
      <c r="Q2054" s="13">
        <v>49</v>
      </c>
      <c r="R2054" s="13">
        <v>25</v>
      </c>
      <c r="S2054" s="13">
        <v>1</v>
      </c>
      <c r="T2054" s="23">
        <v>46247.721828703703</v>
      </c>
      <c r="U2054" s="55">
        <f t="shared" si="93"/>
        <v>0.5</v>
      </c>
      <c r="V2054" s="55">
        <f t="shared" si="94"/>
        <v>0.66666666666666663</v>
      </c>
      <c r="W2054" s="56">
        <f t="shared" si="95"/>
        <v>15532.166666666666</v>
      </c>
    </row>
    <row r="2055" spans="1:23" x14ac:dyDescent="0.3">
      <c r="A2055" s="13" t="str" cm="1">
        <f t="array" ref="A2055:B2055">INDEX(BenchmarkResults!$B$1:$D$35,SUMPRODUCT((T2055&gt;=BenchmarkResults!$F$3:$F$35)*(mongodb_hardware_log!T2055&lt;BenchmarkResults!$G$3:$G$35)*ROW(BenchmarkResults!$F$3:$F$35)),{1,3})</f>
        <v>q4_category_revenue</v>
      </c>
      <c r="B2055">
        <v>3</v>
      </c>
      <c r="C2055" s="13">
        <v>1</v>
      </c>
      <c r="D2055" s="13">
        <v>0</v>
      </c>
      <c r="E2055" s="13">
        <v>193536</v>
      </c>
      <c r="F2055" s="13">
        <v>117408</v>
      </c>
      <c r="G2055" s="13">
        <v>252</v>
      </c>
      <c r="H2055" s="13">
        <v>2334968</v>
      </c>
      <c r="I2055" s="13">
        <v>8</v>
      </c>
      <c r="J2055" s="13">
        <v>4</v>
      </c>
      <c r="K2055" s="13">
        <v>14125</v>
      </c>
      <c r="L2055" s="13">
        <v>30</v>
      </c>
      <c r="M2055" s="13">
        <v>2443</v>
      </c>
      <c r="N2055" s="13">
        <v>1639</v>
      </c>
      <c r="O2055" s="13">
        <v>20</v>
      </c>
      <c r="P2055" s="13">
        <v>6</v>
      </c>
      <c r="Q2055" s="13">
        <v>49</v>
      </c>
      <c r="R2055" s="13">
        <v>24</v>
      </c>
      <c r="S2055" s="13">
        <v>1</v>
      </c>
      <c r="T2055" s="23">
        <v>46247.721944444442</v>
      </c>
      <c r="U2055" s="55">
        <f t="shared" si="93"/>
        <v>0.33333333333333331</v>
      </c>
      <c r="V2055" s="55">
        <f t="shared" si="94"/>
        <v>0.66666666666666663</v>
      </c>
      <c r="W2055" s="56">
        <f t="shared" si="95"/>
        <v>15569</v>
      </c>
    </row>
    <row r="2056" spans="1:23" x14ac:dyDescent="0.3">
      <c r="A2056" s="13" t="str" cm="1">
        <f t="array" ref="A2056:B2056">INDEX(BenchmarkResults!$B$1:$D$35,SUMPRODUCT((T2056&gt;=BenchmarkResults!$F$3:$F$35)*(mongodb_hardware_log!T2056&lt;BenchmarkResults!$G$3:$G$35)*ROW(BenchmarkResults!$F$3:$F$35)),{1,3})</f>
        <v>q4_category_revenue</v>
      </c>
      <c r="B2056">
        <v>3</v>
      </c>
      <c r="C2056" s="13">
        <v>0</v>
      </c>
      <c r="D2056" s="13">
        <v>1</v>
      </c>
      <c r="E2056" s="13">
        <v>193536</v>
      </c>
      <c r="F2056" s="13">
        <v>132152</v>
      </c>
      <c r="G2056" s="13">
        <v>268</v>
      </c>
      <c r="H2056" s="13">
        <v>2320024</v>
      </c>
      <c r="I2056" s="13">
        <v>0</v>
      </c>
      <c r="J2056" s="13">
        <v>0</v>
      </c>
      <c r="K2056" s="13">
        <v>15625</v>
      </c>
      <c r="L2056" s="13">
        <v>17</v>
      </c>
      <c r="M2056" s="13">
        <v>2877</v>
      </c>
      <c r="N2056" s="13">
        <v>1969</v>
      </c>
      <c r="O2056" s="13">
        <v>19</v>
      </c>
      <c r="P2056" s="13">
        <v>7</v>
      </c>
      <c r="Q2056" s="13">
        <v>49</v>
      </c>
      <c r="R2056" s="13">
        <v>25</v>
      </c>
      <c r="S2056" s="13">
        <v>1</v>
      </c>
      <c r="T2056" s="23">
        <v>46247.722060185188</v>
      </c>
      <c r="U2056" s="55">
        <f t="shared" si="93"/>
        <v>0.16666666666666666</v>
      </c>
      <c r="V2056" s="55">
        <f t="shared" si="94"/>
        <v>0.83333333333333337</v>
      </c>
      <c r="W2056" s="56">
        <f t="shared" si="95"/>
        <v>15331.333333333334</v>
      </c>
    </row>
    <row r="2057" spans="1:23" x14ac:dyDescent="0.3">
      <c r="A2057" s="13" t="str" cm="1">
        <f t="array" ref="A2057:B2057">INDEX(BenchmarkResults!$B$1:$D$35,SUMPRODUCT((T2057&gt;=BenchmarkResults!$F$3:$F$35)*(mongodb_hardware_log!T2057&lt;BenchmarkResults!$G$3:$G$35)*ROW(BenchmarkResults!$F$3:$F$35)),{1,3})</f>
        <v>q4_category_revenue</v>
      </c>
      <c r="B2057">
        <v>3</v>
      </c>
      <c r="C2057" s="13">
        <v>2</v>
      </c>
      <c r="D2057" s="13">
        <v>0</v>
      </c>
      <c r="E2057" s="13">
        <v>193536</v>
      </c>
      <c r="F2057" s="13">
        <v>127528</v>
      </c>
      <c r="G2057" s="13">
        <v>276</v>
      </c>
      <c r="H2057" s="13">
        <v>2320700</v>
      </c>
      <c r="I2057" s="13">
        <v>3</v>
      </c>
      <c r="J2057" s="13">
        <v>3</v>
      </c>
      <c r="K2057" s="13">
        <v>14017</v>
      </c>
      <c r="L2057" s="13">
        <v>11</v>
      </c>
      <c r="M2057" s="13">
        <v>2612</v>
      </c>
      <c r="N2057" s="13">
        <v>1783</v>
      </c>
      <c r="O2057" s="13">
        <v>20</v>
      </c>
      <c r="P2057" s="13">
        <v>7</v>
      </c>
      <c r="Q2057" s="13">
        <v>50</v>
      </c>
      <c r="R2057" s="13">
        <v>23</v>
      </c>
      <c r="S2057" s="13">
        <v>0</v>
      </c>
      <c r="T2057" s="23">
        <v>46247.722175925926</v>
      </c>
      <c r="U2057" s="55">
        <f t="shared" ref="U2057:U2120" si="96">AVERAGE(C2052:C2057)</f>
        <v>0.5</v>
      </c>
      <c r="V2057" s="55">
        <f t="shared" ref="V2057:V2120" si="97">AVERAGE(D2052:D2057)</f>
        <v>0.66666666666666663</v>
      </c>
      <c r="W2057" s="56">
        <f t="shared" ref="W2057:W2120" si="98">AVERAGE(K2052:K2057)</f>
        <v>15132.5</v>
      </c>
    </row>
    <row r="2058" spans="1:23" x14ac:dyDescent="0.3">
      <c r="A2058" s="13" t="str" cm="1">
        <f t="array" ref="A2058:B2058">INDEX(BenchmarkResults!$B$1:$D$35,SUMPRODUCT((T2058&gt;=BenchmarkResults!$F$3:$F$35)*(mongodb_hardware_log!T2058&lt;BenchmarkResults!$G$3:$G$35)*ROW(BenchmarkResults!$F$3:$F$35)),{1,3})</f>
        <v>q4_category_revenue</v>
      </c>
      <c r="B2058">
        <v>3</v>
      </c>
      <c r="C2058" s="13">
        <v>1</v>
      </c>
      <c r="D2058" s="13">
        <v>0</v>
      </c>
      <c r="E2058" s="13">
        <v>194048</v>
      </c>
      <c r="F2058" s="13">
        <v>134868</v>
      </c>
      <c r="G2058" s="13">
        <v>420</v>
      </c>
      <c r="H2058" s="13">
        <v>2319808</v>
      </c>
      <c r="I2058" s="13">
        <v>6</v>
      </c>
      <c r="J2058" s="13">
        <v>44</v>
      </c>
      <c r="K2058" s="13">
        <v>14473</v>
      </c>
      <c r="L2058" s="13">
        <v>54</v>
      </c>
      <c r="M2058" s="13">
        <v>2525</v>
      </c>
      <c r="N2058" s="13">
        <v>1645</v>
      </c>
      <c r="O2058" s="13">
        <v>19</v>
      </c>
      <c r="P2058" s="13">
        <v>6</v>
      </c>
      <c r="Q2058" s="13">
        <v>50</v>
      </c>
      <c r="R2058" s="13">
        <v>24</v>
      </c>
      <c r="S2058" s="13">
        <v>1</v>
      </c>
      <c r="T2058" s="23">
        <v>46247.722291666665</v>
      </c>
      <c r="U2058" s="55">
        <f t="shared" si="96"/>
        <v>0.66666666666666663</v>
      </c>
      <c r="V2058" s="55">
        <f t="shared" si="97"/>
        <v>0.5</v>
      </c>
      <c r="W2058" s="56">
        <f t="shared" si="98"/>
        <v>15340.666666666666</v>
      </c>
    </row>
    <row r="2059" spans="1:23" x14ac:dyDescent="0.3">
      <c r="A2059" s="13" t="str" cm="1">
        <f t="array" ref="A2059:B2059">INDEX(BenchmarkResults!$B$1:$D$35,SUMPRODUCT((T2059&gt;=BenchmarkResults!$F$3:$F$35)*(mongodb_hardware_log!T2059&lt;BenchmarkResults!$G$3:$G$35)*ROW(BenchmarkResults!$F$3:$F$35)),{1,3})</f>
        <v>q4_category_revenue</v>
      </c>
      <c r="B2059">
        <v>3</v>
      </c>
      <c r="C2059" s="13">
        <v>1</v>
      </c>
      <c r="D2059" s="13">
        <v>0</v>
      </c>
      <c r="E2059" s="13">
        <v>193792</v>
      </c>
      <c r="F2059" s="13">
        <v>161744</v>
      </c>
      <c r="G2059" s="13">
        <v>452</v>
      </c>
      <c r="H2059" s="13">
        <v>2292808</v>
      </c>
      <c r="I2059" s="13">
        <v>3</v>
      </c>
      <c r="J2059" s="13">
        <v>0</v>
      </c>
      <c r="K2059" s="13">
        <v>13293</v>
      </c>
      <c r="L2059" s="13">
        <v>25</v>
      </c>
      <c r="M2059" s="13">
        <v>2595</v>
      </c>
      <c r="N2059" s="13">
        <v>1745</v>
      </c>
      <c r="O2059" s="13">
        <v>21</v>
      </c>
      <c r="P2059" s="13">
        <v>7</v>
      </c>
      <c r="Q2059" s="13">
        <v>51</v>
      </c>
      <c r="R2059" s="13">
        <v>21</v>
      </c>
      <c r="S2059" s="13">
        <v>0</v>
      </c>
      <c r="T2059" s="23">
        <v>46247.722407407404</v>
      </c>
      <c r="U2059" s="55">
        <f t="shared" si="96"/>
        <v>0.83333333333333337</v>
      </c>
      <c r="V2059" s="55">
        <f t="shared" si="97"/>
        <v>0.33333333333333331</v>
      </c>
      <c r="W2059" s="56">
        <f t="shared" si="98"/>
        <v>14434.666666666666</v>
      </c>
    </row>
    <row r="2060" spans="1:23" x14ac:dyDescent="0.3">
      <c r="A2060" s="13" t="str" cm="1">
        <f t="array" ref="A2060:B2060">INDEX(BenchmarkResults!$B$1:$D$35,SUMPRODUCT((T2060&gt;=BenchmarkResults!$F$3:$F$35)*(mongodb_hardware_log!T2060&lt;BenchmarkResults!$G$3:$G$35)*ROW(BenchmarkResults!$F$3:$F$35)),{1,3})</f>
        <v>q4_category_revenue</v>
      </c>
      <c r="B2060">
        <v>3</v>
      </c>
      <c r="C2060" s="13">
        <v>0</v>
      </c>
      <c r="D2060" s="13">
        <v>1</v>
      </c>
      <c r="E2060" s="13">
        <v>193792</v>
      </c>
      <c r="F2060" s="13">
        <v>152628</v>
      </c>
      <c r="G2060" s="13">
        <v>460</v>
      </c>
      <c r="H2060" s="13">
        <v>2295384</v>
      </c>
      <c r="I2060" s="13">
        <v>2</v>
      </c>
      <c r="J2060" s="13">
        <v>0</v>
      </c>
      <c r="K2060" s="13">
        <v>16665</v>
      </c>
      <c r="L2060" s="13">
        <v>16</v>
      </c>
      <c r="M2060" s="13">
        <v>2812</v>
      </c>
      <c r="N2060" s="13">
        <v>1959</v>
      </c>
      <c r="O2060" s="13">
        <v>19</v>
      </c>
      <c r="P2060" s="13">
        <v>7</v>
      </c>
      <c r="Q2060" s="13">
        <v>49</v>
      </c>
      <c r="R2060" s="13">
        <v>24</v>
      </c>
      <c r="S2060" s="13">
        <v>0</v>
      </c>
      <c r="T2060" s="23">
        <v>46247.72252314815</v>
      </c>
      <c r="U2060" s="55">
        <f t="shared" si="96"/>
        <v>0.83333333333333337</v>
      </c>
      <c r="V2060" s="55">
        <f t="shared" si="97"/>
        <v>0.33333333333333331</v>
      </c>
      <c r="W2060" s="56">
        <f t="shared" si="98"/>
        <v>14699.666666666666</v>
      </c>
    </row>
    <row r="2061" spans="1:23" x14ac:dyDescent="0.3">
      <c r="A2061" s="13" t="str" cm="1">
        <f t="array" ref="A2061:B2061">INDEX(BenchmarkResults!$B$1:$D$35,SUMPRODUCT((T2061&gt;=BenchmarkResults!$F$3:$F$35)*(mongodb_hardware_log!T2061&lt;BenchmarkResults!$G$3:$G$35)*ROW(BenchmarkResults!$F$3:$F$35)),{1,3})</f>
        <v>q4_category_revenue</v>
      </c>
      <c r="B2061">
        <v>3</v>
      </c>
      <c r="C2061" s="13">
        <v>1</v>
      </c>
      <c r="D2061" s="13">
        <v>0</v>
      </c>
      <c r="E2061" s="13">
        <v>193792</v>
      </c>
      <c r="F2061" s="13">
        <v>139744</v>
      </c>
      <c r="G2061" s="13">
        <v>472</v>
      </c>
      <c r="H2061" s="13">
        <v>2301952</v>
      </c>
      <c r="I2061" s="13">
        <v>10</v>
      </c>
      <c r="J2061" s="13">
        <v>0</v>
      </c>
      <c r="K2061" s="13">
        <v>15237</v>
      </c>
      <c r="L2061" s="13">
        <v>32</v>
      </c>
      <c r="M2061" s="13">
        <v>2661</v>
      </c>
      <c r="N2061" s="13">
        <v>1825</v>
      </c>
      <c r="O2061" s="13">
        <v>19</v>
      </c>
      <c r="P2061" s="13">
        <v>7</v>
      </c>
      <c r="Q2061" s="13">
        <v>50</v>
      </c>
      <c r="R2061" s="13">
        <v>22</v>
      </c>
      <c r="S2061" s="13">
        <v>0</v>
      </c>
      <c r="T2061" s="23">
        <v>46247.722638888888</v>
      </c>
      <c r="U2061" s="55">
        <f t="shared" si="96"/>
        <v>0.83333333333333337</v>
      </c>
      <c r="V2061" s="55">
        <f t="shared" si="97"/>
        <v>0.33333333333333331</v>
      </c>
      <c r="W2061" s="56">
        <f t="shared" si="98"/>
        <v>14885</v>
      </c>
    </row>
    <row r="2062" spans="1:23" x14ac:dyDescent="0.3">
      <c r="A2062" s="13" t="str" cm="1">
        <f t="array" ref="A2062:B2062">INDEX(BenchmarkResults!$B$1:$D$35,SUMPRODUCT((T2062&gt;=BenchmarkResults!$F$3:$F$35)*(mongodb_hardware_log!T2062&lt;BenchmarkResults!$G$3:$G$35)*ROW(BenchmarkResults!$F$3:$F$35)),{1,3})</f>
        <v>q4_category_revenue</v>
      </c>
      <c r="B2062">
        <v>3</v>
      </c>
      <c r="C2062" s="13">
        <v>0</v>
      </c>
      <c r="D2062" s="13">
        <v>1</v>
      </c>
      <c r="E2062" s="13">
        <v>193792</v>
      </c>
      <c r="F2062" s="13">
        <v>119252</v>
      </c>
      <c r="G2062" s="13">
        <v>480</v>
      </c>
      <c r="H2062" s="13">
        <v>2323136</v>
      </c>
      <c r="I2062" s="13">
        <v>4</v>
      </c>
      <c r="J2062" s="13">
        <v>0</v>
      </c>
      <c r="K2062" s="13">
        <v>14866</v>
      </c>
      <c r="L2062" s="13">
        <v>9</v>
      </c>
      <c r="M2062" s="13">
        <v>2538</v>
      </c>
      <c r="N2062" s="13">
        <v>1794</v>
      </c>
      <c r="O2062" s="13">
        <v>20</v>
      </c>
      <c r="P2062" s="13">
        <v>7</v>
      </c>
      <c r="Q2062" s="13">
        <v>51</v>
      </c>
      <c r="R2062" s="13">
        <v>22</v>
      </c>
      <c r="S2062" s="13">
        <v>0</v>
      </c>
      <c r="T2062" s="23">
        <v>46247.722754629627</v>
      </c>
      <c r="U2062" s="55">
        <f t="shared" si="96"/>
        <v>0.83333333333333337</v>
      </c>
      <c r="V2062" s="55">
        <f t="shared" si="97"/>
        <v>0.33333333333333331</v>
      </c>
      <c r="W2062" s="56">
        <f t="shared" si="98"/>
        <v>14758.5</v>
      </c>
    </row>
    <row r="2063" spans="1:23" x14ac:dyDescent="0.3">
      <c r="A2063" s="13" t="str" cm="1">
        <f t="array" ref="A2063:B2063">INDEX(BenchmarkResults!$B$1:$D$35,SUMPRODUCT((T2063&gt;=BenchmarkResults!$F$3:$F$35)*(mongodb_hardware_log!T2063&lt;BenchmarkResults!$G$3:$G$35)*ROW(BenchmarkResults!$F$3:$F$35)),{1,3})</f>
        <v>q4_category_revenue</v>
      </c>
      <c r="B2063">
        <v>3</v>
      </c>
      <c r="C2063" s="13">
        <v>0</v>
      </c>
      <c r="D2063" s="13">
        <v>1</v>
      </c>
      <c r="E2063" s="13">
        <v>193536</v>
      </c>
      <c r="F2063" s="13">
        <v>115988</v>
      </c>
      <c r="G2063" s="13">
        <v>496</v>
      </c>
      <c r="H2063" s="13">
        <v>2325372</v>
      </c>
      <c r="I2063" s="13">
        <v>8</v>
      </c>
      <c r="J2063" s="13">
        <v>0</v>
      </c>
      <c r="K2063" s="13">
        <v>17068</v>
      </c>
      <c r="L2063" s="13">
        <v>10</v>
      </c>
      <c r="M2063" s="13">
        <v>2784</v>
      </c>
      <c r="N2063" s="13">
        <v>1890</v>
      </c>
      <c r="O2063" s="13">
        <v>19</v>
      </c>
      <c r="P2063" s="13">
        <v>10</v>
      </c>
      <c r="Q2063" s="13">
        <v>46</v>
      </c>
      <c r="R2063" s="13">
        <v>24</v>
      </c>
      <c r="S2063" s="13">
        <v>0</v>
      </c>
      <c r="T2063" s="23">
        <v>46247.722870370373</v>
      </c>
      <c r="U2063" s="55">
        <f t="shared" si="96"/>
        <v>0.5</v>
      </c>
      <c r="V2063" s="55">
        <f t="shared" si="97"/>
        <v>0.5</v>
      </c>
      <c r="W2063" s="56">
        <f t="shared" si="98"/>
        <v>15267</v>
      </c>
    </row>
    <row r="2064" spans="1:23" x14ac:dyDescent="0.3">
      <c r="A2064" s="13" t="str" cm="1">
        <f t="array" ref="A2064:B2064">INDEX(BenchmarkResults!$B$1:$D$35,SUMPRODUCT((T2064&gt;=BenchmarkResults!$F$3:$F$35)*(mongodb_hardware_log!T2064&lt;BenchmarkResults!$G$3:$G$35)*ROW(BenchmarkResults!$F$3:$F$35)),{1,3})</f>
        <v>q4_category_revenue</v>
      </c>
      <c r="B2064">
        <v>3</v>
      </c>
      <c r="C2064" s="13">
        <v>1</v>
      </c>
      <c r="D2064" s="13">
        <v>0</v>
      </c>
      <c r="E2064" s="13">
        <v>193536</v>
      </c>
      <c r="F2064" s="13">
        <v>110928</v>
      </c>
      <c r="G2064" s="13">
        <v>512</v>
      </c>
      <c r="H2064" s="13">
        <v>2330420</v>
      </c>
      <c r="I2064" s="13">
        <v>6</v>
      </c>
      <c r="J2064" s="13">
        <v>0</v>
      </c>
      <c r="K2064" s="13">
        <v>16868</v>
      </c>
      <c r="L2064" s="13">
        <v>38</v>
      </c>
      <c r="M2064" s="13">
        <v>2704</v>
      </c>
      <c r="N2064" s="13">
        <v>1731</v>
      </c>
      <c r="O2064" s="13">
        <v>19</v>
      </c>
      <c r="P2064" s="13">
        <v>7</v>
      </c>
      <c r="Q2064" s="13">
        <v>49</v>
      </c>
      <c r="R2064" s="13">
        <v>24</v>
      </c>
      <c r="S2064" s="13">
        <v>1</v>
      </c>
      <c r="T2064" s="23">
        <v>46247.722986111112</v>
      </c>
      <c r="U2064" s="55">
        <f t="shared" si="96"/>
        <v>0.5</v>
      </c>
      <c r="V2064" s="55">
        <f t="shared" si="97"/>
        <v>0.5</v>
      </c>
      <c r="W2064" s="56">
        <f t="shared" si="98"/>
        <v>15666.166666666666</v>
      </c>
    </row>
    <row r="2065" spans="1:23" x14ac:dyDescent="0.3">
      <c r="A2065" s="13" t="str" cm="1">
        <f t="array" ref="A2065:B2065">INDEX(BenchmarkResults!$B$1:$D$35,SUMPRODUCT((T2065&gt;=BenchmarkResults!$F$3:$F$35)*(mongodb_hardware_log!T2065&lt;BenchmarkResults!$G$3:$G$35)*ROW(BenchmarkResults!$F$3:$F$35)),{1,3})</f>
        <v>q4_category_revenue</v>
      </c>
      <c r="B2065">
        <v>3</v>
      </c>
      <c r="C2065" s="13">
        <v>1</v>
      </c>
      <c r="D2065" s="13">
        <v>0</v>
      </c>
      <c r="E2065" s="13">
        <v>193536</v>
      </c>
      <c r="F2065" s="13">
        <v>110516</v>
      </c>
      <c r="G2065" s="13">
        <v>536</v>
      </c>
      <c r="H2065" s="13">
        <v>2339788</v>
      </c>
      <c r="I2065" s="13">
        <v>2</v>
      </c>
      <c r="J2065" s="13">
        <v>0</v>
      </c>
      <c r="K2065" s="13">
        <v>17321</v>
      </c>
      <c r="L2065" s="13">
        <v>21</v>
      </c>
      <c r="M2065" s="13">
        <v>2818</v>
      </c>
      <c r="N2065" s="13">
        <v>1848</v>
      </c>
      <c r="O2065" s="13">
        <v>18</v>
      </c>
      <c r="P2065" s="13">
        <v>7</v>
      </c>
      <c r="Q2065" s="13">
        <v>48</v>
      </c>
      <c r="R2065" s="13">
        <v>26</v>
      </c>
      <c r="S2065" s="13">
        <v>1</v>
      </c>
      <c r="T2065" s="23">
        <v>46247.723101851851</v>
      </c>
      <c r="U2065" s="55">
        <f t="shared" si="96"/>
        <v>0.5</v>
      </c>
      <c r="V2065" s="55">
        <f t="shared" si="97"/>
        <v>0.5</v>
      </c>
      <c r="W2065" s="56">
        <f t="shared" si="98"/>
        <v>16337.5</v>
      </c>
    </row>
    <row r="2066" spans="1:23" x14ac:dyDescent="0.3">
      <c r="A2066" s="13" t="str" cm="1">
        <f t="array" ref="A2066:B2066">INDEX(BenchmarkResults!$B$1:$D$35,SUMPRODUCT((T2066&gt;=BenchmarkResults!$F$3:$F$35)*(mongodb_hardware_log!T2066&lt;BenchmarkResults!$G$3:$G$35)*ROW(BenchmarkResults!$F$3:$F$35)),{1,3})</f>
        <v>q4_category_revenue</v>
      </c>
      <c r="B2066">
        <v>3</v>
      </c>
      <c r="C2066" s="13">
        <v>0</v>
      </c>
      <c r="D2066" s="13">
        <v>1</v>
      </c>
      <c r="E2066" s="13">
        <v>193536</v>
      </c>
      <c r="F2066" s="13">
        <v>137332</v>
      </c>
      <c r="G2066" s="13">
        <v>284</v>
      </c>
      <c r="H2066" s="13">
        <v>2309352</v>
      </c>
      <c r="I2066" s="13">
        <v>6</v>
      </c>
      <c r="J2066" s="13">
        <v>2</v>
      </c>
      <c r="K2066" s="13">
        <v>15644</v>
      </c>
      <c r="L2066" s="13">
        <v>18</v>
      </c>
      <c r="M2066" s="13">
        <v>2753</v>
      </c>
      <c r="N2066" s="13">
        <v>1903</v>
      </c>
      <c r="O2066" s="13">
        <v>18</v>
      </c>
      <c r="P2066" s="13">
        <v>7</v>
      </c>
      <c r="Q2066" s="13">
        <v>49</v>
      </c>
      <c r="R2066" s="13">
        <v>25</v>
      </c>
      <c r="S2066" s="13">
        <v>1</v>
      </c>
      <c r="T2066" s="23">
        <v>46247.723217592589</v>
      </c>
      <c r="U2066" s="55">
        <f t="shared" si="96"/>
        <v>0.5</v>
      </c>
      <c r="V2066" s="55">
        <f t="shared" si="97"/>
        <v>0.5</v>
      </c>
      <c r="W2066" s="56">
        <f t="shared" si="98"/>
        <v>16167.333333333334</v>
      </c>
    </row>
    <row r="2067" spans="1:23" x14ac:dyDescent="0.3">
      <c r="A2067" s="13" t="str" cm="1">
        <f t="array" ref="A2067:B2067">INDEX(BenchmarkResults!$B$1:$D$35,SUMPRODUCT((T2067&gt;=BenchmarkResults!$F$3:$F$35)*(mongodb_hardware_log!T2067&lt;BenchmarkResults!$G$3:$G$35)*ROW(BenchmarkResults!$F$3:$F$35)),{1,3})</f>
        <v>q4_category_revenue</v>
      </c>
      <c r="B2067">
        <v>3</v>
      </c>
      <c r="C2067" s="13">
        <v>0</v>
      </c>
      <c r="D2067" s="13">
        <v>1</v>
      </c>
      <c r="E2067" s="13">
        <v>193536</v>
      </c>
      <c r="F2067" s="13">
        <v>144300</v>
      </c>
      <c r="G2067" s="13">
        <v>292</v>
      </c>
      <c r="H2067" s="13">
        <v>2302536</v>
      </c>
      <c r="I2067" s="13">
        <v>0</v>
      </c>
      <c r="J2067" s="13">
        <v>9</v>
      </c>
      <c r="K2067" s="13">
        <v>16072</v>
      </c>
      <c r="L2067" s="13">
        <v>20</v>
      </c>
      <c r="M2067" s="13">
        <v>2946</v>
      </c>
      <c r="N2067" s="13">
        <v>1979</v>
      </c>
      <c r="O2067" s="13">
        <v>20</v>
      </c>
      <c r="P2067" s="13">
        <v>7</v>
      </c>
      <c r="Q2067" s="13">
        <v>48</v>
      </c>
      <c r="R2067" s="13">
        <v>24</v>
      </c>
      <c r="S2067" s="13">
        <v>0</v>
      </c>
      <c r="T2067" s="23">
        <v>46247.723333333335</v>
      </c>
      <c r="U2067" s="55">
        <f t="shared" si="96"/>
        <v>0.33333333333333331</v>
      </c>
      <c r="V2067" s="55">
        <f t="shared" si="97"/>
        <v>0.66666666666666663</v>
      </c>
      <c r="W2067" s="56">
        <f t="shared" si="98"/>
        <v>16306.5</v>
      </c>
    </row>
    <row r="2068" spans="1:23" x14ac:dyDescent="0.3">
      <c r="A2068" s="13" t="str" cm="1">
        <f t="array" ref="A2068:B2068">INDEX(BenchmarkResults!$B$1:$D$35,SUMPRODUCT((T2068&gt;=BenchmarkResults!$F$3:$F$35)*(mongodb_hardware_log!T2068&lt;BenchmarkResults!$G$3:$G$35)*ROW(BenchmarkResults!$F$3:$F$35)),{1,3})</f>
        <v>q4_category_revenue</v>
      </c>
      <c r="B2068">
        <v>3</v>
      </c>
      <c r="C2068" s="13">
        <v>1</v>
      </c>
      <c r="D2068" s="13">
        <v>0</v>
      </c>
      <c r="E2068" s="13">
        <v>193536</v>
      </c>
      <c r="F2068" s="13">
        <v>124028</v>
      </c>
      <c r="G2068" s="13">
        <v>300</v>
      </c>
      <c r="H2068" s="13">
        <v>2324684</v>
      </c>
      <c r="I2068" s="13">
        <v>2</v>
      </c>
      <c r="J2068" s="13">
        <v>0</v>
      </c>
      <c r="K2068" s="13">
        <v>14168</v>
      </c>
      <c r="L2068" s="13">
        <v>11</v>
      </c>
      <c r="M2068" s="13">
        <v>2707</v>
      </c>
      <c r="N2068" s="13">
        <v>1868</v>
      </c>
      <c r="O2068" s="13">
        <v>18</v>
      </c>
      <c r="P2068" s="13">
        <v>7</v>
      </c>
      <c r="Q2068" s="13">
        <v>49</v>
      </c>
      <c r="R2068" s="13">
        <v>25</v>
      </c>
      <c r="S2068" s="13">
        <v>1</v>
      </c>
      <c r="T2068" s="23">
        <v>46247.723449074074</v>
      </c>
      <c r="U2068" s="55">
        <f t="shared" si="96"/>
        <v>0.5</v>
      </c>
      <c r="V2068" s="55">
        <f t="shared" si="97"/>
        <v>0.5</v>
      </c>
      <c r="W2068" s="56">
        <f t="shared" si="98"/>
        <v>16190.166666666666</v>
      </c>
    </row>
    <row r="2069" spans="1:23" x14ac:dyDescent="0.3">
      <c r="A2069" s="13" t="str" cm="1">
        <f t="array" ref="A2069:B2069">INDEX(BenchmarkResults!$B$1:$D$35,SUMPRODUCT((T2069&gt;=BenchmarkResults!$F$3:$F$35)*(mongodb_hardware_log!T2069&lt;BenchmarkResults!$G$3:$G$35)*ROW(BenchmarkResults!$F$3:$F$35)),{1,3})</f>
        <v>q4_category_revenue</v>
      </c>
      <c r="B2069">
        <v>3</v>
      </c>
      <c r="C2069" s="13">
        <v>1</v>
      </c>
      <c r="D2069" s="13">
        <v>0</v>
      </c>
      <c r="E2069" s="13">
        <v>193280</v>
      </c>
      <c r="F2069" s="13">
        <v>113104</v>
      </c>
      <c r="G2069" s="13">
        <v>308</v>
      </c>
      <c r="H2069" s="13">
        <v>2330628</v>
      </c>
      <c r="I2069" s="13">
        <v>10</v>
      </c>
      <c r="J2069" s="13">
        <v>0</v>
      </c>
      <c r="K2069" s="13">
        <v>14336</v>
      </c>
      <c r="L2069" s="13">
        <v>12</v>
      </c>
      <c r="M2069" s="13">
        <v>2490</v>
      </c>
      <c r="N2069" s="13">
        <v>1597</v>
      </c>
      <c r="O2069" s="13">
        <v>19</v>
      </c>
      <c r="P2069" s="13">
        <v>6</v>
      </c>
      <c r="Q2069" s="13">
        <v>48</v>
      </c>
      <c r="R2069" s="13">
        <v>26</v>
      </c>
      <c r="S2069" s="13">
        <v>1</v>
      </c>
      <c r="T2069" s="23">
        <v>46247.723564814813</v>
      </c>
      <c r="U2069" s="55">
        <f t="shared" si="96"/>
        <v>0.66666666666666663</v>
      </c>
      <c r="V2069" s="55">
        <f t="shared" si="97"/>
        <v>0.33333333333333331</v>
      </c>
      <c r="W2069" s="56">
        <f t="shared" si="98"/>
        <v>15734.833333333334</v>
      </c>
    </row>
    <row r="2070" spans="1:23" x14ac:dyDescent="0.3">
      <c r="A2070" s="13" t="str" cm="1">
        <f t="array" ref="A2070:B2070">INDEX(BenchmarkResults!$B$1:$D$35,SUMPRODUCT((T2070&gt;=BenchmarkResults!$F$3:$F$35)*(mongodb_hardware_log!T2070&lt;BenchmarkResults!$G$3:$G$35)*ROW(BenchmarkResults!$F$3:$F$35)),{1,3})</f>
        <v>q4_category_revenue</v>
      </c>
      <c r="B2070">
        <v>3</v>
      </c>
      <c r="C2070" s="13">
        <v>0</v>
      </c>
      <c r="D2070" s="13">
        <v>1</v>
      </c>
      <c r="E2070" s="13">
        <v>193792</v>
      </c>
      <c r="F2070" s="13">
        <v>113364</v>
      </c>
      <c r="G2070" s="13">
        <v>292</v>
      </c>
      <c r="H2070" s="13">
        <v>2327716</v>
      </c>
      <c r="I2070" s="13">
        <v>5</v>
      </c>
      <c r="J2070" s="13">
        <v>55</v>
      </c>
      <c r="K2070" s="13">
        <v>14956</v>
      </c>
      <c r="L2070" s="13">
        <v>72</v>
      </c>
      <c r="M2070" s="13">
        <v>2485</v>
      </c>
      <c r="N2070" s="13">
        <v>1508</v>
      </c>
      <c r="O2070" s="13">
        <v>17</v>
      </c>
      <c r="P2070" s="13">
        <v>6</v>
      </c>
      <c r="Q2070" s="13">
        <v>47</v>
      </c>
      <c r="R2070" s="13">
        <v>28</v>
      </c>
      <c r="S2070" s="13">
        <v>2</v>
      </c>
      <c r="T2070" s="23">
        <v>46247.723680555559</v>
      </c>
      <c r="U2070" s="55">
        <f t="shared" si="96"/>
        <v>0.5</v>
      </c>
      <c r="V2070" s="55">
        <f t="shared" si="97"/>
        <v>0.5</v>
      </c>
      <c r="W2070" s="56">
        <f t="shared" si="98"/>
        <v>15416.166666666666</v>
      </c>
    </row>
    <row r="2071" spans="1:23" x14ac:dyDescent="0.3">
      <c r="A2071" s="13" t="str" cm="1">
        <f t="array" ref="A2071:B2071">INDEX(BenchmarkResults!$B$1:$D$35,SUMPRODUCT((T2071&gt;=BenchmarkResults!$F$3:$F$35)*(mongodb_hardware_log!T2071&lt;BenchmarkResults!$G$3:$G$35)*ROW(BenchmarkResults!$F$3:$F$35)),{1,3})</f>
        <v>q4_category_revenue</v>
      </c>
      <c r="B2071">
        <v>3</v>
      </c>
      <c r="C2071" s="13">
        <v>0</v>
      </c>
      <c r="D2071" s="13">
        <v>1</v>
      </c>
      <c r="E2071" s="13">
        <v>193792</v>
      </c>
      <c r="F2071" s="13">
        <v>130236</v>
      </c>
      <c r="G2071" s="13">
        <v>324</v>
      </c>
      <c r="H2071" s="13">
        <v>2313636</v>
      </c>
      <c r="I2071" s="13">
        <v>2</v>
      </c>
      <c r="J2071" s="13">
        <v>0</v>
      </c>
      <c r="K2071" s="13">
        <v>14538</v>
      </c>
      <c r="L2071" s="13">
        <v>29</v>
      </c>
      <c r="M2071" s="13">
        <v>2692</v>
      </c>
      <c r="N2071" s="13">
        <v>1687</v>
      </c>
      <c r="O2071" s="13">
        <v>20</v>
      </c>
      <c r="P2071" s="13">
        <v>6</v>
      </c>
      <c r="Q2071" s="13">
        <v>47</v>
      </c>
      <c r="R2071" s="13">
        <v>25</v>
      </c>
      <c r="S2071" s="13">
        <v>1</v>
      </c>
      <c r="T2071" s="23">
        <v>46247.723796296297</v>
      </c>
      <c r="U2071" s="55">
        <f t="shared" si="96"/>
        <v>0.33333333333333331</v>
      </c>
      <c r="V2071" s="55">
        <f t="shared" si="97"/>
        <v>0.66666666666666663</v>
      </c>
      <c r="W2071" s="56">
        <f t="shared" si="98"/>
        <v>14952.333333333334</v>
      </c>
    </row>
    <row r="2072" spans="1:23" x14ac:dyDescent="0.3">
      <c r="A2072" s="13" t="str" cm="1">
        <f t="array" ref="A2072:B2072">INDEX(BenchmarkResults!$B$1:$D$35,SUMPRODUCT((T2072&gt;=BenchmarkResults!$F$3:$F$35)*(mongodb_hardware_log!T2072&lt;BenchmarkResults!$G$3:$G$35)*ROW(BenchmarkResults!$F$3:$F$35)),{1,3})</f>
        <v>q4_category_revenue</v>
      </c>
      <c r="B2072">
        <v>3</v>
      </c>
      <c r="C2072" s="13">
        <v>1</v>
      </c>
      <c r="D2072" s="13">
        <v>0</v>
      </c>
      <c r="E2072" s="13">
        <v>193280</v>
      </c>
      <c r="F2072" s="13">
        <v>158504</v>
      </c>
      <c r="G2072" s="13">
        <v>332</v>
      </c>
      <c r="H2072" s="13">
        <v>2279120</v>
      </c>
      <c r="I2072" s="13">
        <v>222</v>
      </c>
      <c r="J2072" s="13">
        <v>0</v>
      </c>
      <c r="K2072" s="13">
        <v>18622</v>
      </c>
      <c r="L2072" s="13">
        <v>15</v>
      </c>
      <c r="M2072" s="13">
        <v>3413</v>
      </c>
      <c r="N2072" s="13">
        <v>2410</v>
      </c>
      <c r="O2072" s="13">
        <v>20</v>
      </c>
      <c r="P2072" s="13">
        <v>9</v>
      </c>
      <c r="Q2072" s="13">
        <v>44</v>
      </c>
      <c r="R2072" s="13">
        <v>27</v>
      </c>
      <c r="S2072" s="13">
        <v>1</v>
      </c>
      <c r="T2072" s="23">
        <v>46247.723912037036</v>
      </c>
      <c r="U2072" s="55">
        <f t="shared" si="96"/>
        <v>0.5</v>
      </c>
      <c r="V2072" s="55">
        <f t="shared" si="97"/>
        <v>0.5</v>
      </c>
      <c r="W2072" s="56">
        <f t="shared" si="98"/>
        <v>15448.666666666666</v>
      </c>
    </row>
    <row r="2073" spans="1:23" x14ac:dyDescent="0.3">
      <c r="A2073" s="13" t="str" cm="1">
        <f t="array" ref="A2073:B2073">INDEX(BenchmarkResults!$B$1:$D$35,SUMPRODUCT((T2073&gt;=BenchmarkResults!$F$3:$F$35)*(mongodb_hardware_log!T2073&lt;BenchmarkResults!$G$3:$G$35)*ROW(BenchmarkResults!$F$3:$F$35)),{1,3})</f>
        <v>q4_category_revenue</v>
      </c>
      <c r="B2073">
        <v>3</v>
      </c>
      <c r="C2073" s="13">
        <v>1</v>
      </c>
      <c r="D2073" s="13">
        <v>0</v>
      </c>
      <c r="E2073" s="13">
        <v>193024</v>
      </c>
      <c r="F2073" s="13">
        <v>149924</v>
      </c>
      <c r="G2073" s="13">
        <v>340</v>
      </c>
      <c r="H2073" s="13">
        <v>2289916</v>
      </c>
      <c r="I2073" s="13">
        <v>2</v>
      </c>
      <c r="J2073" s="13">
        <v>0</v>
      </c>
      <c r="K2073" s="13">
        <v>15241</v>
      </c>
      <c r="L2073" s="13">
        <v>13</v>
      </c>
      <c r="M2073" s="13">
        <v>2782</v>
      </c>
      <c r="N2073" s="13">
        <v>1849</v>
      </c>
      <c r="O2073" s="13">
        <v>20</v>
      </c>
      <c r="P2073" s="13">
        <v>8</v>
      </c>
      <c r="Q2073" s="13">
        <v>50</v>
      </c>
      <c r="R2073" s="13">
        <v>22</v>
      </c>
      <c r="S2073" s="13">
        <v>1</v>
      </c>
      <c r="T2073" s="23">
        <v>46247.724027777775</v>
      </c>
      <c r="U2073" s="55">
        <f t="shared" si="96"/>
        <v>0.66666666666666663</v>
      </c>
      <c r="V2073" s="55">
        <f t="shared" si="97"/>
        <v>0.33333333333333331</v>
      </c>
      <c r="W2073" s="56">
        <f t="shared" si="98"/>
        <v>15310.166666666666</v>
      </c>
    </row>
    <row r="2074" spans="1:23" x14ac:dyDescent="0.3">
      <c r="A2074" s="13" t="str" cm="1">
        <f t="array" ref="A2074:B2074">INDEX(BenchmarkResults!$B$1:$D$35,SUMPRODUCT((T2074&gt;=BenchmarkResults!$F$3:$F$35)*(mongodb_hardware_log!T2074&lt;BenchmarkResults!$G$3:$G$35)*ROW(BenchmarkResults!$F$3:$F$35)),{1,3})</f>
        <v>q4_category_revenue</v>
      </c>
      <c r="B2074">
        <v>3</v>
      </c>
      <c r="C2074" s="13">
        <v>1</v>
      </c>
      <c r="D2074" s="13">
        <v>0</v>
      </c>
      <c r="E2074" s="13">
        <v>192768</v>
      </c>
      <c r="F2074" s="13">
        <v>141540</v>
      </c>
      <c r="G2074" s="13">
        <v>480</v>
      </c>
      <c r="H2074" s="13">
        <v>2293344</v>
      </c>
      <c r="I2074" s="13">
        <v>206</v>
      </c>
      <c r="J2074" s="13">
        <v>0</v>
      </c>
      <c r="K2074" s="13">
        <v>18361</v>
      </c>
      <c r="L2074" s="13">
        <v>13</v>
      </c>
      <c r="M2074" s="13">
        <v>2652</v>
      </c>
      <c r="N2074" s="13">
        <v>1759</v>
      </c>
      <c r="O2074" s="13">
        <v>19</v>
      </c>
      <c r="P2074" s="13">
        <v>7</v>
      </c>
      <c r="Q2074" s="13">
        <v>47</v>
      </c>
      <c r="R2074" s="13">
        <v>26</v>
      </c>
      <c r="S2074" s="13">
        <v>1</v>
      </c>
      <c r="T2074" s="23">
        <v>46247.724143518521</v>
      </c>
      <c r="U2074" s="55">
        <f t="shared" si="96"/>
        <v>0.66666666666666663</v>
      </c>
      <c r="V2074" s="55">
        <f t="shared" si="97"/>
        <v>0.33333333333333331</v>
      </c>
      <c r="W2074" s="56">
        <f t="shared" si="98"/>
        <v>16009</v>
      </c>
    </row>
    <row r="2075" spans="1:23" x14ac:dyDescent="0.3">
      <c r="A2075" s="13" t="str" cm="1">
        <f t="array" ref="A2075:B2075">INDEX(BenchmarkResults!$B$1:$D$35,SUMPRODUCT((T2075&gt;=BenchmarkResults!$F$3:$F$35)*(mongodb_hardware_log!T2075&lt;BenchmarkResults!$G$3:$G$35)*ROW(BenchmarkResults!$F$3:$F$35)),{1,3})</f>
        <v>q4_category_revenue</v>
      </c>
      <c r="B2075">
        <v>3</v>
      </c>
      <c r="C2075" s="13">
        <v>1</v>
      </c>
      <c r="D2075" s="13">
        <v>0</v>
      </c>
      <c r="E2075" s="13">
        <v>192768</v>
      </c>
      <c r="F2075" s="13">
        <v>122932</v>
      </c>
      <c r="G2075" s="13">
        <v>504</v>
      </c>
      <c r="H2075" s="13">
        <v>2313232</v>
      </c>
      <c r="I2075" s="13">
        <v>3</v>
      </c>
      <c r="J2075" s="13">
        <v>0</v>
      </c>
      <c r="K2075" s="13">
        <v>17327</v>
      </c>
      <c r="L2075" s="13">
        <v>44</v>
      </c>
      <c r="M2075" s="13">
        <v>2912</v>
      </c>
      <c r="N2075" s="13">
        <v>1949</v>
      </c>
      <c r="O2075" s="13">
        <v>18</v>
      </c>
      <c r="P2075" s="13">
        <v>7</v>
      </c>
      <c r="Q2075" s="13">
        <v>48</v>
      </c>
      <c r="R2075" s="13">
        <v>26</v>
      </c>
      <c r="S2075" s="13">
        <v>1</v>
      </c>
      <c r="T2075" s="23">
        <v>46247.724259259259</v>
      </c>
      <c r="U2075" s="55">
        <f t="shared" si="96"/>
        <v>0.66666666666666663</v>
      </c>
      <c r="V2075" s="55">
        <f t="shared" si="97"/>
        <v>0.33333333333333331</v>
      </c>
      <c r="W2075" s="56">
        <f t="shared" si="98"/>
        <v>16507.5</v>
      </c>
    </row>
    <row r="2076" spans="1:23" x14ac:dyDescent="0.3">
      <c r="A2076" s="13" t="str" cm="1">
        <f t="array" ref="A2076:B2076">INDEX(BenchmarkResults!$B$1:$D$35,SUMPRODUCT((T2076&gt;=BenchmarkResults!$F$3:$F$35)*(mongodb_hardware_log!T2076&lt;BenchmarkResults!$G$3:$G$35)*ROW(BenchmarkResults!$F$3:$F$35)),{1,3})</f>
        <v>q4_category_revenue</v>
      </c>
      <c r="B2076">
        <v>3</v>
      </c>
      <c r="C2076" s="13">
        <v>1</v>
      </c>
      <c r="D2076" s="13">
        <v>0</v>
      </c>
      <c r="E2076" s="13">
        <v>192768</v>
      </c>
      <c r="F2076" s="13">
        <v>116544</v>
      </c>
      <c r="G2076" s="13">
        <v>512</v>
      </c>
      <c r="H2076" s="13">
        <v>2325764</v>
      </c>
      <c r="I2076" s="13">
        <v>2</v>
      </c>
      <c r="J2076" s="13">
        <v>0</v>
      </c>
      <c r="K2076" s="13">
        <v>16344</v>
      </c>
      <c r="L2076" s="13">
        <v>18</v>
      </c>
      <c r="M2076" s="13">
        <v>2513</v>
      </c>
      <c r="N2076" s="13">
        <v>1589</v>
      </c>
      <c r="O2076" s="13">
        <v>18</v>
      </c>
      <c r="P2076" s="13">
        <v>7</v>
      </c>
      <c r="Q2076" s="13">
        <v>49</v>
      </c>
      <c r="R2076" s="13">
        <v>26</v>
      </c>
      <c r="S2076" s="13">
        <v>1</v>
      </c>
      <c r="T2076" s="23">
        <v>46247.724374999998</v>
      </c>
      <c r="U2076" s="55">
        <f t="shared" si="96"/>
        <v>0.83333333333333337</v>
      </c>
      <c r="V2076" s="55">
        <f t="shared" si="97"/>
        <v>0.16666666666666666</v>
      </c>
      <c r="W2076" s="56">
        <f t="shared" si="98"/>
        <v>16738.833333333332</v>
      </c>
    </row>
    <row r="2077" spans="1:23" x14ac:dyDescent="0.3">
      <c r="A2077" s="13" t="str" cm="1">
        <f t="array" ref="A2077:B2077">INDEX(BenchmarkResults!$B$1:$D$35,SUMPRODUCT((T2077&gt;=BenchmarkResults!$F$3:$F$35)*(mongodb_hardware_log!T2077&lt;BenchmarkResults!$G$3:$G$35)*ROW(BenchmarkResults!$F$3:$F$35)),{1,3})</f>
        <v>q4_category_revenue</v>
      </c>
      <c r="B2077">
        <v>3</v>
      </c>
      <c r="C2077" s="13">
        <v>0</v>
      </c>
      <c r="D2077" s="13">
        <v>1</v>
      </c>
      <c r="E2077" s="13">
        <v>192512</v>
      </c>
      <c r="F2077" s="13">
        <v>118708</v>
      </c>
      <c r="G2077" s="13">
        <v>540</v>
      </c>
      <c r="H2077" s="13">
        <v>2321980</v>
      </c>
      <c r="I2077" s="13">
        <v>4</v>
      </c>
      <c r="J2077" s="13">
        <v>0</v>
      </c>
      <c r="K2077" s="13">
        <v>17691</v>
      </c>
      <c r="L2077" s="13">
        <v>28</v>
      </c>
      <c r="M2077" s="13">
        <v>2765</v>
      </c>
      <c r="N2077" s="13">
        <v>1799</v>
      </c>
      <c r="O2077" s="13">
        <v>18</v>
      </c>
      <c r="P2077" s="13">
        <v>7</v>
      </c>
      <c r="Q2077" s="13">
        <v>48</v>
      </c>
      <c r="R2077" s="13">
        <v>26</v>
      </c>
      <c r="S2077" s="13">
        <v>1</v>
      </c>
      <c r="T2077" s="23">
        <v>46247.724490740744</v>
      </c>
      <c r="U2077" s="55">
        <f t="shared" si="96"/>
        <v>0.83333333333333337</v>
      </c>
      <c r="V2077" s="55">
        <f t="shared" si="97"/>
        <v>0.16666666666666666</v>
      </c>
      <c r="W2077" s="56">
        <f t="shared" si="98"/>
        <v>17264.333333333332</v>
      </c>
    </row>
    <row r="2078" spans="1:23" x14ac:dyDescent="0.3">
      <c r="A2078" s="13" t="str" cm="1">
        <f t="array" ref="A2078:B2078">INDEX(BenchmarkResults!$B$1:$D$35,SUMPRODUCT((T2078&gt;=BenchmarkResults!$F$3:$F$35)*(mongodb_hardware_log!T2078&lt;BenchmarkResults!$G$3:$G$35)*ROW(BenchmarkResults!$F$3:$F$35)),{1,3})</f>
        <v>q4_category_revenue</v>
      </c>
      <c r="B2078">
        <v>3</v>
      </c>
      <c r="C2078" s="13">
        <v>1</v>
      </c>
      <c r="D2078" s="13">
        <v>0</v>
      </c>
      <c r="E2078" s="13">
        <v>192512</v>
      </c>
      <c r="F2078" s="13">
        <v>124120</v>
      </c>
      <c r="G2078" s="13">
        <v>312</v>
      </c>
      <c r="H2078" s="13">
        <v>2316624</v>
      </c>
      <c r="I2078" s="13">
        <v>2</v>
      </c>
      <c r="J2078" s="13">
        <v>1</v>
      </c>
      <c r="K2078" s="13">
        <v>14129</v>
      </c>
      <c r="L2078" s="13">
        <v>21</v>
      </c>
      <c r="M2078" s="13">
        <v>2590</v>
      </c>
      <c r="N2078" s="13">
        <v>1701</v>
      </c>
      <c r="O2078" s="13">
        <v>20</v>
      </c>
      <c r="P2078" s="13">
        <v>7</v>
      </c>
      <c r="Q2078" s="13">
        <v>50</v>
      </c>
      <c r="R2078" s="13">
        <v>23</v>
      </c>
      <c r="S2078" s="13">
        <v>1</v>
      </c>
      <c r="T2078" s="23">
        <v>46247.724606481483</v>
      </c>
      <c r="U2078" s="55">
        <f t="shared" si="96"/>
        <v>0.83333333333333337</v>
      </c>
      <c r="V2078" s="55">
        <f t="shared" si="97"/>
        <v>0.16666666666666666</v>
      </c>
      <c r="W2078" s="56">
        <f t="shared" si="98"/>
        <v>16515.5</v>
      </c>
    </row>
    <row r="2079" spans="1:23" x14ac:dyDescent="0.3">
      <c r="A2079" s="13" t="str" cm="1">
        <f t="array" ref="A2079:B2079">INDEX(BenchmarkResults!$B$1:$D$35,SUMPRODUCT((T2079&gt;=BenchmarkResults!$F$3:$F$35)*(mongodb_hardware_log!T2079&lt;BenchmarkResults!$G$3:$G$35)*ROW(BenchmarkResults!$F$3:$F$35)),{1,3})</f>
        <v>q4_category_revenue</v>
      </c>
      <c r="B2079">
        <v>3</v>
      </c>
      <c r="C2079" s="13">
        <v>0</v>
      </c>
      <c r="D2079" s="13">
        <v>1</v>
      </c>
      <c r="E2079" s="13">
        <v>192768</v>
      </c>
      <c r="F2079" s="13">
        <v>122280</v>
      </c>
      <c r="G2079" s="13">
        <v>332</v>
      </c>
      <c r="H2079" s="13">
        <v>2323204</v>
      </c>
      <c r="I2079" s="13">
        <v>6</v>
      </c>
      <c r="J2079" s="13">
        <v>18</v>
      </c>
      <c r="K2079" s="13">
        <v>17624</v>
      </c>
      <c r="L2079" s="13">
        <v>40</v>
      </c>
      <c r="M2079" s="13">
        <v>2701</v>
      </c>
      <c r="N2079" s="13">
        <v>1793</v>
      </c>
      <c r="O2079" s="13">
        <v>19</v>
      </c>
      <c r="P2079" s="13">
        <v>7</v>
      </c>
      <c r="Q2079" s="13">
        <v>49</v>
      </c>
      <c r="R2079" s="13">
        <v>25</v>
      </c>
      <c r="S2079" s="13">
        <v>0</v>
      </c>
      <c r="T2079" s="23">
        <v>46247.724722222221</v>
      </c>
      <c r="U2079" s="55">
        <f t="shared" si="96"/>
        <v>0.66666666666666663</v>
      </c>
      <c r="V2079" s="55">
        <f t="shared" si="97"/>
        <v>0.33333333333333331</v>
      </c>
      <c r="W2079" s="56">
        <f t="shared" si="98"/>
        <v>16912.666666666668</v>
      </c>
    </row>
    <row r="2080" spans="1:23" x14ac:dyDescent="0.3">
      <c r="A2080" s="13" t="str" cm="1">
        <f t="array" ref="A2080:B2080">INDEX(BenchmarkResults!$B$1:$D$35,SUMPRODUCT((T2080&gt;=BenchmarkResults!$F$3:$F$35)*(mongodb_hardware_log!T2080&lt;BenchmarkResults!$G$3:$G$35)*ROW(BenchmarkResults!$F$3:$F$35)),{1,3})</f>
        <v>q4_category_revenue</v>
      </c>
      <c r="B2080">
        <v>3</v>
      </c>
      <c r="C2080" s="13">
        <v>0</v>
      </c>
      <c r="D2080" s="13">
        <v>1</v>
      </c>
      <c r="E2080" s="13">
        <v>192768</v>
      </c>
      <c r="F2080" s="13">
        <v>114860</v>
      </c>
      <c r="G2080" s="13">
        <v>340</v>
      </c>
      <c r="H2080" s="13">
        <v>2322212</v>
      </c>
      <c r="I2080" s="13">
        <v>4</v>
      </c>
      <c r="J2080" s="13">
        <v>0</v>
      </c>
      <c r="K2080" s="13">
        <v>15955</v>
      </c>
      <c r="L2080" s="13">
        <v>14</v>
      </c>
      <c r="M2080" s="13">
        <v>2842</v>
      </c>
      <c r="N2080" s="13">
        <v>1962</v>
      </c>
      <c r="O2080" s="13">
        <v>19</v>
      </c>
      <c r="P2080" s="13">
        <v>7</v>
      </c>
      <c r="Q2080" s="13">
        <v>49</v>
      </c>
      <c r="R2080" s="13">
        <v>25</v>
      </c>
      <c r="S2080" s="13">
        <v>0</v>
      </c>
      <c r="T2080" s="23">
        <v>46247.72483796296</v>
      </c>
      <c r="U2080" s="55">
        <f t="shared" si="96"/>
        <v>0.5</v>
      </c>
      <c r="V2080" s="55">
        <f t="shared" si="97"/>
        <v>0.5</v>
      </c>
      <c r="W2080" s="56">
        <f t="shared" si="98"/>
        <v>16511.666666666668</v>
      </c>
    </row>
    <row r="2081" spans="1:23" x14ac:dyDescent="0.3">
      <c r="A2081" s="13" t="str" cm="1">
        <f t="array" ref="A2081:B2081">INDEX(BenchmarkResults!$B$1:$D$35,SUMPRODUCT((T2081&gt;=BenchmarkResults!$F$3:$F$35)*(mongodb_hardware_log!T2081&lt;BenchmarkResults!$G$3:$G$35)*ROW(BenchmarkResults!$F$3:$F$35)),{1,3})</f>
        <v>q4_category_revenue</v>
      </c>
      <c r="B2081">
        <v>3</v>
      </c>
      <c r="C2081" s="13">
        <v>0</v>
      </c>
      <c r="D2081" s="13">
        <v>1</v>
      </c>
      <c r="E2081" s="13">
        <v>199424</v>
      </c>
      <c r="F2081" s="13">
        <v>190480</v>
      </c>
      <c r="G2081" s="13">
        <v>344</v>
      </c>
      <c r="H2081" s="13">
        <v>2250316</v>
      </c>
      <c r="I2081" s="13">
        <v>3</v>
      </c>
      <c r="J2081" s="13">
        <v>716</v>
      </c>
      <c r="K2081" s="13">
        <v>15208</v>
      </c>
      <c r="L2081" s="13">
        <v>731</v>
      </c>
      <c r="M2081" s="13">
        <v>2693</v>
      </c>
      <c r="N2081" s="13">
        <v>1711</v>
      </c>
      <c r="O2081" s="13">
        <v>19</v>
      </c>
      <c r="P2081" s="13">
        <v>7</v>
      </c>
      <c r="Q2081" s="13">
        <v>48</v>
      </c>
      <c r="R2081" s="13">
        <v>24</v>
      </c>
      <c r="S2081" s="13">
        <v>0</v>
      </c>
      <c r="T2081" s="23">
        <v>46247.724953703706</v>
      </c>
      <c r="U2081" s="55">
        <f t="shared" si="96"/>
        <v>0.33333333333333331</v>
      </c>
      <c r="V2081" s="55">
        <f t="shared" si="97"/>
        <v>0.66666666666666663</v>
      </c>
      <c r="W2081" s="56">
        <f t="shared" si="98"/>
        <v>16158.5</v>
      </c>
    </row>
    <row r="2082" spans="1:23" x14ac:dyDescent="0.3">
      <c r="A2082" s="13" t="str" cm="1">
        <f t="array" ref="A2082:B2082">INDEX(BenchmarkResults!$B$1:$D$35,SUMPRODUCT((T2082&gt;=BenchmarkResults!$F$3:$F$35)*(mongodb_hardware_log!T2082&lt;BenchmarkResults!$G$3:$G$35)*ROW(BenchmarkResults!$F$3:$F$35)),{1,3})</f>
        <v>q4_category_revenue</v>
      </c>
      <c r="B2082">
        <v>3</v>
      </c>
      <c r="C2082" s="13">
        <v>1</v>
      </c>
      <c r="D2082" s="13">
        <v>0</v>
      </c>
      <c r="E2082" s="13">
        <v>198912</v>
      </c>
      <c r="F2082" s="13">
        <v>126308</v>
      </c>
      <c r="G2082" s="13">
        <v>384</v>
      </c>
      <c r="H2082" s="13">
        <v>2320256</v>
      </c>
      <c r="I2082" s="13">
        <v>99</v>
      </c>
      <c r="J2082" s="13">
        <v>0</v>
      </c>
      <c r="K2082" s="13">
        <v>17768</v>
      </c>
      <c r="L2082" s="13">
        <v>25</v>
      </c>
      <c r="M2082" s="13">
        <v>2936</v>
      </c>
      <c r="N2082" s="13">
        <v>1997</v>
      </c>
      <c r="O2082" s="13">
        <v>18</v>
      </c>
      <c r="P2082" s="13">
        <v>8</v>
      </c>
      <c r="Q2082" s="13">
        <v>47</v>
      </c>
      <c r="R2082" s="13">
        <v>27</v>
      </c>
      <c r="S2082" s="13">
        <v>0</v>
      </c>
      <c r="T2082" s="23">
        <v>46247.725069444445</v>
      </c>
      <c r="U2082" s="55">
        <f t="shared" si="96"/>
        <v>0.33333333333333331</v>
      </c>
      <c r="V2082" s="55">
        <f t="shared" si="97"/>
        <v>0.66666666666666663</v>
      </c>
      <c r="W2082" s="56">
        <f t="shared" si="98"/>
        <v>16395.833333333332</v>
      </c>
    </row>
    <row r="2083" spans="1:23" x14ac:dyDescent="0.3">
      <c r="A2083" s="13" t="str" cm="1">
        <f t="array" ref="A2083:B2083">INDEX(BenchmarkResults!$B$1:$D$35,SUMPRODUCT((T2083&gt;=BenchmarkResults!$F$3:$F$35)*(mongodb_hardware_log!T2083&lt;BenchmarkResults!$G$3:$G$35)*ROW(BenchmarkResults!$F$3:$F$35)),{1,3})</f>
        <v>q4_category_revenue</v>
      </c>
      <c r="B2083">
        <v>3</v>
      </c>
      <c r="C2083" s="13">
        <v>0</v>
      </c>
      <c r="D2083" s="13">
        <v>1</v>
      </c>
      <c r="E2083" s="13">
        <v>198912</v>
      </c>
      <c r="F2083" s="13">
        <v>133236</v>
      </c>
      <c r="G2083" s="13">
        <v>512</v>
      </c>
      <c r="H2083" s="13">
        <v>2310276</v>
      </c>
      <c r="I2083" s="13">
        <v>17</v>
      </c>
      <c r="J2083" s="13">
        <v>0</v>
      </c>
      <c r="K2083" s="13">
        <v>15176</v>
      </c>
      <c r="L2083" s="13">
        <v>32</v>
      </c>
      <c r="M2083" s="13">
        <v>2677</v>
      </c>
      <c r="N2083" s="13">
        <v>1754</v>
      </c>
      <c r="O2083" s="13">
        <v>20</v>
      </c>
      <c r="P2083" s="13">
        <v>7</v>
      </c>
      <c r="Q2083" s="13">
        <v>50</v>
      </c>
      <c r="R2083" s="13">
        <v>23</v>
      </c>
      <c r="S2083" s="13">
        <v>0</v>
      </c>
      <c r="T2083" s="23">
        <v>46247.725185185183</v>
      </c>
      <c r="U2083" s="55">
        <f t="shared" si="96"/>
        <v>0.33333333333333331</v>
      </c>
      <c r="V2083" s="55">
        <f t="shared" si="97"/>
        <v>0.66666666666666663</v>
      </c>
      <c r="W2083" s="56">
        <f t="shared" si="98"/>
        <v>15976.666666666666</v>
      </c>
    </row>
    <row r="2084" spans="1:23" x14ac:dyDescent="0.3">
      <c r="A2084" s="13" t="str" cm="1">
        <f t="array" ref="A2084:B2084">INDEX(BenchmarkResults!$B$1:$D$35,SUMPRODUCT((T2084&gt;=BenchmarkResults!$F$3:$F$35)*(mongodb_hardware_log!T2084&lt;BenchmarkResults!$G$3:$G$35)*ROW(BenchmarkResults!$F$3:$F$35)),{1,3})</f>
        <v>q4_category_revenue</v>
      </c>
      <c r="B2084">
        <v>3</v>
      </c>
      <c r="C2084" s="13">
        <v>1</v>
      </c>
      <c r="D2084" s="13">
        <v>0</v>
      </c>
      <c r="E2084" s="13">
        <v>198656</v>
      </c>
      <c r="F2084" s="13">
        <v>114788</v>
      </c>
      <c r="G2084" s="13">
        <v>528</v>
      </c>
      <c r="H2084" s="13">
        <v>2325844</v>
      </c>
      <c r="I2084" s="13">
        <v>16</v>
      </c>
      <c r="J2084" s="13">
        <v>0</v>
      </c>
      <c r="K2084" s="13">
        <v>16902</v>
      </c>
      <c r="L2084" s="13">
        <v>20</v>
      </c>
      <c r="M2084" s="13">
        <v>2706</v>
      </c>
      <c r="N2084" s="13">
        <v>1751</v>
      </c>
      <c r="O2084" s="13">
        <v>19</v>
      </c>
      <c r="P2084" s="13">
        <v>7</v>
      </c>
      <c r="Q2084" s="13">
        <v>49</v>
      </c>
      <c r="R2084" s="13">
        <v>25</v>
      </c>
      <c r="S2084" s="13">
        <v>1</v>
      </c>
      <c r="T2084" s="23">
        <v>46247.725300925929</v>
      </c>
      <c r="U2084" s="55">
        <f t="shared" si="96"/>
        <v>0.33333333333333331</v>
      </c>
      <c r="V2084" s="55">
        <f t="shared" si="97"/>
        <v>0.66666666666666663</v>
      </c>
      <c r="W2084" s="56">
        <f t="shared" si="98"/>
        <v>16438.833333333332</v>
      </c>
    </row>
    <row r="2085" spans="1:23" x14ac:dyDescent="0.3">
      <c r="A2085" s="13" t="str" cm="1">
        <f t="array" ref="A2085:B2085">INDEX(BenchmarkResults!$B$1:$D$35,SUMPRODUCT((T2085&gt;=BenchmarkResults!$F$3:$F$35)*(mongodb_hardware_log!T2085&lt;BenchmarkResults!$G$3:$G$35)*ROW(BenchmarkResults!$F$3:$F$35)),{1,3})</f>
        <v>q4_category_revenue</v>
      </c>
      <c r="B2085">
        <v>3</v>
      </c>
      <c r="C2085" s="13">
        <v>0</v>
      </c>
      <c r="D2085" s="13">
        <v>1</v>
      </c>
      <c r="E2085" s="13">
        <v>196608</v>
      </c>
      <c r="F2085" s="13">
        <v>141260</v>
      </c>
      <c r="G2085" s="13">
        <v>548</v>
      </c>
      <c r="H2085" s="13">
        <v>2298056</v>
      </c>
      <c r="I2085" s="13">
        <v>219</v>
      </c>
      <c r="J2085" s="13">
        <v>0</v>
      </c>
      <c r="K2085" s="13">
        <v>15667</v>
      </c>
      <c r="L2085" s="13">
        <v>14</v>
      </c>
      <c r="M2085" s="13">
        <v>2691</v>
      </c>
      <c r="N2085" s="13">
        <v>1854</v>
      </c>
      <c r="O2085" s="13">
        <v>19</v>
      </c>
      <c r="P2085" s="13">
        <v>8</v>
      </c>
      <c r="Q2085" s="13">
        <v>50</v>
      </c>
      <c r="R2085" s="13">
        <v>23</v>
      </c>
      <c r="S2085" s="13">
        <v>0</v>
      </c>
      <c r="T2085" s="23">
        <v>46247.725416666668</v>
      </c>
      <c r="U2085" s="55">
        <f t="shared" si="96"/>
        <v>0.33333333333333331</v>
      </c>
      <c r="V2085" s="55">
        <f t="shared" si="97"/>
        <v>0.66666666666666663</v>
      </c>
      <c r="W2085" s="56">
        <f t="shared" si="98"/>
        <v>16112.666666666666</v>
      </c>
    </row>
    <row r="2086" spans="1:23" x14ac:dyDescent="0.3">
      <c r="A2086" s="13" t="str" cm="1">
        <f t="array" ref="A2086:B2086">INDEX(BenchmarkResults!$B$1:$D$35,SUMPRODUCT((T2086&gt;=BenchmarkResults!$F$3:$F$35)*(mongodb_hardware_log!T2086&lt;BenchmarkResults!$G$3:$G$35)*ROW(BenchmarkResults!$F$3:$F$35)),{1,3})</f>
        <v>q4_category_revenue</v>
      </c>
      <c r="B2086">
        <v>3</v>
      </c>
      <c r="C2086" s="13">
        <v>1</v>
      </c>
      <c r="D2086" s="13">
        <v>0</v>
      </c>
      <c r="E2086" s="13">
        <v>196608</v>
      </c>
      <c r="F2086" s="13">
        <v>114000</v>
      </c>
      <c r="G2086" s="13">
        <v>556</v>
      </c>
      <c r="H2086" s="13">
        <v>2323108</v>
      </c>
      <c r="I2086" s="13">
        <v>8</v>
      </c>
      <c r="J2086" s="13">
        <v>0</v>
      </c>
      <c r="K2086" s="13">
        <v>18004</v>
      </c>
      <c r="L2086" s="13">
        <v>12</v>
      </c>
      <c r="M2086" s="13">
        <v>2853</v>
      </c>
      <c r="N2086" s="13">
        <v>1934</v>
      </c>
      <c r="O2086" s="13">
        <v>19</v>
      </c>
      <c r="P2086" s="13">
        <v>7</v>
      </c>
      <c r="Q2086" s="13">
        <v>49</v>
      </c>
      <c r="R2086" s="13">
        <v>25</v>
      </c>
      <c r="S2086" s="13">
        <v>0</v>
      </c>
      <c r="T2086" s="23">
        <v>46247.725532407407</v>
      </c>
      <c r="U2086" s="55">
        <f t="shared" si="96"/>
        <v>0.5</v>
      </c>
      <c r="V2086" s="55">
        <f t="shared" si="97"/>
        <v>0.5</v>
      </c>
      <c r="W2086" s="56">
        <f t="shared" si="98"/>
        <v>16454.166666666668</v>
      </c>
    </row>
    <row r="2087" spans="1:23" x14ac:dyDescent="0.3">
      <c r="A2087" s="13" t="str" cm="1">
        <f t="array" ref="A2087:B2087">INDEX(BenchmarkResults!$B$1:$D$35,SUMPRODUCT((T2087&gt;=BenchmarkResults!$F$3:$F$35)*(mongodb_hardware_log!T2087&lt;BenchmarkResults!$G$3:$G$35)*ROW(BenchmarkResults!$F$3:$F$35)),{1,3})</f>
        <v>q4_category_revenue</v>
      </c>
      <c r="B2087">
        <v>3</v>
      </c>
      <c r="C2087" s="13">
        <v>1</v>
      </c>
      <c r="D2087" s="13">
        <v>0</v>
      </c>
      <c r="E2087" s="13">
        <v>196352</v>
      </c>
      <c r="F2087" s="13">
        <v>122244</v>
      </c>
      <c r="G2087" s="13">
        <v>564</v>
      </c>
      <c r="H2087" s="13">
        <v>2315940</v>
      </c>
      <c r="I2087" s="13">
        <v>8</v>
      </c>
      <c r="J2087" s="13">
        <v>0</v>
      </c>
      <c r="K2087" s="13">
        <v>17655</v>
      </c>
      <c r="L2087" s="13">
        <v>16</v>
      </c>
      <c r="M2087" s="13">
        <v>2909</v>
      </c>
      <c r="N2087" s="13">
        <v>1982</v>
      </c>
      <c r="O2087" s="13">
        <v>18</v>
      </c>
      <c r="P2087" s="13">
        <v>8</v>
      </c>
      <c r="Q2087" s="13">
        <v>48</v>
      </c>
      <c r="R2087" s="13">
        <v>25</v>
      </c>
      <c r="S2087" s="13">
        <v>1</v>
      </c>
      <c r="T2087" s="23">
        <v>46247.725648148145</v>
      </c>
      <c r="U2087" s="55">
        <f t="shared" si="96"/>
        <v>0.66666666666666663</v>
      </c>
      <c r="V2087" s="55">
        <f t="shared" si="97"/>
        <v>0.33333333333333331</v>
      </c>
      <c r="W2087" s="56">
        <f t="shared" si="98"/>
        <v>16862</v>
      </c>
    </row>
    <row r="2088" spans="1:23" x14ac:dyDescent="0.3">
      <c r="A2088" s="13" t="str" cm="1">
        <f t="array" ref="A2088:B2088">INDEX(BenchmarkResults!$B$1:$D$35,SUMPRODUCT((T2088&gt;=BenchmarkResults!$F$3:$F$35)*(mongodb_hardware_log!T2088&lt;BenchmarkResults!$G$3:$G$35)*ROW(BenchmarkResults!$F$3:$F$35)),{1,3})</f>
        <v>q4_category_revenue</v>
      </c>
      <c r="B2088">
        <v>3</v>
      </c>
      <c r="C2088" s="13">
        <v>0</v>
      </c>
      <c r="D2088" s="13">
        <v>1</v>
      </c>
      <c r="E2088" s="13">
        <v>196352</v>
      </c>
      <c r="F2088" s="13">
        <v>127624</v>
      </c>
      <c r="G2088" s="13">
        <v>572</v>
      </c>
      <c r="H2088" s="13">
        <v>2315020</v>
      </c>
      <c r="I2088" s="13">
        <v>8</v>
      </c>
      <c r="J2088" s="13">
        <v>0</v>
      </c>
      <c r="K2088" s="13">
        <v>17886</v>
      </c>
      <c r="L2088" s="13">
        <v>9</v>
      </c>
      <c r="M2088" s="13">
        <v>2598</v>
      </c>
      <c r="N2088" s="13">
        <v>1629</v>
      </c>
      <c r="O2088" s="13">
        <v>19</v>
      </c>
      <c r="P2088" s="13">
        <v>7</v>
      </c>
      <c r="Q2088" s="13">
        <v>50</v>
      </c>
      <c r="R2088" s="13">
        <v>24</v>
      </c>
      <c r="S2088" s="13">
        <v>1</v>
      </c>
      <c r="T2088" s="23">
        <v>46247.725763888891</v>
      </c>
      <c r="U2088" s="55">
        <f t="shared" si="96"/>
        <v>0.5</v>
      </c>
      <c r="V2088" s="55">
        <f t="shared" si="97"/>
        <v>0.5</v>
      </c>
      <c r="W2088" s="56">
        <f t="shared" si="98"/>
        <v>16881.666666666668</v>
      </c>
    </row>
    <row r="2089" spans="1:23" x14ac:dyDescent="0.3">
      <c r="A2089" s="13" t="str" cm="1">
        <f t="array" ref="A2089:B2089">INDEX(BenchmarkResults!$B$1:$D$35,SUMPRODUCT((T2089&gt;=BenchmarkResults!$F$3:$F$35)*(mongodb_hardware_log!T2089&lt;BenchmarkResults!$G$3:$G$35)*ROW(BenchmarkResults!$F$3:$F$35)),{1,3})</f>
        <v>q4_category_revenue</v>
      </c>
      <c r="B2089">
        <v>3</v>
      </c>
      <c r="C2089" s="13">
        <v>0</v>
      </c>
      <c r="D2089" s="13">
        <v>1</v>
      </c>
      <c r="E2089" s="13">
        <v>195840</v>
      </c>
      <c r="F2089" s="13">
        <v>107932</v>
      </c>
      <c r="G2089" s="13">
        <v>456</v>
      </c>
      <c r="H2089" s="13">
        <v>2338668</v>
      </c>
      <c r="I2089" s="13">
        <v>68</v>
      </c>
      <c r="J2089" s="13">
        <v>2</v>
      </c>
      <c r="K2089" s="13">
        <v>16718</v>
      </c>
      <c r="L2089" s="13">
        <v>27</v>
      </c>
      <c r="M2089" s="13">
        <v>2746</v>
      </c>
      <c r="N2089" s="13">
        <v>1796</v>
      </c>
      <c r="O2089" s="13">
        <v>18</v>
      </c>
      <c r="P2089" s="13">
        <v>7</v>
      </c>
      <c r="Q2089" s="13">
        <v>49</v>
      </c>
      <c r="R2089" s="13">
        <v>25</v>
      </c>
      <c r="S2089" s="13">
        <v>1</v>
      </c>
      <c r="T2089" s="23">
        <v>46247.72587962963</v>
      </c>
      <c r="U2089" s="55">
        <f t="shared" si="96"/>
        <v>0.5</v>
      </c>
      <c r="V2089" s="55">
        <f t="shared" si="97"/>
        <v>0.5</v>
      </c>
      <c r="W2089" s="56">
        <f t="shared" si="98"/>
        <v>17138.666666666668</v>
      </c>
    </row>
    <row r="2090" spans="1:23" x14ac:dyDescent="0.3">
      <c r="A2090" s="13" t="str" cm="1">
        <f t="array" ref="A2090:B2090">INDEX(BenchmarkResults!$B$1:$D$35,SUMPRODUCT((T2090&gt;=BenchmarkResults!$F$3:$F$35)*(mongodb_hardware_log!T2090&lt;BenchmarkResults!$G$3:$G$35)*ROW(BenchmarkResults!$F$3:$F$35)),{1,3})</f>
        <v>q4_category_revenue</v>
      </c>
      <c r="B2090">
        <v>3</v>
      </c>
      <c r="C2090" s="13">
        <v>0</v>
      </c>
      <c r="D2090" s="13">
        <v>1</v>
      </c>
      <c r="E2090" s="13">
        <v>195584</v>
      </c>
      <c r="F2090" s="13">
        <v>109200</v>
      </c>
      <c r="G2090" s="13">
        <v>320</v>
      </c>
      <c r="H2090" s="13">
        <v>2336796</v>
      </c>
      <c r="I2090" s="13">
        <v>12</v>
      </c>
      <c r="J2090" s="13">
        <v>0</v>
      </c>
      <c r="K2090" s="13">
        <v>15882</v>
      </c>
      <c r="L2090" s="13">
        <v>22</v>
      </c>
      <c r="M2090" s="13">
        <v>2961</v>
      </c>
      <c r="N2090" s="13">
        <v>2061</v>
      </c>
      <c r="O2090" s="13">
        <v>19</v>
      </c>
      <c r="P2090" s="13">
        <v>8</v>
      </c>
      <c r="Q2090" s="13">
        <v>47</v>
      </c>
      <c r="R2090" s="13">
        <v>25</v>
      </c>
      <c r="S2090" s="13">
        <v>1</v>
      </c>
      <c r="T2090" s="23">
        <v>46247.725995370369</v>
      </c>
      <c r="U2090" s="55">
        <f t="shared" si="96"/>
        <v>0.33333333333333331</v>
      </c>
      <c r="V2090" s="55">
        <f t="shared" si="97"/>
        <v>0.66666666666666663</v>
      </c>
      <c r="W2090" s="56">
        <f t="shared" si="98"/>
        <v>16968.666666666668</v>
      </c>
    </row>
    <row r="2091" spans="1:23" x14ac:dyDescent="0.3">
      <c r="A2091" s="13" t="str" cm="1">
        <f t="array" ref="A2091:B2091">INDEX(BenchmarkResults!$B$1:$D$35,SUMPRODUCT((T2091&gt;=BenchmarkResults!$F$3:$F$35)*(mongodb_hardware_log!T2091&lt;BenchmarkResults!$G$3:$G$35)*ROW(BenchmarkResults!$F$3:$F$35)),{1,3})</f>
        <v>q4_category_revenue</v>
      </c>
      <c r="B2091">
        <v>3</v>
      </c>
      <c r="C2091" s="13">
        <v>0</v>
      </c>
      <c r="D2091" s="13">
        <v>1</v>
      </c>
      <c r="E2091" s="13">
        <v>194048</v>
      </c>
      <c r="F2091" s="13">
        <v>144152</v>
      </c>
      <c r="G2091" s="13">
        <v>340</v>
      </c>
      <c r="H2091" s="13">
        <v>2304044</v>
      </c>
      <c r="I2091" s="13">
        <v>187</v>
      </c>
      <c r="J2091" s="13">
        <v>16</v>
      </c>
      <c r="K2091" s="13">
        <v>17476</v>
      </c>
      <c r="L2091" s="13">
        <v>35</v>
      </c>
      <c r="M2091" s="13">
        <v>2619</v>
      </c>
      <c r="N2091" s="13">
        <v>1760</v>
      </c>
      <c r="O2091" s="13">
        <v>18</v>
      </c>
      <c r="P2091" s="13">
        <v>6</v>
      </c>
      <c r="Q2091" s="13">
        <v>49</v>
      </c>
      <c r="R2091" s="13">
        <v>26</v>
      </c>
      <c r="S2091" s="13">
        <v>1</v>
      </c>
      <c r="T2091" s="23">
        <v>46247.726111111115</v>
      </c>
      <c r="U2091" s="55">
        <f t="shared" si="96"/>
        <v>0.33333333333333331</v>
      </c>
      <c r="V2091" s="55">
        <f t="shared" si="97"/>
        <v>0.66666666666666663</v>
      </c>
      <c r="W2091" s="56">
        <f t="shared" si="98"/>
        <v>17270.166666666668</v>
      </c>
    </row>
    <row r="2092" spans="1:23" x14ac:dyDescent="0.3">
      <c r="A2092" s="13" t="str" cm="1">
        <f t="array" ref="A2092:B2092">INDEX(BenchmarkResults!$B$1:$D$35,SUMPRODUCT((T2092&gt;=BenchmarkResults!$F$3:$F$35)*(mongodb_hardware_log!T2092&lt;BenchmarkResults!$G$3:$G$35)*ROW(BenchmarkResults!$F$3:$F$35)),{1,3})</f>
        <v>q4_category_revenue</v>
      </c>
      <c r="B2092">
        <v>3</v>
      </c>
      <c r="C2092" s="13">
        <v>0</v>
      </c>
      <c r="D2092" s="13">
        <v>1</v>
      </c>
      <c r="E2092" s="13">
        <v>194048</v>
      </c>
      <c r="F2092" s="13">
        <v>109228</v>
      </c>
      <c r="G2092" s="13">
        <v>348</v>
      </c>
      <c r="H2092" s="13">
        <v>2335240</v>
      </c>
      <c r="I2092" s="13">
        <v>10</v>
      </c>
      <c r="J2092" s="13">
        <v>0</v>
      </c>
      <c r="K2092" s="13">
        <v>16292</v>
      </c>
      <c r="L2092" s="13">
        <v>8</v>
      </c>
      <c r="M2092" s="13">
        <v>2904</v>
      </c>
      <c r="N2092" s="13">
        <v>1932</v>
      </c>
      <c r="O2092" s="13">
        <v>20</v>
      </c>
      <c r="P2092" s="13">
        <v>7</v>
      </c>
      <c r="Q2092" s="13">
        <v>47</v>
      </c>
      <c r="R2092" s="13">
        <v>25</v>
      </c>
      <c r="S2092" s="13">
        <v>1</v>
      </c>
      <c r="T2092" s="23">
        <v>46247.726226851853</v>
      </c>
      <c r="U2092" s="55">
        <f t="shared" si="96"/>
        <v>0.16666666666666666</v>
      </c>
      <c r="V2092" s="55">
        <f t="shared" si="97"/>
        <v>0.83333333333333337</v>
      </c>
      <c r="W2092" s="56">
        <f t="shared" si="98"/>
        <v>16984.833333333332</v>
      </c>
    </row>
    <row r="2093" spans="1:23" x14ac:dyDescent="0.3">
      <c r="A2093" s="13" t="str" cm="1">
        <f t="array" ref="A2093:B2093">INDEX(BenchmarkResults!$B$1:$D$35,SUMPRODUCT((T2093&gt;=BenchmarkResults!$F$3:$F$35)*(mongodb_hardware_log!T2093&lt;BenchmarkResults!$G$3:$G$35)*ROW(BenchmarkResults!$F$3:$F$35)),{1,3})</f>
        <v>q4_category_revenue</v>
      </c>
      <c r="B2093">
        <v>3</v>
      </c>
      <c r="C2093" s="13">
        <v>0</v>
      </c>
      <c r="D2093" s="13">
        <v>1</v>
      </c>
      <c r="E2093" s="13">
        <v>194048</v>
      </c>
      <c r="F2093" s="13">
        <v>125720</v>
      </c>
      <c r="G2093" s="13">
        <v>276</v>
      </c>
      <c r="H2093" s="13">
        <v>2301748</v>
      </c>
      <c r="I2093" s="13">
        <v>4</v>
      </c>
      <c r="J2093" s="13">
        <v>0</v>
      </c>
      <c r="K2093" s="13">
        <v>15943</v>
      </c>
      <c r="L2093" s="13">
        <v>34</v>
      </c>
      <c r="M2093" s="13">
        <v>2919</v>
      </c>
      <c r="N2093" s="13">
        <v>2043</v>
      </c>
      <c r="O2093" s="13">
        <v>19</v>
      </c>
      <c r="P2093" s="13">
        <v>8</v>
      </c>
      <c r="Q2093" s="13">
        <v>49</v>
      </c>
      <c r="R2093" s="13">
        <v>23</v>
      </c>
      <c r="S2093" s="13">
        <v>0</v>
      </c>
      <c r="T2093" s="23">
        <v>46247.726342592592</v>
      </c>
      <c r="U2093" s="55">
        <f t="shared" si="96"/>
        <v>0</v>
      </c>
      <c r="V2093" s="55">
        <f t="shared" si="97"/>
        <v>1</v>
      </c>
      <c r="W2093" s="56">
        <f t="shared" si="98"/>
        <v>16699.5</v>
      </c>
    </row>
    <row r="2094" spans="1:23" x14ac:dyDescent="0.3">
      <c r="A2094" s="13" t="str" cm="1">
        <f t="array" ref="A2094:B2094">INDEX(BenchmarkResults!$B$1:$D$35,SUMPRODUCT((T2094&gt;=BenchmarkResults!$F$3:$F$35)*(mongodb_hardware_log!T2094&lt;BenchmarkResults!$G$3:$G$35)*ROW(BenchmarkResults!$F$3:$F$35)),{1,3})</f>
        <v>q4_category_revenue</v>
      </c>
      <c r="B2094">
        <v>3</v>
      </c>
      <c r="C2094" s="13">
        <v>1</v>
      </c>
      <c r="D2094" s="13">
        <v>0</v>
      </c>
      <c r="E2094" s="13">
        <v>194048</v>
      </c>
      <c r="F2094" s="13">
        <v>144032</v>
      </c>
      <c r="G2094" s="13">
        <v>284</v>
      </c>
      <c r="H2094" s="13">
        <v>2290328</v>
      </c>
      <c r="I2094" s="13">
        <v>2</v>
      </c>
      <c r="J2094" s="13">
        <v>0</v>
      </c>
      <c r="K2094" s="13">
        <v>14865</v>
      </c>
      <c r="L2094" s="13">
        <v>13</v>
      </c>
      <c r="M2094" s="13">
        <v>2543</v>
      </c>
      <c r="N2094" s="13">
        <v>1601</v>
      </c>
      <c r="O2094" s="13">
        <v>18</v>
      </c>
      <c r="P2094" s="13">
        <v>6</v>
      </c>
      <c r="Q2094" s="13">
        <v>50</v>
      </c>
      <c r="R2094" s="13">
        <v>25</v>
      </c>
      <c r="S2094" s="13">
        <v>1</v>
      </c>
      <c r="T2094" s="23">
        <v>46247.726458333331</v>
      </c>
      <c r="U2094" s="55">
        <f t="shared" si="96"/>
        <v>0.16666666666666666</v>
      </c>
      <c r="V2094" s="55">
        <f t="shared" si="97"/>
        <v>0.83333333333333337</v>
      </c>
      <c r="W2094" s="56">
        <f t="shared" si="98"/>
        <v>16196</v>
      </c>
    </row>
    <row r="2095" spans="1:23" x14ac:dyDescent="0.3">
      <c r="A2095" s="13" t="str" cm="1">
        <f t="array" ref="A2095:B2095">INDEX(BenchmarkResults!$B$1:$D$35,SUMPRODUCT((T2095&gt;=BenchmarkResults!$F$3:$F$35)*(mongodb_hardware_log!T2095&lt;BenchmarkResults!$G$3:$G$35)*ROW(BenchmarkResults!$F$3:$F$35)),{1,3})</f>
        <v>q4_category_revenue</v>
      </c>
      <c r="B2095">
        <v>3</v>
      </c>
      <c r="C2095" s="13">
        <v>1</v>
      </c>
      <c r="D2095" s="13">
        <v>0</v>
      </c>
      <c r="E2095" s="13">
        <v>194048</v>
      </c>
      <c r="F2095" s="13">
        <v>152712</v>
      </c>
      <c r="G2095" s="13">
        <v>320</v>
      </c>
      <c r="H2095" s="13">
        <v>2281844</v>
      </c>
      <c r="I2095" s="13">
        <v>3</v>
      </c>
      <c r="J2095" s="13">
        <v>0</v>
      </c>
      <c r="K2095" s="13">
        <v>15605</v>
      </c>
      <c r="L2095" s="13">
        <v>44</v>
      </c>
      <c r="M2095" s="13">
        <v>2718</v>
      </c>
      <c r="N2095" s="13">
        <v>1811</v>
      </c>
      <c r="O2095" s="13">
        <v>19</v>
      </c>
      <c r="P2095" s="13">
        <v>7</v>
      </c>
      <c r="Q2095" s="13">
        <v>50</v>
      </c>
      <c r="R2095" s="13">
        <v>23</v>
      </c>
      <c r="S2095" s="13">
        <v>0</v>
      </c>
      <c r="T2095" s="23">
        <v>46247.726574074077</v>
      </c>
      <c r="U2095" s="55">
        <f t="shared" si="96"/>
        <v>0.33333333333333331</v>
      </c>
      <c r="V2095" s="55">
        <f t="shared" si="97"/>
        <v>0.66666666666666663</v>
      </c>
      <c r="W2095" s="56">
        <f t="shared" si="98"/>
        <v>16010.5</v>
      </c>
    </row>
    <row r="2096" spans="1:23" x14ac:dyDescent="0.3">
      <c r="A2096" s="13" t="str" cm="1">
        <f t="array" ref="A2096:B2096">INDEX(BenchmarkResults!$B$1:$D$35,SUMPRODUCT((T2096&gt;=BenchmarkResults!$F$3:$F$35)*(mongodb_hardware_log!T2096&lt;BenchmarkResults!$G$3:$G$35)*ROW(BenchmarkResults!$F$3:$F$35)),{1,3})</f>
        <v>q4_category_revenue</v>
      </c>
      <c r="B2096">
        <v>3</v>
      </c>
      <c r="C2096" s="13">
        <v>1</v>
      </c>
      <c r="D2096" s="13">
        <v>0</v>
      </c>
      <c r="E2096" s="13">
        <v>194048</v>
      </c>
      <c r="F2096" s="13">
        <v>140968</v>
      </c>
      <c r="G2096" s="13">
        <v>336</v>
      </c>
      <c r="H2096" s="13">
        <v>2296496</v>
      </c>
      <c r="I2096" s="13">
        <v>0</v>
      </c>
      <c r="J2096" s="13">
        <v>0</v>
      </c>
      <c r="K2096" s="13">
        <v>16804</v>
      </c>
      <c r="L2096" s="13">
        <v>16</v>
      </c>
      <c r="M2096" s="13">
        <v>2736</v>
      </c>
      <c r="N2096" s="13">
        <v>1825</v>
      </c>
      <c r="O2096" s="13">
        <v>19</v>
      </c>
      <c r="P2096" s="13">
        <v>7</v>
      </c>
      <c r="Q2096" s="13">
        <v>50</v>
      </c>
      <c r="R2096" s="13">
        <v>23</v>
      </c>
      <c r="S2096" s="13">
        <v>0</v>
      </c>
      <c r="T2096" s="23">
        <v>46247.726689814815</v>
      </c>
      <c r="U2096" s="55">
        <f t="shared" si="96"/>
        <v>0.5</v>
      </c>
      <c r="V2096" s="55">
        <f t="shared" si="97"/>
        <v>0.5</v>
      </c>
      <c r="W2096" s="56">
        <f t="shared" si="98"/>
        <v>16164.166666666666</v>
      </c>
    </row>
    <row r="2097" spans="1:23" x14ac:dyDescent="0.3">
      <c r="A2097" s="13" t="str" cm="1">
        <f t="array" ref="A2097:B2097">INDEX(BenchmarkResults!$B$1:$D$35,SUMPRODUCT((T2097&gt;=BenchmarkResults!$F$3:$F$35)*(mongodb_hardware_log!T2097&lt;BenchmarkResults!$G$3:$G$35)*ROW(BenchmarkResults!$F$3:$F$35)),{1,3})</f>
        <v>q4_category_revenue</v>
      </c>
      <c r="B2097">
        <v>3</v>
      </c>
      <c r="C2097" s="13">
        <v>1</v>
      </c>
      <c r="D2097" s="13">
        <v>0</v>
      </c>
      <c r="E2097" s="13">
        <v>194048</v>
      </c>
      <c r="F2097" s="13">
        <v>141888</v>
      </c>
      <c r="G2097" s="13">
        <v>344</v>
      </c>
      <c r="H2097" s="13">
        <v>2293444</v>
      </c>
      <c r="I2097" s="13">
        <v>1</v>
      </c>
      <c r="J2097" s="13">
        <v>0</v>
      </c>
      <c r="K2097" s="13">
        <v>16761</v>
      </c>
      <c r="L2097" s="13">
        <v>15</v>
      </c>
      <c r="M2097" s="13">
        <v>2816</v>
      </c>
      <c r="N2097" s="13">
        <v>1967</v>
      </c>
      <c r="O2097" s="13">
        <v>19</v>
      </c>
      <c r="P2097" s="13">
        <v>8</v>
      </c>
      <c r="Q2097" s="13">
        <v>50</v>
      </c>
      <c r="R2097" s="13">
        <v>23</v>
      </c>
      <c r="S2097" s="13">
        <v>0</v>
      </c>
      <c r="T2097" s="23">
        <v>46247.726805555554</v>
      </c>
      <c r="U2097" s="55">
        <f t="shared" si="96"/>
        <v>0.66666666666666663</v>
      </c>
      <c r="V2097" s="55">
        <f t="shared" si="97"/>
        <v>0.33333333333333331</v>
      </c>
      <c r="W2097" s="56">
        <f t="shared" si="98"/>
        <v>16045</v>
      </c>
    </row>
    <row r="2098" spans="1:23" x14ac:dyDescent="0.3">
      <c r="A2098" s="13" t="str" cm="1">
        <f t="array" ref="A2098:B2098">INDEX(BenchmarkResults!$B$1:$D$35,SUMPRODUCT((T2098&gt;=BenchmarkResults!$F$3:$F$35)*(mongodb_hardware_log!T2098&lt;BenchmarkResults!$G$3:$G$35)*ROW(BenchmarkResults!$F$3:$F$35)),{1,3})</f>
        <v>q4_category_revenue</v>
      </c>
      <c r="B2098">
        <v>3</v>
      </c>
      <c r="C2098" s="13">
        <v>1</v>
      </c>
      <c r="D2098" s="13">
        <v>0</v>
      </c>
      <c r="E2098" s="13">
        <v>194048</v>
      </c>
      <c r="F2098" s="13">
        <v>131404</v>
      </c>
      <c r="G2098" s="13">
        <v>352</v>
      </c>
      <c r="H2098" s="13">
        <v>2312312</v>
      </c>
      <c r="I2098" s="13">
        <v>4</v>
      </c>
      <c r="J2098" s="13">
        <v>0</v>
      </c>
      <c r="K2098" s="13">
        <v>17432</v>
      </c>
      <c r="L2098" s="13">
        <v>11</v>
      </c>
      <c r="M2098" s="13">
        <v>2791</v>
      </c>
      <c r="N2098" s="13">
        <v>1988</v>
      </c>
      <c r="O2098" s="13">
        <v>20</v>
      </c>
      <c r="P2098" s="13">
        <v>8</v>
      </c>
      <c r="Q2098" s="13">
        <v>50</v>
      </c>
      <c r="R2098" s="13">
        <v>22</v>
      </c>
      <c r="S2098" s="13">
        <v>0</v>
      </c>
      <c r="T2098" s="23">
        <v>46247.726921296293</v>
      </c>
      <c r="U2098" s="55">
        <f t="shared" si="96"/>
        <v>0.83333333333333337</v>
      </c>
      <c r="V2098" s="55">
        <f t="shared" si="97"/>
        <v>0.16666666666666666</v>
      </c>
      <c r="W2098" s="56">
        <f t="shared" si="98"/>
        <v>16235</v>
      </c>
    </row>
    <row r="2099" spans="1:23" x14ac:dyDescent="0.3">
      <c r="A2099" s="13" t="str" cm="1">
        <f t="array" ref="A2099:B2099">INDEX(BenchmarkResults!$B$1:$D$35,SUMPRODUCT((T2099&gt;=BenchmarkResults!$F$3:$F$35)*(mongodb_hardware_log!T2099&lt;BenchmarkResults!$G$3:$G$35)*ROW(BenchmarkResults!$F$3:$F$35)),{1,3})</f>
        <v>q4_category_revenue</v>
      </c>
      <c r="B2099">
        <v>3</v>
      </c>
      <c r="C2099" s="13">
        <v>1</v>
      </c>
      <c r="D2099" s="13">
        <v>0</v>
      </c>
      <c r="E2099" s="13">
        <v>193792</v>
      </c>
      <c r="F2099" s="13">
        <v>122464</v>
      </c>
      <c r="G2099" s="13">
        <v>360</v>
      </c>
      <c r="H2099" s="13">
        <v>2318808</v>
      </c>
      <c r="I2099" s="13">
        <v>9</v>
      </c>
      <c r="J2099" s="13">
        <v>0</v>
      </c>
      <c r="K2099" s="13">
        <v>17282</v>
      </c>
      <c r="L2099" s="13">
        <v>11</v>
      </c>
      <c r="M2099" s="13">
        <v>3025</v>
      </c>
      <c r="N2099" s="13">
        <v>2036</v>
      </c>
      <c r="O2099" s="13">
        <v>20</v>
      </c>
      <c r="P2099" s="13">
        <v>8</v>
      </c>
      <c r="Q2099" s="13">
        <v>49</v>
      </c>
      <c r="R2099" s="13">
        <v>23</v>
      </c>
      <c r="S2099" s="13">
        <v>0</v>
      </c>
      <c r="T2099" s="23">
        <v>46247.727037037039</v>
      </c>
      <c r="U2099" s="55">
        <f t="shared" si="96"/>
        <v>1</v>
      </c>
      <c r="V2099" s="55">
        <f t="shared" si="97"/>
        <v>0</v>
      </c>
      <c r="W2099" s="56">
        <f t="shared" si="98"/>
        <v>16458.166666666668</v>
      </c>
    </row>
    <row r="2100" spans="1:23" x14ac:dyDescent="0.3">
      <c r="A2100" s="13" t="str" cm="1">
        <f t="array" ref="A2100:B2100">INDEX(BenchmarkResults!$B$1:$D$35,SUMPRODUCT((T2100&gt;=BenchmarkResults!$F$3:$F$35)*(mongodb_hardware_log!T2100&lt;BenchmarkResults!$G$3:$G$35)*ROW(BenchmarkResults!$F$3:$F$35)),{1,3})</f>
        <v>q4_category_revenue</v>
      </c>
      <c r="B2100">
        <v>3</v>
      </c>
      <c r="C2100" s="13">
        <v>0</v>
      </c>
      <c r="D2100" s="13">
        <v>1</v>
      </c>
      <c r="E2100" s="13">
        <v>193792</v>
      </c>
      <c r="F2100" s="13">
        <v>124344</v>
      </c>
      <c r="G2100" s="13">
        <v>368</v>
      </c>
      <c r="H2100" s="13">
        <v>2312472</v>
      </c>
      <c r="I2100" s="13">
        <v>3</v>
      </c>
      <c r="J2100" s="13">
        <v>0</v>
      </c>
      <c r="K2100" s="13">
        <v>20244</v>
      </c>
      <c r="L2100" s="13">
        <v>16</v>
      </c>
      <c r="M2100" s="13">
        <v>3490</v>
      </c>
      <c r="N2100" s="13">
        <v>2415</v>
      </c>
      <c r="O2100" s="13">
        <v>19</v>
      </c>
      <c r="P2100" s="13">
        <v>9</v>
      </c>
      <c r="Q2100" s="13">
        <v>46</v>
      </c>
      <c r="R2100" s="13">
        <v>25</v>
      </c>
      <c r="S2100" s="13">
        <v>0</v>
      </c>
      <c r="T2100" s="23">
        <v>46247.727152777778</v>
      </c>
      <c r="U2100" s="55">
        <f t="shared" si="96"/>
        <v>0.83333333333333337</v>
      </c>
      <c r="V2100" s="55">
        <f t="shared" si="97"/>
        <v>0.16666666666666666</v>
      </c>
      <c r="W2100" s="56">
        <f t="shared" si="98"/>
        <v>17354.666666666668</v>
      </c>
    </row>
    <row r="2101" spans="1:23" x14ac:dyDescent="0.3">
      <c r="A2101" s="13" t="str" cm="1">
        <f t="array" ref="A2101:B2101">INDEX(BenchmarkResults!$B$1:$D$35,SUMPRODUCT((T2101&gt;=BenchmarkResults!$F$3:$F$35)*(mongodb_hardware_log!T2101&lt;BenchmarkResults!$G$3:$G$35)*ROW(BenchmarkResults!$F$3:$F$35)),{1,3})</f>
        <v>q4_category_revenue</v>
      </c>
      <c r="B2101">
        <v>3</v>
      </c>
      <c r="C2101" s="13">
        <v>0</v>
      </c>
      <c r="D2101" s="13">
        <v>1</v>
      </c>
      <c r="E2101" s="13">
        <v>193792</v>
      </c>
      <c r="F2101" s="13">
        <v>133376</v>
      </c>
      <c r="G2101" s="13">
        <v>232</v>
      </c>
      <c r="H2101" s="13">
        <v>2316072</v>
      </c>
      <c r="I2101" s="13">
        <v>9</v>
      </c>
      <c r="J2101" s="13">
        <v>34</v>
      </c>
      <c r="K2101" s="13">
        <v>14102</v>
      </c>
      <c r="L2101" s="13">
        <v>60</v>
      </c>
      <c r="M2101" s="13">
        <v>2607</v>
      </c>
      <c r="N2101" s="13">
        <v>1714</v>
      </c>
      <c r="O2101" s="13">
        <v>19</v>
      </c>
      <c r="P2101" s="13">
        <v>7</v>
      </c>
      <c r="Q2101" s="13">
        <v>49</v>
      </c>
      <c r="R2101" s="13">
        <v>24</v>
      </c>
      <c r="S2101" s="13">
        <v>1</v>
      </c>
      <c r="T2101" s="23">
        <v>46247.727268518516</v>
      </c>
      <c r="U2101" s="55">
        <f t="shared" si="96"/>
        <v>0.66666666666666663</v>
      </c>
      <c r="V2101" s="55">
        <f t="shared" si="97"/>
        <v>0.33333333333333331</v>
      </c>
      <c r="W2101" s="56">
        <f t="shared" si="98"/>
        <v>17104.166666666668</v>
      </c>
    </row>
    <row r="2102" spans="1:23" x14ac:dyDescent="0.3">
      <c r="A2102" s="13" t="str" cm="1">
        <f t="array" ref="A2102:B2102">INDEX(BenchmarkResults!$B$1:$D$35,SUMPRODUCT((T2102&gt;=BenchmarkResults!$F$3:$F$35)*(mongodb_hardware_log!T2102&lt;BenchmarkResults!$G$3:$G$35)*ROW(BenchmarkResults!$F$3:$F$35)),{1,3})</f>
        <v>q4_category_revenue</v>
      </c>
      <c r="B2102">
        <v>3</v>
      </c>
      <c r="C2102" s="13">
        <v>1</v>
      </c>
      <c r="D2102" s="13">
        <v>1</v>
      </c>
      <c r="E2102" s="13">
        <v>200448</v>
      </c>
      <c r="F2102" s="13">
        <v>649176</v>
      </c>
      <c r="G2102" s="13">
        <v>200</v>
      </c>
      <c r="H2102" s="13">
        <v>1697916</v>
      </c>
      <c r="I2102" s="13">
        <v>9</v>
      </c>
      <c r="J2102" s="13">
        <v>721</v>
      </c>
      <c r="K2102" s="13">
        <v>11289</v>
      </c>
      <c r="L2102" s="13">
        <v>736</v>
      </c>
      <c r="M2102" s="13">
        <v>2288</v>
      </c>
      <c r="N2102" s="13">
        <v>1527</v>
      </c>
      <c r="O2102" s="13">
        <v>18</v>
      </c>
      <c r="P2102" s="13">
        <v>19</v>
      </c>
      <c r="Q2102" s="13">
        <v>34</v>
      </c>
      <c r="R2102" s="13">
        <v>28</v>
      </c>
      <c r="S2102" s="13">
        <v>1</v>
      </c>
      <c r="T2102" s="23">
        <v>46247.727384259262</v>
      </c>
      <c r="U2102" s="55">
        <f t="shared" si="96"/>
        <v>0.66666666666666663</v>
      </c>
      <c r="V2102" s="55">
        <f t="shared" si="97"/>
        <v>0.5</v>
      </c>
      <c r="W2102" s="56">
        <f t="shared" si="98"/>
        <v>16185</v>
      </c>
    </row>
    <row r="2103" spans="1:23" x14ac:dyDescent="0.3">
      <c r="A2103" s="13" t="str" cm="1">
        <f t="array" ref="A2103:B2103">INDEX(BenchmarkResults!$B$1:$D$35,SUMPRODUCT((T2103&gt;=BenchmarkResults!$F$3:$F$35)*(mongodb_hardware_log!T2103&lt;BenchmarkResults!$G$3:$G$35)*ROW(BenchmarkResults!$F$3:$F$35)),{1,3})</f>
        <v>q4_category_revenue</v>
      </c>
      <c r="B2103">
        <v>3</v>
      </c>
      <c r="C2103" s="13">
        <v>0</v>
      </c>
      <c r="D2103" s="13">
        <v>1</v>
      </c>
      <c r="E2103" s="13">
        <v>200448</v>
      </c>
      <c r="F2103" s="13">
        <v>497772</v>
      </c>
      <c r="G2103" s="13">
        <v>212</v>
      </c>
      <c r="H2103" s="13">
        <v>1917592</v>
      </c>
      <c r="I2103" s="13">
        <v>2</v>
      </c>
      <c r="J2103" s="13">
        <v>0</v>
      </c>
      <c r="K2103" s="13">
        <v>21967</v>
      </c>
      <c r="L2103" s="13">
        <v>12</v>
      </c>
      <c r="M2103" s="13">
        <v>2988</v>
      </c>
      <c r="N2103" s="13">
        <v>1811</v>
      </c>
      <c r="O2103" s="13">
        <v>13</v>
      </c>
      <c r="P2103" s="13">
        <v>9</v>
      </c>
      <c r="Q2103" s="13">
        <v>47</v>
      </c>
      <c r="R2103" s="13">
        <v>31</v>
      </c>
      <c r="S2103" s="13">
        <v>0</v>
      </c>
      <c r="T2103" s="23">
        <v>46247.727500000001</v>
      </c>
      <c r="U2103" s="55">
        <f t="shared" si="96"/>
        <v>0.5</v>
      </c>
      <c r="V2103" s="55">
        <f t="shared" si="97"/>
        <v>0.66666666666666663</v>
      </c>
      <c r="W2103" s="56">
        <f t="shared" si="98"/>
        <v>17052.666666666668</v>
      </c>
    </row>
    <row r="2104" spans="1:23" x14ac:dyDescent="0.3">
      <c r="A2104" s="13" t="str" cm="1">
        <f t="array" ref="A2104:B2104">INDEX(BenchmarkResults!$B$1:$D$35,SUMPRODUCT((T2104&gt;=BenchmarkResults!$F$3:$F$35)*(mongodb_hardware_log!T2104&lt;BenchmarkResults!$G$3:$G$35)*ROW(BenchmarkResults!$F$3:$F$35)),{1,3})</f>
        <v>q4_category_revenue</v>
      </c>
      <c r="B2104">
        <v>3</v>
      </c>
      <c r="C2104" s="13">
        <v>0</v>
      </c>
      <c r="D2104" s="13">
        <v>1</v>
      </c>
      <c r="E2104" s="13">
        <v>200192</v>
      </c>
      <c r="F2104" s="13">
        <v>297684</v>
      </c>
      <c r="G2104" s="13">
        <v>220</v>
      </c>
      <c r="H2104" s="13">
        <v>2137208</v>
      </c>
      <c r="I2104" s="13">
        <v>26</v>
      </c>
      <c r="J2104" s="13">
        <v>0</v>
      </c>
      <c r="K2104" s="13">
        <v>21980</v>
      </c>
      <c r="L2104" s="13">
        <v>19</v>
      </c>
      <c r="M2104" s="13">
        <v>2807</v>
      </c>
      <c r="N2104" s="13">
        <v>1751</v>
      </c>
      <c r="O2104" s="13">
        <v>15</v>
      </c>
      <c r="P2104" s="13">
        <v>7</v>
      </c>
      <c r="Q2104" s="13">
        <v>48</v>
      </c>
      <c r="R2104" s="13">
        <v>30</v>
      </c>
      <c r="S2104" s="13">
        <v>1</v>
      </c>
      <c r="T2104" s="23">
        <v>46247.72761574074</v>
      </c>
      <c r="U2104" s="55">
        <f t="shared" si="96"/>
        <v>0.33333333333333331</v>
      </c>
      <c r="V2104" s="55">
        <f t="shared" si="97"/>
        <v>0.83333333333333337</v>
      </c>
      <c r="W2104" s="56">
        <f t="shared" si="98"/>
        <v>17810.666666666668</v>
      </c>
    </row>
    <row r="2105" spans="1:23" x14ac:dyDescent="0.3">
      <c r="A2105" s="13" t="str" cm="1">
        <f t="array" ref="A2105:B2105">INDEX(BenchmarkResults!$B$1:$D$35,SUMPRODUCT((T2105&gt;=BenchmarkResults!$F$3:$F$35)*(mongodb_hardware_log!T2105&lt;BenchmarkResults!$G$3:$G$35)*ROW(BenchmarkResults!$F$3:$F$35)),{1,3})</f>
        <v>q4_category_revenue</v>
      </c>
      <c r="B2105">
        <v>3</v>
      </c>
      <c r="C2105" s="13">
        <v>0</v>
      </c>
      <c r="D2105" s="13">
        <v>1</v>
      </c>
      <c r="E2105" s="13">
        <v>200192</v>
      </c>
      <c r="F2105" s="13">
        <v>154540</v>
      </c>
      <c r="G2105" s="13">
        <v>496</v>
      </c>
      <c r="H2105" s="13">
        <v>2283704</v>
      </c>
      <c r="I2105" s="13">
        <v>8</v>
      </c>
      <c r="J2105" s="13">
        <v>0</v>
      </c>
      <c r="K2105" s="13">
        <v>19952</v>
      </c>
      <c r="L2105" s="13">
        <v>12</v>
      </c>
      <c r="M2105" s="13">
        <v>2952</v>
      </c>
      <c r="N2105" s="13">
        <v>1976</v>
      </c>
      <c r="O2105" s="13">
        <v>19</v>
      </c>
      <c r="P2105" s="13">
        <v>7</v>
      </c>
      <c r="Q2105" s="13">
        <v>47</v>
      </c>
      <c r="R2105" s="13">
        <v>26</v>
      </c>
      <c r="S2105" s="13">
        <v>1</v>
      </c>
      <c r="T2105" s="23">
        <v>46247.727731481478</v>
      </c>
      <c r="U2105" s="55">
        <f t="shared" si="96"/>
        <v>0.16666666666666666</v>
      </c>
      <c r="V2105" s="55">
        <f t="shared" si="97"/>
        <v>1</v>
      </c>
      <c r="W2105" s="56">
        <f t="shared" si="98"/>
        <v>18255.666666666668</v>
      </c>
    </row>
    <row r="2106" spans="1:23" x14ac:dyDescent="0.3">
      <c r="A2106" s="13" t="str" cm="1">
        <f t="array" ref="A2106:B2106">INDEX(BenchmarkResults!$B$1:$D$35,SUMPRODUCT((T2106&gt;=BenchmarkResults!$F$3:$F$35)*(mongodb_hardware_log!T2106&lt;BenchmarkResults!$G$3:$G$35)*ROW(BenchmarkResults!$F$3:$F$35)),{1,3})</f>
        <v>q4_category_revenue</v>
      </c>
      <c r="B2106">
        <v>3</v>
      </c>
      <c r="C2106" s="13">
        <v>1</v>
      </c>
      <c r="D2106" s="13">
        <v>0</v>
      </c>
      <c r="E2106" s="13">
        <v>199936</v>
      </c>
      <c r="F2106" s="13">
        <v>116448</v>
      </c>
      <c r="G2106" s="13">
        <v>504</v>
      </c>
      <c r="H2106" s="13">
        <v>2317860</v>
      </c>
      <c r="I2106" s="13">
        <v>16</v>
      </c>
      <c r="J2106" s="13">
        <v>0</v>
      </c>
      <c r="K2106" s="13">
        <v>19450</v>
      </c>
      <c r="L2106" s="13">
        <v>28</v>
      </c>
      <c r="M2106" s="13">
        <v>3230</v>
      </c>
      <c r="N2106" s="13">
        <v>2170</v>
      </c>
      <c r="O2106" s="13">
        <v>21</v>
      </c>
      <c r="P2106" s="13">
        <v>8</v>
      </c>
      <c r="Q2106" s="13">
        <v>46</v>
      </c>
      <c r="R2106" s="13">
        <v>24</v>
      </c>
      <c r="S2106" s="13">
        <v>1</v>
      </c>
      <c r="T2106" s="23">
        <v>46247.727847222224</v>
      </c>
      <c r="U2106" s="55">
        <f t="shared" si="96"/>
        <v>0.33333333333333331</v>
      </c>
      <c r="V2106" s="55">
        <f t="shared" si="97"/>
        <v>0.83333333333333337</v>
      </c>
      <c r="W2106" s="56">
        <f t="shared" si="98"/>
        <v>18123.333333333332</v>
      </c>
    </row>
    <row r="2107" spans="1:23" x14ac:dyDescent="0.3">
      <c r="A2107" s="13" t="str" cm="1">
        <f t="array" ref="A2107:B2107">INDEX(BenchmarkResults!$B$1:$D$35,SUMPRODUCT((T2107&gt;=BenchmarkResults!$F$3:$F$35)*(mongodb_hardware_log!T2107&lt;BenchmarkResults!$G$3:$G$35)*ROW(BenchmarkResults!$F$3:$F$35)),{1,3})</f>
        <v>q4_category_revenue</v>
      </c>
      <c r="B2107">
        <v>3</v>
      </c>
      <c r="C2107" s="13">
        <v>1</v>
      </c>
      <c r="D2107" s="13">
        <v>0</v>
      </c>
      <c r="E2107" s="13">
        <v>199936</v>
      </c>
      <c r="F2107" s="13">
        <v>110948</v>
      </c>
      <c r="G2107" s="13">
        <v>528</v>
      </c>
      <c r="H2107" s="13">
        <v>2319996</v>
      </c>
      <c r="I2107" s="13">
        <v>2</v>
      </c>
      <c r="J2107" s="13">
        <v>0</v>
      </c>
      <c r="K2107" s="13">
        <v>15538</v>
      </c>
      <c r="L2107" s="13">
        <v>29</v>
      </c>
      <c r="M2107" s="13">
        <v>2953</v>
      </c>
      <c r="N2107" s="13">
        <v>1865</v>
      </c>
      <c r="O2107" s="13">
        <v>23</v>
      </c>
      <c r="P2107" s="13">
        <v>7</v>
      </c>
      <c r="Q2107" s="13">
        <v>47</v>
      </c>
      <c r="R2107" s="13">
        <v>23</v>
      </c>
      <c r="S2107" s="13">
        <v>0</v>
      </c>
      <c r="T2107" s="23">
        <v>46247.727962962963</v>
      </c>
      <c r="U2107" s="55">
        <f t="shared" si="96"/>
        <v>0.5</v>
      </c>
      <c r="V2107" s="55">
        <f t="shared" si="97"/>
        <v>0.66666666666666663</v>
      </c>
      <c r="W2107" s="56">
        <f t="shared" si="98"/>
        <v>18362.666666666668</v>
      </c>
    </row>
    <row r="2108" spans="1:23" x14ac:dyDescent="0.3">
      <c r="A2108" s="13" t="str" cm="1">
        <f t="array" ref="A2108:B2108">INDEX(BenchmarkResults!$B$1:$D$35,SUMPRODUCT((T2108&gt;=BenchmarkResults!$F$3:$F$35)*(mongodb_hardware_log!T2108&lt;BenchmarkResults!$G$3:$G$35)*ROW(BenchmarkResults!$F$3:$F$35)),{1,3})</f>
        <v>q4_category_revenue</v>
      </c>
      <c r="B2108">
        <v>3</v>
      </c>
      <c r="C2108" s="13">
        <v>1</v>
      </c>
      <c r="D2108" s="13">
        <v>0</v>
      </c>
      <c r="E2108" s="13">
        <v>199936</v>
      </c>
      <c r="F2108" s="13">
        <v>143204</v>
      </c>
      <c r="G2108" s="13">
        <v>544</v>
      </c>
      <c r="H2108" s="13">
        <v>2293752</v>
      </c>
      <c r="I2108" s="13">
        <v>3</v>
      </c>
      <c r="J2108" s="13">
        <v>0</v>
      </c>
      <c r="K2108" s="13">
        <v>13550</v>
      </c>
      <c r="L2108" s="13">
        <v>24</v>
      </c>
      <c r="M2108" s="13">
        <v>2505</v>
      </c>
      <c r="N2108" s="13">
        <v>1649</v>
      </c>
      <c r="O2108" s="13">
        <v>19</v>
      </c>
      <c r="P2108" s="13">
        <v>6</v>
      </c>
      <c r="Q2108" s="13">
        <v>49</v>
      </c>
      <c r="R2108" s="13">
        <v>25</v>
      </c>
      <c r="S2108" s="13">
        <v>1</v>
      </c>
      <c r="T2108" s="23">
        <v>46247.728078703702</v>
      </c>
      <c r="U2108" s="55">
        <f t="shared" si="96"/>
        <v>0.5</v>
      </c>
      <c r="V2108" s="55">
        <f t="shared" si="97"/>
        <v>0.5</v>
      </c>
      <c r="W2108" s="56">
        <f t="shared" si="98"/>
        <v>18739.5</v>
      </c>
    </row>
    <row r="2109" spans="1:23" x14ac:dyDescent="0.3">
      <c r="A2109" s="13" t="str" cm="1">
        <f t="array" ref="A2109:B2109">INDEX(BenchmarkResults!$B$1:$D$35,SUMPRODUCT((T2109&gt;=BenchmarkResults!$F$3:$F$35)*(mongodb_hardware_log!T2109&lt;BenchmarkResults!$G$3:$G$35)*ROW(BenchmarkResults!$F$3:$F$35)),{1,3})</f>
        <v>q4_category_revenue</v>
      </c>
      <c r="B2109">
        <v>3</v>
      </c>
      <c r="C2109" s="13">
        <v>3</v>
      </c>
      <c r="D2109" s="13">
        <v>0</v>
      </c>
      <c r="E2109" s="13">
        <v>199680</v>
      </c>
      <c r="F2109" s="13">
        <v>122840</v>
      </c>
      <c r="G2109" s="13">
        <v>560</v>
      </c>
      <c r="H2109" s="13">
        <v>2306736</v>
      </c>
      <c r="I2109" s="13">
        <v>8</v>
      </c>
      <c r="J2109" s="13">
        <v>0</v>
      </c>
      <c r="K2109" s="13">
        <v>12493</v>
      </c>
      <c r="L2109" s="13">
        <v>27</v>
      </c>
      <c r="M2109" s="13">
        <v>2579</v>
      </c>
      <c r="N2109" s="13">
        <v>1767</v>
      </c>
      <c r="O2109" s="13">
        <v>19</v>
      </c>
      <c r="P2109" s="13">
        <v>7</v>
      </c>
      <c r="Q2109" s="13">
        <v>49</v>
      </c>
      <c r="R2109" s="13">
        <v>24</v>
      </c>
      <c r="S2109" s="13">
        <v>1</v>
      </c>
      <c r="T2109" s="23">
        <v>46247.728194444448</v>
      </c>
      <c r="U2109" s="55">
        <f t="shared" si="96"/>
        <v>1</v>
      </c>
      <c r="V2109" s="55">
        <f t="shared" si="97"/>
        <v>0.33333333333333331</v>
      </c>
      <c r="W2109" s="56">
        <f t="shared" si="98"/>
        <v>17160.5</v>
      </c>
    </row>
    <row r="2110" spans="1:23" x14ac:dyDescent="0.3">
      <c r="A2110" s="13" t="str" cm="1">
        <f t="array" ref="A2110:B2110">INDEX(BenchmarkResults!$B$1:$D$35,SUMPRODUCT((T2110&gt;=BenchmarkResults!$F$3:$F$35)*(mongodb_hardware_log!T2110&lt;BenchmarkResults!$G$3:$G$35)*ROW(BenchmarkResults!$F$3:$F$35)),{1,3})</f>
        <v>q4_category_revenue</v>
      </c>
      <c r="B2110">
        <v>3</v>
      </c>
      <c r="C2110" s="13">
        <v>0</v>
      </c>
      <c r="D2110" s="13">
        <v>1</v>
      </c>
      <c r="E2110" s="13">
        <v>199680</v>
      </c>
      <c r="F2110" s="13">
        <v>143816</v>
      </c>
      <c r="G2110" s="13">
        <v>576</v>
      </c>
      <c r="H2110" s="13">
        <v>2288140</v>
      </c>
      <c r="I2110" s="13">
        <v>2</v>
      </c>
      <c r="J2110" s="13">
        <v>0</v>
      </c>
      <c r="K2110" s="13">
        <v>14723</v>
      </c>
      <c r="L2110" s="13">
        <v>19</v>
      </c>
      <c r="M2110" s="13">
        <v>3114</v>
      </c>
      <c r="N2110" s="13">
        <v>2203</v>
      </c>
      <c r="O2110" s="13">
        <v>20</v>
      </c>
      <c r="P2110" s="13">
        <v>8</v>
      </c>
      <c r="Q2110" s="13">
        <v>46</v>
      </c>
      <c r="R2110" s="13">
        <v>25</v>
      </c>
      <c r="S2110" s="13">
        <v>1</v>
      </c>
      <c r="T2110" s="23">
        <v>46247.728310185186</v>
      </c>
      <c r="U2110" s="55">
        <f t="shared" si="96"/>
        <v>1</v>
      </c>
      <c r="V2110" s="55">
        <f t="shared" si="97"/>
        <v>0.33333333333333331</v>
      </c>
      <c r="W2110" s="56">
        <f t="shared" si="98"/>
        <v>15951</v>
      </c>
    </row>
    <row r="2111" spans="1:23" x14ac:dyDescent="0.3">
      <c r="A2111" s="13" t="str" cm="1">
        <f t="array" ref="A2111:B2111">INDEX(BenchmarkResults!$B$1:$D$35,SUMPRODUCT((T2111&gt;=BenchmarkResults!$F$3:$F$35)*(mongodb_hardware_log!T2111&lt;BenchmarkResults!$G$3:$G$35)*ROW(BenchmarkResults!$F$3:$F$35)),{1,3})</f>
        <v>q4_category_revenue</v>
      </c>
      <c r="B2111">
        <v>3</v>
      </c>
      <c r="C2111" s="13">
        <v>1</v>
      </c>
      <c r="D2111" s="13">
        <v>0</v>
      </c>
      <c r="E2111" s="13">
        <v>199680</v>
      </c>
      <c r="F2111" s="13">
        <v>105076</v>
      </c>
      <c r="G2111" s="13">
        <v>584</v>
      </c>
      <c r="H2111" s="13">
        <v>2323532</v>
      </c>
      <c r="I2111" s="13">
        <v>2</v>
      </c>
      <c r="J2111" s="13">
        <v>0</v>
      </c>
      <c r="K2111" s="13">
        <v>14739</v>
      </c>
      <c r="L2111" s="13">
        <v>12</v>
      </c>
      <c r="M2111" s="13">
        <v>2945</v>
      </c>
      <c r="N2111" s="13">
        <v>1955</v>
      </c>
      <c r="O2111" s="13">
        <v>20</v>
      </c>
      <c r="P2111" s="13">
        <v>7</v>
      </c>
      <c r="Q2111" s="13">
        <v>46</v>
      </c>
      <c r="R2111" s="13">
        <v>26</v>
      </c>
      <c r="S2111" s="13">
        <v>1</v>
      </c>
      <c r="T2111" s="23">
        <v>46247.728425925925</v>
      </c>
      <c r="U2111" s="55">
        <f t="shared" si="96"/>
        <v>1.1666666666666667</v>
      </c>
      <c r="V2111" s="55">
        <f t="shared" si="97"/>
        <v>0.16666666666666666</v>
      </c>
      <c r="W2111" s="56">
        <f t="shared" si="98"/>
        <v>15082.166666666666</v>
      </c>
    </row>
    <row r="2112" spans="1:23" x14ac:dyDescent="0.3">
      <c r="A2112" s="13" t="str" cm="1">
        <f t="array" ref="A2112:B2112">INDEX(BenchmarkResults!$B$1:$D$35,SUMPRODUCT((T2112&gt;=BenchmarkResults!$F$3:$F$35)*(mongodb_hardware_log!T2112&lt;BenchmarkResults!$G$3:$G$35)*ROW(BenchmarkResults!$F$3:$F$35)),{1,3})</f>
        <v>q4_category_revenue</v>
      </c>
      <c r="B2112">
        <v>3</v>
      </c>
      <c r="C2112" s="13">
        <v>2</v>
      </c>
      <c r="D2112" s="13">
        <v>0</v>
      </c>
      <c r="E2112" s="13">
        <v>199424</v>
      </c>
      <c r="F2112" s="13">
        <v>151544</v>
      </c>
      <c r="G2112" s="13">
        <v>628</v>
      </c>
      <c r="H2112" s="13">
        <v>2298408</v>
      </c>
      <c r="I2112" s="13">
        <v>9</v>
      </c>
      <c r="J2112" s="13">
        <v>0</v>
      </c>
      <c r="K2112" s="13">
        <v>13386</v>
      </c>
      <c r="L2112" s="13">
        <v>6</v>
      </c>
      <c r="M2112" s="13">
        <v>2873</v>
      </c>
      <c r="N2112" s="13">
        <v>1981</v>
      </c>
      <c r="O2112" s="13">
        <v>21</v>
      </c>
      <c r="P2112" s="13">
        <v>8</v>
      </c>
      <c r="Q2112" s="13">
        <v>48</v>
      </c>
      <c r="R2112" s="13">
        <v>22</v>
      </c>
      <c r="S2112" s="13">
        <v>1</v>
      </c>
      <c r="T2112" s="23">
        <v>46247.728541666664</v>
      </c>
      <c r="U2112" s="55">
        <f t="shared" si="96"/>
        <v>1.3333333333333333</v>
      </c>
      <c r="V2112" s="55">
        <f t="shared" si="97"/>
        <v>0.16666666666666666</v>
      </c>
      <c r="W2112" s="56">
        <f t="shared" si="98"/>
        <v>14071.5</v>
      </c>
    </row>
    <row r="2113" spans="1:23" x14ac:dyDescent="0.3">
      <c r="A2113" s="13" t="str" cm="1">
        <f t="array" ref="A2113:B2113">INDEX(BenchmarkResults!$B$1:$D$35,SUMPRODUCT((T2113&gt;=BenchmarkResults!$F$3:$F$35)*(mongodb_hardware_log!T2113&lt;BenchmarkResults!$G$3:$G$35)*ROW(BenchmarkResults!$F$3:$F$35)),{1,3})</f>
        <v>q4_category_revenue</v>
      </c>
      <c r="B2113">
        <v>3</v>
      </c>
      <c r="C2113" s="13">
        <v>1</v>
      </c>
      <c r="D2113" s="13">
        <v>1</v>
      </c>
      <c r="E2113" s="13">
        <v>199424</v>
      </c>
      <c r="F2113" s="13">
        <v>161372</v>
      </c>
      <c r="G2113" s="13">
        <v>684</v>
      </c>
      <c r="H2113" s="13">
        <v>2294768</v>
      </c>
      <c r="I2113" s="13">
        <v>8</v>
      </c>
      <c r="J2113" s="13">
        <v>0</v>
      </c>
      <c r="K2113" s="13">
        <v>13563</v>
      </c>
      <c r="L2113" s="13">
        <v>34</v>
      </c>
      <c r="M2113" s="13">
        <v>2550</v>
      </c>
      <c r="N2113" s="13">
        <v>1700</v>
      </c>
      <c r="O2113" s="13">
        <v>20</v>
      </c>
      <c r="P2113" s="13">
        <v>6</v>
      </c>
      <c r="Q2113" s="13">
        <v>49</v>
      </c>
      <c r="R2113" s="13">
        <v>24</v>
      </c>
      <c r="S2113" s="13">
        <v>1</v>
      </c>
      <c r="T2113" s="23">
        <v>46247.72865740741</v>
      </c>
      <c r="U2113" s="55">
        <f t="shared" si="96"/>
        <v>1.3333333333333333</v>
      </c>
      <c r="V2113" s="55">
        <f t="shared" si="97"/>
        <v>0.33333333333333331</v>
      </c>
      <c r="W2113" s="56">
        <f t="shared" si="98"/>
        <v>13742.333333333334</v>
      </c>
    </row>
    <row r="2114" spans="1:23" x14ac:dyDescent="0.3">
      <c r="A2114" s="13" t="str" cm="1">
        <f t="array" ref="A2114:B2114">INDEX(BenchmarkResults!$B$1:$D$35,SUMPRODUCT((T2114&gt;=BenchmarkResults!$F$3:$F$35)*(mongodb_hardware_log!T2114&lt;BenchmarkResults!$G$3:$G$35)*ROW(BenchmarkResults!$F$3:$F$35)),{1,3})</f>
        <v>q4_category_revenue</v>
      </c>
      <c r="B2114">
        <v>3</v>
      </c>
      <c r="C2114" s="13">
        <v>1</v>
      </c>
      <c r="D2114" s="13">
        <v>0</v>
      </c>
      <c r="E2114" s="13">
        <v>199424</v>
      </c>
      <c r="F2114" s="13">
        <v>141492</v>
      </c>
      <c r="G2114" s="13">
        <v>704</v>
      </c>
      <c r="H2114" s="13">
        <v>2315512</v>
      </c>
      <c r="I2114" s="13">
        <v>2</v>
      </c>
      <c r="J2114" s="13">
        <v>0</v>
      </c>
      <c r="K2114" s="13">
        <v>12110</v>
      </c>
      <c r="L2114" s="13">
        <v>14</v>
      </c>
      <c r="M2114" s="13">
        <v>2558</v>
      </c>
      <c r="N2114" s="13">
        <v>1788</v>
      </c>
      <c r="O2114" s="13">
        <v>18</v>
      </c>
      <c r="P2114" s="13">
        <v>7</v>
      </c>
      <c r="Q2114" s="13">
        <v>49</v>
      </c>
      <c r="R2114" s="13">
        <v>25</v>
      </c>
      <c r="S2114" s="13">
        <v>1</v>
      </c>
      <c r="T2114" s="23">
        <v>46247.728773148148</v>
      </c>
      <c r="U2114" s="55">
        <f t="shared" si="96"/>
        <v>1.3333333333333333</v>
      </c>
      <c r="V2114" s="55">
        <f t="shared" si="97"/>
        <v>0.33333333333333331</v>
      </c>
      <c r="W2114" s="56">
        <f t="shared" si="98"/>
        <v>13502.333333333334</v>
      </c>
    </row>
    <row r="2115" spans="1:23" x14ac:dyDescent="0.3">
      <c r="A2115" s="13" t="str" cm="1">
        <f t="array" ref="A2115:B2115">INDEX(BenchmarkResults!$B$1:$D$35,SUMPRODUCT((T2115&gt;=BenchmarkResults!$F$3:$F$35)*(mongodb_hardware_log!T2115&lt;BenchmarkResults!$G$3:$G$35)*ROW(BenchmarkResults!$F$3:$F$35)),{1,3})</f>
        <v>q4_category_revenue</v>
      </c>
      <c r="B2115">
        <v>3</v>
      </c>
      <c r="C2115" s="13">
        <v>0</v>
      </c>
      <c r="D2115" s="13">
        <v>1</v>
      </c>
      <c r="E2115" s="13">
        <v>199424</v>
      </c>
      <c r="F2115" s="13">
        <v>118020</v>
      </c>
      <c r="G2115" s="13">
        <v>716</v>
      </c>
      <c r="H2115" s="13">
        <v>2334684</v>
      </c>
      <c r="I2115" s="13">
        <v>1</v>
      </c>
      <c r="J2115" s="13">
        <v>0</v>
      </c>
      <c r="K2115" s="13">
        <v>11482</v>
      </c>
      <c r="L2115" s="13">
        <v>22</v>
      </c>
      <c r="M2115" s="13">
        <v>2377</v>
      </c>
      <c r="N2115" s="13">
        <v>1463</v>
      </c>
      <c r="O2115" s="13">
        <v>18</v>
      </c>
      <c r="P2115" s="13">
        <v>5</v>
      </c>
      <c r="Q2115" s="13">
        <v>49</v>
      </c>
      <c r="R2115" s="13">
        <v>26</v>
      </c>
      <c r="S2115" s="13">
        <v>1</v>
      </c>
      <c r="T2115" s="23">
        <v>46247.728888888887</v>
      </c>
      <c r="U2115" s="55">
        <f t="shared" si="96"/>
        <v>0.83333333333333337</v>
      </c>
      <c r="V2115" s="55">
        <f t="shared" si="97"/>
        <v>0.5</v>
      </c>
      <c r="W2115" s="56">
        <f t="shared" si="98"/>
        <v>13333.833333333334</v>
      </c>
    </row>
    <row r="2116" spans="1:23" x14ac:dyDescent="0.3">
      <c r="A2116" s="13" t="str" cm="1">
        <f t="array" ref="A2116:B2116">INDEX(BenchmarkResults!$B$1:$D$35,SUMPRODUCT((T2116&gt;=BenchmarkResults!$F$3:$F$35)*(mongodb_hardware_log!T2116&lt;BenchmarkResults!$G$3:$G$35)*ROW(BenchmarkResults!$F$3:$F$35)),{1,3})</f>
        <v>q4_category_revenue</v>
      </c>
      <c r="B2116">
        <v>3</v>
      </c>
      <c r="C2116" s="13">
        <v>1</v>
      </c>
      <c r="D2116" s="13">
        <v>0</v>
      </c>
      <c r="E2116" s="13">
        <v>199424</v>
      </c>
      <c r="F2116" s="13">
        <v>129252</v>
      </c>
      <c r="G2116" s="13">
        <v>724</v>
      </c>
      <c r="H2116" s="13">
        <v>2319520</v>
      </c>
      <c r="I2116" s="13">
        <v>3</v>
      </c>
      <c r="J2116" s="13">
        <v>0</v>
      </c>
      <c r="K2116" s="13">
        <v>12256</v>
      </c>
      <c r="L2116" s="13">
        <v>12</v>
      </c>
      <c r="M2116" s="13">
        <v>2655</v>
      </c>
      <c r="N2116" s="13">
        <v>1750</v>
      </c>
      <c r="O2116" s="13">
        <v>19</v>
      </c>
      <c r="P2116" s="13">
        <v>6</v>
      </c>
      <c r="Q2116" s="13">
        <v>47</v>
      </c>
      <c r="R2116" s="13">
        <v>27</v>
      </c>
      <c r="S2116" s="13">
        <v>2</v>
      </c>
      <c r="T2116" s="23">
        <v>46247.729004629633</v>
      </c>
      <c r="U2116" s="55">
        <f t="shared" si="96"/>
        <v>1</v>
      </c>
      <c r="V2116" s="55">
        <f t="shared" si="97"/>
        <v>0.33333333333333331</v>
      </c>
      <c r="W2116" s="56">
        <f t="shared" si="98"/>
        <v>12922.666666666666</v>
      </c>
    </row>
    <row r="2117" spans="1:23" x14ac:dyDescent="0.3">
      <c r="A2117" s="13" t="str" cm="1">
        <f t="array" ref="A2117:B2117">INDEX(BenchmarkResults!$B$1:$D$35,SUMPRODUCT((T2117&gt;=BenchmarkResults!$F$3:$F$35)*(mongodb_hardware_log!T2117&lt;BenchmarkResults!$G$3:$G$35)*ROW(BenchmarkResults!$F$3:$F$35)),{1,3})</f>
        <v>q4_category_revenue</v>
      </c>
      <c r="B2117">
        <v>3</v>
      </c>
      <c r="C2117" s="13">
        <v>1</v>
      </c>
      <c r="D2117" s="13">
        <v>0</v>
      </c>
      <c r="E2117" s="13">
        <v>199424</v>
      </c>
      <c r="F2117" s="13">
        <v>112460</v>
      </c>
      <c r="G2117" s="13">
        <v>732</v>
      </c>
      <c r="H2117" s="13">
        <v>2335964</v>
      </c>
      <c r="I2117" s="13">
        <v>1</v>
      </c>
      <c r="J2117" s="13">
        <v>0</v>
      </c>
      <c r="K2117" s="13">
        <v>13264</v>
      </c>
      <c r="L2117" s="13">
        <v>9</v>
      </c>
      <c r="M2117" s="13">
        <v>2953</v>
      </c>
      <c r="N2117" s="13">
        <v>1872</v>
      </c>
      <c r="O2117" s="13">
        <v>21</v>
      </c>
      <c r="P2117" s="13">
        <v>7</v>
      </c>
      <c r="Q2117" s="13">
        <v>46</v>
      </c>
      <c r="R2117" s="13">
        <v>25</v>
      </c>
      <c r="S2117" s="13">
        <v>1</v>
      </c>
      <c r="T2117" s="23">
        <v>46247.729120370372</v>
      </c>
      <c r="U2117" s="55">
        <f t="shared" si="96"/>
        <v>1</v>
      </c>
      <c r="V2117" s="55">
        <f t="shared" si="97"/>
        <v>0.33333333333333331</v>
      </c>
      <c r="W2117" s="56">
        <f t="shared" si="98"/>
        <v>12676.833333333334</v>
      </c>
    </row>
    <row r="2118" spans="1:23" x14ac:dyDescent="0.3">
      <c r="A2118" s="13" t="str" cm="1">
        <f t="array" ref="A2118:B2118">INDEX(BenchmarkResults!$B$1:$D$35,SUMPRODUCT((T2118&gt;=BenchmarkResults!$F$3:$F$35)*(mongodb_hardware_log!T2118&lt;BenchmarkResults!$G$3:$G$35)*ROW(BenchmarkResults!$F$3:$F$35)),{1,3})</f>
        <v>q4_category_revenue</v>
      </c>
      <c r="B2118">
        <v>3</v>
      </c>
      <c r="C2118" s="13">
        <v>0</v>
      </c>
      <c r="D2118" s="13">
        <v>1</v>
      </c>
      <c r="E2118" s="13">
        <v>199424</v>
      </c>
      <c r="F2118" s="13">
        <v>134748</v>
      </c>
      <c r="G2118" s="13">
        <v>740</v>
      </c>
      <c r="H2118" s="13">
        <v>2316644</v>
      </c>
      <c r="I2118" s="13">
        <v>1</v>
      </c>
      <c r="J2118" s="13">
        <v>0</v>
      </c>
      <c r="K2118" s="13">
        <v>12076</v>
      </c>
      <c r="L2118" s="13">
        <v>10</v>
      </c>
      <c r="M2118" s="13">
        <v>2599</v>
      </c>
      <c r="N2118" s="13">
        <v>1636</v>
      </c>
      <c r="O2118" s="13">
        <v>18</v>
      </c>
      <c r="P2118" s="13">
        <v>6</v>
      </c>
      <c r="Q2118" s="13">
        <v>46</v>
      </c>
      <c r="R2118" s="13">
        <v>27</v>
      </c>
      <c r="S2118" s="13">
        <v>2</v>
      </c>
      <c r="T2118" s="23">
        <v>46247.72923611111</v>
      </c>
      <c r="U2118" s="55">
        <f t="shared" si="96"/>
        <v>0.66666666666666663</v>
      </c>
      <c r="V2118" s="55">
        <f t="shared" si="97"/>
        <v>0.5</v>
      </c>
      <c r="W2118" s="56">
        <f t="shared" si="98"/>
        <v>12458.5</v>
      </c>
    </row>
    <row r="2119" spans="1:23" x14ac:dyDescent="0.3">
      <c r="A2119" s="13" t="str" cm="1">
        <f t="array" ref="A2119:B2119">INDEX(BenchmarkResults!$B$1:$D$35,SUMPRODUCT((T2119&gt;=BenchmarkResults!$F$3:$F$35)*(mongodb_hardware_log!T2119&lt;BenchmarkResults!$G$3:$G$35)*ROW(BenchmarkResults!$F$3:$F$35)),{1,3})</f>
        <v>q4_category_revenue</v>
      </c>
      <c r="B2119">
        <v>3</v>
      </c>
      <c r="C2119" s="13">
        <v>1</v>
      </c>
      <c r="D2119" s="13">
        <v>0</v>
      </c>
      <c r="E2119" s="13">
        <v>199168</v>
      </c>
      <c r="F2119" s="13">
        <v>114752</v>
      </c>
      <c r="G2119" s="13">
        <v>772</v>
      </c>
      <c r="H2119" s="13">
        <v>2334024</v>
      </c>
      <c r="I2119" s="13">
        <v>11</v>
      </c>
      <c r="J2119" s="13">
        <v>0</v>
      </c>
      <c r="K2119" s="13">
        <v>9742</v>
      </c>
      <c r="L2119" s="13">
        <v>26</v>
      </c>
      <c r="M2119" s="13">
        <v>2266</v>
      </c>
      <c r="N2119" s="13">
        <v>1415</v>
      </c>
      <c r="O2119" s="13">
        <v>17</v>
      </c>
      <c r="P2119" s="13">
        <v>5</v>
      </c>
      <c r="Q2119" s="13">
        <v>47</v>
      </c>
      <c r="R2119" s="13">
        <v>28</v>
      </c>
      <c r="S2119" s="13">
        <v>3</v>
      </c>
      <c r="T2119" s="23">
        <v>46247.729351851849</v>
      </c>
      <c r="U2119" s="55">
        <f t="shared" si="96"/>
        <v>0.66666666666666663</v>
      </c>
      <c r="V2119" s="55">
        <f t="shared" si="97"/>
        <v>0.33333333333333331</v>
      </c>
      <c r="W2119" s="56">
        <f t="shared" si="98"/>
        <v>11821.666666666666</v>
      </c>
    </row>
    <row r="2120" spans="1:23" x14ac:dyDescent="0.3">
      <c r="A2120" s="13" t="str" cm="1">
        <f t="array" ref="A2120:B2120">INDEX(BenchmarkResults!$B$1:$D$35,SUMPRODUCT((T2120&gt;=BenchmarkResults!$F$3:$F$35)*(mongodb_hardware_log!T2120&lt;BenchmarkResults!$G$3:$G$35)*ROW(BenchmarkResults!$F$3:$F$35)),{1,3})</f>
        <v>q4_category_revenue</v>
      </c>
      <c r="B2120">
        <v>3</v>
      </c>
      <c r="C2120" s="13">
        <v>2</v>
      </c>
      <c r="D2120" s="13">
        <v>1</v>
      </c>
      <c r="E2120" s="13">
        <v>199168</v>
      </c>
      <c r="F2120" s="13">
        <v>129400</v>
      </c>
      <c r="G2120" s="13">
        <v>788</v>
      </c>
      <c r="H2120" s="13">
        <v>2315688</v>
      </c>
      <c r="I2120" s="13">
        <v>3</v>
      </c>
      <c r="J2120" s="13">
        <v>0</v>
      </c>
      <c r="K2120" s="13">
        <v>11160</v>
      </c>
      <c r="L2120" s="13">
        <v>22</v>
      </c>
      <c r="M2120" s="13">
        <v>2845</v>
      </c>
      <c r="N2120" s="13">
        <v>1934</v>
      </c>
      <c r="O2120" s="13">
        <v>18</v>
      </c>
      <c r="P2120" s="13">
        <v>7</v>
      </c>
      <c r="Q2120" s="13">
        <v>45</v>
      </c>
      <c r="R2120" s="13">
        <v>27</v>
      </c>
      <c r="S2120" s="13">
        <v>2</v>
      </c>
      <c r="T2120" s="23">
        <v>46247.729467592595</v>
      </c>
      <c r="U2120" s="55">
        <f t="shared" si="96"/>
        <v>0.83333333333333337</v>
      </c>
      <c r="V2120" s="55">
        <f t="shared" si="97"/>
        <v>0.5</v>
      </c>
      <c r="W2120" s="56">
        <f t="shared" si="98"/>
        <v>11663.333333333334</v>
      </c>
    </row>
    <row r="2121" spans="1:23" x14ac:dyDescent="0.3">
      <c r="A2121" s="13" t="str" cm="1">
        <f t="array" ref="A2121:B2121">INDEX(BenchmarkResults!$B$1:$D$35,SUMPRODUCT((T2121&gt;=BenchmarkResults!$F$3:$F$35)*(mongodb_hardware_log!T2121&lt;BenchmarkResults!$G$3:$G$35)*ROW(BenchmarkResults!$F$3:$F$35)),{1,3})</f>
        <v>q4_category_revenue</v>
      </c>
      <c r="B2121">
        <v>3</v>
      </c>
      <c r="C2121" s="13">
        <v>0</v>
      </c>
      <c r="D2121" s="13">
        <v>1</v>
      </c>
      <c r="E2121" s="13">
        <v>199168</v>
      </c>
      <c r="F2121" s="13">
        <v>122872</v>
      </c>
      <c r="G2121" s="13">
        <v>360</v>
      </c>
      <c r="H2121" s="13">
        <v>2326480</v>
      </c>
      <c r="I2121" s="13">
        <v>1</v>
      </c>
      <c r="J2121" s="13">
        <v>24</v>
      </c>
      <c r="K2121" s="13">
        <v>13705</v>
      </c>
      <c r="L2121" s="13">
        <v>49</v>
      </c>
      <c r="M2121" s="13">
        <v>2785</v>
      </c>
      <c r="N2121" s="13">
        <v>1838</v>
      </c>
      <c r="O2121" s="13">
        <v>19</v>
      </c>
      <c r="P2121" s="13">
        <v>7</v>
      </c>
      <c r="Q2121" s="13">
        <v>46</v>
      </c>
      <c r="R2121" s="13">
        <v>27</v>
      </c>
      <c r="S2121" s="13">
        <v>1</v>
      </c>
      <c r="T2121" s="23">
        <v>46247.729583333334</v>
      </c>
      <c r="U2121" s="55">
        <f t="shared" ref="U2121:U2184" si="99">AVERAGE(C2116:C2121)</f>
        <v>0.83333333333333337</v>
      </c>
      <c r="V2121" s="55">
        <f t="shared" ref="V2121:V2184" si="100">AVERAGE(D2116:D2121)</f>
        <v>0.5</v>
      </c>
      <c r="W2121" s="56">
        <f t="shared" ref="W2121:W2184" si="101">AVERAGE(K2116:K2121)</f>
        <v>12033.833333333334</v>
      </c>
    </row>
    <row r="2122" spans="1:23" x14ac:dyDescent="0.3">
      <c r="A2122" s="13" t="str" cm="1">
        <f t="array" ref="A2122:B2122">INDEX(BenchmarkResults!$B$1:$D$35,SUMPRODUCT((T2122&gt;=BenchmarkResults!$F$3:$F$35)*(mongodb_hardware_log!T2122&lt;BenchmarkResults!$G$3:$G$35)*ROW(BenchmarkResults!$F$3:$F$35)),{1,3})</f>
        <v>q4_category_revenue</v>
      </c>
      <c r="B2122">
        <v>3</v>
      </c>
      <c r="C2122" s="13">
        <v>0</v>
      </c>
      <c r="D2122" s="13">
        <v>1</v>
      </c>
      <c r="E2122" s="13">
        <v>199168</v>
      </c>
      <c r="F2122" s="13">
        <v>122936</v>
      </c>
      <c r="G2122" s="13">
        <v>376</v>
      </c>
      <c r="H2122" s="13">
        <v>2321304</v>
      </c>
      <c r="I2122" s="13">
        <v>2</v>
      </c>
      <c r="J2122" s="13">
        <v>0</v>
      </c>
      <c r="K2122" s="13">
        <v>13404</v>
      </c>
      <c r="L2122" s="13">
        <v>11</v>
      </c>
      <c r="M2122" s="13">
        <v>3175</v>
      </c>
      <c r="N2122" s="13">
        <v>2221</v>
      </c>
      <c r="O2122" s="13">
        <v>21</v>
      </c>
      <c r="P2122" s="13">
        <v>7</v>
      </c>
      <c r="Q2122" s="13">
        <v>46</v>
      </c>
      <c r="R2122" s="13">
        <v>25</v>
      </c>
      <c r="S2122" s="13">
        <v>1</v>
      </c>
      <c r="T2122" s="23">
        <v>46247.729699074072</v>
      </c>
      <c r="U2122" s="55">
        <f t="shared" si="99"/>
        <v>0.66666666666666663</v>
      </c>
      <c r="V2122" s="55">
        <f t="shared" si="100"/>
        <v>0.66666666666666663</v>
      </c>
      <c r="W2122" s="56">
        <f t="shared" si="101"/>
        <v>12225.166666666666</v>
      </c>
    </row>
    <row r="2123" spans="1:23" x14ac:dyDescent="0.3">
      <c r="A2123" s="13" t="str" cm="1">
        <f t="array" ref="A2123:B2123">INDEX(BenchmarkResults!$B$1:$D$35,SUMPRODUCT((T2123&gt;=BenchmarkResults!$F$3:$F$35)*(mongodb_hardware_log!T2123&lt;BenchmarkResults!$G$3:$G$35)*ROW(BenchmarkResults!$F$3:$F$35)),{1,3})</f>
        <v>q4_category_revenue</v>
      </c>
      <c r="B2123">
        <v>3</v>
      </c>
      <c r="C2123" s="13">
        <v>1</v>
      </c>
      <c r="D2123" s="13">
        <v>1</v>
      </c>
      <c r="E2123" s="13">
        <v>206848</v>
      </c>
      <c r="F2123" s="13">
        <v>202036</v>
      </c>
      <c r="G2123" s="13">
        <v>384</v>
      </c>
      <c r="H2123" s="13">
        <v>2253464</v>
      </c>
      <c r="I2123" s="13">
        <v>11</v>
      </c>
      <c r="J2123" s="13">
        <v>794</v>
      </c>
      <c r="K2123" s="13">
        <v>15409</v>
      </c>
      <c r="L2123" s="13">
        <v>812</v>
      </c>
      <c r="M2123" s="13">
        <v>3143</v>
      </c>
      <c r="N2123" s="13">
        <v>2093</v>
      </c>
      <c r="O2123" s="13">
        <v>20</v>
      </c>
      <c r="P2123" s="13">
        <v>9</v>
      </c>
      <c r="Q2123" s="13">
        <v>44</v>
      </c>
      <c r="R2123" s="13">
        <v>27</v>
      </c>
      <c r="S2123" s="13">
        <v>1</v>
      </c>
      <c r="T2123" s="23">
        <v>46247.729814814818</v>
      </c>
      <c r="U2123" s="55">
        <f t="shared" si="99"/>
        <v>0.66666666666666663</v>
      </c>
      <c r="V2123" s="55">
        <f t="shared" si="100"/>
        <v>0.83333333333333337</v>
      </c>
      <c r="W2123" s="56">
        <f t="shared" si="101"/>
        <v>12582.666666666666</v>
      </c>
    </row>
    <row r="2124" spans="1:23" x14ac:dyDescent="0.3">
      <c r="A2124" s="13" t="str" cm="1">
        <f t="array" ref="A2124:B2124">INDEX(BenchmarkResults!$B$1:$D$35,SUMPRODUCT((T2124&gt;=BenchmarkResults!$F$3:$F$35)*(mongodb_hardware_log!T2124&lt;BenchmarkResults!$G$3:$G$35)*ROW(BenchmarkResults!$F$3:$F$35)),{1,3})</f>
        <v>q4_category_revenue</v>
      </c>
      <c r="B2124">
        <v>3</v>
      </c>
      <c r="C2124" s="13">
        <v>1</v>
      </c>
      <c r="D2124" s="13">
        <v>0</v>
      </c>
      <c r="E2124" s="13">
        <v>206848</v>
      </c>
      <c r="F2124" s="13">
        <v>157508</v>
      </c>
      <c r="G2124" s="13">
        <v>392</v>
      </c>
      <c r="H2124" s="13">
        <v>2291232</v>
      </c>
      <c r="I2124" s="13">
        <v>1</v>
      </c>
      <c r="J2124" s="13">
        <v>0</v>
      </c>
      <c r="K2124" s="13">
        <v>14787</v>
      </c>
      <c r="L2124" s="13">
        <v>10</v>
      </c>
      <c r="M2124" s="13">
        <v>3071</v>
      </c>
      <c r="N2124" s="13">
        <v>2103</v>
      </c>
      <c r="O2124" s="13">
        <v>21</v>
      </c>
      <c r="P2124" s="13">
        <v>7</v>
      </c>
      <c r="Q2124" s="13">
        <v>46</v>
      </c>
      <c r="R2124" s="13">
        <v>25</v>
      </c>
      <c r="S2124" s="13">
        <v>1</v>
      </c>
      <c r="T2124" s="23">
        <v>46247.729930555557</v>
      </c>
      <c r="U2124" s="55">
        <f t="shared" si="99"/>
        <v>0.83333333333333337</v>
      </c>
      <c r="V2124" s="55">
        <f t="shared" si="100"/>
        <v>0.66666666666666663</v>
      </c>
      <c r="W2124" s="56">
        <f t="shared" si="101"/>
        <v>13034.5</v>
      </c>
    </row>
    <row r="2125" spans="1:23" x14ac:dyDescent="0.3">
      <c r="A2125" s="13" t="str" cm="1">
        <f t="array" ref="A2125:B2125">INDEX(BenchmarkResults!$B$1:$D$35,SUMPRODUCT((T2125&gt;=BenchmarkResults!$F$3:$F$35)*(mongodb_hardware_log!T2125&lt;BenchmarkResults!$G$3:$G$35)*ROW(BenchmarkResults!$F$3:$F$35)),{1,3})</f>
        <v>q4_category_revenue</v>
      </c>
      <c r="B2125">
        <v>3</v>
      </c>
      <c r="C2125" s="13">
        <v>0</v>
      </c>
      <c r="D2125" s="13">
        <v>1</v>
      </c>
      <c r="E2125" s="13">
        <v>206848</v>
      </c>
      <c r="F2125" s="13">
        <v>128180</v>
      </c>
      <c r="G2125" s="13">
        <v>428</v>
      </c>
      <c r="H2125" s="13">
        <v>2329988</v>
      </c>
      <c r="I2125" s="13">
        <v>3</v>
      </c>
      <c r="J2125" s="13">
        <v>0</v>
      </c>
      <c r="K2125" s="13">
        <v>15038</v>
      </c>
      <c r="L2125" s="13">
        <v>45</v>
      </c>
      <c r="M2125" s="13">
        <v>3148</v>
      </c>
      <c r="N2125" s="13">
        <v>2243</v>
      </c>
      <c r="O2125" s="13">
        <v>20</v>
      </c>
      <c r="P2125" s="13">
        <v>7</v>
      </c>
      <c r="Q2125" s="13">
        <v>46</v>
      </c>
      <c r="R2125" s="13">
        <v>25</v>
      </c>
      <c r="S2125" s="13">
        <v>1</v>
      </c>
      <c r="T2125" s="23">
        <v>46247.730046296296</v>
      </c>
      <c r="U2125" s="55">
        <f t="shared" si="99"/>
        <v>0.66666666666666663</v>
      </c>
      <c r="V2125" s="55">
        <f t="shared" si="100"/>
        <v>0.83333333333333337</v>
      </c>
      <c r="W2125" s="56">
        <f t="shared" si="101"/>
        <v>13917.166666666666</v>
      </c>
    </row>
    <row r="2126" spans="1:23" x14ac:dyDescent="0.3">
      <c r="A2126" s="13" t="str" cm="1">
        <f t="array" ref="A2126:B2126">INDEX(BenchmarkResults!$B$1:$D$35,SUMPRODUCT((T2126&gt;=BenchmarkResults!$F$3:$F$35)*(mongodb_hardware_log!T2126&lt;BenchmarkResults!$G$3:$G$35)*ROW(BenchmarkResults!$F$3:$F$35)),{1,3})</f>
        <v>q4_category_revenue</v>
      </c>
      <c r="B2126">
        <v>3</v>
      </c>
      <c r="C2126" s="13">
        <v>1</v>
      </c>
      <c r="D2126" s="13">
        <v>0</v>
      </c>
      <c r="E2126" s="13">
        <v>206848</v>
      </c>
      <c r="F2126" s="13">
        <v>141504</v>
      </c>
      <c r="G2126" s="13">
        <v>444</v>
      </c>
      <c r="H2126" s="13">
        <v>2317396</v>
      </c>
      <c r="I2126" s="13">
        <v>8</v>
      </c>
      <c r="J2126" s="13">
        <v>0</v>
      </c>
      <c r="K2126" s="13">
        <v>14971</v>
      </c>
      <c r="L2126" s="13">
        <v>25</v>
      </c>
      <c r="M2126" s="13">
        <v>3147</v>
      </c>
      <c r="N2126" s="13">
        <v>2200</v>
      </c>
      <c r="O2126" s="13">
        <v>20</v>
      </c>
      <c r="P2126" s="13">
        <v>7</v>
      </c>
      <c r="Q2126" s="13">
        <v>46</v>
      </c>
      <c r="R2126" s="13">
        <v>25</v>
      </c>
      <c r="S2126" s="13">
        <v>1</v>
      </c>
      <c r="T2126" s="23">
        <v>46247.730162037034</v>
      </c>
      <c r="U2126" s="55">
        <f t="shared" si="99"/>
        <v>0.5</v>
      </c>
      <c r="V2126" s="55">
        <f t="shared" si="100"/>
        <v>0.66666666666666663</v>
      </c>
      <c r="W2126" s="56">
        <f t="shared" si="101"/>
        <v>14552.333333333334</v>
      </c>
    </row>
    <row r="2127" spans="1:23" x14ac:dyDescent="0.3">
      <c r="A2127" s="13" t="str" cm="1">
        <f t="array" ref="A2127:B2127">INDEX(BenchmarkResults!$B$1:$D$35,SUMPRODUCT((T2127&gt;=BenchmarkResults!$F$3:$F$35)*(mongodb_hardware_log!T2127&lt;BenchmarkResults!$G$3:$G$35)*ROW(BenchmarkResults!$F$3:$F$35)),{1,3})</f>
        <v>q4_category_revenue</v>
      </c>
      <c r="B2127">
        <v>3</v>
      </c>
      <c r="C2127" s="13">
        <v>2</v>
      </c>
      <c r="D2127" s="13">
        <v>0</v>
      </c>
      <c r="E2127" s="13">
        <v>206848</v>
      </c>
      <c r="F2127" s="13">
        <v>141636</v>
      </c>
      <c r="G2127" s="13">
        <v>452</v>
      </c>
      <c r="H2127" s="13">
        <v>2316636</v>
      </c>
      <c r="I2127" s="13">
        <v>2</v>
      </c>
      <c r="J2127" s="13">
        <v>0</v>
      </c>
      <c r="K2127" s="13">
        <v>15511</v>
      </c>
      <c r="L2127" s="13">
        <v>11</v>
      </c>
      <c r="M2127" s="13">
        <v>3018</v>
      </c>
      <c r="N2127" s="13">
        <v>1947</v>
      </c>
      <c r="O2127" s="13">
        <v>22</v>
      </c>
      <c r="P2127" s="13">
        <v>7</v>
      </c>
      <c r="Q2127" s="13">
        <v>46</v>
      </c>
      <c r="R2127" s="13">
        <v>24</v>
      </c>
      <c r="S2127" s="13">
        <v>1</v>
      </c>
      <c r="T2127" s="23">
        <v>46247.73027777778</v>
      </c>
      <c r="U2127" s="55">
        <f t="shared" si="99"/>
        <v>0.83333333333333337</v>
      </c>
      <c r="V2127" s="55">
        <f t="shared" si="100"/>
        <v>0.5</v>
      </c>
      <c r="W2127" s="56">
        <f t="shared" si="101"/>
        <v>14853.333333333334</v>
      </c>
    </row>
    <row r="2128" spans="1:23" x14ac:dyDescent="0.3">
      <c r="A2128" s="13" t="str" cm="1">
        <f t="array" ref="A2128:B2128">INDEX(BenchmarkResults!$B$1:$D$35,SUMPRODUCT((T2128&gt;=BenchmarkResults!$F$3:$F$35)*(mongodb_hardware_log!T2128&lt;BenchmarkResults!$G$3:$G$35)*ROW(BenchmarkResults!$F$3:$F$35)),{1,3})</f>
        <v>q4_category_revenue</v>
      </c>
      <c r="B2128">
        <v>3</v>
      </c>
      <c r="C2128" s="13">
        <v>1</v>
      </c>
      <c r="D2128" s="13">
        <v>0</v>
      </c>
      <c r="E2128" s="13">
        <v>206592</v>
      </c>
      <c r="F2128" s="13">
        <v>110352</v>
      </c>
      <c r="G2128" s="13">
        <v>460</v>
      </c>
      <c r="H2128" s="13">
        <v>2343752</v>
      </c>
      <c r="I2128" s="13">
        <v>2</v>
      </c>
      <c r="J2128" s="13">
        <v>0</v>
      </c>
      <c r="K2128" s="13">
        <v>12745</v>
      </c>
      <c r="L2128" s="13">
        <v>11</v>
      </c>
      <c r="M2128" s="13">
        <v>2950</v>
      </c>
      <c r="N2128" s="13">
        <v>2034</v>
      </c>
      <c r="O2128" s="13">
        <v>19</v>
      </c>
      <c r="P2128" s="13">
        <v>7</v>
      </c>
      <c r="Q2128" s="13">
        <v>46</v>
      </c>
      <c r="R2128" s="13">
        <v>26</v>
      </c>
      <c r="S2128" s="13">
        <v>2</v>
      </c>
      <c r="T2128" s="23">
        <v>46247.730393518519</v>
      </c>
      <c r="U2128" s="55">
        <f t="shared" si="99"/>
        <v>1</v>
      </c>
      <c r="V2128" s="55">
        <f t="shared" si="100"/>
        <v>0.33333333333333331</v>
      </c>
      <c r="W2128" s="56">
        <f t="shared" si="101"/>
        <v>14743.5</v>
      </c>
    </row>
    <row r="2129" spans="1:23" x14ac:dyDescent="0.3">
      <c r="A2129" s="13" t="str" cm="1">
        <f t="array" ref="A2129:B2129">INDEX(BenchmarkResults!$B$1:$D$35,SUMPRODUCT((T2129&gt;=BenchmarkResults!$F$3:$F$35)*(mongodb_hardware_log!T2129&lt;BenchmarkResults!$G$3:$G$35)*ROW(BenchmarkResults!$F$3:$F$35)),{1,3})</f>
        <v>q4_category_revenue</v>
      </c>
      <c r="B2129">
        <v>3</v>
      </c>
      <c r="C2129" s="13">
        <v>1</v>
      </c>
      <c r="D2129" s="13">
        <v>0</v>
      </c>
      <c r="E2129" s="13">
        <v>206592</v>
      </c>
      <c r="F2129" s="13">
        <v>146784</v>
      </c>
      <c r="G2129" s="13">
        <v>468</v>
      </c>
      <c r="H2129" s="13">
        <v>2312528</v>
      </c>
      <c r="I2129" s="13">
        <v>4</v>
      </c>
      <c r="J2129" s="13">
        <v>0</v>
      </c>
      <c r="K2129" s="13">
        <v>13598</v>
      </c>
      <c r="L2129" s="13">
        <v>12</v>
      </c>
      <c r="M2129" s="13">
        <v>2567</v>
      </c>
      <c r="N2129" s="13">
        <v>1682</v>
      </c>
      <c r="O2129" s="13">
        <v>20</v>
      </c>
      <c r="P2129" s="13">
        <v>6</v>
      </c>
      <c r="Q2129" s="13">
        <v>47</v>
      </c>
      <c r="R2129" s="13">
        <v>26</v>
      </c>
      <c r="S2129" s="13">
        <v>1</v>
      </c>
      <c r="T2129" s="23">
        <v>46247.730509259258</v>
      </c>
      <c r="U2129" s="55">
        <f t="shared" si="99"/>
        <v>1</v>
      </c>
      <c r="V2129" s="55">
        <f t="shared" si="100"/>
        <v>0.16666666666666666</v>
      </c>
      <c r="W2129" s="56">
        <f t="shared" si="101"/>
        <v>14441.666666666666</v>
      </c>
    </row>
    <row r="2130" spans="1:23" x14ac:dyDescent="0.3">
      <c r="A2130" s="13" t="str" cm="1">
        <f t="array" ref="A2130:B2130">INDEX(BenchmarkResults!$B$1:$D$35,SUMPRODUCT((T2130&gt;=BenchmarkResults!$F$3:$F$35)*(mongodb_hardware_log!T2130&lt;BenchmarkResults!$G$3:$G$35)*ROW(BenchmarkResults!$F$3:$F$35)),{1,3})</f>
        <v>q4_category_revenue</v>
      </c>
      <c r="B2130">
        <v>3</v>
      </c>
      <c r="C2130" s="13">
        <v>0</v>
      </c>
      <c r="D2130" s="13">
        <v>1</v>
      </c>
      <c r="E2130" s="13">
        <v>206592</v>
      </c>
      <c r="F2130" s="13">
        <v>126376</v>
      </c>
      <c r="G2130" s="13">
        <v>472</v>
      </c>
      <c r="H2130" s="13">
        <v>2332872</v>
      </c>
      <c r="I2130" s="13">
        <v>1</v>
      </c>
      <c r="J2130" s="13">
        <v>0</v>
      </c>
      <c r="K2130" s="13">
        <v>14164</v>
      </c>
      <c r="L2130" s="13">
        <v>11</v>
      </c>
      <c r="M2130" s="13">
        <v>2973</v>
      </c>
      <c r="N2130" s="13">
        <v>2036</v>
      </c>
      <c r="O2130" s="13">
        <v>20</v>
      </c>
      <c r="P2130" s="13">
        <v>7</v>
      </c>
      <c r="Q2130" s="13">
        <v>46</v>
      </c>
      <c r="R2130" s="13">
        <v>25</v>
      </c>
      <c r="S2130" s="13">
        <v>2</v>
      </c>
      <c r="T2130" s="23">
        <v>46247.730624999997</v>
      </c>
      <c r="U2130" s="55">
        <f t="shared" si="99"/>
        <v>0.83333333333333337</v>
      </c>
      <c r="V2130" s="55">
        <f t="shared" si="100"/>
        <v>0.33333333333333331</v>
      </c>
      <c r="W2130" s="56">
        <f t="shared" si="101"/>
        <v>14337.833333333334</v>
      </c>
    </row>
    <row r="2131" spans="1:23" x14ac:dyDescent="0.3">
      <c r="A2131" s="13" t="str" cm="1">
        <f t="array" ref="A2131:B2131">INDEX(BenchmarkResults!$B$1:$D$35,SUMPRODUCT((T2131&gt;=BenchmarkResults!$F$3:$F$35)*(mongodb_hardware_log!T2131&lt;BenchmarkResults!$G$3:$G$35)*ROW(BenchmarkResults!$F$3:$F$35)),{1,3})</f>
        <v>q4_category_revenue</v>
      </c>
      <c r="B2131">
        <v>3</v>
      </c>
      <c r="C2131" s="13">
        <v>0</v>
      </c>
      <c r="D2131" s="13">
        <v>1</v>
      </c>
      <c r="E2131" s="13">
        <v>206592</v>
      </c>
      <c r="F2131" s="13">
        <v>114724</v>
      </c>
      <c r="G2131" s="13">
        <v>500</v>
      </c>
      <c r="H2131" s="13">
        <v>2331684</v>
      </c>
      <c r="I2131" s="13">
        <v>2</v>
      </c>
      <c r="J2131" s="13">
        <v>0</v>
      </c>
      <c r="K2131" s="13">
        <v>14402</v>
      </c>
      <c r="L2131" s="13">
        <v>30</v>
      </c>
      <c r="M2131" s="13">
        <v>2695</v>
      </c>
      <c r="N2131" s="13">
        <v>1819</v>
      </c>
      <c r="O2131" s="13">
        <v>17</v>
      </c>
      <c r="P2131" s="13">
        <v>7</v>
      </c>
      <c r="Q2131" s="13">
        <v>47</v>
      </c>
      <c r="R2131" s="13">
        <v>28</v>
      </c>
      <c r="S2131" s="13">
        <v>2</v>
      </c>
      <c r="T2131" s="23">
        <v>46247.730740740742</v>
      </c>
      <c r="U2131" s="55">
        <f t="shared" si="99"/>
        <v>0.83333333333333337</v>
      </c>
      <c r="V2131" s="55">
        <f t="shared" si="100"/>
        <v>0.33333333333333331</v>
      </c>
      <c r="W2131" s="56">
        <f t="shared" si="101"/>
        <v>14231.833333333334</v>
      </c>
    </row>
    <row r="2132" spans="1:23" x14ac:dyDescent="0.3">
      <c r="A2132" s="13" t="str" cm="1">
        <f t="array" ref="A2132:B2132">INDEX(BenchmarkResults!$B$1:$D$35,SUMPRODUCT((T2132&gt;=BenchmarkResults!$F$3:$F$35)*(mongodb_hardware_log!T2132&lt;BenchmarkResults!$G$3:$G$35)*ROW(BenchmarkResults!$F$3:$F$35)),{1,3})</f>
        <v>q4_category_revenue</v>
      </c>
      <c r="B2132">
        <v>3</v>
      </c>
      <c r="C2132" s="13">
        <v>0</v>
      </c>
      <c r="D2132" s="13">
        <v>1</v>
      </c>
      <c r="E2132" s="13">
        <v>206592</v>
      </c>
      <c r="F2132" s="13">
        <v>182276</v>
      </c>
      <c r="G2132" s="13">
        <v>516</v>
      </c>
      <c r="H2132" s="13">
        <v>2271960</v>
      </c>
      <c r="I2132" s="13">
        <v>4</v>
      </c>
      <c r="J2132" s="13">
        <v>1</v>
      </c>
      <c r="K2132" s="13">
        <v>15760</v>
      </c>
      <c r="L2132" s="13">
        <v>19</v>
      </c>
      <c r="M2132" s="13">
        <v>3063</v>
      </c>
      <c r="N2132" s="13">
        <v>2053</v>
      </c>
      <c r="O2132" s="13">
        <v>19</v>
      </c>
      <c r="P2132" s="13">
        <v>8</v>
      </c>
      <c r="Q2132" s="13">
        <v>45</v>
      </c>
      <c r="R2132" s="13">
        <v>26</v>
      </c>
      <c r="S2132" s="13">
        <v>1</v>
      </c>
      <c r="T2132" s="23">
        <v>46247.730856481481</v>
      </c>
      <c r="U2132" s="55">
        <f t="shared" si="99"/>
        <v>0.66666666666666663</v>
      </c>
      <c r="V2132" s="55">
        <f t="shared" si="100"/>
        <v>0.5</v>
      </c>
      <c r="W2132" s="56">
        <f t="shared" si="101"/>
        <v>14363.333333333334</v>
      </c>
    </row>
    <row r="2133" spans="1:23" x14ac:dyDescent="0.3">
      <c r="A2133" s="13" t="str" cm="1">
        <f t="array" ref="A2133:B2133">INDEX(BenchmarkResults!$B$1:$D$35,SUMPRODUCT((T2133&gt;=BenchmarkResults!$F$3:$F$35)*(mongodb_hardware_log!T2133&lt;BenchmarkResults!$G$3:$G$35)*ROW(BenchmarkResults!$F$3:$F$35)),{1,3})</f>
        <v>q4_category_revenue</v>
      </c>
      <c r="B2133">
        <v>3</v>
      </c>
      <c r="C2133" s="13">
        <v>0</v>
      </c>
      <c r="D2133" s="13">
        <v>1</v>
      </c>
      <c r="E2133" s="13">
        <v>206592</v>
      </c>
      <c r="F2133" s="13">
        <v>145744</v>
      </c>
      <c r="G2133" s="13">
        <v>360</v>
      </c>
      <c r="H2133" s="13">
        <v>2315348</v>
      </c>
      <c r="I2133" s="13">
        <v>1</v>
      </c>
      <c r="J2133" s="13">
        <v>19</v>
      </c>
      <c r="K2133" s="13">
        <v>17722</v>
      </c>
      <c r="L2133" s="13">
        <v>27</v>
      </c>
      <c r="M2133" s="13">
        <v>3168</v>
      </c>
      <c r="N2133" s="13">
        <v>2204</v>
      </c>
      <c r="O2133" s="13">
        <v>19</v>
      </c>
      <c r="P2133" s="13">
        <v>8</v>
      </c>
      <c r="Q2133" s="13">
        <v>46</v>
      </c>
      <c r="R2133" s="13">
        <v>26</v>
      </c>
      <c r="S2133" s="13">
        <v>1</v>
      </c>
      <c r="T2133" s="23">
        <v>46247.73097222222</v>
      </c>
      <c r="U2133" s="55">
        <f t="shared" si="99"/>
        <v>0.33333333333333331</v>
      </c>
      <c r="V2133" s="55">
        <f t="shared" si="100"/>
        <v>0.66666666666666663</v>
      </c>
      <c r="W2133" s="56">
        <f t="shared" si="101"/>
        <v>14731.833333333334</v>
      </c>
    </row>
    <row r="2134" spans="1:23" x14ac:dyDescent="0.3">
      <c r="A2134" s="13" t="str" cm="1">
        <f t="array" ref="A2134:B2134">INDEX(BenchmarkResults!$B$1:$D$35,SUMPRODUCT((T2134&gt;=BenchmarkResults!$F$3:$F$35)*(mongodb_hardware_log!T2134&lt;BenchmarkResults!$G$3:$G$35)*ROW(BenchmarkResults!$F$3:$F$35)),{1,3})</f>
        <v>q4_category_revenue</v>
      </c>
      <c r="B2134">
        <v>3</v>
      </c>
      <c r="C2134" s="13">
        <v>0</v>
      </c>
      <c r="D2134" s="13">
        <v>2</v>
      </c>
      <c r="E2134" s="13">
        <v>206592</v>
      </c>
      <c r="F2134" s="13">
        <v>138204</v>
      </c>
      <c r="G2134" s="13">
        <v>372</v>
      </c>
      <c r="H2134" s="13">
        <v>2307804</v>
      </c>
      <c r="I2134" s="13">
        <v>27</v>
      </c>
      <c r="J2134" s="13">
        <v>0</v>
      </c>
      <c r="K2134" s="13">
        <v>16803</v>
      </c>
      <c r="L2134" s="13">
        <v>16</v>
      </c>
      <c r="M2134" s="13">
        <v>3029</v>
      </c>
      <c r="N2134" s="13">
        <v>2111</v>
      </c>
      <c r="O2134" s="13">
        <v>20</v>
      </c>
      <c r="P2134" s="13">
        <v>7</v>
      </c>
      <c r="Q2134" s="13">
        <v>46</v>
      </c>
      <c r="R2134" s="13">
        <v>25</v>
      </c>
      <c r="S2134" s="13">
        <v>1</v>
      </c>
      <c r="T2134" s="23">
        <v>46247.731087962966</v>
      </c>
      <c r="U2134" s="55">
        <f t="shared" si="99"/>
        <v>0.16666666666666666</v>
      </c>
      <c r="V2134" s="55">
        <f t="shared" si="100"/>
        <v>1</v>
      </c>
      <c r="W2134" s="56">
        <f t="shared" si="101"/>
        <v>15408.166666666666</v>
      </c>
    </row>
    <row r="2135" spans="1:23" x14ac:dyDescent="0.3">
      <c r="A2135" s="13" t="str" cm="1">
        <f t="array" ref="A2135:B2135">INDEX(BenchmarkResults!$B$1:$D$35,SUMPRODUCT((T2135&gt;=BenchmarkResults!$F$3:$F$35)*(mongodb_hardware_log!T2135&lt;BenchmarkResults!$G$3:$G$35)*ROW(BenchmarkResults!$F$3:$F$35)),{1,3})</f>
        <v>q4_category_revenue</v>
      </c>
      <c r="B2135">
        <v>3</v>
      </c>
      <c r="C2135" s="13">
        <v>1</v>
      </c>
      <c r="D2135" s="13">
        <v>0</v>
      </c>
      <c r="E2135" s="13">
        <v>206080</v>
      </c>
      <c r="F2135" s="13">
        <v>126296</v>
      </c>
      <c r="G2135" s="13">
        <v>652</v>
      </c>
      <c r="H2135" s="13">
        <v>2333876</v>
      </c>
      <c r="I2135" s="13">
        <v>223</v>
      </c>
      <c r="J2135" s="13">
        <v>0</v>
      </c>
      <c r="K2135" s="13">
        <v>18600</v>
      </c>
      <c r="L2135" s="13">
        <v>44</v>
      </c>
      <c r="M2135" s="13">
        <v>3333</v>
      </c>
      <c r="N2135" s="13">
        <v>2300</v>
      </c>
      <c r="O2135" s="13">
        <v>22</v>
      </c>
      <c r="P2135" s="13">
        <v>8</v>
      </c>
      <c r="Q2135" s="13">
        <v>44</v>
      </c>
      <c r="R2135" s="13">
        <v>26</v>
      </c>
      <c r="S2135" s="13">
        <v>1</v>
      </c>
      <c r="T2135" s="23">
        <v>46247.731203703705</v>
      </c>
      <c r="U2135" s="55">
        <f t="shared" si="99"/>
        <v>0.16666666666666666</v>
      </c>
      <c r="V2135" s="55">
        <f t="shared" si="100"/>
        <v>1</v>
      </c>
      <c r="W2135" s="56">
        <f t="shared" si="101"/>
        <v>16241.833333333334</v>
      </c>
    </row>
    <row r="2136" spans="1:23" x14ac:dyDescent="0.3">
      <c r="A2136" s="13" t="str" cm="1">
        <f t="array" ref="A2136:B2136">INDEX(BenchmarkResults!$B$1:$D$35,SUMPRODUCT((T2136&gt;=BenchmarkResults!$F$3:$F$35)*(mongodb_hardware_log!T2136&lt;BenchmarkResults!$G$3:$G$35)*ROW(BenchmarkResults!$F$3:$F$35)),{1,3})</f>
        <v>q4_category_revenue</v>
      </c>
      <c r="B2136">
        <v>3</v>
      </c>
      <c r="C2136" s="13">
        <v>0</v>
      </c>
      <c r="D2136" s="13">
        <v>1</v>
      </c>
      <c r="E2136" s="13">
        <v>207360</v>
      </c>
      <c r="F2136" s="13">
        <v>150452</v>
      </c>
      <c r="G2136" s="13">
        <v>632</v>
      </c>
      <c r="H2136" s="13">
        <v>2301236</v>
      </c>
      <c r="I2136" s="13">
        <v>8</v>
      </c>
      <c r="J2136" s="13">
        <v>132</v>
      </c>
      <c r="K2136" s="13">
        <v>18376</v>
      </c>
      <c r="L2136" s="13">
        <v>151</v>
      </c>
      <c r="M2136" s="13">
        <v>3271</v>
      </c>
      <c r="N2136" s="13">
        <v>2158</v>
      </c>
      <c r="O2136" s="13">
        <v>20</v>
      </c>
      <c r="P2136" s="13">
        <v>8</v>
      </c>
      <c r="Q2136" s="13">
        <v>46</v>
      </c>
      <c r="R2136" s="13">
        <v>26</v>
      </c>
      <c r="S2136" s="13">
        <v>1</v>
      </c>
      <c r="T2136" s="23">
        <v>46247.731319444443</v>
      </c>
      <c r="U2136" s="55">
        <f t="shared" si="99"/>
        <v>0.16666666666666666</v>
      </c>
      <c r="V2136" s="55">
        <f t="shared" si="100"/>
        <v>1</v>
      </c>
      <c r="W2136" s="56">
        <f t="shared" si="101"/>
        <v>16943.833333333332</v>
      </c>
    </row>
    <row r="2137" spans="1:23" x14ac:dyDescent="0.3">
      <c r="A2137" s="13" t="str" cm="1">
        <f t="array" ref="A2137:B2137">INDEX(BenchmarkResults!$B$1:$D$35,SUMPRODUCT((T2137&gt;=BenchmarkResults!$F$3:$F$35)*(mongodb_hardware_log!T2137&lt;BenchmarkResults!$G$3:$G$35)*ROW(BenchmarkResults!$F$3:$F$35)),{1,3})</f>
        <v>q4_category_revenue</v>
      </c>
      <c r="B2137">
        <v>3</v>
      </c>
      <c r="C2137" s="13">
        <v>0</v>
      </c>
      <c r="D2137" s="13">
        <v>1</v>
      </c>
      <c r="E2137" s="13">
        <v>207360</v>
      </c>
      <c r="F2137" s="13">
        <v>152368</v>
      </c>
      <c r="G2137" s="13">
        <v>656</v>
      </c>
      <c r="H2137" s="13">
        <v>2306208</v>
      </c>
      <c r="I2137" s="13">
        <v>4</v>
      </c>
      <c r="J2137" s="13">
        <v>0</v>
      </c>
      <c r="K2137" s="13">
        <v>16699</v>
      </c>
      <c r="L2137" s="13">
        <v>29</v>
      </c>
      <c r="M2137" s="13">
        <v>3320</v>
      </c>
      <c r="N2137" s="13">
        <v>2189</v>
      </c>
      <c r="O2137" s="13">
        <v>22</v>
      </c>
      <c r="P2137" s="13">
        <v>8</v>
      </c>
      <c r="Q2137" s="13">
        <v>46</v>
      </c>
      <c r="R2137" s="13">
        <v>24</v>
      </c>
      <c r="S2137" s="13">
        <v>1</v>
      </c>
      <c r="T2137" s="23">
        <v>46247.731435185182</v>
      </c>
      <c r="U2137" s="55">
        <f t="shared" si="99"/>
        <v>0.16666666666666666</v>
      </c>
      <c r="V2137" s="55">
        <f t="shared" si="100"/>
        <v>1</v>
      </c>
      <c r="W2137" s="56">
        <f t="shared" si="101"/>
        <v>17326.666666666668</v>
      </c>
    </row>
    <row r="2138" spans="1:23" x14ac:dyDescent="0.3">
      <c r="A2138" s="13" t="str" cm="1">
        <f t="array" ref="A2138:B2138">INDEX(BenchmarkResults!$B$1:$D$35,SUMPRODUCT((T2138&gt;=BenchmarkResults!$F$3:$F$35)*(mongodb_hardware_log!T2138&lt;BenchmarkResults!$G$3:$G$35)*ROW(BenchmarkResults!$F$3:$F$35)),{1,3})</f>
        <v>q4_category_revenue</v>
      </c>
      <c r="B2138">
        <v>3</v>
      </c>
      <c r="C2138" s="13">
        <v>0</v>
      </c>
      <c r="D2138" s="13">
        <v>1</v>
      </c>
      <c r="E2138" s="13">
        <v>207360</v>
      </c>
      <c r="F2138" s="13">
        <v>110636</v>
      </c>
      <c r="G2138" s="13">
        <v>672</v>
      </c>
      <c r="H2138" s="13">
        <v>2344568</v>
      </c>
      <c r="I2138" s="13">
        <v>5</v>
      </c>
      <c r="J2138" s="13">
        <v>0</v>
      </c>
      <c r="K2138" s="13">
        <v>14714</v>
      </c>
      <c r="L2138" s="13">
        <v>18</v>
      </c>
      <c r="M2138" s="13">
        <v>3210</v>
      </c>
      <c r="N2138" s="13">
        <v>2284</v>
      </c>
      <c r="O2138" s="13">
        <v>21</v>
      </c>
      <c r="P2138" s="13">
        <v>8</v>
      </c>
      <c r="Q2138" s="13">
        <v>45</v>
      </c>
      <c r="R2138" s="13">
        <v>24</v>
      </c>
      <c r="S2138" s="13">
        <v>1</v>
      </c>
      <c r="T2138" s="23">
        <v>46247.731550925928</v>
      </c>
      <c r="U2138" s="55">
        <f t="shared" si="99"/>
        <v>0.16666666666666666</v>
      </c>
      <c r="V2138" s="55">
        <f t="shared" si="100"/>
        <v>1</v>
      </c>
      <c r="W2138" s="56">
        <f t="shared" si="101"/>
        <v>17152.333333333332</v>
      </c>
    </row>
    <row r="2139" spans="1:23" x14ac:dyDescent="0.3">
      <c r="A2139" s="13" t="str" cm="1">
        <f t="array" ref="A2139:B2139">INDEX(BenchmarkResults!$B$1:$D$35,SUMPRODUCT((T2139&gt;=BenchmarkResults!$F$3:$F$35)*(mongodb_hardware_log!T2139&lt;BenchmarkResults!$G$3:$G$35)*ROW(BenchmarkResults!$F$3:$F$35)),{1,3})</f>
        <v>q4_category_revenue</v>
      </c>
      <c r="B2139">
        <v>3</v>
      </c>
      <c r="C2139" s="13">
        <v>1</v>
      </c>
      <c r="D2139" s="13">
        <v>0</v>
      </c>
      <c r="E2139" s="13">
        <v>207104</v>
      </c>
      <c r="F2139" s="13">
        <v>111552</v>
      </c>
      <c r="G2139" s="13">
        <v>680</v>
      </c>
      <c r="H2139" s="13">
        <v>2340528</v>
      </c>
      <c r="I2139" s="13">
        <v>3</v>
      </c>
      <c r="J2139" s="13">
        <v>0</v>
      </c>
      <c r="K2139" s="13">
        <v>15052</v>
      </c>
      <c r="L2139" s="13">
        <v>16</v>
      </c>
      <c r="M2139" s="13">
        <v>3055</v>
      </c>
      <c r="N2139" s="13">
        <v>2044</v>
      </c>
      <c r="O2139" s="13">
        <v>19</v>
      </c>
      <c r="P2139" s="13">
        <v>7</v>
      </c>
      <c r="Q2139" s="13">
        <v>46</v>
      </c>
      <c r="R2139" s="13">
        <v>26</v>
      </c>
      <c r="S2139" s="13">
        <v>1</v>
      </c>
      <c r="T2139" s="23">
        <v>46247.731666666667</v>
      </c>
      <c r="U2139" s="55">
        <f t="shared" si="99"/>
        <v>0.33333333333333331</v>
      </c>
      <c r="V2139" s="55">
        <f t="shared" si="100"/>
        <v>0.83333333333333337</v>
      </c>
      <c r="W2139" s="56">
        <f t="shared" si="101"/>
        <v>16707.333333333332</v>
      </c>
    </row>
    <row r="2140" spans="1:23" x14ac:dyDescent="0.3">
      <c r="A2140" s="13" t="str" cm="1">
        <f t="array" ref="A2140:B2140">INDEX(BenchmarkResults!$B$1:$D$35,SUMPRODUCT((T2140&gt;=BenchmarkResults!$F$3:$F$35)*(mongodb_hardware_log!T2140&lt;BenchmarkResults!$G$3:$G$35)*ROW(BenchmarkResults!$F$3:$F$35)),{1,3})</f>
        <v>q4_category_revenue</v>
      </c>
      <c r="B2140">
        <v>3</v>
      </c>
      <c r="C2140" s="13">
        <v>0</v>
      </c>
      <c r="D2140" s="13">
        <v>1</v>
      </c>
      <c r="E2140" s="13">
        <v>207104</v>
      </c>
      <c r="F2140" s="13">
        <v>106096</v>
      </c>
      <c r="G2140" s="13">
        <v>696</v>
      </c>
      <c r="H2140" s="13">
        <v>2341768</v>
      </c>
      <c r="I2140" s="13">
        <v>0</v>
      </c>
      <c r="J2140" s="13">
        <v>0</v>
      </c>
      <c r="K2140" s="13">
        <v>14991</v>
      </c>
      <c r="L2140" s="13">
        <v>21</v>
      </c>
      <c r="M2140" s="13">
        <v>2944</v>
      </c>
      <c r="N2140" s="13">
        <v>2103</v>
      </c>
      <c r="O2140" s="13">
        <v>20</v>
      </c>
      <c r="P2140" s="13">
        <v>8</v>
      </c>
      <c r="Q2140" s="13">
        <v>46</v>
      </c>
      <c r="R2140" s="13">
        <v>25</v>
      </c>
      <c r="S2140" s="13">
        <v>1</v>
      </c>
      <c r="T2140" s="23">
        <v>46247.731782407405</v>
      </c>
      <c r="U2140" s="55">
        <f t="shared" si="99"/>
        <v>0.33333333333333331</v>
      </c>
      <c r="V2140" s="55">
        <f t="shared" si="100"/>
        <v>0.66666666666666663</v>
      </c>
      <c r="W2140" s="56">
        <f t="shared" si="101"/>
        <v>16405.333333333332</v>
      </c>
    </row>
    <row r="2141" spans="1:23" x14ac:dyDescent="0.3">
      <c r="A2141" s="13" t="str" cm="1">
        <f t="array" ref="A2141:B2141">INDEX(BenchmarkResults!$B$1:$D$35,SUMPRODUCT((T2141&gt;=BenchmarkResults!$F$3:$F$35)*(mongodb_hardware_log!T2141&lt;BenchmarkResults!$G$3:$G$35)*ROW(BenchmarkResults!$F$3:$F$35)),{1,3})</f>
        <v>q4_category_revenue</v>
      </c>
      <c r="B2141">
        <v>3</v>
      </c>
      <c r="C2141" s="13">
        <v>1</v>
      </c>
      <c r="D2141" s="13">
        <v>0</v>
      </c>
      <c r="E2141" s="13">
        <v>207104</v>
      </c>
      <c r="F2141" s="13">
        <v>108784</v>
      </c>
      <c r="G2141" s="13">
        <v>704</v>
      </c>
      <c r="H2141" s="13">
        <v>2346588</v>
      </c>
      <c r="I2141" s="13">
        <v>4</v>
      </c>
      <c r="J2141" s="13">
        <v>0</v>
      </c>
      <c r="K2141" s="13">
        <v>14641</v>
      </c>
      <c r="L2141" s="13">
        <v>10</v>
      </c>
      <c r="M2141" s="13">
        <v>2752</v>
      </c>
      <c r="N2141" s="13">
        <v>1704</v>
      </c>
      <c r="O2141" s="13">
        <v>17</v>
      </c>
      <c r="P2141" s="13">
        <v>7</v>
      </c>
      <c r="Q2141" s="13">
        <v>47</v>
      </c>
      <c r="R2141" s="13">
        <v>28</v>
      </c>
      <c r="S2141" s="13">
        <v>1</v>
      </c>
      <c r="T2141" s="23">
        <v>46247.731898148151</v>
      </c>
      <c r="U2141" s="55">
        <f t="shared" si="99"/>
        <v>0.33333333333333331</v>
      </c>
      <c r="V2141" s="55">
        <f t="shared" si="100"/>
        <v>0.66666666666666663</v>
      </c>
      <c r="W2141" s="56">
        <f t="shared" si="101"/>
        <v>15745.5</v>
      </c>
    </row>
    <row r="2142" spans="1:23" x14ac:dyDescent="0.3">
      <c r="A2142" s="13" t="str" cm="1">
        <f t="array" ref="A2142:B2142">INDEX(BenchmarkResults!$B$1:$D$35,SUMPRODUCT((T2142&gt;=BenchmarkResults!$F$3:$F$35)*(mongodb_hardware_log!T2142&lt;BenchmarkResults!$G$3:$G$35)*ROW(BenchmarkResults!$F$3:$F$35)),{1,3})</f>
        <v>q4_category_revenue</v>
      </c>
      <c r="B2142">
        <v>3</v>
      </c>
      <c r="C2142" s="13">
        <v>1</v>
      </c>
      <c r="D2142" s="13">
        <v>0</v>
      </c>
      <c r="E2142" s="13">
        <v>206848</v>
      </c>
      <c r="F2142" s="13">
        <v>117808</v>
      </c>
      <c r="G2142" s="13">
        <v>748</v>
      </c>
      <c r="H2142" s="13">
        <v>2339576</v>
      </c>
      <c r="I2142" s="13">
        <v>2</v>
      </c>
      <c r="J2142" s="13">
        <v>0</v>
      </c>
      <c r="K2142" s="13">
        <v>16126</v>
      </c>
      <c r="L2142" s="13">
        <v>38</v>
      </c>
      <c r="M2142" s="13">
        <v>3292</v>
      </c>
      <c r="N2142" s="13">
        <v>2240</v>
      </c>
      <c r="O2142" s="13">
        <v>21</v>
      </c>
      <c r="P2142" s="13">
        <v>9</v>
      </c>
      <c r="Q2142" s="13">
        <v>45</v>
      </c>
      <c r="R2142" s="13">
        <v>25</v>
      </c>
      <c r="S2142" s="13">
        <v>1</v>
      </c>
      <c r="T2142" s="23">
        <v>46247.73201388889</v>
      </c>
      <c r="U2142" s="55">
        <f t="shared" si="99"/>
        <v>0.5</v>
      </c>
      <c r="V2142" s="55">
        <f t="shared" si="100"/>
        <v>0.5</v>
      </c>
      <c r="W2142" s="56">
        <f t="shared" si="101"/>
        <v>15370.5</v>
      </c>
    </row>
    <row r="2143" spans="1:23" x14ac:dyDescent="0.3">
      <c r="A2143" s="13" t="str" cm="1">
        <f t="array" ref="A2143:B2143">INDEX(BenchmarkResults!$B$1:$D$35,SUMPRODUCT((T2143&gt;=BenchmarkResults!$F$3:$F$35)*(mongodb_hardware_log!T2143&lt;BenchmarkResults!$G$3:$G$35)*ROW(BenchmarkResults!$F$3:$F$35)),{1,3})</f>
        <v>q4_category_revenue</v>
      </c>
      <c r="B2143">
        <v>3</v>
      </c>
      <c r="C2143" s="13">
        <v>1</v>
      </c>
      <c r="D2143" s="13">
        <v>0</v>
      </c>
      <c r="E2143" s="13">
        <v>206848</v>
      </c>
      <c r="F2143" s="13">
        <v>110548</v>
      </c>
      <c r="G2143" s="13">
        <v>780</v>
      </c>
      <c r="H2143" s="13">
        <v>2341384</v>
      </c>
      <c r="I2143" s="13">
        <v>4</v>
      </c>
      <c r="J2143" s="13">
        <v>0</v>
      </c>
      <c r="K2143" s="13">
        <v>19122</v>
      </c>
      <c r="L2143" s="13">
        <v>26</v>
      </c>
      <c r="M2143" s="13">
        <v>3387</v>
      </c>
      <c r="N2143" s="13">
        <v>2313</v>
      </c>
      <c r="O2143" s="13">
        <v>20</v>
      </c>
      <c r="P2143" s="13">
        <v>9</v>
      </c>
      <c r="Q2143" s="13">
        <v>45</v>
      </c>
      <c r="R2143" s="13">
        <v>25</v>
      </c>
      <c r="S2143" s="13">
        <v>0</v>
      </c>
      <c r="T2143" s="23">
        <v>46247.732129629629</v>
      </c>
      <c r="U2143" s="55">
        <f t="shared" si="99"/>
        <v>0.66666666666666663</v>
      </c>
      <c r="V2143" s="55">
        <f t="shared" si="100"/>
        <v>0.33333333333333331</v>
      </c>
      <c r="W2143" s="56">
        <f t="shared" si="101"/>
        <v>15774.333333333334</v>
      </c>
    </row>
    <row r="2144" spans="1:23" x14ac:dyDescent="0.3">
      <c r="A2144" s="13" t="str" cm="1">
        <f t="array" ref="A2144:B2144">INDEX(BenchmarkResults!$B$1:$D$35,SUMPRODUCT((T2144&gt;=BenchmarkResults!$F$3:$F$35)*(mongodb_hardware_log!T2144&lt;BenchmarkResults!$G$3:$G$35)*ROW(BenchmarkResults!$F$3:$F$35)),{1,3})</f>
        <v>q4_category_revenue</v>
      </c>
      <c r="B2144">
        <v>3</v>
      </c>
      <c r="C2144" s="13">
        <v>1</v>
      </c>
      <c r="D2144" s="13">
        <v>0</v>
      </c>
      <c r="E2144" s="13">
        <v>206848</v>
      </c>
      <c r="F2144" s="13">
        <v>115380</v>
      </c>
      <c r="G2144" s="13">
        <v>492</v>
      </c>
      <c r="H2144" s="13">
        <v>2344844</v>
      </c>
      <c r="I2144" s="13">
        <v>1</v>
      </c>
      <c r="J2144" s="13">
        <v>8</v>
      </c>
      <c r="K2144" s="13">
        <v>16868</v>
      </c>
      <c r="L2144" s="13">
        <v>30</v>
      </c>
      <c r="M2144" s="13">
        <v>3289</v>
      </c>
      <c r="N2144" s="13">
        <v>2218</v>
      </c>
      <c r="O2144" s="13">
        <v>21</v>
      </c>
      <c r="P2144" s="13">
        <v>8</v>
      </c>
      <c r="Q2144" s="13">
        <v>46</v>
      </c>
      <c r="R2144" s="13">
        <v>25</v>
      </c>
      <c r="S2144" s="13">
        <v>1</v>
      </c>
      <c r="T2144" s="23">
        <v>46247.732245370367</v>
      </c>
      <c r="U2144" s="55">
        <f t="shared" si="99"/>
        <v>0.83333333333333337</v>
      </c>
      <c r="V2144" s="55">
        <f t="shared" si="100"/>
        <v>0.16666666666666666</v>
      </c>
      <c r="W2144" s="56">
        <f t="shared" si="101"/>
        <v>16133.333333333334</v>
      </c>
    </row>
    <row r="2145" spans="1:23" x14ac:dyDescent="0.3">
      <c r="A2145" s="13" t="str" cm="1">
        <f t="array" ref="A2145:B2145">INDEX(BenchmarkResults!$B$1:$D$35,SUMPRODUCT((T2145&gt;=BenchmarkResults!$F$3:$F$35)*(mongodb_hardware_log!T2145&lt;BenchmarkResults!$G$3:$G$35)*ROW(BenchmarkResults!$F$3:$F$35)),{1,3})</f>
        <v>q4_category_revenue</v>
      </c>
      <c r="B2145">
        <v>3</v>
      </c>
      <c r="C2145" s="13">
        <v>0</v>
      </c>
      <c r="D2145" s="13">
        <v>1</v>
      </c>
      <c r="E2145" s="13">
        <v>206848</v>
      </c>
      <c r="F2145" s="13">
        <v>116888</v>
      </c>
      <c r="G2145" s="13">
        <v>500</v>
      </c>
      <c r="H2145" s="13">
        <v>2339392</v>
      </c>
      <c r="I2145" s="13">
        <v>0</v>
      </c>
      <c r="J2145" s="13">
        <v>0</v>
      </c>
      <c r="K2145" s="13">
        <v>18169</v>
      </c>
      <c r="L2145" s="13">
        <v>5</v>
      </c>
      <c r="M2145" s="13">
        <v>3475</v>
      </c>
      <c r="N2145" s="13">
        <v>2446</v>
      </c>
      <c r="O2145" s="13">
        <v>21</v>
      </c>
      <c r="P2145" s="13">
        <v>8</v>
      </c>
      <c r="Q2145" s="13">
        <v>46</v>
      </c>
      <c r="R2145" s="13">
        <v>25</v>
      </c>
      <c r="S2145" s="13">
        <v>1</v>
      </c>
      <c r="T2145" s="23">
        <v>46247.732361111113</v>
      </c>
      <c r="U2145" s="55">
        <f t="shared" si="99"/>
        <v>0.66666666666666663</v>
      </c>
      <c r="V2145" s="55">
        <f t="shared" si="100"/>
        <v>0.33333333333333331</v>
      </c>
      <c r="W2145" s="56">
        <f t="shared" si="101"/>
        <v>16652.833333333332</v>
      </c>
    </row>
    <row r="2146" spans="1:23" x14ac:dyDescent="0.3">
      <c r="A2146" s="13" t="str" cm="1">
        <f t="array" ref="A2146:B2146">INDEX(BenchmarkResults!$B$1:$D$35,SUMPRODUCT((T2146&gt;=BenchmarkResults!$F$3:$F$35)*(mongodb_hardware_log!T2146&lt;BenchmarkResults!$G$3:$G$35)*ROW(BenchmarkResults!$F$3:$F$35)),{1,3})</f>
        <v>q4_category_revenue</v>
      </c>
      <c r="B2146">
        <v>3</v>
      </c>
      <c r="C2146" s="13">
        <v>1</v>
      </c>
      <c r="D2146" s="13">
        <v>0</v>
      </c>
      <c r="E2146" s="13">
        <v>206848</v>
      </c>
      <c r="F2146" s="13">
        <v>116520</v>
      </c>
      <c r="G2146" s="13">
        <v>508</v>
      </c>
      <c r="H2146" s="13">
        <v>2338376</v>
      </c>
      <c r="I2146" s="13">
        <v>2</v>
      </c>
      <c r="J2146" s="13">
        <v>1</v>
      </c>
      <c r="K2146" s="13">
        <v>16996</v>
      </c>
      <c r="L2146" s="13">
        <v>10</v>
      </c>
      <c r="M2146" s="13">
        <v>3229</v>
      </c>
      <c r="N2146" s="13">
        <v>2309</v>
      </c>
      <c r="O2146" s="13">
        <v>20</v>
      </c>
      <c r="P2146" s="13">
        <v>8</v>
      </c>
      <c r="Q2146" s="13">
        <v>46</v>
      </c>
      <c r="R2146" s="13">
        <v>25</v>
      </c>
      <c r="S2146" s="13">
        <v>1</v>
      </c>
      <c r="T2146" s="23">
        <v>46247.732476851852</v>
      </c>
      <c r="U2146" s="55">
        <f t="shared" si="99"/>
        <v>0.83333333333333337</v>
      </c>
      <c r="V2146" s="55">
        <f t="shared" si="100"/>
        <v>0.16666666666666666</v>
      </c>
      <c r="W2146" s="56">
        <f t="shared" si="101"/>
        <v>16987</v>
      </c>
    </row>
    <row r="2147" spans="1:23" x14ac:dyDescent="0.3">
      <c r="A2147" s="13" t="str" cm="1">
        <f t="array" ref="A2147:B2147">INDEX(BenchmarkResults!$B$1:$D$35,SUMPRODUCT((T2147&gt;=BenchmarkResults!$F$3:$F$35)*(mongodb_hardware_log!T2147&lt;BenchmarkResults!$G$3:$G$35)*ROW(BenchmarkResults!$F$3:$F$35)),{1,3})</f>
        <v>q4_category_revenue</v>
      </c>
      <c r="B2147">
        <v>3</v>
      </c>
      <c r="C2147" s="13">
        <v>1</v>
      </c>
      <c r="D2147" s="13">
        <v>0</v>
      </c>
      <c r="E2147" s="13">
        <v>206080</v>
      </c>
      <c r="F2147" s="13">
        <v>135476</v>
      </c>
      <c r="G2147" s="13">
        <v>512</v>
      </c>
      <c r="H2147" s="13">
        <v>2318528</v>
      </c>
      <c r="I2147" s="13">
        <v>142</v>
      </c>
      <c r="J2147" s="13">
        <v>94</v>
      </c>
      <c r="K2147" s="13">
        <v>16402</v>
      </c>
      <c r="L2147" s="13">
        <v>104</v>
      </c>
      <c r="M2147" s="13">
        <v>3239</v>
      </c>
      <c r="N2147" s="13">
        <v>2248</v>
      </c>
      <c r="O2147" s="13">
        <v>21</v>
      </c>
      <c r="P2147" s="13">
        <v>8</v>
      </c>
      <c r="Q2147" s="13">
        <v>46</v>
      </c>
      <c r="R2147" s="13">
        <v>24</v>
      </c>
      <c r="S2147" s="13">
        <v>1</v>
      </c>
      <c r="T2147" s="23">
        <v>46247.732592592591</v>
      </c>
      <c r="U2147" s="55">
        <f t="shared" si="99"/>
        <v>0.83333333333333337</v>
      </c>
      <c r="V2147" s="55">
        <f t="shared" si="100"/>
        <v>0.16666666666666666</v>
      </c>
      <c r="W2147" s="56">
        <f t="shared" si="101"/>
        <v>17280.5</v>
      </c>
    </row>
    <row r="2148" spans="1:23" x14ac:dyDescent="0.3">
      <c r="A2148" s="13" t="str" cm="1">
        <f t="array" ref="A2148:B2148">INDEX(BenchmarkResults!$B$1:$D$35,SUMPRODUCT((T2148&gt;=BenchmarkResults!$F$3:$F$35)*(mongodb_hardware_log!T2148&lt;BenchmarkResults!$G$3:$G$35)*ROW(BenchmarkResults!$F$3:$F$35)),{1,3})</f>
        <v>q4_category_revenue</v>
      </c>
      <c r="B2148">
        <v>3</v>
      </c>
      <c r="C2148" s="13">
        <v>1</v>
      </c>
      <c r="D2148" s="13">
        <v>0</v>
      </c>
      <c r="E2148" s="13">
        <v>206080</v>
      </c>
      <c r="F2148" s="13">
        <v>129748</v>
      </c>
      <c r="G2148" s="13">
        <v>660</v>
      </c>
      <c r="H2148" s="13">
        <v>2326036</v>
      </c>
      <c r="I2148" s="13">
        <v>15</v>
      </c>
      <c r="J2148" s="13">
        <v>0</v>
      </c>
      <c r="K2148" s="13">
        <v>16925</v>
      </c>
      <c r="L2148" s="13">
        <v>9</v>
      </c>
      <c r="M2148" s="13">
        <v>3033</v>
      </c>
      <c r="N2148" s="13">
        <v>2045</v>
      </c>
      <c r="O2148" s="13">
        <v>22</v>
      </c>
      <c r="P2148" s="13">
        <v>7</v>
      </c>
      <c r="Q2148" s="13">
        <v>46</v>
      </c>
      <c r="R2148" s="13">
        <v>24</v>
      </c>
      <c r="S2148" s="13">
        <v>1</v>
      </c>
      <c r="T2148" s="23">
        <v>46247.732708333337</v>
      </c>
      <c r="U2148" s="55">
        <f t="shared" si="99"/>
        <v>0.83333333333333337</v>
      </c>
      <c r="V2148" s="55">
        <f t="shared" si="100"/>
        <v>0.16666666666666666</v>
      </c>
      <c r="W2148" s="56">
        <f t="shared" si="101"/>
        <v>17413.666666666668</v>
      </c>
    </row>
    <row r="2149" spans="1:23" x14ac:dyDescent="0.3">
      <c r="A2149" s="13" t="str" cm="1">
        <f t="array" ref="A2149:B2149">INDEX(BenchmarkResults!$B$1:$D$35,SUMPRODUCT((T2149&gt;=BenchmarkResults!$F$3:$F$35)*(mongodb_hardware_log!T2149&lt;BenchmarkResults!$G$3:$G$35)*ROW(BenchmarkResults!$F$3:$F$35)),{1,3})</f>
        <v>q4_category_revenue</v>
      </c>
      <c r="B2149">
        <v>3</v>
      </c>
      <c r="C2149" s="13">
        <v>0</v>
      </c>
      <c r="D2149" s="13">
        <v>1</v>
      </c>
      <c r="E2149" s="13">
        <v>206080</v>
      </c>
      <c r="F2149" s="13">
        <v>159072</v>
      </c>
      <c r="G2149" s="13">
        <v>684</v>
      </c>
      <c r="H2149" s="13">
        <v>2294872</v>
      </c>
      <c r="I2149" s="13">
        <v>4</v>
      </c>
      <c r="J2149" s="13">
        <v>0</v>
      </c>
      <c r="K2149" s="13">
        <v>18236</v>
      </c>
      <c r="L2149" s="13">
        <v>26</v>
      </c>
      <c r="M2149" s="13">
        <v>3387</v>
      </c>
      <c r="N2149" s="13">
        <v>2277</v>
      </c>
      <c r="O2149" s="13">
        <v>21</v>
      </c>
      <c r="P2149" s="13">
        <v>8</v>
      </c>
      <c r="Q2149" s="13">
        <v>46</v>
      </c>
      <c r="R2149" s="13">
        <v>25</v>
      </c>
      <c r="S2149" s="13">
        <v>1</v>
      </c>
      <c r="T2149" s="23">
        <v>46247.732824074075</v>
      </c>
      <c r="U2149" s="55">
        <f t="shared" si="99"/>
        <v>0.66666666666666663</v>
      </c>
      <c r="V2149" s="55">
        <f t="shared" si="100"/>
        <v>0.33333333333333331</v>
      </c>
      <c r="W2149" s="56">
        <f t="shared" si="101"/>
        <v>17266</v>
      </c>
    </row>
    <row r="2150" spans="1:23" x14ac:dyDescent="0.3">
      <c r="A2150" s="13" t="str" cm="1">
        <f t="array" ref="A2150:B2150">INDEX(BenchmarkResults!$B$1:$D$35,SUMPRODUCT((T2150&gt;=BenchmarkResults!$F$3:$F$35)*(mongodb_hardware_log!T2150&lt;BenchmarkResults!$G$3:$G$35)*ROW(BenchmarkResults!$F$3:$F$35)),{1,3})</f>
        <v>q4_category_revenue</v>
      </c>
      <c r="B2150">
        <v>3</v>
      </c>
      <c r="C2150" s="13">
        <v>1</v>
      </c>
      <c r="D2150" s="13">
        <v>0</v>
      </c>
      <c r="E2150" s="13">
        <v>206080</v>
      </c>
      <c r="F2150" s="13">
        <v>117116</v>
      </c>
      <c r="G2150" s="13">
        <v>700</v>
      </c>
      <c r="H2150" s="13">
        <v>2339744</v>
      </c>
      <c r="I2150" s="13">
        <v>6</v>
      </c>
      <c r="J2150" s="13">
        <v>0</v>
      </c>
      <c r="K2150" s="13">
        <v>18924</v>
      </c>
      <c r="L2150" s="13">
        <v>16</v>
      </c>
      <c r="M2150" s="13">
        <v>3371</v>
      </c>
      <c r="N2150" s="13">
        <v>2378</v>
      </c>
      <c r="O2150" s="13">
        <v>20</v>
      </c>
      <c r="P2150" s="13">
        <v>9</v>
      </c>
      <c r="Q2150" s="13">
        <v>46</v>
      </c>
      <c r="R2150" s="13">
        <v>25</v>
      </c>
      <c r="S2150" s="13">
        <v>1</v>
      </c>
      <c r="T2150" s="23">
        <v>46247.732939814814</v>
      </c>
      <c r="U2150" s="55">
        <f t="shared" si="99"/>
        <v>0.66666666666666663</v>
      </c>
      <c r="V2150" s="55">
        <f t="shared" si="100"/>
        <v>0.33333333333333331</v>
      </c>
      <c r="W2150" s="56">
        <f t="shared" si="101"/>
        <v>17608.666666666668</v>
      </c>
    </row>
    <row r="2151" spans="1:23" x14ac:dyDescent="0.3">
      <c r="A2151" s="13" t="str" cm="1">
        <f t="array" ref="A2151:B2151">INDEX(BenchmarkResults!$B$1:$D$35,SUMPRODUCT((T2151&gt;=BenchmarkResults!$F$3:$F$35)*(mongodb_hardware_log!T2151&lt;BenchmarkResults!$G$3:$G$35)*ROW(BenchmarkResults!$F$3:$F$35)),{1,3})</f>
        <v>q4_category_revenue</v>
      </c>
      <c r="B2151">
        <v>3</v>
      </c>
      <c r="C2151" s="13">
        <v>1</v>
      </c>
      <c r="D2151" s="13">
        <v>0</v>
      </c>
      <c r="E2151" s="13">
        <v>205824</v>
      </c>
      <c r="F2151" s="13">
        <v>114684</v>
      </c>
      <c r="G2151" s="13">
        <v>712</v>
      </c>
      <c r="H2151" s="13">
        <v>2334100</v>
      </c>
      <c r="I2151" s="13">
        <v>4</v>
      </c>
      <c r="J2151" s="13">
        <v>0</v>
      </c>
      <c r="K2151" s="13">
        <v>18206</v>
      </c>
      <c r="L2151" s="13">
        <v>15</v>
      </c>
      <c r="M2151" s="13">
        <v>3414</v>
      </c>
      <c r="N2151" s="13">
        <v>2275</v>
      </c>
      <c r="O2151" s="13">
        <v>22</v>
      </c>
      <c r="P2151" s="13">
        <v>8</v>
      </c>
      <c r="Q2151" s="13">
        <v>46</v>
      </c>
      <c r="R2151" s="13">
        <v>24</v>
      </c>
      <c r="S2151" s="13">
        <v>1</v>
      </c>
      <c r="T2151" s="23">
        <v>46247.733055555553</v>
      </c>
      <c r="U2151" s="55">
        <f t="shared" si="99"/>
        <v>0.83333333333333337</v>
      </c>
      <c r="V2151" s="55">
        <f t="shared" si="100"/>
        <v>0.16666666666666666</v>
      </c>
      <c r="W2151" s="56">
        <f t="shared" si="101"/>
        <v>17614.833333333332</v>
      </c>
    </row>
    <row r="2152" spans="1:23" x14ac:dyDescent="0.3">
      <c r="A2152" s="13" t="str" cm="1">
        <f t="array" ref="A2152:B2152">INDEX(BenchmarkResults!$B$1:$D$35,SUMPRODUCT((T2152&gt;=BenchmarkResults!$F$3:$F$35)*(mongodb_hardware_log!T2152&lt;BenchmarkResults!$G$3:$G$35)*ROW(BenchmarkResults!$F$3:$F$35)),{1,3})</f>
        <v>q4_category_revenue</v>
      </c>
      <c r="B2152">
        <v>3</v>
      </c>
      <c r="C2152" s="13">
        <v>0</v>
      </c>
      <c r="D2152" s="13">
        <v>1</v>
      </c>
      <c r="E2152" s="13">
        <v>205824</v>
      </c>
      <c r="F2152" s="13">
        <v>132000</v>
      </c>
      <c r="G2152" s="13">
        <v>728</v>
      </c>
      <c r="H2152" s="13">
        <v>2325408</v>
      </c>
      <c r="I2152" s="13">
        <v>3</v>
      </c>
      <c r="J2152" s="13">
        <v>0</v>
      </c>
      <c r="K2152" s="13">
        <v>18767</v>
      </c>
      <c r="L2152" s="13">
        <v>28</v>
      </c>
      <c r="M2152" s="13">
        <v>3302</v>
      </c>
      <c r="N2152" s="13">
        <v>2272</v>
      </c>
      <c r="O2152" s="13">
        <v>21</v>
      </c>
      <c r="P2152" s="13">
        <v>9</v>
      </c>
      <c r="Q2152" s="13">
        <v>45</v>
      </c>
      <c r="R2152" s="13">
        <v>24</v>
      </c>
      <c r="S2152" s="13">
        <v>1</v>
      </c>
      <c r="T2152" s="23">
        <v>46247.733171296299</v>
      </c>
      <c r="U2152" s="55">
        <f t="shared" si="99"/>
        <v>0.66666666666666663</v>
      </c>
      <c r="V2152" s="55">
        <f t="shared" si="100"/>
        <v>0.33333333333333331</v>
      </c>
      <c r="W2152" s="56">
        <f t="shared" si="101"/>
        <v>17910</v>
      </c>
    </row>
    <row r="2153" spans="1:23" x14ac:dyDescent="0.3">
      <c r="A2153" s="13" t="str" cm="1">
        <f t="array" ref="A2153:B2153">INDEX(BenchmarkResults!$B$1:$D$35,SUMPRODUCT((T2153&gt;=BenchmarkResults!$F$3:$F$35)*(mongodb_hardware_log!T2153&lt;BenchmarkResults!$G$3:$G$35)*ROW(BenchmarkResults!$F$3:$F$35)),{1,3})</f>
        <v>q4_category_revenue</v>
      </c>
      <c r="B2153">
        <v>3</v>
      </c>
      <c r="C2153" s="13">
        <v>1</v>
      </c>
      <c r="D2153" s="13">
        <v>0</v>
      </c>
      <c r="E2153" s="13">
        <v>205824</v>
      </c>
      <c r="F2153" s="13">
        <v>109448</v>
      </c>
      <c r="G2153" s="13">
        <v>736</v>
      </c>
      <c r="H2153" s="13">
        <v>2344304</v>
      </c>
      <c r="I2153" s="13">
        <v>6</v>
      </c>
      <c r="J2153" s="13">
        <v>0</v>
      </c>
      <c r="K2153" s="13">
        <v>20396</v>
      </c>
      <c r="L2153" s="13">
        <v>11</v>
      </c>
      <c r="M2153" s="13">
        <v>3575</v>
      </c>
      <c r="N2153" s="13">
        <v>2502</v>
      </c>
      <c r="O2153" s="13">
        <v>19</v>
      </c>
      <c r="P2153" s="13">
        <v>10</v>
      </c>
      <c r="Q2153" s="13">
        <v>45</v>
      </c>
      <c r="R2153" s="13">
        <v>25</v>
      </c>
      <c r="S2153" s="13">
        <v>1</v>
      </c>
      <c r="T2153" s="23">
        <v>46247.733287037037</v>
      </c>
      <c r="U2153" s="55">
        <f t="shared" si="99"/>
        <v>0.66666666666666663</v>
      </c>
      <c r="V2153" s="55">
        <f t="shared" si="100"/>
        <v>0.33333333333333331</v>
      </c>
      <c r="W2153" s="56">
        <f t="shared" si="101"/>
        <v>18575.666666666668</v>
      </c>
    </row>
    <row r="2154" spans="1:23" x14ac:dyDescent="0.3">
      <c r="A2154" s="13" t="str" cm="1">
        <f t="array" ref="A2154:B2154">INDEX(BenchmarkResults!$B$1:$D$35,SUMPRODUCT((T2154&gt;=BenchmarkResults!$F$3:$F$35)*(mongodb_hardware_log!T2154&lt;BenchmarkResults!$G$3:$G$35)*ROW(BenchmarkResults!$F$3:$F$35)),{1,3})</f>
        <v>q4_category_revenue</v>
      </c>
      <c r="B2154">
        <v>3</v>
      </c>
      <c r="C2154" s="13">
        <v>1</v>
      </c>
      <c r="D2154" s="13">
        <v>0</v>
      </c>
      <c r="E2154" s="13">
        <v>206080</v>
      </c>
      <c r="F2154" s="13">
        <v>143516</v>
      </c>
      <c r="G2154" s="13">
        <v>340</v>
      </c>
      <c r="H2154" s="13">
        <v>2315560</v>
      </c>
      <c r="I2154" s="13">
        <v>0</v>
      </c>
      <c r="J2154" s="13">
        <v>18</v>
      </c>
      <c r="K2154" s="13">
        <v>16538</v>
      </c>
      <c r="L2154" s="13">
        <v>40</v>
      </c>
      <c r="M2154" s="13">
        <v>2988</v>
      </c>
      <c r="N2154" s="13">
        <v>1881</v>
      </c>
      <c r="O2154" s="13">
        <v>21</v>
      </c>
      <c r="P2154" s="13">
        <v>8</v>
      </c>
      <c r="Q2154" s="13">
        <v>46</v>
      </c>
      <c r="R2154" s="13">
        <v>24</v>
      </c>
      <c r="S2154" s="13">
        <v>1</v>
      </c>
      <c r="T2154" s="23">
        <v>46247.733402777776</v>
      </c>
      <c r="U2154" s="55">
        <f t="shared" si="99"/>
        <v>0.66666666666666663</v>
      </c>
      <c r="V2154" s="55">
        <f t="shared" si="100"/>
        <v>0.33333333333333331</v>
      </c>
      <c r="W2154" s="56">
        <f t="shared" si="101"/>
        <v>18511.166666666668</v>
      </c>
    </row>
    <row r="2155" spans="1:23" x14ac:dyDescent="0.3">
      <c r="A2155" s="13" t="str" cm="1">
        <f t="array" ref="A2155:B2155">INDEX(BenchmarkResults!$B$1:$D$35,SUMPRODUCT((T2155&gt;=BenchmarkResults!$F$3:$F$35)*(mongodb_hardware_log!T2155&lt;BenchmarkResults!$G$3:$G$35)*ROW(BenchmarkResults!$F$3:$F$35)),{1,3})</f>
        <v>q4_category_revenue</v>
      </c>
      <c r="B2155">
        <v>3</v>
      </c>
      <c r="C2155" s="13">
        <v>1</v>
      </c>
      <c r="D2155" s="13">
        <v>0</v>
      </c>
      <c r="E2155" s="13">
        <v>206080</v>
      </c>
      <c r="F2155" s="13">
        <v>139300</v>
      </c>
      <c r="G2155" s="13">
        <v>372</v>
      </c>
      <c r="H2155" s="13">
        <v>2314424</v>
      </c>
      <c r="I2155" s="13">
        <v>20</v>
      </c>
      <c r="J2155" s="13">
        <v>3</v>
      </c>
      <c r="K2155" s="13">
        <v>16859</v>
      </c>
      <c r="L2155" s="13">
        <v>27</v>
      </c>
      <c r="M2155" s="13">
        <v>3309</v>
      </c>
      <c r="N2155" s="13">
        <v>2288</v>
      </c>
      <c r="O2155" s="13">
        <v>20</v>
      </c>
      <c r="P2155" s="13">
        <v>8</v>
      </c>
      <c r="Q2155" s="13">
        <v>45</v>
      </c>
      <c r="R2155" s="13">
        <v>25</v>
      </c>
      <c r="S2155" s="13">
        <v>1</v>
      </c>
      <c r="T2155" s="23">
        <v>46247.733518518522</v>
      </c>
      <c r="U2155" s="55">
        <f t="shared" si="99"/>
        <v>0.83333333333333337</v>
      </c>
      <c r="V2155" s="55">
        <f t="shared" si="100"/>
        <v>0.16666666666666666</v>
      </c>
      <c r="W2155" s="56">
        <f t="shared" si="101"/>
        <v>18281.666666666668</v>
      </c>
    </row>
    <row r="2156" spans="1:23" x14ac:dyDescent="0.3">
      <c r="A2156" s="13" t="str" cm="1">
        <f t="array" ref="A2156:B2156">INDEX(BenchmarkResults!$B$1:$D$35,SUMPRODUCT((T2156&gt;=BenchmarkResults!$F$3:$F$35)*(mongodb_hardware_log!T2156&lt;BenchmarkResults!$G$3:$G$35)*ROW(BenchmarkResults!$F$3:$F$35)),{1,3})</f>
        <v>q4_category_revenue</v>
      </c>
      <c r="B2156">
        <v>3</v>
      </c>
      <c r="C2156" s="13">
        <v>1</v>
      </c>
      <c r="D2156" s="13">
        <v>0</v>
      </c>
      <c r="E2156" s="13">
        <v>205824</v>
      </c>
      <c r="F2156" s="13">
        <v>140148</v>
      </c>
      <c r="G2156" s="13">
        <v>524</v>
      </c>
      <c r="H2156" s="13">
        <v>2313692</v>
      </c>
      <c r="I2156" s="13">
        <v>1</v>
      </c>
      <c r="J2156" s="13">
        <v>0</v>
      </c>
      <c r="K2156" s="13">
        <v>18586</v>
      </c>
      <c r="L2156" s="13">
        <v>37</v>
      </c>
      <c r="M2156" s="13">
        <v>3294</v>
      </c>
      <c r="N2156" s="13">
        <v>2247</v>
      </c>
      <c r="O2156" s="13">
        <v>20</v>
      </c>
      <c r="P2156" s="13">
        <v>8</v>
      </c>
      <c r="Q2156" s="13">
        <v>46</v>
      </c>
      <c r="R2156" s="13">
        <v>26</v>
      </c>
      <c r="S2156" s="13">
        <v>1</v>
      </c>
      <c r="T2156" s="23">
        <v>46247.733634259261</v>
      </c>
      <c r="U2156" s="55">
        <f t="shared" si="99"/>
        <v>0.83333333333333337</v>
      </c>
      <c r="V2156" s="55">
        <f t="shared" si="100"/>
        <v>0.16666666666666666</v>
      </c>
      <c r="W2156" s="56">
        <f t="shared" si="101"/>
        <v>18225.333333333332</v>
      </c>
    </row>
    <row r="2157" spans="1:23" x14ac:dyDescent="0.3">
      <c r="A2157" s="13" t="str" cm="1">
        <f t="array" ref="A2157:B2157">INDEX(BenchmarkResults!$B$1:$D$35,SUMPRODUCT((T2157&gt;=BenchmarkResults!$F$3:$F$35)*(mongodb_hardware_log!T2157&lt;BenchmarkResults!$G$3:$G$35)*ROW(BenchmarkResults!$F$3:$F$35)),{1,3})</f>
        <v>q4_category_revenue</v>
      </c>
      <c r="B2157">
        <v>3</v>
      </c>
      <c r="C2157" s="13">
        <v>1</v>
      </c>
      <c r="D2157" s="13">
        <v>0</v>
      </c>
      <c r="E2157" s="13">
        <v>206336</v>
      </c>
      <c r="F2157" s="13">
        <v>112684</v>
      </c>
      <c r="G2157" s="13">
        <v>520</v>
      </c>
      <c r="H2157" s="13">
        <v>2329896</v>
      </c>
      <c r="I2157" s="13">
        <v>1</v>
      </c>
      <c r="J2157" s="13">
        <v>53</v>
      </c>
      <c r="K2157" s="13">
        <v>18090</v>
      </c>
      <c r="L2157" s="13">
        <v>71</v>
      </c>
      <c r="M2157" s="13">
        <v>3549</v>
      </c>
      <c r="N2157" s="13">
        <v>2506</v>
      </c>
      <c r="O2157" s="13">
        <v>21</v>
      </c>
      <c r="P2157" s="13">
        <v>9</v>
      </c>
      <c r="Q2157" s="13">
        <v>45</v>
      </c>
      <c r="R2157" s="13">
        <v>24</v>
      </c>
      <c r="S2157" s="13">
        <v>1</v>
      </c>
      <c r="T2157" s="23">
        <v>46247.733749999999</v>
      </c>
      <c r="U2157" s="55">
        <f t="shared" si="99"/>
        <v>0.83333333333333337</v>
      </c>
      <c r="V2157" s="55">
        <f t="shared" si="100"/>
        <v>0.16666666666666666</v>
      </c>
      <c r="W2157" s="56">
        <f t="shared" si="101"/>
        <v>18206</v>
      </c>
    </row>
    <row r="2158" spans="1:23" x14ac:dyDescent="0.3">
      <c r="A2158" s="13" t="str" cm="1">
        <f t="array" ref="A2158:B2158">INDEX(BenchmarkResults!$B$1:$D$35,SUMPRODUCT((T2158&gt;=BenchmarkResults!$F$3:$F$35)*(mongodb_hardware_log!T2158&lt;BenchmarkResults!$G$3:$G$35)*ROW(BenchmarkResults!$F$3:$F$35)),{1,3})</f>
        <v>q4_category_revenue</v>
      </c>
      <c r="B2158">
        <v>3</v>
      </c>
      <c r="C2158" s="13">
        <v>1</v>
      </c>
      <c r="D2158" s="13">
        <v>0</v>
      </c>
      <c r="E2158" s="13">
        <v>206336</v>
      </c>
      <c r="F2158" s="13">
        <v>111712</v>
      </c>
      <c r="G2158" s="13">
        <v>528</v>
      </c>
      <c r="H2158" s="13">
        <v>2341912</v>
      </c>
      <c r="I2158" s="13">
        <v>2</v>
      </c>
      <c r="J2158" s="13">
        <v>0</v>
      </c>
      <c r="K2158" s="13">
        <v>17014</v>
      </c>
      <c r="L2158" s="13">
        <v>8</v>
      </c>
      <c r="M2158" s="13">
        <v>3109</v>
      </c>
      <c r="N2158" s="13">
        <v>2118</v>
      </c>
      <c r="O2158" s="13">
        <v>22</v>
      </c>
      <c r="P2158" s="13">
        <v>8</v>
      </c>
      <c r="Q2158" s="13">
        <v>46</v>
      </c>
      <c r="R2158" s="13">
        <v>24</v>
      </c>
      <c r="S2158" s="13">
        <v>1</v>
      </c>
      <c r="T2158" s="23">
        <v>46247.733865740738</v>
      </c>
      <c r="U2158" s="55">
        <f t="shared" si="99"/>
        <v>1</v>
      </c>
      <c r="V2158" s="55">
        <f t="shared" si="100"/>
        <v>0</v>
      </c>
      <c r="W2158" s="56">
        <f t="shared" si="101"/>
        <v>17913.833333333332</v>
      </c>
    </row>
    <row r="2159" spans="1:23" x14ac:dyDescent="0.3">
      <c r="A2159" s="13" t="str" cm="1">
        <f t="array" ref="A2159:B2159">INDEX(BenchmarkResults!$B$1:$D$35,SUMPRODUCT((T2159&gt;=BenchmarkResults!$F$3:$F$35)*(mongodb_hardware_log!T2159&lt;BenchmarkResults!$G$3:$G$35)*ROW(BenchmarkResults!$F$3:$F$35)),{1,3})</f>
        <v>q4_category_revenue</v>
      </c>
      <c r="B2159">
        <v>3</v>
      </c>
      <c r="C2159" s="13">
        <v>0</v>
      </c>
      <c r="D2159" s="13">
        <v>1</v>
      </c>
      <c r="E2159" s="13">
        <v>206336</v>
      </c>
      <c r="F2159" s="13">
        <v>149872</v>
      </c>
      <c r="G2159" s="13">
        <v>536</v>
      </c>
      <c r="H2159" s="13">
        <v>2309708</v>
      </c>
      <c r="I2159" s="13">
        <v>7</v>
      </c>
      <c r="J2159" s="13">
        <v>0</v>
      </c>
      <c r="K2159" s="13">
        <v>18677</v>
      </c>
      <c r="L2159" s="13">
        <v>14</v>
      </c>
      <c r="M2159" s="13">
        <v>3425</v>
      </c>
      <c r="N2159" s="13">
        <v>2433</v>
      </c>
      <c r="O2159" s="13">
        <v>22</v>
      </c>
      <c r="P2159" s="13">
        <v>9</v>
      </c>
      <c r="Q2159" s="13">
        <v>45</v>
      </c>
      <c r="R2159" s="13">
        <v>23</v>
      </c>
      <c r="S2159" s="13">
        <v>1</v>
      </c>
      <c r="T2159" s="23">
        <v>46247.733981481484</v>
      </c>
      <c r="U2159" s="55">
        <f t="shared" si="99"/>
        <v>0.83333333333333337</v>
      </c>
      <c r="V2159" s="55">
        <f t="shared" si="100"/>
        <v>0.16666666666666666</v>
      </c>
      <c r="W2159" s="56">
        <f t="shared" si="101"/>
        <v>17627.333333333332</v>
      </c>
    </row>
    <row r="2160" spans="1:23" x14ac:dyDescent="0.3">
      <c r="A2160" s="13" t="str" cm="1">
        <f t="array" ref="A2160:B2160">INDEX(BenchmarkResults!$B$1:$D$35,SUMPRODUCT((T2160&gt;=BenchmarkResults!$F$3:$F$35)*(mongodb_hardware_log!T2160&lt;BenchmarkResults!$G$3:$G$35)*ROW(BenchmarkResults!$F$3:$F$35)),{1,3})</f>
        <v>q4_category_revenue</v>
      </c>
      <c r="B2160">
        <v>3</v>
      </c>
      <c r="C2160" s="13">
        <v>0</v>
      </c>
      <c r="D2160" s="13">
        <v>1</v>
      </c>
      <c r="E2160" s="13">
        <v>206080</v>
      </c>
      <c r="F2160" s="13">
        <v>163364</v>
      </c>
      <c r="G2160" s="13">
        <v>544</v>
      </c>
      <c r="H2160" s="13">
        <v>2297276</v>
      </c>
      <c r="I2160" s="13">
        <v>5</v>
      </c>
      <c r="J2160" s="13">
        <v>0</v>
      </c>
      <c r="K2160" s="13">
        <v>18819</v>
      </c>
      <c r="L2160" s="13">
        <v>12</v>
      </c>
      <c r="M2160" s="13">
        <v>3095</v>
      </c>
      <c r="N2160" s="13">
        <v>2181</v>
      </c>
      <c r="O2160" s="13">
        <v>21</v>
      </c>
      <c r="P2160" s="13">
        <v>8</v>
      </c>
      <c r="Q2160" s="13">
        <v>46</v>
      </c>
      <c r="R2160" s="13">
        <v>24</v>
      </c>
      <c r="S2160" s="13">
        <v>1</v>
      </c>
      <c r="T2160" s="23">
        <v>46247.734097222223</v>
      </c>
      <c r="U2160" s="55">
        <f t="shared" si="99"/>
        <v>0.66666666666666663</v>
      </c>
      <c r="V2160" s="55">
        <f t="shared" si="100"/>
        <v>0.33333333333333331</v>
      </c>
      <c r="W2160" s="56">
        <f t="shared" si="101"/>
        <v>18007.5</v>
      </c>
    </row>
    <row r="2161" spans="1:23" x14ac:dyDescent="0.3">
      <c r="A2161" s="13" t="str" cm="1">
        <f t="array" ref="A2161:B2161">INDEX(BenchmarkResults!$B$1:$D$35,SUMPRODUCT((T2161&gt;=BenchmarkResults!$F$3:$F$35)*(mongodb_hardware_log!T2161&lt;BenchmarkResults!$G$3:$G$35)*ROW(BenchmarkResults!$F$3:$F$35)),{1,3})</f>
        <v>q4_category_revenue</v>
      </c>
      <c r="B2161">
        <v>3</v>
      </c>
      <c r="C2161" s="13">
        <v>2</v>
      </c>
      <c r="D2161" s="13">
        <v>0</v>
      </c>
      <c r="E2161" s="13">
        <v>204800</v>
      </c>
      <c r="F2161" s="13">
        <v>109916</v>
      </c>
      <c r="G2161" s="13">
        <v>576</v>
      </c>
      <c r="H2161" s="13">
        <v>2344052</v>
      </c>
      <c r="I2161" s="13">
        <v>132</v>
      </c>
      <c r="J2161" s="13">
        <v>0</v>
      </c>
      <c r="K2161" s="13">
        <v>13636</v>
      </c>
      <c r="L2161" s="13">
        <v>28</v>
      </c>
      <c r="M2161" s="13">
        <v>2718</v>
      </c>
      <c r="N2161" s="13">
        <v>1818</v>
      </c>
      <c r="O2161" s="13">
        <v>19</v>
      </c>
      <c r="P2161" s="13">
        <v>7</v>
      </c>
      <c r="Q2161" s="13">
        <v>49</v>
      </c>
      <c r="R2161" s="13">
        <v>23</v>
      </c>
      <c r="S2161" s="13">
        <v>1</v>
      </c>
      <c r="T2161" s="23">
        <v>46247.734212962961</v>
      </c>
      <c r="U2161" s="55">
        <f t="shared" si="99"/>
        <v>0.83333333333333337</v>
      </c>
      <c r="V2161" s="55">
        <f t="shared" si="100"/>
        <v>0.33333333333333331</v>
      </c>
      <c r="W2161" s="56">
        <f t="shared" si="101"/>
        <v>17470.333333333332</v>
      </c>
    </row>
    <row r="2162" spans="1:23" x14ac:dyDescent="0.3">
      <c r="A2162" s="13" t="str" cm="1">
        <f t="array" ref="A2162:B2162">INDEX(BenchmarkResults!$B$1:$D$35,SUMPRODUCT((T2162&gt;=BenchmarkResults!$F$3:$F$35)*(mongodb_hardware_log!T2162&lt;BenchmarkResults!$G$3:$G$35)*ROW(BenchmarkResults!$F$3:$F$35)),{1,3})</f>
        <v>q4_category_revenue</v>
      </c>
      <c r="B2162">
        <v>3</v>
      </c>
      <c r="C2162" s="13">
        <v>2</v>
      </c>
      <c r="D2162" s="13">
        <v>0</v>
      </c>
      <c r="E2162" s="13">
        <v>204800</v>
      </c>
      <c r="F2162" s="13">
        <v>131944</v>
      </c>
      <c r="G2162" s="13">
        <v>584</v>
      </c>
      <c r="H2162" s="13">
        <v>2321148</v>
      </c>
      <c r="I2162" s="13">
        <v>6</v>
      </c>
      <c r="J2162" s="13">
        <v>0</v>
      </c>
      <c r="K2162" s="13">
        <v>15942</v>
      </c>
      <c r="L2162" s="13">
        <v>12</v>
      </c>
      <c r="M2162" s="13">
        <v>3073</v>
      </c>
      <c r="N2162" s="13">
        <v>2088</v>
      </c>
      <c r="O2162" s="13">
        <v>19</v>
      </c>
      <c r="P2162" s="13">
        <v>8</v>
      </c>
      <c r="Q2162" s="13">
        <v>47</v>
      </c>
      <c r="R2162" s="13">
        <v>25</v>
      </c>
      <c r="S2162" s="13">
        <v>1</v>
      </c>
      <c r="T2162" s="23">
        <v>46247.7343287037</v>
      </c>
      <c r="U2162" s="55">
        <f t="shared" si="99"/>
        <v>1</v>
      </c>
      <c r="V2162" s="55">
        <f t="shared" si="100"/>
        <v>0.33333333333333331</v>
      </c>
      <c r="W2162" s="56">
        <f t="shared" si="101"/>
        <v>17029.666666666668</v>
      </c>
    </row>
    <row r="2163" spans="1:23" x14ac:dyDescent="0.3">
      <c r="A2163" s="13" t="str" cm="1">
        <f t="array" ref="A2163:B2163">INDEX(BenchmarkResults!$B$1:$D$35,SUMPRODUCT((T2163&gt;=BenchmarkResults!$F$3:$F$35)*(mongodb_hardware_log!T2163&lt;BenchmarkResults!$G$3:$G$35)*ROW(BenchmarkResults!$F$3:$F$35)),{1,3})</f>
        <v>q4_category_revenue</v>
      </c>
      <c r="B2163">
        <v>3</v>
      </c>
      <c r="C2163" s="13">
        <v>2</v>
      </c>
      <c r="D2163" s="13">
        <v>1</v>
      </c>
      <c r="E2163" s="13">
        <v>205568</v>
      </c>
      <c r="F2163" s="13">
        <v>666832</v>
      </c>
      <c r="G2163" s="13">
        <v>180</v>
      </c>
      <c r="H2163" s="13">
        <v>1718816</v>
      </c>
      <c r="I2163" s="13">
        <v>0</v>
      </c>
      <c r="J2163" s="13">
        <v>80</v>
      </c>
      <c r="K2163" s="13">
        <v>11424</v>
      </c>
      <c r="L2163" s="13">
        <v>116</v>
      </c>
      <c r="M2163" s="13">
        <v>2438</v>
      </c>
      <c r="N2163" s="13">
        <v>1647</v>
      </c>
      <c r="O2163" s="13">
        <v>19</v>
      </c>
      <c r="P2163" s="13">
        <v>21</v>
      </c>
      <c r="Q2163" s="13">
        <v>35</v>
      </c>
      <c r="R2163" s="13">
        <v>24</v>
      </c>
      <c r="S2163" s="13">
        <v>0</v>
      </c>
      <c r="T2163" s="23">
        <v>46247.734444444446</v>
      </c>
      <c r="U2163" s="55">
        <f t="shared" si="99"/>
        <v>1.1666666666666667</v>
      </c>
      <c r="V2163" s="55">
        <f t="shared" si="100"/>
        <v>0.5</v>
      </c>
      <c r="W2163" s="56">
        <f t="shared" si="101"/>
        <v>15918.666666666666</v>
      </c>
    </row>
    <row r="2164" spans="1:23" x14ac:dyDescent="0.3">
      <c r="A2164" s="13" t="str" cm="1">
        <f t="array" ref="A2164:B2164">INDEX(BenchmarkResults!$B$1:$D$35,SUMPRODUCT((T2164&gt;=BenchmarkResults!$F$3:$F$35)*(mongodb_hardware_log!T2164&lt;BenchmarkResults!$G$3:$G$35)*ROW(BenchmarkResults!$F$3:$F$35)),{1,3})</f>
        <v>q5_top_customers</v>
      </c>
      <c r="B2164">
        <v>1</v>
      </c>
      <c r="C2164" s="13">
        <v>0</v>
      </c>
      <c r="D2164" s="13">
        <v>1</v>
      </c>
      <c r="E2164" s="13">
        <v>203776</v>
      </c>
      <c r="F2164" s="13">
        <v>521724</v>
      </c>
      <c r="G2164" s="13">
        <v>192</v>
      </c>
      <c r="H2164" s="13">
        <v>1930412</v>
      </c>
      <c r="I2164" s="13">
        <v>256</v>
      </c>
      <c r="J2164" s="13">
        <v>0</v>
      </c>
      <c r="K2164" s="13">
        <v>21416</v>
      </c>
      <c r="L2164" s="13">
        <v>14</v>
      </c>
      <c r="M2164" s="13">
        <v>2946</v>
      </c>
      <c r="N2164" s="13">
        <v>1842</v>
      </c>
      <c r="O2164" s="13">
        <v>13</v>
      </c>
      <c r="P2164" s="13">
        <v>9</v>
      </c>
      <c r="Q2164" s="13">
        <v>46</v>
      </c>
      <c r="R2164" s="13">
        <v>31</v>
      </c>
      <c r="S2164" s="13">
        <v>0</v>
      </c>
      <c r="T2164" s="23">
        <v>46247.734560185185</v>
      </c>
      <c r="U2164" s="55">
        <f t="shared" si="99"/>
        <v>1</v>
      </c>
      <c r="V2164" s="55">
        <f t="shared" si="100"/>
        <v>0.66666666666666663</v>
      </c>
      <c r="W2164" s="56">
        <f t="shared" si="101"/>
        <v>16652.333333333332</v>
      </c>
    </row>
    <row r="2165" spans="1:23" x14ac:dyDescent="0.3">
      <c r="A2165" s="13" t="str" cm="1">
        <f t="array" ref="A2165:B2165">INDEX(BenchmarkResults!$B$1:$D$35,SUMPRODUCT((T2165&gt;=BenchmarkResults!$F$3:$F$35)*(mongodb_hardware_log!T2165&lt;BenchmarkResults!$G$3:$G$35)*ROW(BenchmarkResults!$F$3:$F$35)),{1,3})</f>
        <v>q5_top_customers</v>
      </c>
      <c r="B2165">
        <v>1</v>
      </c>
      <c r="C2165" s="13">
        <v>1</v>
      </c>
      <c r="D2165" s="13">
        <v>0</v>
      </c>
      <c r="E2165" s="13">
        <v>191488</v>
      </c>
      <c r="F2165" s="13">
        <v>378588</v>
      </c>
      <c r="G2165" s="13">
        <v>200</v>
      </c>
      <c r="H2165" s="13">
        <v>2027548</v>
      </c>
      <c r="I2165" s="13">
        <v>1292</v>
      </c>
      <c r="J2165" s="13">
        <v>0</v>
      </c>
      <c r="K2165" s="13">
        <v>10166</v>
      </c>
      <c r="L2165" s="13">
        <v>14</v>
      </c>
      <c r="M2165" s="13">
        <v>1425</v>
      </c>
      <c r="N2165" s="13">
        <v>623</v>
      </c>
      <c r="O2165" s="13">
        <v>29</v>
      </c>
      <c r="P2165" s="13">
        <v>4</v>
      </c>
      <c r="Q2165" s="13">
        <v>58</v>
      </c>
      <c r="R2165" s="13">
        <v>8</v>
      </c>
      <c r="S2165" s="13">
        <v>0</v>
      </c>
      <c r="T2165" s="23">
        <v>46247.734675925924</v>
      </c>
      <c r="U2165" s="55">
        <f t="shared" si="99"/>
        <v>1.1666666666666667</v>
      </c>
      <c r="V2165" s="55">
        <f t="shared" si="100"/>
        <v>0.5</v>
      </c>
      <c r="W2165" s="56">
        <f t="shared" si="101"/>
        <v>15233.833333333334</v>
      </c>
    </row>
    <row r="2166" spans="1:23" x14ac:dyDescent="0.3">
      <c r="A2166" s="13" t="str" cm="1">
        <f t="array" ref="A2166:B2166">INDEX(BenchmarkResults!$B$1:$D$35,SUMPRODUCT((T2166&gt;=BenchmarkResults!$F$3:$F$35)*(mongodb_hardware_log!T2166&lt;BenchmarkResults!$G$3:$G$35)*ROW(BenchmarkResults!$F$3:$F$35)),{1,3})</f>
        <v>q5_top_customers</v>
      </c>
      <c r="B2166">
        <v>1</v>
      </c>
      <c r="C2166" s="13">
        <v>1</v>
      </c>
      <c r="D2166" s="13">
        <v>0</v>
      </c>
      <c r="E2166" s="13">
        <v>191488</v>
      </c>
      <c r="F2166" s="13">
        <v>291900</v>
      </c>
      <c r="G2166" s="13">
        <v>208</v>
      </c>
      <c r="H2166" s="13">
        <v>2112512</v>
      </c>
      <c r="I2166" s="13">
        <v>8</v>
      </c>
      <c r="J2166" s="13">
        <v>0</v>
      </c>
      <c r="K2166" s="13">
        <v>7945</v>
      </c>
      <c r="L2166" s="13">
        <v>14</v>
      </c>
      <c r="M2166" s="13">
        <v>1065</v>
      </c>
      <c r="N2166" s="13">
        <v>402</v>
      </c>
      <c r="O2166" s="13">
        <v>29</v>
      </c>
      <c r="P2166" s="13">
        <v>3</v>
      </c>
      <c r="Q2166" s="13">
        <v>61</v>
      </c>
      <c r="R2166" s="13">
        <v>6</v>
      </c>
      <c r="S2166" s="13">
        <v>1</v>
      </c>
      <c r="T2166" s="23">
        <v>46247.734791666669</v>
      </c>
      <c r="U2166" s="55">
        <f t="shared" si="99"/>
        <v>1.3333333333333333</v>
      </c>
      <c r="V2166" s="55">
        <f t="shared" si="100"/>
        <v>0.33333333333333331</v>
      </c>
      <c r="W2166" s="56">
        <f t="shared" si="101"/>
        <v>13421.5</v>
      </c>
    </row>
    <row r="2167" spans="1:23" x14ac:dyDescent="0.3">
      <c r="A2167" s="13" t="str" cm="1">
        <f t="array" ref="A2167:B2167">INDEX(BenchmarkResults!$B$1:$D$35,SUMPRODUCT((T2167&gt;=BenchmarkResults!$F$3:$F$35)*(mongodb_hardware_log!T2167&lt;BenchmarkResults!$G$3:$G$35)*ROW(BenchmarkResults!$F$3:$F$35)),{1,3})</f>
        <v>q5_top_customers</v>
      </c>
      <c r="B2167">
        <v>1</v>
      </c>
      <c r="C2167" s="13">
        <v>1</v>
      </c>
      <c r="D2167" s="13">
        <v>0</v>
      </c>
      <c r="E2167" s="13">
        <v>191232</v>
      </c>
      <c r="F2167" s="13">
        <v>207464</v>
      </c>
      <c r="G2167" s="13">
        <v>364</v>
      </c>
      <c r="H2167" s="13">
        <v>2177276</v>
      </c>
      <c r="I2167" s="13">
        <v>20</v>
      </c>
      <c r="J2167" s="13">
        <v>0</v>
      </c>
      <c r="K2167" s="13">
        <v>6202</v>
      </c>
      <c r="L2167" s="13">
        <v>43</v>
      </c>
      <c r="M2167" s="13">
        <v>1185</v>
      </c>
      <c r="N2167" s="13">
        <v>533</v>
      </c>
      <c r="O2167" s="13">
        <v>30</v>
      </c>
      <c r="P2167" s="13">
        <v>4</v>
      </c>
      <c r="Q2167" s="13">
        <v>60</v>
      </c>
      <c r="R2167" s="13">
        <v>6</v>
      </c>
      <c r="S2167" s="13">
        <v>0</v>
      </c>
      <c r="T2167" s="23">
        <v>46247.734907407408</v>
      </c>
      <c r="U2167" s="55">
        <f t="shared" si="99"/>
        <v>1.1666666666666667</v>
      </c>
      <c r="V2167" s="55">
        <f t="shared" si="100"/>
        <v>0.33333333333333331</v>
      </c>
      <c r="W2167" s="56">
        <f t="shared" si="101"/>
        <v>12182.5</v>
      </c>
    </row>
    <row r="2168" spans="1:23" x14ac:dyDescent="0.3">
      <c r="A2168" s="13" t="str" cm="1">
        <f t="array" ref="A2168:B2168">INDEX(BenchmarkResults!$B$1:$D$35,SUMPRODUCT((T2168&gt;=BenchmarkResults!$F$3:$F$35)*(mongodb_hardware_log!T2168&lt;BenchmarkResults!$G$3:$G$35)*ROW(BenchmarkResults!$F$3:$F$35)),{1,3})</f>
        <v>q5_top_customers</v>
      </c>
      <c r="B2168">
        <v>1</v>
      </c>
      <c r="C2168" s="13">
        <v>0</v>
      </c>
      <c r="D2168" s="13">
        <v>1</v>
      </c>
      <c r="E2168" s="13">
        <v>191232</v>
      </c>
      <c r="F2168" s="13">
        <v>133628</v>
      </c>
      <c r="G2168" s="13">
        <v>400</v>
      </c>
      <c r="H2168" s="13">
        <v>2249904</v>
      </c>
      <c r="I2168" s="13">
        <v>0</v>
      </c>
      <c r="J2168" s="13">
        <v>0</v>
      </c>
      <c r="K2168" s="13">
        <v>6415</v>
      </c>
      <c r="L2168" s="13">
        <v>2560</v>
      </c>
      <c r="M2168" s="13">
        <v>1126</v>
      </c>
      <c r="N2168" s="13">
        <v>463</v>
      </c>
      <c r="O2168" s="13">
        <v>29</v>
      </c>
      <c r="P2168" s="13">
        <v>3</v>
      </c>
      <c r="Q2168" s="13">
        <v>57</v>
      </c>
      <c r="R2168" s="13">
        <v>10</v>
      </c>
      <c r="S2168" s="13">
        <v>1</v>
      </c>
      <c r="T2168" s="23">
        <v>46247.735023148147</v>
      </c>
      <c r="U2168" s="55">
        <f t="shared" si="99"/>
        <v>0.83333333333333337</v>
      </c>
      <c r="V2168" s="55">
        <f t="shared" si="100"/>
        <v>0.5</v>
      </c>
      <c r="W2168" s="56">
        <f t="shared" si="101"/>
        <v>10594.666666666666</v>
      </c>
    </row>
    <row r="2169" spans="1:23" x14ac:dyDescent="0.3">
      <c r="A2169" s="13" t="str" cm="1">
        <f t="array" ref="A2169:B2169">INDEX(BenchmarkResults!$B$1:$D$35,SUMPRODUCT((T2169&gt;=BenchmarkResults!$F$3:$F$35)*(mongodb_hardware_log!T2169&lt;BenchmarkResults!$G$3:$G$35)*ROW(BenchmarkResults!$F$3:$F$35)),{1,3})</f>
        <v>q5_top_customers</v>
      </c>
      <c r="B2169">
        <v>1</v>
      </c>
      <c r="C2169" s="13">
        <v>1</v>
      </c>
      <c r="D2169" s="13">
        <v>0</v>
      </c>
      <c r="E2169" s="13">
        <v>191232</v>
      </c>
      <c r="F2169" s="13">
        <v>143380</v>
      </c>
      <c r="G2169" s="13">
        <v>416</v>
      </c>
      <c r="H2169" s="13">
        <v>2263176</v>
      </c>
      <c r="I2169" s="13">
        <v>2</v>
      </c>
      <c r="J2169" s="13">
        <v>0</v>
      </c>
      <c r="K2169" s="13">
        <v>5391</v>
      </c>
      <c r="L2169" s="13">
        <v>18</v>
      </c>
      <c r="M2169" s="13">
        <v>1023</v>
      </c>
      <c r="N2169" s="13">
        <v>400</v>
      </c>
      <c r="O2169" s="13">
        <v>30</v>
      </c>
      <c r="P2169" s="13">
        <v>2</v>
      </c>
      <c r="Q2169" s="13">
        <v>62</v>
      </c>
      <c r="R2169" s="13">
        <v>5</v>
      </c>
      <c r="S2169" s="13">
        <v>1</v>
      </c>
      <c r="T2169" s="23">
        <v>46247.735138888886</v>
      </c>
      <c r="U2169" s="55">
        <f t="shared" si="99"/>
        <v>0.66666666666666663</v>
      </c>
      <c r="V2169" s="55">
        <f t="shared" si="100"/>
        <v>0.33333333333333331</v>
      </c>
      <c r="W2169" s="56">
        <f t="shared" si="101"/>
        <v>9589.1666666666661</v>
      </c>
    </row>
    <row r="2170" spans="1:23" x14ac:dyDescent="0.3">
      <c r="A2170" s="13" t="str" cm="1">
        <f t="array" ref="A2170:B2170">INDEX(BenchmarkResults!$B$1:$D$35,SUMPRODUCT((T2170&gt;=BenchmarkResults!$F$3:$F$35)*(mongodb_hardware_log!T2170&lt;BenchmarkResults!$G$3:$G$35)*ROW(BenchmarkResults!$F$3:$F$35)),{1,3})</f>
        <v>q5_top_customers</v>
      </c>
      <c r="B2170">
        <v>1</v>
      </c>
      <c r="C2170" s="13">
        <v>1</v>
      </c>
      <c r="D2170" s="13">
        <v>0</v>
      </c>
      <c r="E2170" s="13">
        <v>191488</v>
      </c>
      <c r="F2170" s="13">
        <v>128040</v>
      </c>
      <c r="G2170" s="13">
        <v>432</v>
      </c>
      <c r="H2170" s="13">
        <v>2270292</v>
      </c>
      <c r="I2170" s="13">
        <v>1</v>
      </c>
      <c r="J2170" s="13">
        <v>33</v>
      </c>
      <c r="K2170" s="13">
        <v>6700</v>
      </c>
      <c r="L2170" s="13">
        <v>58</v>
      </c>
      <c r="M2170" s="13">
        <v>1070</v>
      </c>
      <c r="N2170" s="13">
        <v>380</v>
      </c>
      <c r="O2170" s="13">
        <v>30</v>
      </c>
      <c r="P2170" s="13">
        <v>3</v>
      </c>
      <c r="Q2170" s="13">
        <v>62</v>
      </c>
      <c r="R2170" s="13">
        <v>5</v>
      </c>
      <c r="S2170" s="13">
        <v>0</v>
      </c>
      <c r="T2170" s="23">
        <v>46247.735254629632</v>
      </c>
      <c r="U2170" s="55">
        <f t="shared" si="99"/>
        <v>0.83333333333333337</v>
      </c>
      <c r="V2170" s="55">
        <f t="shared" si="100"/>
        <v>0.16666666666666666</v>
      </c>
      <c r="W2170" s="56">
        <f t="shared" si="101"/>
        <v>7136.5</v>
      </c>
    </row>
    <row r="2171" spans="1:23" x14ac:dyDescent="0.3">
      <c r="A2171" s="13" t="str" cm="1">
        <f t="array" ref="A2171:B2171">INDEX(BenchmarkResults!$B$1:$D$35,SUMPRODUCT((T2171&gt;=BenchmarkResults!$F$3:$F$35)*(mongodb_hardware_log!T2171&lt;BenchmarkResults!$G$3:$G$35)*ROW(BenchmarkResults!$F$3:$F$35)),{1,3})</f>
        <v>q5_top_customers</v>
      </c>
      <c r="B2171">
        <v>1</v>
      </c>
      <c r="C2171" s="13">
        <v>1</v>
      </c>
      <c r="D2171" s="13">
        <v>0</v>
      </c>
      <c r="E2171" s="13">
        <v>191488</v>
      </c>
      <c r="F2171" s="13">
        <v>156976</v>
      </c>
      <c r="G2171" s="13">
        <v>440</v>
      </c>
      <c r="H2171" s="13">
        <v>2242528</v>
      </c>
      <c r="I2171" s="13">
        <v>0</v>
      </c>
      <c r="J2171" s="13">
        <v>0</v>
      </c>
      <c r="K2171" s="13">
        <v>6403</v>
      </c>
      <c r="L2171" s="13">
        <v>11</v>
      </c>
      <c r="M2171" s="13">
        <v>1057</v>
      </c>
      <c r="N2171" s="13">
        <v>399</v>
      </c>
      <c r="O2171" s="13">
        <v>30</v>
      </c>
      <c r="P2171" s="13">
        <v>3</v>
      </c>
      <c r="Q2171" s="13">
        <v>62</v>
      </c>
      <c r="R2171" s="13">
        <v>5</v>
      </c>
      <c r="S2171" s="13">
        <v>1</v>
      </c>
      <c r="T2171" s="23">
        <v>46247.73537037037</v>
      </c>
      <c r="U2171" s="55">
        <f t="shared" si="99"/>
        <v>0.83333333333333337</v>
      </c>
      <c r="V2171" s="55">
        <f t="shared" si="100"/>
        <v>0.16666666666666666</v>
      </c>
      <c r="W2171" s="56">
        <f t="shared" si="101"/>
        <v>6509.333333333333</v>
      </c>
    </row>
    <row r="2172" spans="1:23" x14ac:dyDescent="0.3">
      <c r="A2172" s="13" t="str" cm="1">
        <f t="array" ref="A2172:B2172">INDEX(BenchmarkResults!$B$1:$D$35,SUMPRODUCT((T2172&gt;=BenchmarkResults!$F$3:$F$35)*(mongodb_hardware_log!T2172&lt;BenchmarkResults!$G$3:$G$35)*ROW(BenchmarkResults!$F$3:$F$35)),{1,3})</f>
        <v>q5_top_customers</v>
      </c>
      <c r="B2172">
        <v>1</v>
      </c>
      <c r="C2172" s="13">
        <v>1</v>
      </c>
      <c r="D2172" s="13">
        <v>0</v>
      </c>
      <c r="E2172" s="13">
        <v>191488</v>
      </c>
      <c r="F2172" s="13">
        <v>113772</v>
      </c>
      <c r="G2172" s="13">
        <v>476</v>
      </c>
      <c r="H2172" s="13">
        <v>2281812</v>
      </c>
      <c r="I2172" s="13">
        <v>16</v>
      </c>
      <c r="J2172" s="13">
        <v>0</v>
      </c>
      <c r="K2172" s="13">
        <v>7552</v>
      </c>
      <c r="L2172" s="13">
        <v>2818</v>
      </c>
      <c r="M2172" s="13">
        <v>1157</v>
      </c>
      <c r="N2172" s="13">
        <v>469</v>
      </c>
      <c r="O2172" s="13">
        <v>30</v>
      </c>
      <c r="P2172" s="13">
        <v>3</v>
      </c>
      <c r="Q2172" s="13">
        <v>58</v>
      </c>
      <c r="R2172" s="13">
        <v>9</v>
      </c>
      <c r="S2172" s="13">
        <v>0</v>
      </c>
      <c r="T2172" s="23">
        <v>46247.735486111109</v>
      </c>
      <c r="U2172" s="55">
        <f t="shared" si="99"/>
        <v>0.83333333333333337</v>
      </c>
      <c r="V2172" s="55">
        <f t="shared" si="100"/>
        <v>0.16666666666666666</v>
      </c>
      <c r="W2172" s="56">
        <f t="shared" si="101"/>
        <v>6443.833333333333</v>
      </c>
    </row>
    <row r="2173" spans="1:23" x14ac:dyDescent="0.3">
      <c r="A2173" s="13" t="str" cm="1">
        <f t="array" ref="A2173:B2173">INDEX(BenchmarkResults!$B$1:$D$35,SUMPRODUCT((T2173&gt;=BenchmarkResults!$F$3:$F$35)*(mongodb_hardware_log!T2173&lt;BenchmarkResults!$G$3:$G$35)*ROW(BenchmarkResults!$F$3:$F$35)),{1,3})</f>
        <v>q5_top_customers</v>
      </c>
      <c r="B2173">
        <v>1</v>
      </c>
      <c r="C2173" s="13">
        <v>0</v>
      </c>
      <c r="D2173" s="13">
        <v>1</v>
      </c>
      <c r="E2173" s="13">
        <v>191488</v>
      </c>
      <c r="F2173" s="13">
        <v>150632</v>
      </c>
      <c r="G2173" s="13">
        <v>548</v>
      </c>
      <c r="H2173" s="13">
        <v>2247056</v>
      </c>
      <c r="I2173" s="13">
        <v>10</v>
      </c>
      <c r="J2173" s="13">
        <v>0</v>
      </c>
      <c r="K2173" s="13">
        <v>5810</v>
      </c>
      <c r="L2173" s="13">
        <v>36</v>
      </c>
      <c r="M2173" s="13">
        <v>1198</v>
      </c>
      <c r="N2173" s="13">
        <v>598</v>
      </c>
      <c r="O2173" s="13">
        <v>30</v>
      </c>
      <c r="P2173" s="13">
        <v>3</v>
      </c>
      <c r="Q2173" s="13">
        <v>61</v>
      </c>
      <c r="R2173" s="13">
        <v>6</v>
      </c>
      <c r="S2173" s="13">
        <v>1</v>
      </c>
      <c r="T2173" s="23">
        <v>46247.735601851855</v>
      </c>
      <c r="U2173" s="55">
        <f t="shared" si="99"/>
        <v>0.66666666666666663</v>
      </c>
      <c r="V2173" s="55">
        <f t="shared" si="100"/>
        <v>0.33333333333333331</v>
      </c>
      <c r="W2173" s="56">
        <f t="shared" si="101"/>
        <v>6378.5</v>
      </c>
    </row>
    <row r="2174" spans="1:23" x14ac:dyDescent="0.3">
      <c r="A2174" s="13" t="str" cm="1">
        <f t="array" ref="A2174:B2174">INDEX(BenchmarkResults!$B$1:$D$35,SUMPRODUCT((T2174&gt;=BenchmarkResults!$F$3:$F$35)*(mongodb_hardware_log!T2174&lt;BenchmarkResults!$G$3:$G$35)*ROW(BenchmarkResults!$F$3:$F$35)),{1,3})</f>
        <v>q5_top_customers</v>
      </c>
      <c r="B2174">
        <v>1</v>
      </c>
      <c r="C2174" s="13">
        <v>1</v>
      </c>
      <c r="D2174" s="13">
        <v>0</v>
      </c>
      <c r="E2174" s="13">
        <v>190976</v>
      </c>
      <c r="F2174" s="13">
        <v>130476</v>
      </c>
      <c r="G2174" s="13">
        <v>564</v>
      </c>
      <c r="H2174" s="13">
        <v>2267356</v>
      </c>
      <c r="I2174" s="13">
        <v>22</v>
      </c>
      <c r="J2174" s="13">
        <v>0</v>
      </c>
      <c r="K2174" s="13">
        <v>5590</v>
      </c>
      <c r="L2174" s="13">
        <v>24</v>
      </c>
      <c r="M2174" s="13">
        <v>1061</v>
      </c>
      <c r="N2174" s="13">
        <v>434</v>
      </c>
      <c r="O2174" s="13">
        <v>29</v>
      </c>
      <c r="P2174" s="13">
        <v>3</v>
      </c>
      <c r="Q2174" s="13">
        <v>60</v>
      </c>
      <c r="R2174" s="13">
        <v>7</v>
      </c>
      <c r="S2174" s="13">
        <v>2</v>
      </c>
      <c r="T2174" s="23">
        <v>46247.735717592594</v>
      </c>
      <c r="U2174" s="55">
        <f t="shared" si="99"/>
        <v>0.83333333333333337</v>
      </c>
      <c r="V2174" s="55">
        <f t="shared" si="100"/>
        <v>0.16666666666666666</v>
      </c>
      <c r="W2174" s="56">
        <f t="shared" si="101"/>
        <v>6241</v>
      </c>
    </row>
    <row r="2175" spans="1:23" x14ac:dyDescent="0.3">
      <c r="A2175" s="13" t="str" cm="1">
        <f t="array" ref="A2175:B2175">INDEX(BenchmarkResults!$B$1:$D$35,SUMPRODUCT((T2175&gt;=BenchmarkResults!$F$3:$F$35)*(mongodb_hardware_log!T2175&lt;BenchmarkResults!$G$3:$G$35)*ROW(BenchmarkResults!$F$3:$F$35)),{1,3})</f>
        <v>q5_top_customers</v>
      </c>
      <c r="B2175">
        <v>1</v>
      </c>
      <c r="C2175" s="13">
        <v>1</v>
      </c>
      <c r="D2175" s="13">
        <v>0</v>
      </c>
      <c r="E2175" s="13">
        <v>190976</v>
      </c>
      <c r="F2175" s="13">
        <v>111216</v>
      </c>
      <c r="G2175" s="13">
        <v>584</v>
      </c>
      <c r="H2175" s="13">
        <v>2284672</v>
      </c>
      <c r="I2175" s="13">
        <v>0</v>
      </c>
      <c r="J2175" s="13">
        <v>0</v>
      </c>
      <c r="K2175" s="13">
        <v>6183</v>
      </c>
      <c r="L2175" s="13">
        <v>2314</v>
      </c>
      <c r="M2175" s="13">
        <v>1143</v>
      </c>
      <c r="N2175" s="13">
        <v>512</v>
      </c>
      <c r="O2175" s="13">
        <v>29</v>
      </c>
      <c r="P2175" s="13">
        <v>3</v>
      </c>
      <c r="Q2175" s="13">
        <v>59</v>
      </c>
      <c r="R2175" s="13">
        <v>7</v>
      </c>
      <c r="S2175" s="13">
        <v>1</v>
      </c>
      <c r="T2175" s="23">
        <v>46247.735833333332</v>
      </c>
      <c r="U2175" s="55">
        <f t="shared" si="99"/>
        <v>0.83333333333333337</v>
      </c>
      <c r="V2175" s="55">
        <f t="shared" si="100"/>
        <v>0.16666666666666666</v>
      </c>
      <c r="W2175" s="56">
        <f t="shared" si="101"/>
        <v>6373</v>
      </c>
    </row>
    <row r="2176" spans="1:23" x14ac:dyDescent="0.3">
      <c r="A2176" s="13" t="str" cm="1">
        <f t="array" ref="A2176:B2176">INDEX(BenchmarkResults!$B$1:$D$35,SUMPRODUCT((T2176&gt;=BenchmarkResults!$F$3:$F$35)*(mongodb_hardware_log!T2176&lt;BenchmarkResults!$G$3:$G$35)*ROW(BenchmarkResults!$F$3:$F$35)),{1,3})</f>
        <v>q5_top_customers</v>
      </c>
      <c r="B2176">
        <v>1</v>
      </c>
      <c r="C2176" s="13">
        <v>2</v>
      </c>
      <c r="D2176" s="13">
        <v>0</v>
      </c>
      <c r="E2176" s="13">
        <v>190976</v>
      </c>
      <c r="F2176" s="13">
        <v>140692</v>
      </c>
      <c r="G2176" s="13">
        <v>596</v>
      </c>
      <c r="H2176" s="13">
        <v>2252408</v>
      </c>
      <c r="I2176" s="13">
        <v>0</v>
      </c>
      <c r="J2176" s="13">
        <v>0</v>
      </c>
      <c r="K2176" s="13">
        <v>5643</v>
      </c>
      <c r="L2176" s="13">
        <v>12</v>
      </c>
      <c r="M2176" s="13">
        <v>990</v>
      </c>
      <c r="N2176" s="13">
        <v>396</v>
      </c>
      <c r="O2176" s="13">
        <v>30</v>
      </c>
      <c r="P2176" s="13">
        <v>3</v>
      </c>
      <c r="Q2176" s="13">
        <v>62</v>
      </c>
      <c r="R2176" s="13">
        <v>5</v>
      </c>
      <c r="S2176" s="13">
        <v>0</v>
      </c>
      <c r="T2176" s="23">
        <v>46247.735949074071</v>
      </c>
      <c r="U2176" s="55">
        <f t="shared" si="99"/>
        <v>1</v>
      </c>
      <c r="V2176" s="55">
        <f t="shared" si="100"/>
        <v>0.16666666666666666</v>
      </c>
      <c r="W2176" s="56">
        <f t="shared" si="101"/>
        <v>6196.833333333333</v>
      </c>
    </row>
    <row r="2177" spans="1:23" x14ac:dyDescent="0.3">
      <c r="A2177" s="13" t="str" cm="1">
        <f t="array" ref="A2177:B2177">INDEX(BenchmarkResults!$B$1:$D$35,SUMPRODUCT((T2177&gt;=BenchmarkResults!$F$3:$F$35)*(mongodb_hardware_log!T2177&lt;BenchmarkResults!$G$3:$G$35)*ROW(BenchmarkResults!$F$3:$F$35)),{1,3})</f>
        <v>q5_top_customers</v>
      </c>
      <c r="B2177">
        <v>1</v>
      </c>
      <c r="C2177" s="13">
        <v>1</v>
      </c>
      <c r="D2177" s="13">
        <v>0</v>
      </c>
      <c r="E2177" s="13">
        <v>190976</v>
      </c>
      <c r="F2177" s="13">
        <v>124432</v>
      </c>
      <c r="G2177" s="13">
        <v>612</v>
      </c>
      <c r="H2177" s="13">
        <v>2262108</v>
      </c>
      <c r="I2177" s="13">
        <v>0</v>
      </c>
      <c r="J2177" s="13">
        <v>0</v>
      </c>
      <c r="K2177" s="13">
        <v>4577</v>
      </c>
      <c r="L2177" s="13">
        <v>22</v>
      </c>
      <c r="M2177" s="13">
        <v>953</v>
      </c>
      <c r="N2177" s="13">
        <v>368</v>
      </c>
      <c r="O2177" s="13">
        <v>31</v>
      </c>
      <c r="P2177" s="13">
        <v>2</v>
      </c>
      <c r="Q2177" s="13">
        <v>63</v>
      </c>
      <c r="R2177" s="13">
        <v>4</v>
      </c>
      <c r="S2177" s="13">
        <v>0</v>
      </c>
      <c r="T2177" s="23">
        <v>46247.736064814817</v>
      </c>
      <c r="U2177" s="55">
        <f t="shared" si="99"/>
        <v>1</v>
      </c>
      <c r="V2177" s="55">
        <f t="shared" si="100"/>
        <v>0.16666666666666666</v>
      </c>
      <c r="W2177" s="56">
        <f t="shared" si="101"/>
        <v>5892.5</v>
      </c>
    </row>
    <row r="2178" spans="1:23" x14ac:dyDescent="0.3">
      <c r="A2178" s="13" t="str" cm="1">
        <f t="array" ref="A2178:B2178">INDEX(BenchmarkResults!$B$1:$D$35,SUMPRODUCT((T2178&gt;=BenchmarkResults!$F$3:$F$35)*(mongodb_hardware_log!T2178&lt;BenchmarkResults!$G$3:$G$35)*ROW(BenchmarkResults!$F$3:$F$35)),{1,3})</f>
        <v>q5_top_customers</v>
      </c>
      <c r="B2178">
        <v>1</v>
      </c>
      <c r="C2178" s="13">
        <v>1</v>
      </c>
      <c r="D2178" s="13">
        <v>0</v>
      </c>
      <c r="E2178" s="13">
        <v>190976</v>
      </c>
      <c r="F2178" s="13">
        <v>124512</v>
      </c>
      <c r="G2178" s="13">
        <v>628</v>
      </c>
      <c r="H2178" s="13">
        <v>2265228</v>
      </c>
      <c r="I2178" s="13">
        <v>0</v>
      </c>
      <c r="J2178" s="13">
        <v>0</v>
      </c>
      <c r="K2178" s="13">
        <v>3973</v>
      </c>
      <c r="L2178" s="13">
        <v>2548</v>
      </c>
      <c r="M2178" s="13">
        <v>973</v>
      </c>
      <c r="N2178" s="13">
        <v>347</v>
      </c>
      <c r="O2178" s="13">
        <v>31</v>
      </c>
      <c r="P2178" s="13">
        <v>2</v>
      </c>
      <c r="Q2178" s="13">
        <v>60</v>
      </c>
      <c r="R2178" s="13">
        <v>6</v>
      </c>
      <c r="S2178" s="13">
        <v>1</v>
      </c>
      <c r="T2178" s="23">
        <v>46247.736180555556</v>
      </c>
      <c r="U2178" s="55">
        <f t="shared" si="99"/>
        <v>1</v>
      </c>
      <c r="V2178" s="55">
        <f t="shared" si="100"/>
        <v>0.16666666666666666</v>
      </c>
      <c r="W2178" s="56">
        <f t="shared" si="101"/>
        <v>5296</v>
      </c>
    </row>
    <row r="2179" spans="1:23" x14ac:dyDescent="0.3">
      <c r="A2179" s="13" t="str" cm="1">
        <f t="array" ref="A2179:B2179">INDEX(BenchmarkResults!$B$1:$D$35,SUMPRODUCT((T2179&gt;=BenchmarkResults!$F$3:$F$35)*(mongodb_hardware_log!T2179&lt;BenchmarkResults!$G$3:$G$35)*ROW(BenchmarkResults!$F$3:$F$35)),{1,3})</f>
        <v>q5_top_customers</v>
      </c>
      <c r="B2179">
        <v>1</v>
      </c>
      <c r="C2179" s="13">
        <v>1</v>
      </c>
      <c r="D2179" s="13">
        <v>0</v>
      </c>
      <c r="E2179" s="13">
        <v>190976</v>
      </c>
      <c r="F2179" s="13">
        <v>128152</v>
      </c>
      <c r="G2179" s="13">
        <v>656</v>
      </c>
      <c r="H2179" s="13">
        <v>2262356</v>
      </c>
      <c r="I2179" s="13">
        <v>2</v>
      </c>
      <c r="J2179" s="13">
        <v>0</v>
      </c>
      <c r="K2179" s="13">
        <v>4409</v>
      </c>
      <c r="L2179" s="13">
        <v>25</v>
      </c>
      <c r="M2179" s="13">
        <v>978</v>
      </c>
      <c r="N2179" s="13">
        <v>370</v>
      </c>
      <c r="O2179" s="13">
        <v>31</v>
      </c>
      <c r="P2179" s="13">
        <v>2</v>
      </c>
      <c r="Q2179" s="13">
        <v>62</v>
      </c>
      <c r="R2179" s="13">
        <v>4</v>
      </c>
      <c r="S2179" s="13">
        <v>0</v>
      </c>
      <c r="T2179" s="23">
        <v>46247.736296296294</v>
      </c>
      <c r="U2179" s="55">
        <f t="shared" si="99"/>
        <v>1.1666666666666667</v>
      </c>
      <c r="V2179" s="55">
        <f t="shared" si="100"/>
        <v>0</v>
      </c>
      <c r="W2179" s="56">
        <f t="shared" si="101"/>
        <v>5062.5</v>
      </c>
    </row>
    <row r="2180" spans="1:23" x14ac:dyDescent="0.3">
      <c r="A2180" s="13" t="str" cm="1">
        <f t="array" ref="A2180:B2180">INDEX(BenchmarkResults!$B$1:$D$35,SUMPRODUCT((T2180&gt;=BenchmarkResults!$F$3:$F$35)*(mongodb_hardware_log!T2180&lt;BenchmarkResults!$G$3:$G$35)*ROW(BenchmarkResults!$F$3:$F$35)),{1,3})</f>
        <v>q5_top_customers</v>
      </c>
      <c r="B2180">
        <v>1</v>
      </c>
      <c r="C2180" s="13">
        <v>1</v>
      </c>
      <c r="D2180" s="13">
        <v>0</v>
      </c>
      <c r="E2180" s="13">
        <v>190976</v>
      </c>
      <c r="F2180" s="13">
        <v>115964</v>
      </c>
      <c r="G2180" s="13">
        <v>672</v>
      </c>
      <c r="H2180" s="13">
        <v>2274084</v>
      </c>
      <c r="I2180" s="13">
        <v>0</v>
      </c>
      <c r="J2180" s="13">
        <v>0</v>
      </c>
      <c r="K2180" s="13">
        <v>5190</v>
      </c>
      <c r="L2180" s="13">
        <v>25</v>
      </c>
      <c r="M2180" s="13">
        <v>1000</v>
      </c>
      <c r="N2180" s="13">
        <v>375</v>
      </c>
      <c r="O2180" s="13">
        <v>31</v>
      </c>
      <c r="P2180" s="13">
        <v>2</v>
      </c>
      <c r="Q2180" s="13">
        <v>62</v>
      </c>
      <c r="R2180" s="13">
        <v>4</v>
      </c>
      <c r="S2180" s="13">
        <v>1</v>
      </c>
      <c r="T2180" s="23">
        <v>46247.73641203704</v>
      </c>
      <c r="U2180" s="55">
        <f t="shared" si="99"/>
        <v>1.1666666666666667</v>
      </c>
      <c r="V2180" s="55">
        <f t="shared" si="100"/>
        <v>0</v>
      </c>
      <c r="W2180" s="56">
        <f t="shared" si="101"/>
        <v>4995.833333333333</v>
      </c>
    </row>
    <row r="2181" spans="1:23" x14ac:dyDescent="0.3">
      <c r="A2181" s="13" t="str" cm="1">
        <f t="array" ref="A2181:B2181">INDEX(BenchmarkResults!$B$1:$D$35,SUMPRODUCT((T2181&gt;=BenchmarkResults!$F$3:$F$35)*(mongodb_hardware_log!T2181&lt;BenchmarkResults!$G$3:$G$35)*ROW(BenchmarkResults!$F$3:$F$35)),{1,3})</f>
        <v>q5_top_customers</v>
      </c>
      <c r="B2181">
        <v>1</v>
      </c>
      <c r="C2181" s="13">
        <v>1</v>
      </c>
      <c r="D2181" s="13">
        <v>1</v>
      </c>
      <c r="E2181" s="13">
        <v>190976</v>
      </c>
      <c r="F2181" s="13">
        <v>126468</v>
      </c>
      <c r="G2181" s="13">
        <v>680</v>
      </c>
      <c r="H2181" s="13">
        <v>2269736</v>
      </c>
      <c r="I2181" s="13">
        <v>2</v>
      </c>
      <c r="J2181" s="13">
        <v>0</v>
      </c>
      <c r="K2181" s="13">
        <v>3178</v>
      </c>
      <c r="L2181" s="13">
        <v>112</v>
      </c>
      <c r="M2181" s="13">
        <v>747</v>
      </c>
      <c r="N2181" s="13">
        <v>216</v>
      </c>
      <c r="O2181" s="13">
        <v>33</v>
      </c>
      <c r="P2181" s="13">
        <v>1</v>
      </c>
      <c r="Q2181" s="13">
        <v>65</v>
      </c>
      <c r="R2181" s="13">
        <v>1</v>
      </c>
      <c r="S2181" s="13">
        <v>0</v>
      </c>
      <c r="T2181" s="23">
        <v>46247.736527777779</v>
      </c>
      <c r="U2181" s="55">
        <f t="shared" si="99"/>
        <v>1.1666666666666667</v>
      </c>
      <c r="V2181" s="55">
        <f t="shared" si="100"/>
        <v>0.16666666666666666</v>
      </c>
      <c r="W2181" s="56">
        <f t="shared" si="101"/>
        <v>4495</v>
      </c>
    </row>
    <row r="2182" spans="1:23" x14ac:dyDescent="0.3">
      <c r="A2182" s="13" t="str" cm="1">
        <f t="array" ref="A2182:B2182">INDEX(BenchmarkResults!$B$1:$D$35,SUMPRODUCT((T2182&gt;=BenchmarkResults!$F$3:$F$35)*(mongodb_hardware_log!T2182&lt;BenchmarkResults!$G$3:$G$35)*ROW(BenchmarkResults!$F$3:$F$35)),{1,3})</f>
        <v>q5_top_customers</v>
      </c>
      <c r="B2182">
        <v>2</v>
      </c>
      <c r="C2182" s="13">
        <v>1</v>
      </c>
      <c r="D2182" s="13">
        <v>0</v>
      </c>
      <c r="E2182" s="13">
        <v>190976</v>
      </c>
      <c r="F2182" s="13">
        <v>185008</v>
      </c>
      <c r="G2182" s="13">
        <v>700</v>
      </c>
      <c r="H2182" s="13">
        <v>2188308</v>
      </c>
      <c r="I2182" s="13">
        <v>8</v>
      </c>
      <c r="J2182" s="13">
        <v>0</v>
      </c>
      <c r="K2182" s="13">
        <v>6567</v>
      </c>
      <c r="L2182" s="13">
        <v>2180</v>
      </c>
      <c r="M2182" s="13">
        <v>908</v>
      </c>
      <c r="N2182" s="13">
        <v>318</v>
      </c>
      <c r="O2182" s="13">
        <v>32</v>
      </c>
      <c r="P2182" s="13">
        <v>2</v>
      </c>
      <c r="Q2182" s="13">
        <v>61</v>
      </c>
      <c r="R2182" s="13">
        <v>5</v>
      </c>
      <c r="S2182" s="13">
        <v>0</v>
      </c>
      <c r="T2182" s="23">
        <v>46247.736643518518</v>
      </c>
      <c r="U2182" s="55">
        <f t="shared" si="99"/>
        <v>1</v>
      </c>
      <c r="V2182" s="55">
        <f t="shared" si="100"/>
        <v>0.16666666666666666</v>
      </c>
      <c r="W2182" s="56">
        <f t="shared" si="101"/>
        <v>4649</v>
      </c>
    </row>
    <row r="2183" spans="1:23" x14ac:dyDescent="0.3">
      <c r="A2183" s="13" t="str" cm="1">
        <f t="array" ref="A2183:B2183">INDEX(BenchmarkResults!$B$1:$D$35,SUMPRODUCT((T2183&gt;=BenchmarkResults!$F$3:$F$35)*(mongodb_hardware_log!T2183&lt;BenchmarkResults!$G$3:$G$35)*ROW(BenchmarkResults!$F$3:$F$35)),{1,3})</f>
        <v>q5_top_customers</v>
      </c>
      <c r="B2183">
        <v>2</v>
      </c>
      <c r="C2183" s="13">
        <v>1</v>
      </c>
      <c r="D2183" s="13">
        <v>0</v>
      </c>
      <c r="E2183" s="13">
        <v>190976</v>
      </c>
      <c r="F2183" s="13">
        <v>173596</v>
      </c>
      <c r="G2183" s="13">
        <v>716</v>
      </c>
      <c r="H2183" s="13">
        <v>2211288</v>
      </c>
      <c r="I2183" s="13">
        <v>6</v>
      </c>
      <c r="J2183" s="13">
        <v>0</v>
      </c>
      <c r="K2183" s="13">
        <v>1381</v>
      </c>
      <c r="L2183" s="13">
        <v>18</v>
      </c>
      <c r="M2183" s="13">
        <v>843</v>
      </c>
      <c r="N2183" s="13">
        <v>323</v>
      </c>
      <c r="O2183" s="13">
        <v>32</v>
      </c>
      <c r="P2183" s="13">
        <v>2</v>
      </c>
      <c r="Q2183" s="13">
        <v>63</v>
      </c>
      <c r="R2183" s="13">
        <v>3</v>
      </c>
      <c r="S2183" s="13">
        <v>0</v>
      </c>
      <c r="T2183" s="23">
        <v>46247.736759259256</v>
      </c>
      <c r="U2183" s="55">
        <f t="shared" si="99"/>
        <v>1</v>
      </c>
      <c r="V2183" s="55">
        <f t="shared" si="100"/>
        <v>0.16666666666666666</v>
      </c>
      <c r="W2183" s="56">
        <f t="shared" si="101"/>
        <v>4116.333333333333</v>
      </c>
    </row>
    <row r="2184" spans="1:23" x14ac:dyDescent="0.3">
      <c r="A2184" s="13" t="str" cm="1">
        <f t="array" ref="A2184:B2184">INDEX(BenchmarkResults!$B$1:$D$35,SUMPRODUCT((T2184&gt;=BenchmarkResults!$F$3:$F$35)*(mongodb_hardware_log!T2184&lt;BenchmarkResults!$G$3:$G$35)*ROW(BenchmarkResults!$F$3:$F$35)),{1,3})</f>
        <v>q5_top_customers</v>
      </c>
      <c r="B2184">
        <v>2</v>
      </c>
      <c r="C2184" s="13">
        <v>1</v>
      </c>
      <c r="D2184" s="13">
        <v>0</v>
      </c>
      <c r="E2184" s="13">
        <v>190976</v>
      </c>
      <c r="F2184" s="13">
        <v>151572</v>
      </c>
      <c r="G2184" s="13">
        <v>724</v>
      </c>
      <c r="H2184" s="13">
        <v>2231888</v>
      </c>
      <c r="I2184" s="13">
        <v>3</v>
      </c>
      <c r="J2184" s="13">
        <v>0</v>
      </c>
      <c r="K2184" s="13">
        <v>1215</v>
      </c>
      <c r="L2184" s="13">
        <v>7</v>
      </c>
      <c r="M2184" s="13">
        <v>870</v>
      </c>
      <c r="N2184" s="13">
        <v>324</v>
      </c>
      <c r="O2184" s="13">
        <v>32</v>
      </c>
      <c r="P2184" s="13">
        <v>2</v>
      </c>
      <c r="Q2184" s="13">
        <v>62</v>
      </c>
      <c r="R2184" s="13">
        <v>4</v>
      </c>
      <c r="S2184" s="13">
        <v>1</v>
      </c>
      <c r="T2184" s="23">
        <v>46247.736875000002</v>
      </c>
      <c r="U2184" s="55">
        <f t="shared" si="99"/>
        <v>1</v>
      </c>
      <c r="V2184" s="55">
        <f t="shared" si="100"/>
        <v>0.16666666666666666</v>
      </c>
      <c r="W2184" s="56">
        <f t="shared" si="101"/>
        <v>3656.6666666666665</v>
      </c>
    </row>
    <row r="2185" spans="1:23" x14ac:dyDescent="0.3">
      <c r="A2185" s="13" t="str" cm="1">
        <f t="array" ref="A2185:B2185">INDEX(BenchmarkResults!$B$1:$D$35,SUMPRODUCT((T2185&gt;=BenchmarkResults!$F$3:$F$35)*(mongodb_hardware_log!T2185&lt;BenchmarkResults!$G$3:$G$35)*ROW(BenchmarkResults!$F$3:$F$35)),{1,3})</f>
        <v>q5_top_customers</v>
      </c>
      <c r="B2185">
        <v>2</v>
      </c>
      <c r="C2185" s="13">
        <v>1</v>
      </c>
      <c r="D2185" s="13">
        <v>0</v>
      </c>
      <c r="E2185" s="13">
        <v>190976</v>
      </c>
      <c r="F2185" s="13">
        <v>134240</v>
      </c>
      <c r="G2185" s="13">
        <v>776</v>
      </c>
      <c r="H2185" s="13">
        <v>2246084</v>
      </c>
      <c r="I2185" s="13">
        <v>8</v>
      </c>
      <c r="J2185" s="13">
        <v>0</v>
      </c>
      <c r="K2185" s="13">
        <v>575</v>
      </c>
      <c r="L2185" s="13">
        <v>50</v>
      </c>
      <c r="M2185" s="13">
        <v>857</v>
      </c>
      <c r="N2185" s="13">
        <v>374</v>
      </c>
      <c r="O2185" s="13">
        <v>34</v>
      </c>
      <c r="P2185" s="13">
        <v>2</v>
      </c>
      <c r="Q2185" s="13">
        <v>63</v>
      </c>
      <c r="R2185" s="13">
        <v>2</v>
      </c>
      <c r="S2185" s="13">
        <v>0</v>
      </c>
      <c r="T2185" s="23">
        <v>46247.736990740741</v>
      </c>
      <c r="U2185" s="55">
        <f t="shared" ref="U2185:U2248" si="102">AVERAGE(C2180:C2185)</f>
        <v>1</v>
      </c>
      <c r="V2185" s="55">
        <f t="shared" ref="V2185:V2248" si="103">AVERAGE(D2180:D2185)</f>
        <v>0.16666666666666666</v>
      </c>
      <c r="W2185" s="56">
        <f t="shared" ref="W2185:W2248" si="104">AVERAGE(K2180:K2185)</f>
        <v>3017.6666666666665</v>
      </c>
    </row>
    <row r="2186" spans="1:23" x14ac:dyDescent="0.3">
      <c r="A2186" s="13" t="str" cm="1">
        <f t="array" ref="A2186:B2186">INDEX(BenchmarkResults!$B$1:$D$35,SUMPRODUCT((T2186&gt;=BenchmarkResults!$F$3:$F$35)*(mongodb_hardware_log!T2186&lt;BenchmarkResults!$G$3:$G$35)*ROW(BenchmarkResults!$F$3:$F$35)),{1,3})</f>
        <v>q5_top_customers</v>
      </c>
      <c r="B2186">
        <v>2</v>
      </c>
      <c r="C2186" s="13">
        <v>1</v>
      </c>
      <c r="D2186" s="13">
        <v>0</v>
      </c>
      <c r="E2186" s="13">
        <v>190976</v>
      </c>
      <c r="F2186" s="13">
        <v>133988</v>
      </c>
      <c r="G2186" s="13">
        <v>792</v>
      </c>
      <c r="H2186" s="13">
        <v>2259424</v>
      </c>
      <c r="I2186" s="13">
        <v>1</v>
      </c>
      <c r="J2186" s="13">
        <v>0</v>
      </c>
      <c r="K2186" s="13">
        <v>487</v>
      </c>
      <c r="L2186" s="13">
        <v>3410</v>
      </c>
      <c r="M2186" s="13">
        <v>868</v>
      </c>
      <c r="N2186" s="13">
        <v>362</v>
      </c>
      <c r="O2186" s="13">
        <v>33</v>
      </c>
      <c r="P2186" s="13">
        <v>2</v>
      </c>
      <c r="Q2186" s="13">
        <v>61</v>
      </c>
      <c r="R2186" s="13">
        <v>4</v>
      </c>
      <c r="S2186" s="13">
        <v>1</v>
      </c>
      <c r="T2186" s="23">
        <v>46247.73710648148</v>
      </c>
      <c r="U2186" s="55">
        <f t="shared" si="102"/>
        <v>1</v>
      </c>
      <c r="V2186" s="55">
        <f t="shared" si="103"/>
        <v>0.16666666666666666</v>
      </c>
      <c r="W2186" s="56">
        <f t="shared" si="104"/>
        <v>2233.8333333333335</v>
      </c>
    </row>
    <row r="2187" spans="1:23" x14ac:dyDescent="0.3">
      <c r="A2187" s="13" t="str" cm="1">
        <f t="array" ref="A2187:B2187">INDEX(BenchmarkResults!$B$1:$D$35,SUMPRODUCT((T2187&gt;=BenchmarkResults!$F$3:$F$35)*(mongodb_hardware_log!T2187&lt;BenchmarkResults!$G$3:$G$35)*ROW(BenchmarkResults!$F$3:$F$35)),{1,3})</f>
        <v>q5_top_customers</v>
      </c>
      <c r="B2187">
        <v>2</v>
      </c>
      <c r="C2187" s="13">
        <v>1</v>
      </c>
      <c r="D2187" s="13">
        <v>0</v>
      </c>
      <c r="E2187" s="13">
        <v>190976</v>
      </c>
      <c r="F2187" s="13">
        <v>161360</v>
      </c>
      <c r="G2187" s="13">
        <v>808</v>
      </c>
      <c r="H2187" s="13">
        <v>2243108</v>
      </c>
      <c r="I2187" s="13">
        <v>0</v>
      </c>
      <c r="J2187" s="13">
        <v>0</v>
      </c>
      <c r="K2187" s="13">
        <v>2526</v>
      </c>
      <c r="L2187" s="13">
        <v>30</v>
      </c>
      <c r="M2187" s="13">
        <v>879</v>
      </c>
      <c r="N2187" s="13">
        <v>337</v>
      </c>
      <c r="O2187" s="13">
        <v>32</v>
      </c>
      <c r="P2187" s="13">
        <v>2</v>
      </c>
      <c r="Q2187" s="13">
        <v>63</v>
      </c>
      <c r="R2187" s="13">
        <v>3</v>
      </c>
      <c r="S2187" s="13">
        <v>0</v>
      </c>
      <c r="T2187" s="23">
        <v>46247.737222222226</v>
      </c>
      <c r="U2187" s="55">
        <f t="shared" si="102"/>
        <v>1</v>
      </c>
      <c r="V2187" s="55">
        <f t="shared" si="103"/>
        <v>0</v>
      </c>
      <c r="W2187" s="56">
        <f t="shared" si="104"/>
        <v>2125.1666666666665</v>
      </c>
    </row>
    <row r="2188" spans="1:23" x14ac:dyDescent="0.3">
      <c r="A2188" s="13" t="str" cm="1">
        <f t="array" ref="A2188:B2188">INDEX(BenchmarkResults!$B$1:$D$35,SUMPRODUCT((T2188&gt;=BenchmarkResults!$F$3:$F$35)*(mongodb_hardware_log!T2188&lt;BenchmarkResults!$G$3:$G$35)*ROW(BenchmarkResults!$F$3:$F$35)),{1,3})</f>
        <v>q5_top_customers</v>
      </c>
      <c r="B2188">
        <v>2</v>
      </c>
      <c r="C2188" s="13">
        <v>1</v>
      </c>
      <c r="D2188" s="13">
        <v>0</v>
      </c>
      <c r="E2188" s="13">
        <v>190976</v>
      </c>
      <c r="F2188" s="13">
        <v>149220</v>
      </c>
      <c r="G2188" s="13">
        <v>816</v>
      </c>
      <c r="H2188" s="13">
        <v>2254808</v>
      </c>
      <c r="I2188" s="13">
        <v>1</v>
      </c>
      <c r="J2188" s="13">
        <v>0</v>
      </c>
      <c r="K2188" s="13">
        <v>5853</v>
      </c>
      <c r="L2188" s="13">
        <v>8</v>
      </c>
      <c r="M2188" s="13">
        <v>1007</v>
      </c>
      <c r="N2188" s="13">
        <v>386</v>
      </c>
      <c r="O2188" s="13">
        <v>31</v>
      </c>
      <c r="P2188" s="13">
        <v>2</v>
      </c>
      <c r="Q2188" s="13">
        <v>62</v>
      </c>
      <c r="R2188" s="13">
        <v>5</v>
      </c>
      <c r="S2188" s="13">
        <v>0</v>
      </c>
      <c r="T2188" s="23">
        <v>46247.737337962964</v>
      </c>
      <c r="U2188" s="55">
        <f t="shared" si="102"/>
        <v>1</v>
      </c>
      <c r="V2188" s="55">
        <f t="shared" si="103"/>
        <v>0</v>
      </c>
      <c r="W2188" s="56">
        <f t="shared" si="104"/>
        <v>2006.1666666666667</v>
      </c>
    </row>
    <row r="2189" spans="1:23" x14ac:dyDescent="0.3">
      <c r="A2189" s="13" t="str" cm="1">
        <f t="array" ref="A2189:B2189">INDEX(BenchmarkResults!$B$1:$D$35,SUMPRODUCT((T2189&gt;=BenchmarkResults!$F$3:$F$35)*(mongodb_hardware_log!T2189&lt;BenchmarkResults!$G$3:$G$35)*ROW(BenchmarkResults!$F$3:$F$35)),{1,3})</f>
        <v>q5_top_customers</v>
      </c>
      <c r="B2189">
        <v>2</v>
      </c>
      <c r="C2189" s="13">
        <v>1</v>
      </c>
      <c r="D2189" s="13">
        <v>0</v>
      </c>
      <c r="E2189" s="13">
        <v>190976</v>
      </c>
      <c r="F2189" s="13">
        <v>122544</v>
      </c>
      <c r="G2189" s="13">
        <v>832</v>
      </c>
      <c r="H2189" s="13">
        <v>2280524</v>
      </c>
      <c r="I2189" s="13">
        <v>1</v>
      </c>
      <c r="J2189" s="13">
        <v>0</v>
      </c>
      <c r="K2189" s="13">
        <v>6530</v>
      </c>
      <c r="L2189" s="13">
        <v>1721</v>
      </c>
      <c r="M2189" s="13">
        <v>1025</v>
      </c>
      <c r="N2189" s="13">
        <v>379</v>
      </c>
      <c r="O2189" s="13">
        <v>30</v>
      </c>
      <c r="P2189" s="13">
        <v>3</v>
      </c>
      <c r="Q2189" s="13">
        <v>61</v>
      </c>
      <c r="R2189" s="13">
        <v>5</v>
      </c>
      <c r="S2189" s="13">
        <v>0</v>
      </c>
      <c r="T2189" s="23">
        <v>46247.737453703703</v>
      </c>
      <c r="U2189" s="55">
        <f t="shared" si="102"/>
        <v>1</v>
      </c>
      <c r="V2189" s="55">
        <f t="shared" si="103"/>
        <v>0</v>
      </c>
      <c r="W2189" s="56">
        <f t="shared" si="104"/>
        <v>2864.3333333333335</v>
      </c>
    </row>
    <row r="2190" spans="1:23" x14ac:dyDescent="0.3">
      <c r="A2190" s="13" t="str" cm="1">
        <f t="array" ref="A2190:B2190">INDEX(BenchmarkResults!$B$1:$D$35,SUMPRODUCT((T2190&gt;=BenchmarkResults!$F$3:$F$35)*(mongodb_hardware_log!T2190&lt;BenchmarkResults!$G$3:$G$35)*ROW(BenchmarkResults!$F$3:$F$35)),{1,3})</f>
        <v>q5_top_customers</v>
      </c>
      <c r="B2190">
        <v>2</v>
      </c>
      <c r="C2190" s="13">
        <v>1</v>
      </c>
      <c r="D2190" s="13">
        <v>0</v>
      </c>
      <c r="E2190" s="13">
        <v>190976</v>
      </c>
      <c r="F2190" s="13">
        <v>147368</v>
      </c>
      <c r="G2190" s="13">
        <v>844</v>
      </c>
      <c r="H2190" s="13">
        <v>2258540</v>
      </c>
      <c r="I2190" s="13">
        <v>1</v>
      </c>
      <c r="J2190" s="13">
        <v>0</v>
      </c>
      <c r="K2190" s="13">
        <v>8193</v>
      </c>
      <c r="L2190" s="13">
        <v>10</v>
      </c>
      <c r="M2190" s="13">
        <v>1108</v>
      </c>
      <c r="N2190" s="13">
        <v>452</v>
      </c>
      <c r="O2190" s="13">
        <v>29</v>
      </c>
      <c r="P2190" s="13">
        <v>3</v>
      </c>
      <c r="Q2190" s="13">
        <v>61</v>
      </c>
      <c r="R2190" s="13">
        <v>6</v>
      </c>
      <c r="S2190" s="13">
        <v>1</v>
      </c>
      <c r="T2190" s="23">
        <v>46247.737569444442</v>
      </c>
      <c r="U2190" s="55">
        <f t="shared" si="102"/>
        <v>1</v>
      </c>
      <c r="V2190" s="55">
        <f t="shared" si="103"/>
        <v>0</v>
      </c>
      <c r="W2190" s="56">
        <f t="shared" si="104"/>
        <v>4027.3333333333335</v>
      </c>
    </row>
    <row r="2191" spans="1:23" x14ac:dyDescent="0.3">
      <c r="A2191" s="13" t="str" cm="1">
        <f t="array" ref="A2191:B2191">INDEX(BenchmarkResults!$B$1:$D$35,SUMPRODUCT((T2191&gt;=BenchmarkResults!$F$3:$F$35)*(mongodb_hardware_log!T2191&lt;BenchmarkResults!$G$3:$G$35)*ROW(BenchmarkResults!$F$3:$F$35)),{1,3})</f>
        <v>q5_top_customers</v>
      </c>
      <c r="B2191">
        <v>2</v>
      </c>
      <c r="C2191" s="13">
        <v>1</v>
      </c>
      <c r="D2191" s="13">
        <v>0</v>
      </c>
      <c r="E2191" s="13">
        <v>190976</v>
      </c>
      <c r="F2191" s="13">
        <v>105144</v>
      </c>
      <c r="G2191" s="13">
        <v>876</v>
      </c>
      <c r="H2191" s="13">
        <v>2285676</v>
      </c>
      <c r="I2191" s="13">
        <v>2</v>
      </c>
      <c r="J2191" s="13">
        <v>0</v>
      </c>
      <c r="K2191" s="13">
        <v>6673</v>
      </c>
      <c r="L2191" s="13">
        <v>29</v>
      </c>
      <c r="M2191" s="13">
        <v>1060</v>
      </c>
      <c r="N2191" s="13">
        <v>438</v>
      </c>
      <c r="O2191" s="13">
        <v>30</v>
      </c>
      <c r="P2191" s="13">
        <v>3</v>
      </c>
      <c r="Q2191" s="13">
        <v>60</v>
      </c>
      <c r="R2191" s="13">
        <v>6</v>
      </c>
      <c r="S2191" s="13">
        <v>1</v>
      </c>
      <c r="T2191" s="23">
        <v>46247.737685185188</v>
      </c>
      <c r="U2191" s="55">
        <f t="shared" si="102"/>
        <v>1</v>
      </c>
      <c r="V2191" s="55">
        <f t="shared" si="103"/>
        <v>0</v>
      </c>
      <c r="W2191" s="56">
        <f t="shared" si="104"/>
        <v>5043.666666666667</v>
      </c>
    </row>
    <row r="2192" spans="1:23" x14ac:dyDescent="0.3">
      <c r="A2192" s="13" t="str" cm="1">
        <f t="array" ref="A2192:B2192">INDEX(BenchmarkResults!$B$1:$D$35,SUMPRODUCT((T2192&gt;=BenchmarkResults!$F$3:$F$35)*(mongodb_hardware_log!T2192&lt;BenchmarkResults!$G$3:$G$35)*ROW(BenchmarkResults!$F$3:$F$35)),{1,3})</f>
        <v>q5_top_customers</v>
      </c>
      <c r="B2192">
        <v>2</v>
      </c>
      <c r="C2192" s="13">
        <v>1</v>
      </c>
      <c r="D2192" s="13">
        <v>0</v>
      </c>
      <c r="E2192" s="13">
        <v>190976</v>
      </c>
      <c r="F2192" s="13">
        <v>160252</v>
      </c>
      <c r="G2192" s="13">
        <v>892</v>
      </c>
      <c r="H2192" s="13">
        <v>2238456</v>
      </c>
      <c r="I2192" s="13">
        <v>0</v>
      </c>
      <c r="J2192" s="13">
        <v>0</v>
      </c>
      <c r="K2192" s="13">
        <v>5537</v>
      </c>
      <c r="L2192" s="13">
        <v>2566</v>
      </c>
      <c r="M2192" s="13">
        <v>975</v>
      </c>
      <c r="N2192" s="13">
        <v>390</v>
      </c>
      <c r="O2192" s="13">
        <v>31</v>
      </c>
      <c r="P2192" s="13">
        <v>3</v>
      </c>
      <c r="Q2192" s="13">
        <v>59</v>
      </c>
      <c r="R2192" s="13">
        <v>7</v>
      </c>
      <c r="S2192" s="13">
        <v>0</v>
      </c>
      <c r="T2192" s="23">
        <v>46247.737800925926</v>
      </c>
      <c r="U2192" s="55">
        <f t="shared" si="102"/>
        <v>1</v>
      </c>
      <c r="V2192" s="55">
        <f t="shared" si="103"/>
        <v>0</v>
      </c>
      <c r="W2192" s="56">
        <f t="shared" si="104"/>
        <v>5885.333333333333</v>
      </c>
    </row>
    <row r="2193" spans="1:23" x14ac:dyDescent="0.3">
      <c r="A2193" s="13" t="str" cm="1">
        <f t="array" ref="A2193:B2193">INDEX(BenchmarkResults!$B$1:$D$35,SUMPRODUCT((T2193&gt;=BenchmarkResults!$F$3:$F$35)*(mongodb_hardware_log!T2193&lt;BenchmarkResults!$G$3:$G$35)*ROW(BenchmarkResults!$F$3:$F$35)),{1,3})</f>
        <v>q5_top_customers</v>
      </c>
      <c r="B2193">
        <v>2</v>
      </c>
      <c r="C2193" s="13">
        <v>0</v>
      </c>
      <c r="D2193" s="13">
        <v>1</v>
      </c>
      <c r="E2193" s="13">
        <v>190976</v>
      </c>
      <c r="F2193" s="13">
        <v>105372</v>
      </c>
      <c r="G2193" s="13">
        <v>912</v>
      </c>
      <c r="H2193" s="13">
        <v>2295092</v>
      </c>
      <c r="I2193" s="13">
        <v>0</v>
      </c>
      <c r="J2193" s="13">
        <v>0</v>
      </c>
      <c r="K2193" s="13">
        <v>4822</v>
      </c>
      <c r="L2193" s="13">
        <v>15</v>
      </c>
      <c r="M2193" s="13">
        <v>983</v>
      </c>
      <c r="N2193" s="13">
        <v>379</v>
      </c>
      <c r="O2193" s="13">
        <v>31</v>
      </c>
      <c r="P2193" s="13">
        <v>2</v>
      </c>
      <c r="Q2193" s="13">
        <v>62</v>
      </c>
      <c r="R2193" s="13">
        <v>4</v>
      </c>
      <c r="S2193" s="13">
        <v>0</v>
      </c>
      <c r="T2193" s="23">
        <v>46247.737916666665</v>
      </c>
      <c r="U2193" s="55">
        <f t="shared" si="102"/>
        <v>0.83333333333333337</v>
      </c>
      <c r="V2193" s="55">
        <f t="shared" si="103"/>
        <v>0.16666666666666666</v>
      </c>
      <c r="W2193" s="56">
        <f t="shared" si="104"/>
        <v>6268</v>
      </c>
    </row>
    <row r="2194" spans="1:23" x14ac:dyDescent="0.3">
      <c r="A2194" s="13" t="str" cm="1">
        <f t="array" ref="A2194:B2194">INDEX(BenchmarkResults!$B$1:$D$35,SUMPRODUCT((T2194&gt;=BenchmarkResults!$F$3:$F$35)*(mongodb_hardware_log!T2194&lt;BenchmarkResults!$G$3:$G$35)*ROW(BenchmarkResults!$F$3:$F$35)),{1,3})</f>
        <v>q5_top_customers</v>
      </c>
      <c r="B2194">
        <v>2</v>
      </c>
      <c r="C2194" s="13">
        <v>1</v>
      </c>
      <c r="D2194" s="13">
        <v>0</v>
      </c>
      <c r="E2194" s="13">
        <v>190976</v>
      </c>
      <c r="F2194" s="13">
        <v>129740</v>
      </c>
      <c r="G2194" s="13">
        <v>920</v>
      </c>
      <c r="H2194" s="13">
        <v>2264228</v>
      </c>
      <c r="I2194" s="13">
        <v>0</v>
      </c>
      <c r="J2194" s="13">
        <v>0</v>
      </c>
      <c r="K2194" s="13">
        <v>5345</v>
      </c>
      <c r="L2194" s="13">
        <v>8</v>
      </c>
      <c r="M2194" s="13">
        <v>989</v>
      </c>
      <c r="N2194" s="13">
        <v>386</v>
      </c>
      <c r="O2194" s="13">
        <v>31</v>
      </c>
      <c r="P2194" s="13">
        <v>2</v>
      </c>
      <c r="Q2194" s="13">
        <v>62</v>
      </c>
      <c r="R2194" s="13">
        <v>5</v>
      </c>
      <c r="S2194" s="13">
        <v>0</v>
      </c>
      <c r="T2194" s="23">
        <v>46247.738032407404</v>
      </c>
      <c r="U2194" s="55">
        <f t="shared" si="102"/>
        <v>0.83333333333333337</v>
      </c>
      <c r="V2194" s="55">
        <f t="shared" si="103"/>
        <v>0.16666666666666666</v>
      </c>
      <c r="W2194" s="56">
        <f t="shared" si="104"/>
        <v>6183.333333333333</v>
      </c>
    </row>
    <row r="2195" spans="1:23" x14ac:dyDescent="0.3">
      <c r="A2195" s="13" t="str" cm="1">
        <f t="array" ref="A2195:B2195">INDEX(BenchmarkResults!$B$1:$D$35,SUMPRODUCT((T2195&gt;=BenchmarkResults!$F$3:$F$35)*(mongodb_hardware_log!T2195&lt;BenchmarkResults!$G$3:$G$35)*ROW(BenchmarkResults!$F$3:$F$35)),{1,3})</f>
        <v>q5_top_customers</v>
      </c>
      <c r="B2195">
        <v>2</v>
      </c>
      <c r="C2195" s="13">
        <v>0</v>
      </c>
      <c r="D2195" s="13">
        <v>2</v>
      </c>
      <c r="E2195" s="13">
        <v>190976</v>
      </c>
      <c r="F2195" s="13">
        <v>114732</v>
      </c>
      <c r="G2195" s="13">
        <v>936</v>
      </c>
      <c r="H2195" s="13">
        <v>2282900</v>
      </c>
      <c r="I2195" s="13">
        <v>0</v>
      </c>
      <c r="J2195" s="13">
        <v>0</v>
      </c>
      <c r="K2195" s="13">
        <v>5706</v>
      </c>
      <c r="L2195" s="13">
        <v>1784</v>
      </c>
      <c r="M2195" s="13">
        <v>1064</v>
      </c>
      <c r="N2195" s="13">
        <v>433</v>
      </c>
      <c r="O2195" s="13">
        <v>30</v>
      </c>
      <c r="P2195" s="13">
        <v>2</v>
      </c>
      <c r="Q2195" s="13">
        <v>60</v>
      </c>
      <c r="R2195" s="13">
        <v>8</v>
      </c>
      <c r="S2195" s="13">
        <v>0</v>
      </c>
      <c r="T2195" s="23">
        <v>46247.73814814815</v>
      </c>
      <c r="U2195" s="55">
        <f t="shared" si="102"/>
        <v>0.66666666666666663</v>
      </c>
      <c r="V2195" s="55">
        <f t="shared" si="103"/>
        <v>0.5</v>
      </c>
      <c r="W2195" s="56">
        <f t="shared" si="104"/>
        <v>6046</v>
      </c>
    </row>
    <row r="2196" spans="1:23" x14ac:dyDescent="0.3">
      <c r="A2196" s="13" t="str" cm="1">
        <f t="array" ref="A2196:B2196">INDEX(BenchmarkResults!$B$1:$D$35,SUMPRODUCT((T2196&gt;=BenchmarkResults!$F$3:$F$35)*(mongodb_hardware_log!T2196&lt;BenchmarkResults!$G$3:$G$35)*ROW(BenchmarkResults!$F$3:$F$35)),{1,3})</f>
        <v>q5_top_customers</v>
      </c>
      <c r="B2196">
        <v>2</v>
      </c>
      <c r="C2196" s="13">
        <v>1</v>
      </c>
      <c r="D2196" s="13">
        <v>0</v>
      </c>
      <c r="E2196" s="13">
        <v>190976</v>
      </c>
      <c r="F2196" s="13">
        <v>120464</v>
      </c>
      <c r="G2196" s="13">
        <v>948</v>
      </c>
      <c r="H2196" s="13">
        <v>2284776</v>
      </c>
      <c r="I2196" s="13">
        <v>1</v>
      </c>
      <c r="J2196" s="13">
        <v>0</v>
      </c>
      <c r="K2196" s="13">
        <v>4572</v>
      </c>
      <c r="L2196" s="13">
        <v>788</v>
      </c>
      <c r="M2196" s="13">
        <v>1096</v>
      </c>
      <c r="N2196" s="13">
        <v>487</v>
      </c>
      <c r="O2196" s="13">
        <v>31</v>
      </c>
      <c r="P2196" s="13">
        <v>3</v>
      </c>
      <c r="Q2196" s="13">
        <v>60</v>
      </c>
      <c r="R2196" s="13">
        <v>6</v>
      </c>
      <c r="S2196" s="13">
        <v>0</v>
      </c>
      <c r="T2196" s="23">
        <v>46247.738263888888</v>
      </c>
      <c r="U2196" s="55">
        <f t="shared" si="102"/>
        <v>0.66666666666666663</v>
      </c>
      <c r="V2196" s="55">
        <f t="shared" si="103"/>
        <v>0.5</v>
      </c>
      <c r="W2196" s="56">
        <f t="shared" si="104"/>
        <v>5442.5</v>
      </c>
    </row>
    <row r="2197" spans="1:23" x14ac:dyDescent="0.3">
      <c r="A2197" s="13" t="str" cm="1">
        <f t="array" ref="A2197:B2197">INDEX(BenchmarkResults!$B$1:$D$35,SUMPRODUCT((T2197&gt;=BenchmarkResults!$F$3:$F$35)*(mongodb_hardware_log!T2197&lt;BenchmarkResults!$G$3:$G$35)*ROW(BenchmarkResults!$F$3:$F$35)),{1,3})</f>
        <v>q5_top_customers</v>
      </c>
      <c r="B2197">
        <v>2</v>
      </c>
      <c r="C2197" s="13">
        <v>1</v>
      </c>
      <c r="D2197" s="13">
        <v>0</v>
      </c>
      <c r="E2197" s="13">
        <v>190976</v>
      </c>
      <c r="F2197" s="13">
        <v>148240</v>
      </c>
      <c r="G2197" s="13">
        <v>972</v>
      </c>
      <c r="H2197" s="13">
        <v>2261764</v>
      </c>
      <c r="I2197" s="13">
        <v>1</v>
      </c>
      <c r="J2197" s="13">
        <v>0</v>
      </c>
      <c r="K2197" s="13">
        <v>6138</v>
      </c>
      <c r="L2197" s="13">
        <v>26</v>
      </c>
      <c r="M2197" s="13">
        <v>1058</v>
      </c>
      <c r="N2197" s="13">
        <v>418</v>
      </c>
      <c r="O2197" s="13">
        <v>30</v>
      </c>
      <c r="P2197" s="13">
        <v>2</v>
      </c>
      <c r="Q2197" s="13">
        <v>62</v>
      </c>
      <c r="R2197" s="13">
        <v>5</v>
      </c>
      <c r="S2197" s="13">
        <v>0</v>
      </c>
      <c r="T2197" s="23">
        <v>46247.738379629627</v>
      </c>
      <c r="U2197" s="55">
        <f t="shared" si="102"/>
        <v>0.66666666666666663</v>
      </c>
      <c r="V2197" s="55">
        <f t="shared" si="103"/>
        <v>0.5</v>
      </c>
      <c r="W2197" s="56">
        <f t="shared" si="104"/>
        <v>5353.333333333333</v>
      </c>
    </row>
    <row r="2198" spans="1:23" x14ac:dyDescent="0.3">
      <c r="A2198" s="13" t="str" cm="1">
        <f t="array" ref="A2198:B2198">INDEX(BenchmarkResults!$B$1:$D$35,SUMPRODUCT((T2198&gt;=BenchmarkResults!$F$3:$F$35)*(mongodb_hardware_log!T2198&lt;BenchmarkResults!$G$3:$G$35)*ROW(BenchmarkResults!$F$3:$F$35)),{1,3})</f>
        <v>q5_top_customers</v>
      </c>
      <c r="B2198">
        <v>2</v>
      </c>
      <c r="C2198" s="13">
        <v>1</v>
      </c>
      <c r="D2198" s="13">
        <v>0</v>
      </c>
      <c r="E2198" s="13">
        <v>190464</v>
      </c>
      <c r="F2198" s="13">
        <v>115564</v>
      </c>
      <c r="G2198" s="13">
        <v>1120</v>
      </c>
      <c r="H2198" s="13">
        <v>2288344</v>
      </c>
      <c r="I2198" s="13">
        <v>168</v>
      </c>
      <c r="J2198" s="13">
        <v>0</v>
      </c>
      <c r="K2198" s="13">
        <v>6404</v>
      </c>
      <c r="L2198" s="13">
        <v>40</v>
      </c>
      <c r="M2198" s="13">
        <v>928</v>
      </c>
      <c r="N2198" s="13">
        <v>406</v>
      </c>
      <c r="O2198" s="13">
        <v>33</v>
      </c>
      <c r="P2198" s="13">
        <v>2</v>
      </c>
      <c r="Q2198" s="13">
        <v>59</v>
      </c>
      <c r="R2198" s="13">
        <v>5</v>
      </c>
      <c r="S2198" s="13">
        <v>1</v>
      </c>
      <c r="T2198" s="23">
        <v>46247.738495370373</v>
      </c>
      <c r="U2198" s="55">
        <f t="shared" si="102"/>
        <v>0.66666666666666663</v>
      </c>
      <c r="V2198" s="55">
        <f t="shared" si="103"/>
        <v>0.5</v>
      </c>
      <c r="W2198" s="56">
        <f t="shared" si="104"/>
        <v>5497.833333333333</v>
      </c>
    </row>
    <row r="2199" spans="1:23" x14ac:dyDescent="0.3">
      <c r="A2199" s="13" t="str" cm="1">
        <f t="array" ref="A2199:B2199">INDEX(BenchmarkResults!$B$1:$D$35,SUMPRODUCT((T2199&gt;=BenchmarkResults!$F$3:$F$35)*(mongodb_hardware_log!T2199&lt;BenchmarkResults!$G$3:$G$35)*ROW(BenchmarkResults!$F$3:$F$35)),{1,3})</f>
        <v>q5_top_customers</v>
      </c>
      <c r="B2199">
        <v>3</v>
      </c>
      <c r="C2199" s="13">
        <v>0</v>
      </c>
      <c r="D2199" s="13">
        <v>1</v>
      </c>
      <c r="E2199" s="13">
        <v>190464</v>
      </c>
      <c r="F2199" s="13">
        <v>195688</v>
      </c>
      <c r="G2199" s="13">
        <v>1140</v>
      </c>
      <c r="H2199" s="13">
        <v>2181816</v>
      </c>
      <c r="I2199" s="13">
        <v>1</v>
      </c>
      <c r="J2199" s="13">
        <v>0</v>
      </c>
      <c r="K2199" s="13">
        <v>7176</v>
      </c>
      <c r="L2199" s="13">
        <v>2289</v>
      </c>
      <c r="M2199" s="13">
        <v>899</v>
      </c>
      <c r="N2199" s="13">
        <v>308</v>
      </c>
      <c r="O2199" s="13">
        <v>31</v>
      </c>
      <c r="P2199" s="13">
        <v>2</v>
      </c>
      <c r="Q2199" s="13">
        <v>61</v>
      </c>
      <c r="R2199" s="13">
        <v>4</v>
      </c>
      <c r="S2199" s="13">
        <v>1</v>
      </c>
      <c r="T2199" s="23">
        <v>46247.738611111112</v>
      </c>
      <c r="U2199" s="55">
        <f t="shared" si="102"/>
        <v>0.66666666666666663</v>
      </c>
      <c r="V2199" s="55">
        <f t="shared" si="103"/>
        <v>0.5</v>
      </c>
      <c r="W2199" s="56">
        <f t="shared" si="104"/>
        <v>5890.166666666667</v>
      </c>
    </row>
    <row r="2200" spans="1:23" x14ac:dyDescent="0.3">
      <c r="A2200" s="13" t="str" cm="1">
        <f t="array" ref="A2200:B2200">INDEX(BenchmarkResults!$B$1:$D$35,SUMPRODUCT((T2200&gt;=BenchmarkResults!$F$3:$F$35)*(mongodb_hardware_log!T2200&lt;BenchmarkResults!$G$3:$G$35)*ROW(BenchmarkResults!$F$3:$F$35)),{1,3})</f>
        <v>q5_top_customers</v>
      </c>
      <c r="B2200">
        <v>3</v>
      </c>
      <c r="C2200" s="13">
        <v>1</v>
      </c>
      <c r="D2200" s="13">
        <v>0</v>
      </c>
      <c r="E2200" s="13">
        <v>190464</v>
      </c>
      <c r="F2200" s="13">
        <v>183376</v>
      </c>
      <c r="G2200" s="13">
        <v>1148</v>
      </c>
      <c r="H2200" s="13">
        <v>2215072</v>
      </c>
      <c r="I2200" s="13">
        <v>0</v>
      </c>
      <c r="J2200" s="13">
        <v>0</v>
      </c>
      <c r="K2200" s="13">
        <v>2472</v>
      </c>
      <c r="L2200" s="13">
        <v>17</v>
      </c>
      <c r="M2200" s="13">
        <v>1070</v>
      </c>
      <c r="N2200" s="13">
        <v>523</v>
      </c>
      <c r="O2200" s="13">
        <v>30</v>
      </c>
      <c r="P2200" s="13">
        <v>2</v>
      </c>
      <c r="Q2200" s="13">
        <v>61</v>
      </c>
      <c r="R2200" s="13">
        <v>5</v>
      </c>
      <c r="S2200" s="13">
        <v>0</v>
      </c>
      <c r="T2200" s="23">
        <v>46247.738726851851</v>
      </c>
      <c r="U2200" s="55">
        <f t="shared" si="102"/>
        <v>0.66666666666666663</v>
      </c>
      <c r="V2200" s="55">
        <f t="shared" si="103"/>
        <v>0.5</v>
      </c>
      <c r="W2200" s="56">
        <f t="shared" si="104"/>
        <v>5411.333333333333</v>
      </c>
    </row>
    <row r="2201" spans="1:23" x14ac:dyDescent="0.3">
      <c r="A2201" s="13" t="str" cm="1">
        <f t="array" ref="A2201:B2201">INDEX(BenchmarkResults!$B$1:$D$35,SUMPRODUCT((T2201&gt;=BenchmarkResults!$F$3:$F$35)*(mongodb_hardware_log!T2201&lt;BenchmarkResults!$G$3:$G$35)*ROW(BenchmarkResults!$F$3:$F$35)),{1,3})</f>
        <v>q5_top_customers</v>
      </c>
      <c r="B2201">
        <v>3</v>
      </c>
      <c r="C2201" s="13">
        <v>1</v>
      </c>
      <c r="D2201" s="13">
        <v>0</v>
      </c>
      <c r="E2201" s="13">
        <v>190464</v>
      </c>
      <c r="F2201" s="13">
        <v>147340</v>
      </c>
      <c r="G2201" s="13">
        <v>1156</v>
      </c>
      <c r="H2201" s="13">
        <v>2252504</v>
      </c>
      <c r="I2201" s="13">
        <v>0</v>
      </c>
      <c r="J2201" s="13">
        <v>0</v>
      </c>
      <c r="K2201" s="13">
        <v>2896</v>
      </c>
      <c r="L2201" s="13">
        <v>16</v>
      </c>
      <c r="M2201" s="13">
        <v>1020</v>
      </c>
      <c r="N2201" s="13">
        <v>416</v>
      </c>
      <c r="O2201" s="13">
        <v>31</v>
      </c>
      <c r="P2201" s="13">
        <v>2</v>
      </c>
      <c r="Q2201" s="13">
        <v>61</v>
      </c>
      <c r="R2201" s="13">
        <v>5</v>
      </c>
      <c r="S2201" s="13">
        <v>0</v>
      </c>
      <c r="T2201" s="23">
        <v>46247.738842592589</v>
      </c>
      <c r="U2201" s="55">
        <f t="shared" si="102"/>
        <v>0.83333333333333337</v>
      </c>
      <c r="V2201" s="55">
        <f t="shared" si="103"/>
        <v>0.16666666666666666</v>
      </c>
      <c r="W2201" s="56">
        <f t="shared" si="104"/>
        <v>4943</v>
      </c>
    </row>
    <row r="2202" spans="1:23" x14ac:dyDescent="0.3">
      <c r="A2202" s="13" t="str" cm="1">
        <f t="array" ref="A2202:B2202">INDEX(BenchmarkResults!$B$1:$D$35,SUMPRODUCT((T2202&gt;=BenchmarkResults!$F$3:$F$35)*(mongodb_hardware_log!T2202&lt;BenchmarkResults!$G$3:$G$35)*ROW(BenchmarkResults!$F$3:$F$35)),{1,3})</f>
        <v>q5_top_customers</v>
      </c>
      <c r="B2202">
        <v>3</v>
      </c>
      <c r="C2202" s="13">
        <v>1</v>
      </c>
      <c r="D2202" s="13">
        <v>0</v>
      </c>
      <c r="E2202" s="13">
        <v>190464</v>
      </c>
      <c r="F2202" s="13">
        <v>112408</v>
      </c>
      <c r="G2202" s="13">
        <v>1172</v>
      </c>
      <c r="H2202" s="13">
        <v>2285712</v>
      </c>
      <c r="I2202" s="13">
        <v>3</v>
      </c>
      <c r="J2202" s="13">
        <v>0</v>
      </c>
      <c r="K2202" s="13">
        <v>2476</v>
      </c>
      <c r="L2202" s="13">
        <v>12</v>
      </c>
      <c r="M2202" s="13">
        <v>1091</v>
      </c>
      <c r="N2202" s="13">
        <v>463</v>
      </c>
      <c r="O2202" s="13">
        <v>30</v>
      </c>
      <c r="P2202" s="13">
        <v>3</v>
      </c>
      <c r="Q2202" s="13">
        <v>60</v>
      </c>
      <c r="R2202" s="13">
        <v>6</v>
      </c>
      <c r="S2202" s="13">
        <v>1</v>
      </c>
      <c r="T2202" s="23">
        <v>46247.738958333335</v>
      </c>
      <c r="U2202" s="55">
        <f t="shared" si="102"/>
        <v>0.83333333333333337</v>
      </c>
      <c r="V2202" s="55">
        <f t="shared" si="103"/>
        <v>0.16666666666666666</v>
      </c>
      <c r="W2202" s="56">
        <f t="shared" si="104"/>
        <v>4593.666666666667</v>
      </c>
    </row>
    <row r="2203" spans="1:23" x14ac:dyDescent="0.3">
      <c r="A2203" s="13" t="str" cm="1">
        <f t="array" ref="A2203:B2203">INDEX(BenchmarkResults!$B$1:$D$35,SUMPRODUCT((T2203&gt;=BenchmarkResults!$F$3:$F$35)*(mongodb_hardware_log!T2203&lt;BenchmarkResults!$G$3:$G$35)*ROW(BenchmarkResults!$F$3:$F$35)),{1,3})</f>
        <v>q5_top_customers</v>
      </c>
      <c r="B2203">
        <v>3</v>
      </c>
      <c r="C2203" s="13">
        <v>1</v>
      </c>
      <c r="D2203" s="13">
        <v>0</v>
      </c>
      <c r="E2203" s="13">
        <v>190464</v>
      </c>
      <c r="F2203" s="13">
        <v>131076</v>
      </c>
      <c r="G2203" s="13">
        <v>1204</v>
      </c>
      <c r="H2203" s="13">
        <v>2278084</v>
      </c>
      <c r="I2203" s="13">
        <v>1</v>
      </c>
      <c r="J2203" s="13">
        <v>0</v>
      </c>
      <c r="K2203" s="13">
        <v>2812</v>
      </c>
      <c r="L2203" s="13">
        <v>2582</v>
      </c>
      <c r="M2203" s="13">
        <v>1274</v>
      </c>
      <c r="N2203" s="13">
        <v>684</v>
      </c>
      <c r="O2203" s="13">
        <v>29</v>
      </c>
      <c r="P2203" s="13">
        <v>3</v>
      </c>
      <c r="Q2203" s="13">
        <v>58</v>
      </c>
      <c r="R2203" s="13">
        <v>9</v>
      </c>
      <c r="S2203" s="13">
        <v>0</v>
      </c>
      <c r="T2203" s="23">
        <v>46247.739074074074</v>
      </c>
      <c r="U2203" s="55">
        <f t="shared" si="102"/>
        <v>0.83333333333333337</v>
      </c>
      <c r="V2203" s="55">
        <f t="shared" si="103"/>
        <v>0.16666666666666666</v>
      </c>
      <c r="W2203" s="56">
        <f t="shared" si="104"/>
        <v>4039.3333333333335</v>
      </c>
    </row>
    <row r="2204" spans="1:23" x14ac:dyDescent="0.3">
      <c r="A2204" s="13" t="str" cm="1">
        <f t="array" ref="A2204:B2204">INDEX(BenchmarkResults!$B$1:$D$35,SUMPRODUCT((T2204&gt;=BenchmarkResults!$F$3:$F$35)*(mongodb_hardware_log!T2204&lt;BenchmarkResults!$G$3:$G$35)*ROW(BenchmarkResults!$F$3:$F$35)),{1,3})</f>
        <v>q5_top_customers</v>
      </c>
      <c r="B2204">
        <v>3</v>
      </c>
      <c r="C2204" s="13">
        <v>1</v>
      </c>
      <c r="D2204" s="13">
        <v>0</v>
      </c>
      <c r="E2204" s="13">
        <v>190464</v>
      </c>
      <c r="F2204" s="13">
        <v>117584</v>
      </c>
      <c r="G2204" s="13">
        <v>1220</v>
      </c>
      <c r="H2204" s="13">
        <v>2293852</v>
      </c>
      <c r="I2204" s="13">
        <v>4</v>
      </c>
      <c r="J2204" s="13">
        <v>0</v>
      </c>
      <c r="K2204" s="13">
        <v>3164</v>
      </c>
      <c r="L2204" s="13">
        <v>33</v>
      </c>
      <c r="M2204" s="13">
        <v>1168</v>
      </c>
      <c r="N2204" s="13">
        <v>568</v>
      </c>
      <c r="O2204" s="13">
        <v>29</v>
      </c>
      <c r="P2204" s="13">
        <v>3</v>
      </c>
      <c r="Q2204" s="13">
        <v>61</v>
      </c>
      <c r="R2204" s="13">
        <v>6</v>
      </c>
      <c r="S2204" s="13">
        <v>0</v>
      </c>
      <c r="T2204" s="23">
        <v>46247.739189814813</v>
      </c>
      <c r="U2204" s="55">
        <f t="shared" si="102"/>
        <v>0.83333333333333337</v>
      </c>
      <c r="V2204" s="55">
        <f t="shared" si="103"/>
        <v>0.16666666666666666</v>
      </c>
      <c r="W2204" s="56">
        <f t="shared" si="104"/>
        <v>3499.3333333333335</v>
      </c>
    </row>
    <row r="2205" spans="1:23" x14ac:dyDescent="0.3">
      <c r="A2205" s="13" t="str" cm="1">
        <f t="array" ref="A2205:B2205">INDEX(BenchmarkResults!$B$1:$D$35,SUMPRODUCT((T2205&gt;=BenchmarkResults!$F$3:$F$35)*(mongodb_hardware_log!T2205&lt;BenchmarkResults!$G$3:$G$35)*ROW(BenchmarkResults!$F$3:$F$35)),{1,3})</f>
        <v>q5_top_customers</v>
      </c>
      <c r="B2205">
        <v>3</v>
      </c>
      <c r="C2205" s="13">
        <v>1</v>
      </c>
      <c r="D2205" s="13">
        <v>0</v>
      </c>
      <c r="E2205" s="13">
        <v>190464</v>
      </c>
      <c r="F2205" s="13">
        <v>126556</v>
      </c>
      <c r="G2205" s="13">
        <v>1236</v>
      </c>
      <c r="H2205" s="13">
        <v>2280208</v>
      </c>
      <c r="I2205" s="13">
        <v>0</v>
      </c>
      <c r="J2205" s="13">
        <v>0</v>
      </c>
      <c r="K2205" s="13">
        <v>6841</v>
      </c>
      <c r="L2205" s="13">
        <v>20</v>
      </c>
      <c r="M2205" s="13">
        <v>1067</v>
      </c>
      <c r="N2205" s="13">
        <v>411</v>
      </c>
      <c r="O2205" s="13">
        <v>30</v>
      </c>
      <c r="P2205" s="13">
        <v>3</v>
      </c>
      <c r="Q2205" s="13">
        <v>60</v>
      </c>
      <c r="R2205" s="13">
        <v>6</v>
      </c>
      <c r="S2205" s="13">
        <v>1</v>
      </c>
      <c r="T2205" s="23">
        <v>46247.739305555559</v>
      </c>
      <c r="U2205" s="55">
        <f t="shared" si="102"/>
        <v>1</v>
      </c>
      <c r="V2205" s="55">
        <f t="shared" si="103"/>
        <v>0</v>
      </c>
      <c r="W2205" s="56">
        <f t="shared" si="104"/>
        <v>3443.5</v>
      </c>
    </row>
    <row r="2206" spans="1:23" x14ac:dyDescent="0.3">
      <c r="A2206" s="13" t="str" cm="1">
        <f t="array" ref="A2206:B2206">INDEX(BenchmarkResults!$B$1:$D$35,SUMPRODUCT((T2206&gt;=BenchmarkResults!$F$3:$F$35)*(mongodb_hardware_log!T2206&lt;BenchmarkResults!$G$3:$G$35)*ROW(BenchmarkResults!$F$3:$F$35)),{1,3})</f>
        <v>q5_top_customers</v>
      </c>
      <c r="B2206">
        <v>3</v>
      </c>
      <c r="C2206" s="13">
        <v>0</v>
      </c>
      <c r="D2206" s="13">
        <v>1</v>
      </c>
      <c r="E2206" s="13">
        <v>190464</v>
      </c>
      <c r="F2206" s="13">
        <v>122996</v>
      </c>
      <c r="G2206" s="13">
        <v>1244</v>
      </c>
      <c r="H2206" s="13">
        <v>2276856</v>
      </c>
      <c r="I2206" s="13">
        <v>4</v>
      </c>
      <c r="J2206" s="13">
        <v>0</v>
      </c>
      <c r="K2206" s="13">
        <v>8895</v>
      </c>
      <c r="L2206" s="13">
        <v>7</v>
      </c>
      <c r="M2206" s="13">
        <v>1088</v>
      </c>
      <c r="N2206" s="13">
        <v>422</v>
      </c>
      <c r="O2206" s="13">
        <v>30</v>
      </c>
      <c r="P2206" s="13">
        <v>3</v>
      </c>
      <c r="Q2206" s="13">
        <v>60</v>
      </c>
      <c r="R2206" s="13">
        <v>7</v>
      </c>
      <c r="S2206" s="13">
        <v>1</v>
      </c>
      <c r="T2206" s="23">
        <v>46247.739421296297</v>
      </c>
      <c r="U2206" s="55">
        <f t="shared" si="102"/>
        <v>0.83333333333333337</v>
      </c>
      <c r="V2206" s="55">
        <f t="shared" si="103"/>
        <v>0.16666666666666666</v>
      </c>
      <c r="W2206" s="56">
        <f t="shared" si="104"/>
        <v>4514</v>
      </c>
    </row>
    <row r="2207" spans="1:23" x14ac:dyDescent="0.3">
      <c r="A2207" s="13" t="str" cm="1">
        <f t="array" ref="A2207:B2207">INDEX(BenchmarkResults!$B$1:$D$35,SUMPRODUCT((T2207&gt;=BenchmarkResults!$F$3:$F$35)*(mongodb_hardware_log!T2207&lt;BenchmarkResults!$G$3:$G$35)*ROW(BenchmarkResults!$F$3:$F$35)),{1,3})</f>
        <v>q5_top_customers</v>
      </c>
      <c r="B2207">
        <v>3</v>
      </c>
      <c r="C2207" s="13">
        <v>1</v>
      </c>
      <c r="D2207" s="13">
        <v>0</v>
      </c>
      <c r="E2207" s="13">
        <v>190720</v>
      </c>
      <c r="F2207" s="13">
        <v>167896</v>
      </c>
      <c r="G2207" s="13">
        <v>1264</v>
      </c>
      <c r="H2207" s="13">
        <v>2244368</v>
      </c>
      <c r="I2207" s="13">
        <v>0</v>
      </c>
      <c r="J2207" s="13">
        <v>10</v>
      </c>
      <c r="K2207" s="13">
        <v>10605</v>
      </c>
      <c r="L2207" s="13">
        <v>2574</v>
      </c>
      <c r="M2207" s="13">
        <v>1064</v>
      </c>
      <c r="N2207" s="13">
        <v>406</v>
      </c>
      <c r="O2207" s="13">
        <v>29</v>
      </c>
      <c r="P2207" s="13">
        <v>4</v>
      </c>
      <c r="Q2207" s="13">
        <v>58</v>
      </c>
      <c r="R2207" s="13">
        <v>8</v>
      </c>
      <c r="S2207" s="13">
        <v>1</v>
      </c>
      <c r="T2207" s="23">
        <v>46247.739537037036</v>
      </c>
      <c r="U2207" s="55">
        <f t="shared" si="102"/>
        <v>0.83333333333333337</v>
      </c>
      <c r="V2207" s="55">
        <f t="shared" si="103"/>
        <v>0.16666666666666666</v>
      </c>
      <c r="W2207" s="56">
        <f t="shared" si="104"/>
        <v>5798.833333333333</v>
      </c>
    </row>
    <row r="2208" spans="1:23" x14ac:dyDescent="0.3">
      <c r="A2208" s="13" t="str" cm="1">
        <f t="array" ref="A2208:B2208">INDEX(BenchmarkResults!$B$1:$D$35,SUMPRODUCT((T2208&gt;=BenchmarkResults!$F$3:$F$35)*(mongodb_hardware_log!T2208&lt;BenchmarkResults!$G$3:$G$35)*ROW(BenchmarkResults!$F$3:$F$35)),{1,3})</f>
        <v>q5_top_customers</v>
      </c>
      <c r="B2208">
        <v>3</v>
      </c>
      <c r="C2208" s="13">
        <v>1</v>
      </c>
      <c r="D2208" s="13">
        <v>0</v>
      </c>
      <c r="E2208" s="13">
        <v>190720</v>
      </c>
      <c r="F2208" s="13">
        <v>147080</v>
      </c>
      <c r="G2208" s="13">
        <v>644</v>
      </c>
      <c r="H2208" s="13">
        <v>2256688</v>
      </c>
      <c r="I2208" s="13">
        <v>0</v>
      </c>
      <c r="J2208" s="13">
        <v>4</v>
      </c>
      <c r="K2208" s="13">
        <v>11007</v>
      </c>
      <c r="L2208" s="13">
        <v>10</v>
      </c>
      <c r="M2208" s="13">
        <v>1019</v>
      </c>
      <c r="N2208" s="13">
        <v>379</v>
      </c>
      <c r="O2208" s="13">
        <v>30</v>
      </c>
      <c r="P2208" s="13">
        <v>3</v>
      </c>
      <c r="Q2208" s="13">
        <v>61</v>
      </c>
      <c r="R2208" s="13">
        <v>5</v>
      </c>
      <c r="S2208" s="13">
        <v>1</v>
      </c>
      <c r="T2208" s="23">
        <v>46247.739652777775</v>
      </c>
      <c r="U2208" s="55">
        <f t="shared" si="102"/>
        <v>0.83333333333333337</v>
      </c>
      <c r="V2208" s="55">
        <f t="shared" si="103"/>
        <v>0.16666666666666666</v>
      </c>
      <c r="W2208" s="56">
        <f t="shared" si="104"/>
        <v>7220.666666666667</v>
      </c>
    </row>
    <row r="2209" spans="1:23" x14ac:dyDescent="0.3">
      <c r="A2209" s="13" t="str" cm="1">
        <f t="array" ref="A2209:B2209">INDEX(BenchmarkResults!$B$1:$D$35,SUMPRODUCT((T2209&gt;=BenchmarkResults!$F$3:$F$35)*(mongodb_hardware_log!T2209&lt;BenchmarkResults!$G$3:$G$35)*ROW(BenchmarkResults!$F$3:$F$35)),{1,3})</f>
        <v>q5_top_customers</v>
      </c>
      <c r="B2209">
        <v>3</v>
      </c>
      <c r="C2209" s="13">
        <v>1</v>
      </c>
      <c r="D2209" s="13">
        <v>0</v>
      </c>
      <c r="E2209" s="13">
        <v>190464</v>
      </c>
      <c r="F2209" s="13">
        <v>156200</v>
      </c>
      <c r="G2209" s="13">
        <v>424</v>
      </c>
      <c r="H2209" s="13">
        <v>2250772</v>
      </c>
      <c r="I2209" s="13">
        <v>17</v>
      </c>
      <c r="J2209" s="13">
        <v>0</v>
      </c>
      <c r="K2209" s="13">
        <v>9122</v>
      </c>
      <c r="L2209" s="13">
        <v>24</v>
      </c>
      <c r="M2209" s="13">
        <v>1078</v>
      </c>
      <c r="N2209" s="13">
        <v>407</v>
      </c>
      <c r="O2209" s="13">
        <v>29</v>
      </c>
      <c r="P2209" s="13">
        <v>3</v>
      </c>
      <c r="Q2209" s="13">
        <v>61</v>
      </c>
      <c r="R2209" s="13">
        <v>7</v>
      </c>
      <c r="S2209" s="13">
        <v>1</v>
      </c>
      <c r="T2209" s="23">
        <v>46247.739768518521</v>
      </c>
      <c r="U2209" s="55">
        <f t="shared" si="102"/>
        <v>0.83333333333333337</v>
      </c>
      <c r="V2209" s="55">
        <f t="shared" si="103"/>
        <v>0.16666666666666666</v>
      </c>
      <c r="W2209" s="56">
        <f t="shared" si="104"/>
        <v>8272.3333333333339</v>
      </c>
    </row>
    <row r="2210" spans="1:23" x14ac:dyDescent="0.3">
      <c r="A2210" s="13" t="str" cm="1">
        <f t="array" ref="A2210:B2210">INDEX(BenchmarkResults!$B$1:$D$35,SUMPRODUCT((T2210&gt;=BenchmarkResults!$F$3:$F$35)*(mongodb_hardware_log!T2210&lt;BenchmarkResults!$G$3:$G$35)*ROW(BenchmarkResults!$F$3:$F$35)),{1,3})</f>
        <v>q5_top_customers</v>
      </c>
      <c r="B2210">
        <v>3</v>
      </c>
      <c r="C2210" s="13">
        <v>1</v>
      </c>
      <c r="D2210" s="13">
        <v>0</v>
      </c>
      <c r="E2210" s="13">
        <v>190464</v>
      </c>
      <c r="F2210" s="13">
        <v>126456</v>
      </c>
      <c r="G2210" s="13">
        <v>440</v>
      </c>
      <c r="H2210" s="13">
        <v>2278820</v>
      </c>
      <c r="I2210" s="13">
        <v>0</v>
      </c>
      <c r="J2210" s="13">
        <v>1</v>
      </c>
      <c r="K2210" s="13">
        <v>10404</v>
      </c>
      <c r="L2210" s="13">
        <v>2559</v>
      </c>
      <c r="M2210" s="13">
        <v>1186</v>
      </c>
      <c r="N2210" s="13">
        <v>489</v>
      </c>
      <c r="O2210" s="13">
        <v>28</v>
      </c>
      <c r="P2210" s="13">
        <v>3</v>
      </c>
      <c r="Q2210" s="13">
        <v>57</v>
      </c>
      <c r="R2210" s="13">
        <v>11</v>
      </c>
      <c r="S2210" s="13">
        <v>2</v>
      </c>
      <c r="T2210" s="23">
        <v>46247.739884259259</v>
      </c>
      <c r="U2210" s="55">
        <f t="shared" si="102"/>
        <v>0.83333333333333337</v>
      </c>
      <c r="V2210" s="55">
        <f t="shared" si="103"/>
        <v>0.16666666666666666</v>
      </c>
      <c r="W2210" s="56">
        <f t="shared" si="104"/>
        <v>9479</v>
      </c>
    </row>
    <row r="2211" spans="1:23" x14ac:dyDescent="0.3">
      <c r="A2211" s="13" t="str" cm="1">
        <f t="array" ref="A2211:B2211">INDEX(BenchmarkResults!$B$1:$D$35,SUMPRODUCT((T2211&gt;=BenchmarkResults!$F$3:$F$35)*(mongodb_hardware_log!T2211&lt;BenchmarkResults!$G$3:$G$35)*ROW(BenchmarkResults!$F$3:$F$35)),{1,3})</f>
        <v>q5_top_customers</v>
      </c>
      <c r="B2211">
        <v>3</v>
      </c>
      <c r="C2211" s="13">
        <v>1</v>
      </c>
      <c r="D2211" s="13">
        <v>0</v>
      </c>
      <c r="E2211" s="13">
        <v>190208</v>
      </c>
      <c r="F2211" s="13">
        <v>139560</v>
      </c>
      <c r="G2211" s="13">
        <v>448</v>
      </c>
      <c r="H2211" s="13">
        <v>2272844</v>
      </c>
      <c r="I2211" s="13">
        <v>26</v>
      </c>
      <c r="J2211" s="13">
        <v>1</v>
      </c>
      <c r="K2211" s="13">
        <v>7400</v>
      </c>
      <c r="L2211" s="13">
        <v>12</v>
      </c>
      <c r="M2211" s="13">
        <v>1007</v>
      </c>
      <c r="N2211" s="13">
        <v>378</v>
      </c>
      <c r="O2211" s="13">
        <v>29</v>
      </c>
      <c r="P2211" s="13">
        <v>3</v>
      </c>
      <c r="Q2211" s="13">
        <v>61</v>
      </c>
      <c r="R2211" s="13">
        <v>6</v>
      </c>
      <c r="S2211" s="13">
        <v>1</v>
      </c>
      <c r="T2211" s="23">
        <v>46247.74</v>
      </c>
      <c r="U2211" s="55">
        <f t="shared" si="102"/>
        <v>0.83333333333333337</v>
      </c>
      <c r="V2211" s="55">
        <f t="shared" si="103"/>
        <v>0.16666666666666666</v>
      </c>
      <c r="W2211" s="56">
        <f t="shared" si="104"/>
        <v>9572.1666666666661</v>
      </c>
    </row>
    <row r="2212" spans="1:23" x14ac:dyDescent="0.3">
      <c r="A2212" s="13" t="str" cm="1">
        <f t="array" ref="A2212:B2212">INDEX(BenchmarkResults!$B$1:$D$35,SUMPRODUCT((T2212&gt;=BenchmarkResults!$F$3:$F$35)*(mongodb_hardware_log!T2212&lt;BenchmarkResults!$G$3:$G$35)*ROW(BenchmarkResults!$F$3:$F$35)),{1,3})</f>
        <v>q5_top_customers</v>
      </c>
      <c r="B2212">
        <v>3</v>
      </c>
      <c r="C2212" s="13">
        <v>1</v>
      </c>
      <c r="D2212" s="13">
        <v>0</v>
      </c>
      <c r="E2212" s="13">
        <v>190208</v>
      </c>
      <c r="F2212" s="13">
        <v>113120</v>
      </c>
      <c r="G2212" s="13">
        <v>464</v>
      </c>
      <c r="H2212" s="13">
        <v>2302520</v>
      </c>
      <c r="I2212" s="13">
        <v>1</v>
      </c>
      <c r="J2212" s="13">
        <v>0</v>
      </c>
      <c r="K2212" s="13">
        <v>7883</v>
      </c>
      <c r="L2212" s="13">
        <v>14</v>
      </c>
      <c r="M2212" s="13">
        <v>1036</v>
      </c>
      <c r="N2212" s="13">
        <v>423</v>
      </c>
      <c r="O2212" s="13">
        <v>29</v>
      </c>
      <c r="P2212" s="13">
        <v>3</v>
      </c>
      <c r="Q2212" s="13">
        <v>62</v>
      </c>
      <c r="R2212" s="13">
        <v>6</v>
      </c>
      <c r="S2212" s="13">
        <v>1</v>
      </c>
      <c r="T2212" s="23">
        <v>46247.740115740744</v>
      </c>
      <c r="U2212" s="55">
        <f t="shared" si="102"/>
        <v>1</v>
      </c>
      <c r="V2212" s="55">
        <f t="shared" si="103"/>
        <v>0</v>
      </c>
      <c r="W2212" s="56">
        <f t="shared" si="104"/>
        <v>9403.5</v>
      </c>
    </row>
    <row r="2213" spans="1:23" x14ac:dyDescent="0.3">
      <c r="A2213" s="13" t="str" cm="1">
        <f t="array" ref="A2213:B2213">INDEX(BenchmarkResults!$B$1:$D$35,SUMPRODUCT((T2213&gt;=BenchmarkResults!$F$3:$F$35)*(mongodb_hardware_log!T2213&lt;BenchmarkResults!$G$3:$G$35)*ROW(BenchmarkResults!$F$3:$F$35)),{1,3})</f>
        <v>q5_top_customers</v>
      </c>
      <c r="B2213">
        <v>3</v>
      </c>
      <c r="C2213" s="13">
        <v>1</v>
      </c>
      <c r="D2213" s="13">
        <v>0</v>
      </c>
      <c r="E2213" s="13">
        <v>203776</v>
      </c>
      <c r="F2213" s="13">
        <v>151420</v>
      </c>
      <c r="G2213" s="13">
        <v>460</v>
      </c>
      <c r="H2213" s="13">
        <v>2269564</v>
      </c>
      <c r="I2213" s="13">
        <v>3</v>
      </c>
      <c r="J2213" s="13">
        <v>1348</v>
      </c>
      <c r="K2213" s="13">
        <v>8288</v>
      </c>
      <c r="L2213" s="13">
        <v>1354</v>
      </c>
      <c r="M2213" s="13">
        <v>1416</v>
      </c>
      <c r="N2213" s="13">
        <v>453</v>
      </c>
      <c r="O2213" s="13">
        <v>30</v>
      </c>
      <c r="P2213" s="13">
        <v>3</v>
      </c>
      <c r="Q2213" s="13">
        <v>60</v>
      </c>
      <c r="R2213" s="13">
        <v>7</v>
      </c>
      <c r="S2213" s="13">
        <v>1</v>
      </c>
      <c r="T2213" s="23">
        <v>46247.740231481483</v>
      </c>
      <c r="U2213" s="55">
        <f t="shared" si="102"/>
        <v>1</v>
      </c>
      <c r="V2213" s="55">
        <f t="shared" si="103"/>
        <v>0</v>
      </c>
      <c r="W2213" s="56">
        <f t="shared" si="104"/>
        <v>9017.3333333333339</v>
      </c>
    </row>
    <row r="2214" spans="1:23" x14ac:dyDescent="0.3">
      <c r="A2214" s="13" t="str" cm="1">
        <f t="array" ref="A2214:B2214">INDEX(BenchmarkResults!$B$1:$D$35,SUMPRODUCT((T2214&gt;=BenchmarkResults!$F$3:$F$35)*(mongodb_hardware_log!T2214&lt;BenchmarkResults!$G$3:$G$35)*ROW(BenchmarkResults!$F$3:$F$35)),{1,3})</f>
        <v>q5_top_customers</v>
      </c>
      <c r="B2214">
        <v>3</v>
      </c>
      <c r="C2214" s="13">
        <v>1</v>
      </c>
      <c r="D2214" s="13">
        <v>0</v>
      </c>
      <c r="E2214" s="13">
        <v>203776</v>
      </c>
      <c r="F2214" s="13">
        <v>129656</v>
      </c>
      <c r="G2214" s="13">
        <v>480</v>
      </c>
      <c r="H2214" s="13">
        <v>2300984</v>
      </c>
      <c r="I2214" s="13">
        <v>0</v>
      </c>
      <c r="J2214" s="13">
        <v>0</v>
      </c>
      <c r="K2214" s="13">
        <v>8530</v>
      </c>
      <c r="L2214" s="13">
        <v>2561</v>
      </c>
      <c r="M2214" s="13">
        <v>1066</v>
      </c>
      <c r="N2214" s="13">
        <v>410</v>
      </c>
      <c r="O2214" s="13">
        <v>30</v>
      </c>
      <c r="P2214" s="13">
        <v>3</v>
      </c>
      <c r="Q2214" s="13">
        <v>60</v>
      </c>
      <c r="R2214" s="13">
        <v>7</v>
      </c>
      <c r="S2214" s="13">
        <v>0</v>
      </c>
      <c r="T2214" s="23">
        <v>46247.740347222221</v>
      </c>
      <c r="U2214" s="55">
        <f t="shared" si="102"/>
        <v>1</v>
      </c>
      <c r="V2214" s="55">
        <f t="shared" si="103"/>
        <v>0</v>
      </c>
      <c r="W2214" s="56">
        <f t="shared" si="104"/>
        <v>8604.5</v>
      </c>
    </row>
    <row r="2215" spans="1:23" x14ac:dyDescent="0.3">
      <c r="A2215" s="13" t="str" cm="1">
        <f t="array" ref="A2215:B2215">INDEX(BenchmarkResults!$B$1:$D$35,SUMPRODUCT((T2215&gt;=BenchmarkResults!$F$3:$F$35)*(mongodb_hardware_log!T2215&lt;BenchmarkResults!$G$3:$G$35)*ROW(BenchmarkResults!$F$3:$F$35)),{1,3})</f>
        <v>q5_top_customers</v>
      </c>
      <c r="B2215">
        <v>3</v>
      </c>
      <c r="C2215" s="13">
        <v>1</v>
      </c>
      <c r="D2215" s="13">
        <v>0</v>
      </c>
      <c r="E2215" s="13">
        <v>203776</v>
      </c>
      <c r="F2215" s="13">
        <v>135260</v>
      </c>
      <c r="G2215" s="13">
        <v>520</v>
      </c>
      <c r="H2215" s="13">
        <v>2293072</v>
      </c>
      <c r="I2215" s="13">
        <v>1</v>
      </c>
      <c r="J2215" s="13">
        <v>0</v>
      </c>
      <c r="K2215" s="13">
        <v>9364</v>
      </c>
      <c r="L2215" s="13">
        <v>27</v>
      </c>
      <c r="M2215" s="13">
        <v>1126</v>
      </c>
      <c r="N2215" s="13">
        <v>432</v>
      </c>
      <c r="O2215" s="13">
        <v>29</v>
      </c>
      <c r="P2215" s="13">
        <v>2</v>
      </c>
      <c r="Q2215" s="13">
        <v>61</v>
      </c>
      <c r="R2215" s="13">
        <v>7</v>
      </c>
      <c r="S2215" s="13">
        <v>0</v>
      </c>
      <c r="T2215" s="23">
        <v>46247.74046296296</v>
      </c>
      <c r="U2215" s="55">
        <f t="shared" si="102"/>
        <v>1</v>
      </c>
      <c r="V2215" s="55">
        <f t="shared" si="103"/>
        <v>0</v>
      </c>
      <c r="W2215" s="56">
        <f t="shared" si="104"/>
        <v>8644.8333333333339</v>
      </c>
    </row>
    <row r="2216" spans="1:23" x14ac:dyDescent="0.3">
      <c r="A2216" s="13" t="str" cm="1">
        <f t="array" ref="A2216:B2216">INDEX(BenchmarkResults!$B$1:$D$35,SUMPRODUCT((T2216&gt;=BenchmarkResults!$F$3:$F$35)*(mongodb_hardware_log!T2216&lt;BenchmarkResults!$G$3:$G$35)*ROW(BenchmarkResults!$F$3:$F$35)),{1,3})</f>
        <v>q5_top_customers</v>
      </c>
      <c r="B2216">
        <v>3</v>
      </c>
      <c r="C2216" s="13">
        <v>1</v>
      </c>
      <c r="D2216" s="13">
        <v>0</v>
      </c>
      <c r="E2216" s="13">
        <v>203776</v>
      </c>
      <c r="F2216" s="13">
        <v>121468</v>
      </c>
      <c r="G2216" s="13">
        <v>528</v>
      </c>
      <c r="H2216" s="13">
        <v>2296220</v>
      </c>
      <c r="I2216" s="13">
        <v>0</v>
      </c>
      <c r="J2216" s="13">
        <v>0</v>
      </c>
      <c r="K2216" s="13">
        <v>9968</v>
      </c>
      <c r="L2216" s="13">
        <v>10</v>
      </c>
      <c r="M2216" s="13">
        <v>1023</v>
      </c>
      <c r="N2216" s="13">
        <v>372</v>
      </c>
      <c r="O2216" s="13">
        <v>30</v>
      </c>
      <c r="P2216" s="13">
        <v>2</v>
      </c>
      <c r="Q2216" s="13">
        <v>61</v>
      </c>
      <c r="R2216" s="13">
        <v>6</v>
      </c>
      <c r="S2216" s="13">
        <v>1</v>
      </c>
      <c r="T2216" s="23">
        <v>46247.740578703706</v>
      </c>
      <c r="U2216" s="55">
        <f t="shared" si="102"/>
        <v>1</v>
      </c>
      <c r="V2216" s="55">
        <f t="shared" si="103"/>
        <v>0</v>
      </c>
      <c r="W2216" s="56">
        <f t="shared" si="104"/>
        <v>8572.1666666666661</v>
      </c>
    </row>
    <row r="2217" spans="1:23" x14ac:dyDescent="0.3">
      <c r="A2217" s="13" t="str" cm="1">
        <f t="array" ref="A2217:B2217">INDEX(BenchmarkResults!$B$1:$D$35,SUMPRODUCT((T2217&gt;=BenchmarkResults!$F$3:$F$35)*(mongodb_hardware_log!T2217&lt;BenchmarkResults!$G$3:$G$35)*ROW(BenchmarkResults!$F$3:$F$35)),{1,3})</f>
        <v>q6_inactive_customers</v>
      </c>
      <c r="B2217">
        <v>1</v>
      </c>
      <c r="C2217" s="13">
        <v>1</v>
      </c>
      <c r="D2217" s="13">
        <v>0</v>
      </c>
      <c r="E2217" s="13">
        <v>203520</v>
      </c>
      <c r="F2217" s="13">
        <v>132400</v>
      </c>
      <c r="G2217" s="13">
        <v>548</v>
      </c>
      <c r="H2217" s="13">
        <v>2287240</v>
      </c>
      <c r="I2217" s="13">
        <v>2</v>
      </c>
      <c r="J2217" s="13">
        <v>0</v>
      </c>
      <c r="K2217" s="13">
        <v>4401</v>
      </c>
      <c r="L2217" s="13">
        <v>2287</v>
      </c>
      <c r="M2217" s="13">
        <v>763</v>
      </c>
      <c r="N2217" s="13">
        <v>224</v>
      </c>
      <c r="O2217" s="13">
        <v>33</v>
      </c>
      <c r="P2217" s="13">
        <v>2</v>
      </c>
      <c r="Q2217" s="13">
        <v>62</v>
      </c>
      <c r="R2217" s="13">
        <v>2</v>
      </c>
      <c r="S2217" s="13">
        <v>0</v>
      </c>
      <c r="T2217" s="23">
        <v>46247.740694444445</v>
      </c>
      <c r="U2217" s="55">
        <f t="shared" si="102"/>
        <v>1</v>
      </c>
      <c r="V2217" s="55">
        <f t="shared" si="103"/>
        <v>0</v>
      </c>
      <c r="W2217" s="56">
        <f t="shared" si="104"/>
        <v>8072.333333333333</v>
      </c>
    </row>
    <row r="2218" spans="1:23" x14ac:dyDescent="0.3">
      <c r="A2218" s="13" t="str" cm="1">
        <f t="array" ref="A2218:B2218">INDEX(BenchmarkResults!$B$1:$D$35,SUMPRODUCT((T2218&gt;=BenchmarkResults!$F$3:$F$35)*(mongodb_hardware_log!T2218&lt;BenchmarkResults!$G$3:$G$35)*ROW(BenchmarkResults!$F$3:$F$35)),{1,3})</f>
        <v>q6_inactive_customers</v>
      </c>
      <c r="B2218">
        <v>1</v>
      </c>
      <c r="C2218" s="13">
        <v>1</v>
      </c>
      <c r="D2218" s="13">
        <v>0</v>
      </c>
      <c r="E2218" s="13">
        <v>203520</v>
      </c>
      <c r="F2218" s="13">
        <v>224380</v>
      </c>
      <c r="G2218" s="13">
        <v>568</v>
      </c>
      <c r="H2218" s="13">
        <v>2174424</v>
      </c>
      <c r="I2218" s="13">
        <v>16</v>
      </c>
      <c r="J2218" s="13">
        <v>0</v>
      </c>
      <c r="K2218" s="13">
        <v>1228</v>
      </c>
      <c r="L2218" s="13">
        <v>32</v>
      </c>
      <c r="M2218" s="13">
        <v>745</v>
      </c>
      <c r="N2218" s="13">
        <v>241</v>
      </c>
      <c r="O2218" s="13">
        <v>33</v>
      </c>
      <c r="P2218" s="13">
        <v>1</v>
      </c>
      <c r="Q2218" s="13">
        <v>64</v>
      </c>
      <c r="R2218" s="13">
        <v>1</v>
      </c>
      <c r="S2218" s="13">
        <v>0</v>
      </c>
      <c r="T2218" s="23">
        <v>46247.740810185183</v>
      </c>
      <c r="U2218" s="55">
        <f t="shared" si="102"/>
        <v>1</v>
      </c>
      <c r="V2218" s="55">
        <f t="shared" si="103"/>
        <v>0</v>
      </c>
      <c r="W2218" s="56">
        <f t="shared" si="104"/>
        <v>6963.166666666667</v>
      </c>
    </row>
    <row r="2219" spans="1:23" x14ac:dyDescent="0.3">
      <c r="A2219" s="13" t="str" cm="1">
        <f t="array" ref="A2219:B2219">INDEX(BenchmarkResults!$B$1:$D$35,SUMPRODUCT((T2219&gt;=BenchmarkResults!$F$3:$F$35)*(mongodb_hardware_log!T2219&lt;BenchmarkResults!$G$3:$G$35)*ROW(BenchmarkResults!$F$3:$F$35)),{1,3})</f>
        <v>q6_inactive_customers</v>
      </c>
      <c r="B2219">
        <v>1</v>
      </c>
      <c r="C2219" s="13">
        <v>1</v>
      </c>
      <c r="D2219" s="13">
        <v>0</v>
      </c>
      <c r="E2219" s="13">
        <v>203520</v>
      </c>
      <c r="F2219" s="13">
        <v>214420</v>
      </c>
      <c r="G2219" s="13">
        <v>576</v>
      </c>
      <c r="H2219" s="13">
        <v>2184948</v>
      </c>
      <c r="I2219" s="13">
        <v>9</v>
      </c>
      <c r="J2219" s="13">
        <v>0</v>
      </c>
      <c r="K2219" s="13">
        <v>1062</v>
      </c>
      <c r="L2219" s="13">
        <v>10</v>
      </c>
      <c r="M2219" s="13">
        <v>732</v>
      </c>
      <c r="N2219" s="13">
        <v>221</v>
      </c>
      <c r="O2219" s="13">
        <v>33</v>
      </c>
      <c r="P2219" s="13">
        <v>1</v>
      </c>
      <c r="Q2219" s="13">
        <v>64</v>
      </c>
      <c r="R2219" s="13">
        <v>1</v>
      </c>
      <c r="S2219" s="13">
        <v>1</v>
      </c>
      <c r="T2219" s="23">
        <v>46247.740925925929</v>
      </c>
      <c r="U2219" s="55">
        <f t="shared" si="102"/>
        <v>1</v>
      </c>
      <c r="V2219" s="55">
        <f t="shared" si="103"/>
        <v>0</v>
      </c>
      <c r="W2219" s="56">
        <f t="shared" si="104"/>
        <v>5758.833333333333</v>
      </c>
    </row>
    <row r="2220" spans="1:23" x14ac:dyDescent="0.3">
      <c r="A2220" s="13" t="str" cm="1">
        <f t="array" ref="A2220:B2220">INDEX(BenchmarkResults!$B$1:$D$35,SUMPRODUCT((T2220&gt;=BenchmarkResults!$F$3:$F$35)*(mongodb_hardware_log!T2220&lt;BenchmarkResults!$G$3:$G$35)*ROW(BenchmarkResults!$F$3:$F$35)),{1,3})</f>
        <v>q6_inactive_customers</v>
      </c>
      <c r="B2220">
        <v>1</v>
      </c>
      <c r="C2220" s="13">
        <v>1</v>
      </c>
      <c r="D2220" s="13">
        <v>0</v>
      </c>
      <c r="E2220" s="13">
        <v>203520</v>
      </c>
      <c r="F2220" s="13">
        <v>204796</v>
      </c>
      <c r="G2220" s="13">
        <v>584</v>
      </c>
      <c r="H2220" s="13">
        <v>2195484</v>
      </c>
      <c r="I2220" s="13">
        <v>8</v>
      </c>
      <c r="J2220" s="13">
        <v>0</v>
      </c>
      <c r="K2220" s="13">
        <v>1061</v>
      </c>
      <c r="L2220" s="13">
        <v>12</v>
      </c>
      <c r="M2220" s="13">
        <v>741</v>
      </c>
      <c r="N2220" s="13">
        <v>217</v>
      </c>
      <c r="O2220" s="13">
        <v>33</v>
      </c>
      <c r="P2220" s="13">
        <v>1</v>
      </c>
      <c r="Q2220" s="13">
        <v>64</v>
      </c>
      <c r="R2220" s="13">
        <v>1</v>
      </c>
      <c r="S2220" s="13">
        <v>1</v>
      </c>
      <c r="T2220" s="23">
        <v>46247.741041666668</v>
      </c>
      <c r="U2220" s="55">
        <f t="shared" si="102"/>
        <v>1</v>
      </c>
      <c r="V2220" s="55">
        <f t="shared" si="103"/>
        <v>0</v>
      </c>
      <c r="W2220" s="56">
        <f t="shared" si="104"/>
        <v>4514</v>
      </c>
    </row>
    <row r="2221" spans="1:23" x14ac:dyDescent="0.3">
      <c r="A2221" s="13" t="str" cm="1">
        <f t="array" ref="A2221:B2221">INDEX(BenchmarkResults!$B$1:$D$35,SUMPRODUCT((T2221&gt;=BenchmarkResults!$F$3:$F$35)*(mongodb_hardware_log!T2221&lt;BenchmarkResults!$G$3:$G$35)*ROW(BenchmarkResults!$F$3:$F$35)),{1,3})</f>
        <v>q6_inactive_customers</v>
      </c>
      <c r="B2221">
        <v>1</v>
      </c>
      <c r="C2221" s="13">
        <v>1</v>
      </c>
      <c r="D2221" s="13">
        <v>0</v>
      </c>
      <c r="E2221" s="13">
        <v>203520</v>
      </c>
      <c r="F2221" s="13">
        <v>189856</v>
      </c>
      <c r="G2221" s="13">
        <v>624</v>
      </c>
      <c r="H2221" s="13">
        <v>2206364</v>
      </c>
      <c r="I2221" s="13">
        <v>12</v>
      </c>
      <c r="J2221" s="13">
        <v>0</v>
      </c>
      <c r="K2221" s="13">
        <v>1094</v>
      </c>
      <c r="L2221" s="13">
        <v>44</v>
      </c>
      <c r="M2221" s="13">
        <v>799</v>
      </c>
      <c r="N2221" s="13">
        <v>289</v>
      </c>
      <c r="O2221" s="13">
        <v>33</v>
      </c>
      <c r="P2221" s="13">
        <v>1</v>
      </c>
      <c r="Q2221" s="13">
        <v>64</v>
      </c>
      <c r="R2221" s="13">
        <v>1</v>
      </c>
      <c r="S2221" s="13">
        <v>1</v>
      </c>
      <c r="T2221" s="23">
        <v>46247.741157407407</v>
      </c>
      <c r="U2221" s="55">
        <f t="shared" si="102"/>
        <v>1</v>
      </c>
      <c r="V2221" s="55">
        <f t="shared" si="103"/>
        <v>0</v>
      </c>
      <c r="W2221" s="56">
        <f t="shared" si="104"/>
        <v>3135.6666666666665</v>
      </c>
    </row>
    <row r="2222" spans="1:23" x14ac:dyDescent="0.3">
      <c r="A2222" s="13" t="str" cm="1">
        <f t="array" ref="A2222:B2222">INDEX(BenchmarkResults!$B$1:$D$35,SUMPRODUCT((T2222&gt;=BenchmarkResults!$F$3:$F$35)*(mongodb_hardware_log!T2222&lt;BenchmarkResults!$G$3:$G$35)*ROW(BenchmarkResults!$F$3:$F$35)),{1,3})</f>
        <v>q6_inactive_customers</v>
      </c>
      <c r="B2222">
        <v>1</v>
      </c>
      <c r="C2222" s="13">
        <v>1</v>
      </c>
      <c r="D2222" s="13">
        <v>0</v>
      </c>
      <c r="E2222" s="13">
        <v>203520</v>
      </c>
      <c r="F2222" s="13">
        <v>182044</v>
      </c>
      <c r="G2222" s="13">
        <v>640</v>
      </c>
      <c r="H2222" s="13">
        <v>2218404</v>
      </c>
      <c r="I2222" s="13">
        <v>10</v>
      </c>
      <c r="J2222" s="13">
        <v>0</v>
      </c>
      <c r="K2222" s="13">
        <v>1216</v>
      </c>
      <c r="L2222" s="13">
        <v>17</v>
      </c>
      <c r="M2222" s="13">
        <v>815</v>
      </c>
      <c r="N2222" s="13">
        <v>291</v>
      </c>
      <c r="O2222" s="13">
        <v>33</v>
      </c>
      <c r="P2222" s="13">
        <v>1</v>
      </c>
      <c r="Q2222" s="13">
        <v>63</v>
      </c>
      <c r="R2222" s="13">
        <v>1</v>
      </c>
      <c r="S2222" s="13">
        <v>2</v>
      </c>
      <c r="T2222" s="23">
        <v>46247.741273148145</v>
      </c>
      <c r="U2222" s="55">
        <f t="shared" si="102"/>
        <v>1</v>
      </c>
      <c r="V2222" s="55">
        <f t="shared" si="103"/>
        <v>0</v>
      </c>
      <c r="W2222" s="56">
        <f t="shared" si="104"/>
        <v>1677</v>
      </c>
    </row>
    <row r="2223" spans="1:23" x14ac:dyDescent="0.3">
      <c r="A2223" s="13" t="str" cm="1">
        <f t="array" ref="A2223:B2223">INDEX(BenchmarkResults!$B$1:$D$35,SUMPRODUCT((T2223&gt;=BenchmarkResults!$F$3:$F$35)*(mongodb_hardware_log!T2223&lt;BenchmarkResults!$G$3:$G$35)*ROW(BenchmarkResults!$F$3:$F$35)),{1,3})</f>
        <v>q6_inactive_customers</v>
      </c>
      <c r="B2223">
        <v>1</v>
      </c>
      <c r="C2223" s="13">
        <v>1</v>
      </c>
      <c r="D2223" s="13">
        <v>0</v>
      </c>
      <c r="E2223" s="13">
        <v>203520</v>
      </c>
      <c r="F2223" s="13">
        <v>170200</v>
      </c>
      <c r="G2223" s="13">
        <v>648</v>
      </c>
      <c r="H2223" s="13">
        <v>2229604</v>
      </c>
      <c r="I2223" s="13">
        <v>0</v>
      </c>
      <c r="J2223" s="13">
        <v>0</v>
      </c>
      <c r="K2223" s="13">
        <v>1117</v>
      </c>
      <c r="L2223" s="13">
        <v>16</v>
      </c>
      <c r="M2223" s="13">
        <v>744</v>
      </c>
      <c r="N2223" s="13">
        <v>218</v>
      </c>
      <c r="O2223" s="13">
        <v>34</v>
      </c>
      <c r="P2223" s="13">
        <v>1</v>
      </c>
      <c r="Q2223" s="13">
        <v>63</v>
      </c>
      <c r="R2223" s="13">
        <v>1</v>
      </c>
      <c r="S2223" s="13">
        <v>1</v>
      </c>
      <c r="T2223" s="23">
        <v>46247.741388888891</v>
      </c>
      <c r="U2223" s="55">
        <f t="shared" si="102"/>
        <v>1</v>
      </c>
      <c r="V2223" s="55">
        <f t="shared" si="103"/>
        <v>0</v>
      </c>
      <c r="W2223" s="56">
        <f t="shared" si="104"/>
        <v>1129.6666666666667</v>
      </c>
    </row>
    <row r="2224" spans="1:23" x14ac:dyDescent="0.3">
      <c r="A2224" s="13" t="str" cm="1">
        <f t="array" ref="A2224:B2224">INDEX(BenchmarkResults!$B$1:$D$35,SUMPRODUCT((T2224&gt;=BenchmarkResults!$F$3:$F$35)*(mongodb_hardware_log!T2224&lt;BenchmarkResults!$G$3:$G$35)*ROW(BenchmarkResults!$F$3:$F$35)),{1,3})</f>
        <v>q6_inactive_customers</v>
      </c>
      <c r="B2224">
        <v>1</v>
      </c>
      <c r="C2224" s="13">
        <v>2</v>
      </c>
      <c r="D2224" s="13">
        <v>0</v>
      </c>
      <c r="E2224" s="13">
        <v>203520</v>
      </c>
      <c r="F2224" s="13">
        <v>132884</v>
      </c>
      <c r="G2224" s="13">
        <v>652</v>
      </c>
      <c r="H2224" s="13">
        <v>1623952</v>
      </c>
      <c r="I2224" s="13">
        <v>0</v>
      </c>
      <c r="J2224" s="13">
        <v>0</v>
      </c>
      <c r="K2224" s="13">
        <v>460</v>
      </c>
      <c r="L2224" s="13">
        <v>14</v>
      </c>
      <c r="M2224" s="13">
        <v>876</v>
      </c>
      <c r="N2224" s="13">
        <v>301</v>
      </c>
      <c r="O2224" s="13">
        <v>35</v>
      </c>
      <c r="P2224" s="13">
        <v>5</v>
      </c>
      <c r="Q2224" s="13">
        <v>57</v>
      </c>
      <c r="R2224" s="13">
        <v>1</v>
      </c>
      <c r="S2224" s="13">
        <v>1</v>
      </c>
      <c r="T2224" s="23">
        <v>46247.74150462963</v>
      </c>
      <c r="U2224" s="55">
        <f t="shared" si="102"/>
        <v>1.1666666666666667</v>
      </c>
      <c r="V2224" s="55">
        <f t="shared" si="103"/>
        <v>0</v>
      </c>
      <c r="W2224" s="56">
        <f t="shared" si="104"/>
        <v>1001.6666666666666</v>
      </c>
    </row>
    <row r="2225" spans="1:23" x14ac:dyDescent="0.3">
      <c r="A2225" s="13" t="str" cm="1">
        <f t="array" ref="A2225:B2225">INDEX(BenchmarkResults!$B$1:$D$35,SUMPRODUCT((T2225&gt;=BenchmarkResults!$F$3:$F$35)*(mongodb_hardware_log!T2225&lt;BenchmarkResults!$G$3:$G$35)*ROW(BenchmarkResults!$F$3:$F$35)),{1,3})</f>
        <v>q6_inactive_customers</v>
      </c>
      <c r="B2225">
        <v>1</v>
      </c>
      <c r="C2225" s="13">
        <v>1</v>
      </c>
      <c r="D2225" s="13">
        <v>0</v>
      </c>
      <c r="E2225" s="13">
        <v>203520</v>
      </c>
      <c r="F2225" s="13">
        <v>761932</v>
      </c>
      <c r="G2225" s="13">
        <v>660</v>
      </c>
      <c r="H2225" s="13">
        <v>1619676</v>
      </c>
      <c r="I2225" s="13">
        <v>0</v>
      </c>
      <c r="J2225" s="13">
        <v>0</v>
      </c>
      <c r="K2225" s="13">
        <v>1120</v>
      </c>
      <c r="L2225" s="13">
        <v>12</v>
      </c>
      <c r="M2225" s="13">
        <v>872</v>
      </c>
      <c r="N2225" s="13">
        <v>341</v>
      </c>
      <c r="O2225" s="13">
        <v>34</v>
      </c>
      <c r="P2225" s="13">
        <v>6</v>
      </c>
      <c r="Q2225" s="13">
        <v>58</v>
      </c>
      <c r="R2225" s="13">
        <v>1</v>
      </c>
      <c r="S2225" s="13">
        <v>1</v>
      </c>
      <c r="T2225" s="23">
        <v>46247.741620370369</v>
      </c>
      <c r="U2225" s="55">
        <f t="shared" si="102"/>
        <v>1.1666666666666667</v>
      </c>
      <c r="V2225" s="55">
        <f t="shared" si="103"/>
        <v>0</v>
      </c>
      <c r="W2225" s="56">
        <f t="shared" si="104"/>
        <v>1011.3333333333334</v>
      </c>
    </row>
    <row r="2226" spans="1:23" x14ac:dyDescent="0.3">
      <c r="A2226" s="13" t="str" cm="1">
        <f t="array" ref="A2226:B2226">INDEX(BenchmarkResults!$B$1:$D$35,SUMPRODUCT((T2226&gt;=BenchmarkResults!$F$3:$F$35)*(mongodb_hardware_log!T2226&lt;BenchmarkResults!$G$3:$G$35)*ROW(BenchmarkResults!$F$3:$F$35)),{1,3})</f>
        <v>q6_inactive_customers</v>
      </c>
      <c r="B2226">
        <v>1</v>
      </c>
      <c r="C2226" s="13">
        <v>1</v>
      </c>
      <c r="D2226" s="13">
        <v>0</v>
      </c>
      <c r="E2226" s="13">
        <v>203520</v>
      </c>
      <c r="F2226" s="13">
        <v>753112</v>
      </c>
      <c r="G2226" s="13">
        <v>676</v>
      </c>
      <c r="H2226" s="13">
        <v>1627780</v>
      </c>
      <c r="I2226" s="13">
        <v>0</v>
      </c>
      <c r="J2226" s="13">
        <v>0</v>
      </c>
      <c r="K2226" s="13">
        <v>810</v>
      </c>
      <c r="L2226" s="13">
        <v>24</v>
      </c>
      <c r="M2226" s="13">
        <v>771</v>
      </c>
      <c r="N2226" s="13">
        <v>220</v>
      </c>
      <c r="O2226" s="13">
        <v>32</v>
      </c>
      <c r="P2226" s="13">
        <v>1</v>
      </c>
      <c r="Q2226" s="13">
        <v>63</v>
      </c>
      <c r="R2226" s="13">
        <v>1</v>
      </c>
      <c r="S2226" s="13">
        <v>3</v>
      </c>
      <c r="T2226" s="23">
        <v>46247.741736111115</v>
      </c>
      <c r="U2226" s="55">
        <f t="shared" si="102"/>
        <v>1.1666666666666667</v>
      </c>
      <c r="V2226" s="55">
        <f t="shared" si="103"/>
        <v>0</v>
      </c>
      <c r="W2226" s="56">
        <f t="shared" si="104"/>
        <v>969.5</v>
      </c>
    </row>
    <row r="2227" spans="1:23" x14ac:dyDescent="0.3">
      <c r="A2227" s="13" t="str" cm="1">
        <f t="array" ref="A2227:B2227">INDEX(BenchmarkResults!$B$1:$D$35,SUMPRODUCT((T2227&gt;=BenchmarkResults!$F$3:$F$35)*(mongodb_hardware_log!T2227&lt;BenchmarkResults!$G$3:$G$35)*ROW(BenchmarkResults!$F$3:$F$35)),{1,3})</f>
        <v>q6_inactive_customers</v>
      </c>
      <c r="B2227">
        <v>1</v>
      </c>
      <c r="C2227" s="13">
        <v>1</v>
      </c>
      <c r="D2227" s="13">
        <v>0</v>
      </c>
      <c r="E2227" s="13">
        <v>203520</v>
      </c>
      <c r="F2227" s="13">
        <v>747612</v>
      </c>
      <c r="G2227" s="13">
        <v>716</v>
      </c>
      <c r="H2227" s="13">
        <v>1635820</v>
      </c>
      <c r="I2227" s="13">
        <v>1</v>
      </c>
      <c r="J2227" s="13">
        <v>0</v>
      </c>
      <c r="K2227" s="13">
        <v>800</v>
      </c>
      <c r="L2227" s="13">
        <v>1604</v>
      </c>
      <c r="M2227" s="13">
        <v>772</v>
      </c>
      <c r="N2227" s="13">
        <v>249</v>
      </c>
      <c r="O2227" s="13">
        <v>33</v>
      </c>
      <c r="P2227" s="13">
        <v>1</v>
      </c>
      <c r="Q2227" s="13">
        <v>60</v>
      </c>
      <c r="R2227" s="13">
        <v>3</v>
      </c>
      <c r="S2227" s="13">
        <v>2</v>
      </c>
      <c r="T2227" s="23">
        <v>46247.741851851853</v>
      </c>
      <c r="U2227" s="55">
        <f t="shared" si="102"/>
        <v>1.1666666666666667</v>
      </c>
      <c r="V2227" s="55">
        <f t="shared" si="103"/>
        <v>0</v>
      </c>
      <c r="W2227" s="56">
        <f t="shared" si="104"/>
        <v>920.5</v>
      </c>
    </row>
    <row r="2228" spans="1:23" x14ac:dyDescent="0.3">
      <c r="A2228" s="13" t="str" cm="1">
        <f t="array" ref="A2228:B2228">INDEX(BenchmarkResults!$B$1:$D$35,SUMPRODUCT((T2228&gt;=BenchmarkResults!$F$3:$F$35)*(mongodb_hardware_log!T2228&lt;BenchmarkResults!$G$3:$G$35)*ROW(BenchmarkResults!$F$3:$F$35)),{1,3})</f>
        <v>q6_inactive_customers</v>
      </c>
      <c r="B2228">
        <v>1</v>
      </c>
      <c r="C2228" s="13">
        <v>1</v>
      </c>
      <c r="D2228" s="13">
        <v>0</v>
      </c>
      <c r="E2228" s="13">
        <v>203520</v>
      </c>
      <c r="F2228" s="13">
        <v>737280</v>
      </c>
      <c r="G2228" s="13">
        <v>724</v>
      </c>
      <c r="H2228" s="13">
        <v>1645796</v>
      </c>
      <c r="I2228" s="13">
        <v>1</v>
      </c>
      <c r="J2228" s="13">
        <v>0</v>
      </c>
      <c r="K2228" s="13">
        <v>1002</v>
      </c>
      <c r="L2228" s="13">
        <v>12</v>
      </c>
      <c r="M2228" s="13">
        <v>731</v>
      </c>
      <c r="N2228" s="13">
        <v>217</v>
      </c>
      <c r="O2228" s="13">
        <v>33</v>
      </c>
      <c r="P2228" s="13">
        <v>1</v>
      </c>
      <c r="Q2228" s="13">
        <v>64</v>
      </c>
      <c r="R2228" s="13">
        <v>1</v>
      </c>
      <c r="S2228" s="13">
        <v>1</v>
      </c>
      <c r="T2228" s="23">
        <v>46247.741967592592</v>
      </c>
      <c r="U2228" s="55">
        <f t="shared" si="102"/>
        <v>1.1666666666666667</v>
      </c>
      <c r="V2228" s="55">
        <f t="shared" si="103"/>
        <v>0</v>
      </c>
      <c r="W2228" s="56">
        <f t="shared" si="104"/>
        <v>884.83333333333337</v>
      </c>
    </row>
    <row r="2229" spans="1:23" x14ac:dyDescent="0.3">
      <c r="A2229" s="13" t="str" cm="1">
        <f t="array" ref="A2229:B2229">INDEX(BenchmarkResults!$B$1:$D$35,SUMPRODUCT((T2229&gt;=BenchmarkResults!$F$3:$F$35)*(mongodb_hardware_log!T2229&lt;BenchmarkResults!$G$3:$G$35)*ROW(BenchmarkResults!$F$3:$F$35)),{1,3})</f>
        <v>q6_inactive_customers</v>
      </c>
      <c r="B2229">
        <v>1</v>
      </c>
      <c r="C2229" s="13">
        <v>1</v>
      </c>
      <c r="D2229" s="13">
        <v>0</v>
      </c>
      <c r="E2229" s="13">
        <v>203520</v>
      </c>
      <c r="F2229" s="13">
        <v>727200</v>
      </c>
      <c r="G2229" s="13">
        <v>732</v>
      </c>
      <c r="H2229" s="13">
        <v>1655424</v>
      </c>
      <c r="I2229" s="13">
        <v>0</v>
      </c>
      <c r="J2229" s="13">
        <v>0</v>
      </c>
      <c r="K2229" s="13">
        <v>960</v>
      </c>
      <c r="L2229" s="13">
        <v>17</v>
      </c>
      <c r="M2229" s="13">
        <v>726</v>
      </c>
      <c r="N2229" s="13">
        <v>220</v>
      </c>
      <c r="O2229" s="13">
        <v>33</v>
      </c>
      <c r="P2229" s="13">
        <v>1</v>
      </c>
      <c r="Q2229" s="13">
        <v>65</v>
      </c>
      <c r="R2229" s="13">
        <v>1</v>
      </c>
      <c r="S2229" s="13">
        <v>1</v>
      </c>
      <c r="T2229" s="23">
        <v>46247.742083333331</v>
      </c>
      <c r="U2229" s="55">
        <f t="shared" si="102"/>
        <v>1.1666666666666667</v>
      </c>
      <c r="V2229" s="55">
        <f t="shared" si="103"/>
        <v>0</v>
      </c>
      <c r="W2229" s="56">
        <f t="shared" si="104"/>
        <v>858.66666666666663</v>
      </c>
    </row>
    <row r="2230" spans="1:23" x14ac:dyDescent="0.3">
      <c r="A2230" s="13" t="str" cm="1">
        <f t="array" ref="A2230:B2230">INDEX(BenchmarkResults!$B$1:$D$35,SUMPRODUCT((T2230&gt;=BenchmarkResults!$F$3:$F$35)*(mongodb_hardware_log!T2230&lt;BenchmarkResults!$G$3:$G$35)*ROW(BenchmarkResults!$F$3:$F$35)),{1,3})</f>
        <v>q6_inactive_customers</v>
      </c>
      <c r="B2230">
        <v>1</v>
      </c>
      <c r="C2230" s="13">
        <v>1</v>
      </c>
      <c r="D2230" s="13">
        <v>0</v>
      </c>
      <c r="E2230" s="13">
        <v>203520</v>
      </c>
      <c r="F2230" s="13">
        <v>706536</v>
      </c>
      <c r="G2230" s="13">
        <v>740</v>
      </c>
      <c r="H2230" s="13">
        <v>1673848</v>
      </c>
      <c r="I2230" s="13">
        <v>0</v>
      </c>
      <c r="J2230" s="13">
        <v>0</v>
      </c>
      <c r="K2230" s="13">
        <v>736</v>
      </c>
      <c r="L2230" s="13">
        <v>29</v>
      </c>
      <c r="M2230" s="13">
        <v>696</v>
      </c>
      <c r="N2230" s="13">
        <v>188</v>
      </c>
      <c r="O2230" s="13">
        <v>33</v>
      </c>
      <c r="P2230" s="13">
        <v>1</v>
      </c>
      <c r="Q2230" s="13">
        <v>64</v>
      </c>
      <c r="R2230" s="13">
        <v>1</v>
      </c>
      <c r="S2230" s="13">
        <v>1</v>
      </c>
      <c r="T2230" s="23">
        <v>46247.742199074077</v>
      </c>
      <c r="U2230" s="55">
        <f t="shared" si="102"/>
        <v>1</v>
      </c>
      <c r="V2230" s="55">
        <f t="shared" si="103"/>
        <v>0</v>
      </c>
      <c r="W2230" s="56">
        <f t="shared" si="104"/>
        <v>904.66666666666663</v>
      </c>
    </row>
    <row r="2231" spans="1:23" x14ac:dyDescent="0.3">
      <c r="A2231" s="13" t="str" cm="1">
        <f t="array" ref="A2231:B2231">INDEX(BenchmarkResults!$B$1:$D$35,SUMPRODUCT((T2231&gt;=BenchmarkResults!$F$3:$F$35)*(mongodb_hardware_log!T2231&lt;BenchmarkResults!$G$3:$G$35)*ROW(BenchmarkResults!$F$3:$F$35)),{1,3})</f>
        <v>q6_inactive_customers</v>
      </c>
      <c r="B2231">
        <v>1</v>
      </c>
      <c r="C2231" s="13">
        <v>2</v>
      </c>
      <c r="D2231" s="13">
        <v>0</v>
      </c>
      <c r="E2231" s="13">
        <v>203520</v>
      </c>
      <c r="F2231" s="13">
        <v>696204</v>
      </c>
      <c r="G2231" s="13">
        <v>756</v>
      </c>
      <c r="H2231" s="13">
        <v>1686632</v>
      </c>
      <c r="I2231" s="13">
        <v>0</v>
      </c>
      <c r="J2231" s="13">
        <v>0</v>
      </c>
      <c r="K2231" s="13">
        <v>814</v>
      </c>
      <c r="L2231" s="13">
        <v>1592</v>
      </c>
      <c r="M2231" s="13">
        <v>716</v>
      </c>
      <c r="N2231" s="13">
        <v>202</v>
      </c>
      <c r="O2231" s="13">
        <v>33</v>
      </c>
      <c r="P2231" s="13">
        <v>1</v>
      </c>
      <c r="Q2231" s="13">
        <v>63</v>
      </c>
      <c r="R2231" s="13">
        <v>1</v>
      </c>
      <c r="S2231" s="13">
        <v>1</v>
      </c>
      <c r="T2231" s="23">
        <v>46247.742314814815</v>
      </c>
      <c r="U2231" s="55">
        <f t="shared" si="102"/>
        <v>1.1666666666666667</v>
      </c>
      <c r="V2231" s="55">
        <f t="shared" si="103"/>
        <v>0</v>
      </c>
      <c r="W2231" s="56">
        <f t="shared" si="104"/>
        <v>853.66666666666663</v>
      </c>
    </row>
    <row r="2232" spans="1:23" x14ac:dyDescent="0.3">
      <c r="A2232" s="13" t="str" cm="1">
        <f t="array" ref="A2232:B2232">INDEX(BenchmarkResults!$B$1:$D$35,SUMPRODUCT((T2232&gt;=BenchmarkResults!$F$3:$F$35)*(mongodb_hardware_log!T2232&lt;BenchmarkResults!$G$3:$G$35)*ROW(BenchmarkResults!$F$3:$F$35)),{1,3})</f>
        <v>q6_inactive_customers</v>
      </c>
      <c r="B2232">
        <v>1</v>
      </c>
      <c r="C2232" s="13">
        <v>1</v>
      </c>
      <c r="D2232" s="13">
        <v>0</v>
      </c>
      <c r="E2232" s="13">
        <v>203520</v>
      </c>
      <c r="F2232" s="13">
        <v>685120</v>
      </c>
      <c r="G2232" s="13">
        <v>892</v>
      </c>
      <c r="H2232" s="13">
        <v>1696680</v>
      </c>
      <c r="I2232" s="13">
        <v>0</v>
      </c>
      <c r="J2232" s="13">
        <v>0</v>
      </c>
      <c r="K2232" s="13">
        <v>1015</v>
      </c>
      <c r="L2232" s="13">
        <v>6</v>
      </c>
      <c r="M2232" s="13">
        <v>759</v>
      </c>
      <c r="N2232" s="13">
        <v>236</v>
      </c>
      <c r="O2232" s="13">
        <v>34</v>
      </c>
      <c r="P2232" s="13">
        <v>1</v>
      </c>
      <c r="Q2232" s="13">
        <v>64</v>
      </c>
      <c r="R2232" s="13">
        <v>1</v>
      </c>
      <c r="S2232" s="13">
        <v>1</v>
      </c>
      <c r="T2232" s="23">
        <v>46247.742430555554</v>
      </c>
      <c r="U2232" s="55">
        <f t="shared" si="102"/>
        <v>1.1666666666666667</v>
      </c>
      <c r="V2232" s="55">
        <f t="shared" si="103"/>
        <v>0</v>
      </c>
      <c r="W2232" s="56">
        <f t="shared" si="104"/>
        <v>887.83333333333337</v>
      </c>
    </row>
    <row r="2233" spans="1:23" x14ac:dyDescent="0.3">
      <c r="A2233" s="13" t="str" cm="1">
        <f t="array" ref="A2233:B2233">INDEX(BenchmarkResults!$B$1:$D$35,SUMPRODUCT((T2233&gt;=BenchmarkResults!$F$3:$F$35)*(mongodb_hardware_log!T2233&lt;BenchmarkResults!$G$3:$G$35)*ROW(BenchmarkResults!$F$3:$F$35)),{1,3})</f>
        <v>q6_inactive_customers</v>
      </c>
      <c r="B2233">
        <v>1</v>
      </c>
      <c r="C2233" s="13">
        <v>1</v>
      </c>
      <c r="D2233" s="13">
        <v>0</v>
      </c>
      <c r="E2233" s="13">
        <v>203520</v>
      </c>
      <c r="F2233" s="13">
        <v>670252</v>
      </c>
      <c r="G2233" s="13">
        <v>948</v>
      </c>
      <c r="H2233" s="13">
        <v>1711240</v>
      </c>
      <c r="I2233" s="13">
        <v>4</v>
      </c>
      <c r="J2233" s="13">
        <v>0</v>
      </c>
      <c r="K2233" s="13">
        <v>1454</v>
      </c>
      <c r="L2233" s="13">
        <v>35</v>
      </c>
      <c r="M2233" s="13">
        <v>769</v>
      </c>
      <c r="N2233" s="13">
        <v>264</v>
      </c>
      <c r="O2233" s="13">
        <v>33</v>
      </c>
      <c r="P2233" s="13">
        <v>1</v>
      </c>
      <c r="Q2233" s="13">
        <v>64</v>
      </c>
      <c r="R2233" s="13">
        <v>1</v>
      </c>
      <c r="S2233" s="13">
        <v>1</v>
      </c>
      <c r="T2233" s="23">
        <v>46247.742546296293</v>
      </c>
      <c r="U2233" s="55">
        <f t="shared" si="102"/>
        <v>1.1666666666666667</v>
      </c>
      <c r="V2233" s="55">
        <f t="shared" si="103"/>
        <v>0</v>
      </c>
      <c r="W2233" s="56">
        <f t="shared" si="104"/>
        <v>996.83333333333337</v>
      </c>
    </row>
    <row r="2234" spans="1:23" x14ac:dyDescent="0.3">
      <c r="A2234" s="13" t="str" cm="1">
        <f t="array" ref="A2234:B2234">INDEX(BenchmarkResults!$B$1:$D$35,SUMPRODUCT((T2234&gt;=BenchmarkResults!$F$3:$F$35)*(mongodb_hardware_log!T2234&lt;BenchmarkResults!$G$3:$G$35)*ROW(BenchmarkResults!$F$3:$F$35)),{1,3})</f>
        <v>q6_inactive_customers</v>
      </c>
      <c r="B2234">
        <v>1</v>
      </c>
      <c r="C2234" s="13">
        <v>1</v>
      </c>
      <c r="D2234" s="13">
        <v>0</v>
      </c>
      <c r="E2234" s="13">
        <v>203520</v>
      </c>
      <c r="F2234" s="13">
        <v>662652</v>
      </c>
      <c r="G2234" s="13">
        <v>956</v>
      </c>
      <c r="H2234" s="13">
        <v>1726196</v>
      </c>
      <c r="I2234" s="13">
        <v>0</v>
      </c>
      <c r="J2234" s="13">
        <v>0</v>
      </c>
      <c r="K2234" s="13">
        <v>1493</v>
      </c>
      <c r="L2234" s="13">
        <v>20</v>
      </c>
      <c r="M2234" s="13">
        <v>758</v>
      </c>
      <c r="N2234" s="13">
        <v>248</v>
      </c>
      <c r="O2234" s="13">
        <v>33</v>
      </c>
      <c r="P2234" s="13">
        <v>1</v>
      </c>
      <c r="Q2234" s="13">
        <v>65</v>
      </c>
      <c r="R2234" s="13">
        <v>0</v>
      </c>
      <c r="S2234" s="13">
        <v>1</v>
      </c>
      <c r="T2234" s="23">
        <v>46247.742662037039</v>
      </c>
      <c r="U2234" s="55">
        <f t="shared" si="102"/>
        <v>1.1666666666666667</v>
      </c>
      <c r="V2234" s="55">
        <f t="shared" si="103"/>
        <v>0</v>
      </c>
      <c r="W2234" s="56">
        <f t="shared" si="104"/>
        <v>1078.6666666666667</v>
      </c>
    </row>
    <row r="2235" spans="1:23" x14ac:dyDescent="0.3">
      <c r="A2235" s="13" t="str" cm="1">
        <f t="array" ref="A2235:B2235">INDEX(BenchmarkResults!$B$1:$D$35,SUMPRODUCT((T2235&gt;=BenchmarkResults!$F$3:$F$35)*(mongodb_hardware_log!T2235&lt;BenchmarkResults!$G$3:$G$35)*ROW(BenchmarkResults!$F$3:$F$35)),{1,3})</f>
        <v>q6_inactive_customers</v>
      </c>
      <c r="B2235">
        <v>1</v>
      </c>
      <c r="C2235" s="13">
        <v>1</v>
      </c>
      <c r="D2235" s="13">
        <v>0</v>
      </c>
      <c r="E2235" s="13">
        <v>203520</v>
      </c>
      <c r="F2235" s="13">
        <v>678556</v>
      </c>
      <c r="G2235" s="13">
        <v>972</v>
      </c>
      <c r="H2235" s="13">
        <v>1739032</v>
      </c>
      <c r="I2235" s="13">
        <v>0</v>
      </c>
      <c r="J2235" s="13">
        <v>0</v>
      </c>
      <c r="K2235" s="13">
        <v>1288</v>
      </c>
      <c r="L2235" s="13">
        <v>29</v>
      </c>
      <c r="M2235" s="13">
        <v>791</v>
      </c>
      <c r="N2235" s="13">
        <v>287</v>
      </c>
      <c r="O2235" s="13">
        <v>33</v>
      </c>
      <c r="P2235" s="13">
        <v>1</v>
      </c>
      <c r="Q2235" s="13">
        <v>64</v>
      </c>
      <c r="R2235" s="13">
        <v>1</v>
      </c>
      <c r="S2235" s="13">
        <v>1</v>
      </c>
      <c r="T2235" s="23">
        <v>46247.742777777778</v>
      </c>
      <c r="U2235" s="55">
        <f t="shared" si="102"/>
        <v>1.1666666666666667</v>
      </c>
      <c r="V2235" s="55">
        <f t="shared" si="103"/>
        <v>0</v>
      </c>
      <c r="W2235" s="56">
        <f t="shared" si="104"/>
        <v>1133.3333333333333</v>
      </c>
    </row>
    <row r="2236" spans="1:23" x14ac:dyDescent="0.3">
      <c r="A2236" s="13" t="str" cm="1">
        <f t="array" ref="A2236:B2236">INDEX(BenchmarkResults!$B$1:$D$35,SUMPRODUCT((T2236&gt;=BenchmarkResults!$F$3:$F$35)*(mongodb_hardware_log!T2236&lt;BenchmarkResults!$G$3:$G$35)*ROW(BenchmarkResults!$F$3:$F$35)),{1,3})</f>
        <v>q6_inactive_customers</v>
      </c>
      <c r="B2236">
        <v>1</v>
      </c>
      <c r="C2236" s="13">
        <v>1</v>
      </c>
      <c r="D2236" s="13">
        <v>0</v>
      </c>
      <c r="E2236" s="13">
        <v>203520</v>
      </c>
      <c r="F2236" s="13">
        <v>662428</v>
      </c>
      <c r="G2236" s="13">
        <v>980</v>
      </c>
      <c r="H2236" s="13">
        <v>1761532</v>
      </c>
      <c r="I2236" s="13">
        <v>0</v>
      </c>
      <c r="J2236" s="13">
        <v>0</v>
      </c>
      <c r="K2236" s="13">
        <v>1202</v>
      </c>
      <c r="L2236" s="13">
        <v>5</v>
      </c>
      <c r="M2236" s="13">
        <v>702</v>
      </c>
      <c r="N2236" s="13">
        <v>194</v>
      </c>
      <c r="O2236" s="13">
        <v>33</v>
      </c>
      <c r="P2236" s="13">
        <v>1</v>
      </c>
      <c r="Q2236" s="13">
        <v>65</v>
      </c>
      <c r="R2236" s="13">
        <v>0</v>
      </c>
      <c r="S2236" s="13">
        <v>0</v>
      </c>
      <c r="T2236" s="23">
        <v>46247.742893518516</v>
      </c>
      <c r="U2236" s="55">
        <f t="shared" si="102"/>
        <v>1.1666666666666667</v>
      </c>
      <c r="V2236" s="55">
        <f t="shared" si="103"/>
        <v>0</v>
      </c>
      <c r="W2236" s="56">
        <f t="shared" si="104"/>
        <v>1211</v>
      </c>
    </row>
    <row r="2237" spans="1:23" x14ac:dyDescent="0.3">
      <c r="A2237" s="13" t="str" cm="1">
        <f t="array" ref="A2237:B2237">INDEX(BenchmarkResults!$B$1:$D$35,SUMPRODUCT((T2237&gt;=BenchmarkResults!$F$3:$F$35)*(mongodb_hardware_log!T2237&lt;BenchmarkResults!$G$3:$G$35)*ROW(BenchmarkResults!$F$3:$F$35)),{1,3})</f>
        <v>q6_inactive_customers</v>
      </c>
      <c r="B2237">
        <v>1</v>
      </c>
      <c r="C2237" s="13">
        <v>1</v>
      </c>
      <c r="D2237" s="13">
        <v>0</v>
      </c>
      <c r="E2237" s="13">
        <v>203520</v>
      </c>
      <c r="F2237" s="13">
        <v>644284</v>
      </c>
      <c r="G2237" s="13">
        <v>988</v>
      </c>
      <c r="H2237" s="13">
        <v>1779956</v>
      </c>
      <c r="I2237" s="13">
        <v>0</v>
      </c>
      <c r="J2237" s="13">
        <v>0</v>
      </c>
      <c r="K2237" s="13">
        <v>1293</v>
      </c>
      <c r="L2237" s="13">
        <v>8</v>
      </c>
      <c r="M2237" s="13">
        <v>722</v>
      </c>
      <c r="N2237" s="13">
        <v>206</v>
      </c>
      <c r="O2237" s="13">
        <v>33</v>
      </c>
      <c r="P2237" s="13">
        <v>1</v>
      </c>
      <c r="Q2237" s="13">
        <v>65</v>
      </c>
      <c r="R2237" s="13">
        <v>1</v>
      </c>
      <c r="S2237" s="13">
        <v>1</v>
      </c>
      <c r="T2237" s="23">
        <v>46247.743009259262</v>
      </c>
      <c r="U2237" s="55">
        <f t="shared" si="102"/>
        <v>1</v>
      </c>
      <c r="V2237" s="55">
        <f t="shared" si="103"/>
        <v>0</v>
      </c>
      <c r="W2237" s="56">
        <f t="shared" si="104"/>
        <v>1290.8333333333333</v>
      </c>
    </row>
    <row r="2238" spans="1:23" x14ac:dyDescent="0.3">
      <c r="A2238" s="13" t="str" cm="1">
        <f t="array" ref="A2238:B2238">INDEX(BenchmarkResults!$B$1:$D$35,SUMPRODUCT((T2238&gt;=BenchmarkResults!$F$3:$F$35)*(mongodb_hardware_log!T2238&lt;BenchmarkResults!$G$3:$G$35)*ROW(BenchmarkResults!$F$3:$F$35)),{1,3})</f>
        <v>q6_inactive_customers</v>
      </c>
      <c r="B2238">
        <v>1</v>
      </c>
      <c r="C2238" s="13">
        <v>1</v>
      </c>
      <c r="D2238" s="13">
        <v>0</v>
      </c>
      <c r="E2238" s="13">
        <v>203520</v>
      </c>
      <c r="F2238" s="13">
        <v>631964</v>
      </c>
      <c r="G2238" s="13">
        <v>996</v>
      </c>
      <c r="H2238" s="13">
        <v>1792400</v>
      </c>
      <c r="I2238" s="13">
        <v>0</v>
      </c>
      <c r="J2238" s="13">
        <v>0</v>
      </c>
      <c r="K2238" s="13">
        <v>1244</v>
      </c>
      <c r="L2238" s="13">
        <v>10</v>
      </c>
      <c r="M2238" s="13">
        <v>754</v>
      </c>
      <c r="N2238" s="13">
        <v>210</v>
      </c>
      <c r="O2238" s="13">
        <v>32</v>
      </c>
      <c r="P2238" s="13">
        <v>1</v>
      </c>
      <c r="Q2238" s="13">
        <v>63</v>
      </c>
      <c r="R2238" s="13">
        <v>0</v>
      </c>
      <c r="S2238" s="13">
        <v>3</v>
      </c>
      <c r="T2238" s="23">
        <v>46247.743125000001</v>
      </c>
      <c r="U2238" s="55">
        <f t="shared" si="102"/>
        <v>1</v>
      </c>
      <c r="V2238" s="55">
        <f t="shared" si="103"/>
        <v>0</v>
      </c>
      <c r="W2238" s="56">
        <f t="shared" si="104"/>
        <v>1329</v>
      </c>
    </row>
    <row r="2239" spans="1:23" x14ac:dyDescent="0.3">
      <c r="A2239" s="13" t="str" cm="1">
        <f t="array" ref="A2239:B2239">INDEX(BenchmarkResults!$B$1:$D$35,SUMPRODUCT((T2239&gt;=BenchmarkResults!$F$3:$F$35)*(mongodb_hardware_log!T2239&lt;BenchmarkResults!$G$3:$G$35)*ROW(BenchmarkResults!$F$3:$F$35)),{1,3})</f>
        <v>q6_inactive_customers</v>
      </c>
      <c r="B2239">
        <v>1</v>
      </c>
      <c r="C2239" s="13">
        <v>1</v>
      </c>
      <c r="D2239" s="13">
        <v>0</v>
      </c>
      <c r="E2239" s="13">
        <v>203520</v>
      </c>
      <c r="F2239" s="13">
        <v>615080</v>
      </c>
      <c r="G2239" s="13">
        <v>1020</v>
      </c>
      <c r="H2239" s="13">
        <v>1808124</v>
      </c>
      <c r="I2239" s="13">
        <v>1</v>
      </c>
      <c r="J2239" s="13">
        <v>0</v>
      </c>
      <c r="K2239" s="13">
        <v>1574</v>
      </c>
      <c r="L2239" s="13">
        <v>23</v>
      </c>
      <c r="M2239" s="13">
        <v>738</v>
      </c>
      <c r="N2239" s="13">
        <v>213</v>
      </c>
      <c r="O2239" s="13">
        <v>33</v>
      </c>
      <c r="P2239" s="13">
        <v>1</v>
      </c>
      <c r="Q2239" s="13">
        <v>64</v>
      </c>
      <c r="R2239" s="13">
        <v>1</v>
      </c>
      <c r="S2239" s="13">
        <v>1</v>
      </c>
      <c r="T2239" s="23">
        <v>46247.74324074074</v>
      </c>
      <c r="U2239" s="55">
        <f t="shared" si="102"/>
        <v>1</v>
      </c>
      <c r="V2239" s="55">
        <f t="shared" si="103"/>
        <v>0</v>
      </c>
      <c r="W2239" s="56">
        <f t="shared" si="104"/>
        <v>1349</v>
      </c>
    </row>
    <row r="2240" spans="1:23" x14ac:dyDescent="0.3">
      <c r="A2240" s="13" t="str" cm="1">
        <f t="array" ref="A2240:B2240">INDEX(BenchmarkResults!$B$1:$D$35,SUMPRODUCT((T2240&gt;=BenchmarkResults!$F$3:$F$35)*(mongodb_hardware_log!T2240&lt;BenchmarkResults!$G$3:$G$35)*ROW(BenchmarkResults!$F$3:$F$35)),{1,3})</f>
        <v>q6_inactive_customers</v>
      </c>
      <c r="B2240">
        <v>1</v>
      </c>
      <c r="C2240" s="13">
        <v>1</v>
      </c>
      <c r="D2240" s="13">
        <v>0</v>
      </c>
      <c r="E2240" s="13">
        <v>203520</v>
      </c>
      <c r="F2240" s="13">
        <v>599708</v>
      </c>
      <c r="G2240" s="13">
        <v>1092</v>
      </c>
      <c r="H2240" s="13">
        <v>1823856</v>
      </c>
      <c r="I2240" s="13">
        <v>4</v>
      </c>
      <c r="J2240" s="13">
        <v>0</v>
      </c>
      <c r="K2240" s="13">
        <v>1585</v>
      </c>
      <c r="L2240" s="13">
        <v>1580</v>
      </c>
      <c r="M2240" s="13">
        <v>742</v>
      </c>
      <c r="N2240" s="13">
        <v>224</v>
      </c>
      <c r="O2240" s="13">
        <v>33</v>
      </c>
      <c r="P2240" s="13">
        <v>2</v>
      </c>
      <c r="Q2240" s="13">
        <v>63</v>
      </c>
      <c r="R2240" s="13">
        <v>2</v>
      </c>
      <c r="S2240" s="13">
        <v>1</v>
      </c>
      <c r="T2240" s="23">
        <v>46247.743356481478</v>
      </c>
      <c r="U2240" s="55">
        <f t="shared" si="102"/>
        <v>1</v>
      </c>
      <c r="V2240" s="55">
        <f t="shared" si="103"/>
        <v>0</v>
      </c>
      <c r="W2240" s="56">
        <f t="shared" si="104"/>
        <v>1364.3333333333333</v>
      </c>
    </row>
    <row r="2241" spans="1:23" x14ac:dyDescent="0.3">
      <c r="A2241" s="13" t="str" cm="1">
        <f t="array" ref="A2241:B2241">INDEX(BenchmarkResults!$B$1:$D$35,SUMPRODUCT((T2241&gt;=BenchmarkResults!$F$3:$F$35)*(mongodb_hardware_log!T2241&lt;BenchmarkResults!$G$3:$G$35)*ROW(BenchmarkResults!$F$3:$F$35)),{1,3})</f>
        <v>q6_inactive_customers</v>
      </c>
      <c r="B2241">
        <v>1</v>
      </c>
      <c r="C2241" s="13">
        <v>1</v>
      </c>
      <c r="D2241" s="13">
        <v>0</v>
      </c>
      <c r="E2241" s="13">
        <v>203520</v>
      </c>
      <c r="F2241" s="13">
        <v>583580</v>
      </c>
      <c r="G2241" s="13">
        <v>1100</v>
      </c>
      <c r="H2241" s="13">
        <v>1840888</v>
      </c>
      <c r="I2241" s="13">
        <v>0</v>
      </c>
      <c r="J2241" s="13">
        <v>0</v>
      </c>
      <c r="K2241" s="13">
        <v>1699</v>
      </c>
      <c r="L2241" s="13">
        <v>6</v>
      </c>
      <c r="M2241" s="13">
        <v>719</v>
      </c>
      <c r="N2241" s="13">
        <v>217</v>
      </c>
      <c r="O2241" s="13">
        <v>33</v>
      </c>
      <c r="P2241" s="13">
        <v>1</v>
      </c>
      <c r="Q2241" s="13">
        <v>65</v>
      </c>
      <c r="R2241" s="13">
        <v>0</v>
      </c>
      <c r="S2241" s="13">
        <v>0</v>
      </c>
      <c r="T2241" s="23">
        <v>46247.743472222224</v>
      </c>
      <c r="U2241" s="55">
        <f t="shared" si="102"/>
        <v>1</v>
      </c>
      <c r="V2241" s="55">
        <f t="shared" si="103"/>
        <v>0</v>
      </c>
      <c r="W2241" s="56">
        <f t="shared" si="104"/>
        <v>1432.8333333333333</v>
      </c>
    </row>
    <row r="2242" spans="1:23" x14ac:dyDescent="0.3">
      <c r="A2242" s="13" t="str" cm="1">
        <f t="array" ref="A2242:B2242">INDEX(BenchmarkResults!$B$1:$D$35,SUMPRODUCT((T2242&gt;=BenchmarkResults!$F$3:$F$35)*(mongodb_hardware_log!T2242&lt;BenchmarkResults!$G$3:$G$35)*ROW(BenchmarkResults!$F$3:$F$35)),{1,3})</f>
        <v>q6_inactive_customers</v>
      </c>
      <c r="B2242">
        <v>1</v>
      </c>
      <c r="C2242" s="13">
        <v>1</v>
      </c>
      <c r="D2242" s="13">
        <v>0</v>
      </c>
      <c r="E2242" s="13">
        <v>203520</v>
      </c>
      <c r="F2242" s="13">
        <v>546288</v>
      </c>
      <c r="G2242" s="13">
        <v>1108</v>
      </c>
      <c r="H2242" s="13">
        <v>1863412</v>
      </c>
      <c r="I2242" s="13">
        <v>0</v>
      </c>
      <c r="J2242" s="13">
        <v>0</v>
      </c>
      <c r="K2242" s="13">
        <v>1241</v>
      </c>
      <c r="L2242" s="13">
        <v>18</v>
      </c>
      <c r="M2242" s="13">
        <v>700</v>
      </c>
      <c r="N2242" s="13">
        <v>189</v>
      </c>
      <c r="O2242" s="13">
        <v>33</v>
      </c>
      <c r="P2242" s="13">
        <v>2</v>
      </c>
      <c r="Q2242" s="13">
        <v>65</v>
      </c>
      <c r="R2242" s="13">
        <v>0</v>
      </c>
      <c r="S2242" s="13">
        <v>0</v>
      </c>
      <c r="T2242" s="23">
        <v>46247.743587962963</v>
      </c>
      <c r="U2242" s="55">
        <f t="shared" si="102"/>
        <v>1</v>
      </c>
      <c r="V2242" s="55">
        <f t="shared" si="103"/>
        <v>0</v>
      </c>
      <c r="W2242" s="56">
        <f t="shared" si="104"/>
        <v>1439.3333333333333</v>
      </c>
    </row>
    <row r="2243" spans="1:23" x14ac:dyDescent="0.3">
      <c r="A2243" s="13" t="str" cm="1">
        <f t="array" ref="A2243:B2243">INDEX(BenchmarkResults!$B$1:$D$35,SUMPRODUCT((T2243&gt;=BenchmarkResults!$F$3:$F$35)*(mongodb_hardware_log!T2243&lt;BenchmarkResults!$G$3:$G$35)*ROW(BenchmarkResults!$F$3:$F$35)),{1,3})</f>
        <v>q6_inactive_customers</v>
      </c>
      <c r="B2243">
        <v>1</v>
      </c>
      <c r="C2243" s="13">
        <v>1</v>
      </c>
      <c r="D2243" s="13">
        <v>0</v>
      </c>
      <c r="E2243" s="13">
        <v>203520</v>
      </c>
      <c r="F2243" s="13">
        <v>527640</v>
      </c>
      <c r="G2243" s="13">
        <v>1124</v>
      </c>
      <c r="H2243" s="13">
        <v>1883772</v>
      </c>
      <c r="I2243" s="13">
        <v>0</v>
      </c>
      <c r="J2243" s="13">
        <v>0</v>
      </c>
      <c r="K2243" s="13">
        <v>1450</v>
      </c>
      <c r="L2243" s="13">
        <v>1597</v>
      </c>
      <c r="M2243" s="13">
        <v>726</v>
      </c>
      <c r="N2243" s="13">
        <v>218</v>
      </c>
      <c r="O2243" s="13">
        <v>33</v>
      </c>
      <c r="P2243" s="13">
        <v>2</v>
      </c>
      <c r="Q2243" s="13">
        <v>63</v>
      </c>
      <c r="R2243" s="13">
        <v>2</v>
      </c>
      <c r="S2243" s="13">
        <v>0</v>
      </c>
      <c r="T2243" s="23">
        <v>46247.743703703702</v>
      </c>
      <c r="U2243" s="55">
        <f t="shared" si="102"/>
        <v>1</v>
      </c>
      <c r="V2243" s="55">
        <f t="shared" si="103"/>
        <v>0</v>
      </c>
      <c r="W2243" s="56">
        <f t="shared" si="104"/>
        <v>1465.5</v>
      </c>
    </row>
    <row r="2244" spans="1:23" x14ac:dyDescent="0.3">
      <c r="A2244" s="13" t="str" cm="1">
        <f t="array" ref="A2244:B2244">INDEX(BenchmarkResults!$B$1:$D$35,SUMPRODUCT((T2244&gt;=BenchmarkResults!$F$3:$F$35)*(mongodb_hardware_log!T2244&lt;BenchmarkResults!$G$3:$G$35)*ROW(BenchmarkResults!$F$3:$F$35)),{1,3})</f>
        <v>q6_inactive_customers</v>
      </c>
      <c r="B2244">
        <v>1</v>
      </c>
      <c r="C2244" s="13">
        <v>1</v>
      </c>
      <c r="D2244" s="13">
        <v>0</v>
      </c>
      <c r="E2244" s="13">
        <v>203520</v>
      </c>
      <c r="F2244" s="13">
        <v>518064</v>
      </c>
      <c r="G2244" s="13">
        <v>1132</v>
      </c>
      <c r="H2244" s="13">
        <v>1897676</v>
      </c>
      <c r="I2244" s="13">
        <v>0</v>
      </c>
      <c r="J2244" s="13">
        <v>0</v>
      </c>
      <c r="K2244" s="13">
        <v>1385</v>
      </c>
      <c r="L2244" s="13">
        <v>6</v>
      </c>
      <c r="M2244" s="13">
        <v>743</v>
      </c>
      <c r="N2244" s="13">
        <v>216</v>
      </c>
      <c r="O2244" s="13">
        <v>33</v>
      </c>
      <c r="P2244" s="13">
        <v>1</v>
      </c>
      <c r="Q2244" s="13">
        <v>65</v>
      </c>
      <c r="R2244" s="13">
        <v>1</v>
      </c>
      <c r="S2244" s="13">
        <v>0</v>
      </c>
      <c r="T2244" s="23">
        <v>46247.743819444448</v>
      </c>
      <c r="U2244" s="55">
        <f t="shared" si="102"/>
        <v>1</v>
      </c>
      <c r="V2244" s="55">
        <f t="shared" si="103"/>
        <v>0</v>
      </c>
      <c r="W2244" s="56">
        <f t="shared" si="104"/>
        <v>1489</v>
      </c>
    </row>
    <row r="2245" spans="1:23" x14ac:dyDescent="0.3">
      <c r="A2245" s="13" t="str" cm="1">
        <f t="array" ref="A2245:B2245">INDEX(BenchmarkResults!$B$1:$D$35,SUMPRODUCT((T2245&gt;=BenchmarkResults!$F$3:$F$35)*(mongodb_hardware_log!T2245&lt;BenchmarkResults!$G$3:$G$35)*ROW(BenchmarkResults!$F$3:$F$35)),{1,3})</f>
        <v>q6_inactive_customers</v>
      </c>
      <c r="B2245">
        <v>1</v>
      </c>
      <c r="C2245" s="13">
        <v>1</v>
      </c>
      <c r="D2245" s="13">
        <v>0</v>
      </c>
      <c r="E2245" s="13">
        <v>203520</v>
      </c>
      <c r="F2245" s="13">
        <v>502188</v>
      </c>
      <c r="G2245" s="13">
        <v>1164</v>
      </c>
      <c r="H2245" s="13">
        <v>1912920</v>
      </c>
      <c r="I2245" s="13">
        <v>1</v>
      </c>
      <c r="J2245" s="13">
        <v>0</v>
      </c>
      <c r="K2245" s="13">
        <v>1528</v>
      </c>
      <c r="L2245" s="13">
        <v>25</v>
      </c>
      <c r="M2245" s="13">
        <v>799</v>
      </c>
      <c r="N2245" s="13">
        <v>304</v>
      </c>
      <c r="O2245" s="13">
        <v>33</v>
      </c>
      <c r="P2245" s="13">
        <v>1</v>
      </c>
      <c r="Q2245" s="13">
        <v>65</v>
      </c>
      <c r="R2245" s="13">
        <v>0</v>
      </c>
      <c r="S2245" s="13">
        <v>0</v>
      </c>
      <c r="T2245" s="23">
        <v>46247.743935185186</v>
      </c>
      <c r="U2245" s="55">
        <f t="shared" si="102"/>
        <v>1</v>
      </c>
      <c r="V2245" s="55">
        <f t="shared" si="103"/>
        <v>0</v>
      </c>
      <c r="W2245" s="56">
        <f t="shared" si="104"/>
        <v>1481.3333333333333</v>
      </c>
    </row>
    <row r="2246" spans="1:23" x14ac:dyDescent="0.3">
      <c r="A2246" s="13" t="str" cm="1">
        <f t="array" ref="A2246:B2246">INDEX(BenchmarkResults!$B$1:$D$35,SUMPRODUCT((T2246&gt;=BenchmarkResults!$F$3:$F$35)*(mongodb_hardware_log!T2246&lt;BenchmarkResults!$G$3:$G$35)*ROW(BenchmarkResults!$F$3:$F$35)),{1,3})</f>
        <v>q6_inactive_customers</v>
      </c>
      <c r="B2246">
        <v>1</v>
      </c>
      <c r="C2246" s="13">
        <v>1</v>
      </c>
      <c r="D2246" s="13">
        <v>0</v>
      </c>
      <c r="E2246" s="13">
        <v>203520</v>
      </c>
      <c r="F2246" s="13">
        <v>487572</v>
      </c>
      <c r="G2246" s="13">
        <v>1172</v>
      </c>
      <c r="H2246" s="13">
        <v>1928128</v>
      </c>
      <c r="I2246" s="13">
        <v>0</v>
      </c>
      <c r="J2246" s="13">
        <v>0</v>
      </c>
      <c r="K2246" s="13">
        <v>1524</v>
      </c>
      <c r="L2246" s="13">
        <v>10</v>
      </c>
      <c r="M2246" s="13">
        <v>725</v>
      </c>
      <c r="N2246" s="13">
        <v>215</v>
      </c>
      <c r="O2246" s="13">
        <v>33</v>
      </c>
      <c r="P2246" s="13">
        <v>1</v>
      </c>
      <c r="Q2246" s="13">
        <v>65</v>
      </c>
      <c r="R2246" s="13">
        <v>1</v>
      </c>
      <c r="S2246" s="13">
        <v>1</v>
      </c>
      <c r="T2246" s="23">
        <v>46247.744050925925</v>
      </c>
      <c r="U2246" s="55">
        <f t="shared" si="102"/>
        <v>1</v>
      </c>
      <c r="V2246" s="55">
        <f t="shared" si="103"/>
        <v>0</v>
      </c>
      <c r="W2246" s="56">
        <f t="shared" si="104"/>
        <v>1471.1666666666667</v>
      </c>
    </row>
    <row r="2247" spans="1:23" x14ac:dyDescent="0.3">
      <c r="A2247" s="13" t="str" cm="1">
        <f t="array" ref="A2247:B2247">INDEX(BenchmarkResults!$B$1:$D$35,SUMPRODUCT((T2247&gt;=BenchmarkResults!$F$3:$F$35)*(mongodb_hardware_log!T2247&lt;BenchmarkResults!$G$3:$G$35)*ROW(BenchmarkResults!$F$3:$F$35)),{1,3})</f>
        <v>q6_inactive_customers</v>
      </c>
      <c r="B2247">
        <v>1</v>
      </c>
      <c r="C2247" s="13">
        <v>1</v>
      </c>
      <c r="D2247" s="13">
        <v>0</v>
      </c>
      <c r="E2247" s="13">
        <v>203520</v>
      </c>
      <c r="F2247" s="13">
        <v>474224</v>
      </c>
      <c r="G2247" s="13">
        <v>1180</v>
      </c>
      <c r="H2247" s="13">
        <v>1942224</v>
      </c>
      <c r="I2247" s="13">
        <v>0</v>
      </c>
      <c r="J2247" s="13">
        <v>0</v>
      </c>
      <c r="K2247" s="13">
        <v>1407</v>
      </c>
      <c r="L2247" s="13">
        <v>12</v>
      </c>
      <c r="M2247" s="13">
        <v>739</v>
      </c>
      <c r="N2247" s="13">
        <v>228</v>
      </c>
      <c r="O2247" s="13">
        <v>33</v>
      </c>
      <c r="P2247" s="13">
        <v>1</v>
      </c>
      <c r="Q2247" s="13">
        <v>64</v>
      </c>
      <c r="R2247" s="13">
        <v>0</v>
      </c>
      <c r="S2247" s="13">
        <v>0</v>
      </c>
      <c r="T2247" s="23">
        <v>46247.744166666664</v>
      </c>
      <c r="U2247" s="55">
        <f t="shared" si="102"/>
        <v>1</v>
      </c>
      <c r="V2247" s="55">
        <f t="shared" si="103"/>
        <v>0</v>
      </c>
      <c r="W2247" s="56">
        <f t="shared" si="104"/>
        <v>1422.5</v>
      </c>
    </row>
    <row r="2248" spans="1:23" x14ac:dyDescent="0.3">
      <c r="A2248" s="13" t="str" cm="1">
        <f t="array" ref="A2248:B2248">INDEX(BenchmarkResults!$B$1:$D$35,SUMPRODUCT((T2248&gt;=BenchmarkResults!$F$3:$F$35)*(mongodb_hardware_log!T2248&lt;BenchmarkResults!$G$3:$G$35)*ROW(BenchmarkResults!$F$3:$F$35)),{1,3})</f>
        <v>q6_inactive_customers</v>
      </c>
      <c r="B2248">
        <v>1</v>
      </c>
      <c r="C2248" s="13">
        <v>1</v>
      </c>
      <c r="D2248" s="13">
        <v>0</v>
      </c>
      <c r="E2248" s="13">
        <v>203520</v>
      </c>
      <c r="F2248" s="13">
        <v>428856</v>
      </c>
      <c r="G2248" s="13">
        <v>1188</v>
      </c>
      <c r="H2248" s="13">
        <v>1968308</v>
      </c>
      <c r="I2248" s="13">
        <v>0</v>
      </c>
      <c r="J2248" s="13">
        <v>0</v>
      </c>
      <c r="K2248" s="13">
        <v>994</v>
      </c>
      <c r="L2248" s="13">
        <v>25</v>
      </c>
      <c r="M2248" s="13">
        <v>700</v>
      </c>
      <c r="N2248" s="13">
        <v>191</v>
      </c>
      <c r="O2248" s="13">
        <v>32</v>
      </c>
      <c r="P2248" s="13">
        <v>2</v>
      </c>
      <c r="Q2248" s="13">
        <v>65</v>
      </c>
      <c r="R2248" s="13">
        <v>1</v>
      </c>
      <c r="S2248" s="13">
        <v>1</v>
      </c>
      <c r="T2248" s="23">
        <v>46247.74428240741</v>
      </c>
      <c r="U2248" s="55">
        <f t="shared" si="102"/>
        <v>1</v>
      </c>
      <c r="V2248" s="55">
        <f t="shared" si="103"/>
        <v>0</v>
      </c>
      <c r="W2248" s="56">
        <f t="shared" si="104"/>
        <v>1381.3333333333333</v>
      </c>
    </row>
    <row r="2249" spans="1:23" x14ac:dyDescent="0.3">
      <c r="A2249" s="13" t="str" cm="1">
        <f t="array" ref="A2249:B2249">INDEX(BenchmarkResults!$B$1:$D$35,SUMPRODUCT((T2249&gt;=BenchmarkResults!$F$3:$F$35)*(mongodb_hardware_log!T2249&lt;BenchmarkResults!$G$3:$G$35)*ROW(BenchmarkResults!$F$3:$F$35)),{1,3})</f>
        <v>q6_inactive_customers</v>
      </c>
      <c r="B2249">
        <v>1</v>
      </c>
      <c r="C2249" s="13">
        <v>1</v>
      </c>
      <c r="D2249" s="13">
        <v>0</v>
      </c>
      <c r="E2249" s="13">
        <v>203520</v>
      </c>
      <c r="F2249" s="13">
        <v>419532</v>
      </c>
      <c r="G2249" s="13">
        <v>1204</v>
      </c>
      <c r="H2249" s="13">
        <v>1980536</v>
      </c>
      <c r="I2249" s="13">
        <v>0</v>
      </c>
      <c r="J2249" s="13">
        <v>0</v>
      </c>
      <c r="K2249" s="13">
        <v>1223</v>
      </c>
      <c r="L2249" s="13">
        <v>16</v>
      </c>
      <c r="M2249" s="13">
        <v>730</v>
      </c>
      <c r="N2249" s="13">
        <v>214</v>
      </c>
      <c r="O2249" s="13">
        <v>33</v>
      </c>
      <c r="P2249" s="13">
        <v>1</v>
      </c>
      <c r="Q2249" s="13">
        <v>64</v>
      </c>
      <c r="R2249" s="13">
        <v>1</v>
      </c>
      <c r="S2249" s="13">
        <v>1</v>
      </c>
      <c r="T2249" s="23">
        <v>46247.744398148148</v>
      </c>
      <c r="U2249" s="55">
        <f t="shared" ref="U2249:U2312" si="105">AVERAGE(C2244:C2249)</f>
        <v>1</v>
      </c>
      <c r="V2249" s="55">
        <f t="shared" ref="V2249:V2312" si="106">AVERAGE(D2244:D2249)</f>
        <v>0</v>
      </c>
      <c r="W2249" s="56">
        <f t="shared" ref="W2249:W2312" si="107">AVERAGE(K2244:K2249)</f>
        <v>1343.5</v>
      </c>
    </row>
    <row r="2250" spans="1:23" x14ac:dyDescent="0.3">
      <c r="A2250" s="13" t="str" cm="1">
        <f t="array" ref="A2250:B2250">INDEX(BenchmarkResults!$B$1:$D$35,SUMPRODUCT((T2250&gt;=BenchmarkResults!$F$3:$F$35)*(mongodb_hardware_log!T2250&lt;BenchmarkResults!$G$3:$G$35)*ROW(BenchmarkResults!$F$3:$F$35)),{1,3})</f>
        <v>q6_inactive_customers</v>
      </c>
      <c r="B2250">
        <v>1</v>
      </c>
      <c r="C2250" s="13">
        <v>1</v>
      </c>
      <c r="D2250" s="13">
        <v>0</v>
      </c>
      <c r="E2250" s="13">
        <v>203520</v>
      </c>
      <c r="F2250" s="13">
        <v>407940</v>
      </c>
      <c r="G2250" s="13">
        <v>1212</v>
      </c>
      <c r="H2250" s="13">
        <v>1992272</v>
      </c>
      <c r="I2250" s="13">
        <v>0</v>
      </c>
      <c r="J2250" s="13">
        <v>0</v>
      </c>
      <c r="K2250" s="13">
        <v>1175</v>
      </c>
      <c r="L2250" s="13">
        <v>9</v>
      </c>
      <c r="M2250" s="13">
        <v>752</v>
      </c>
      <c r="N2250" s="13">
        <v>210</v>
      </c>
      <c r="O2250" s="13">
        <v>32</v>
      </c>
      <c r="P2250" s="13">
        <v>1</v>
      </c>
      <c r="Q2250" s="13">
        <v>64</v>
      </c>
      <c r="R2250" s="13">
        <v>0</v>
      </c>
      <c r="S2250" s="13">
        <v>2</v>
      </c>
      <c r="T2250" s="23">
        <v>46247.744513888887</v>
      </c>
      <c r="U2250" s="55">
        <f t="shared" si="105"/>
        <v>1</v>
      </c>
      <c r="V2250" s="55">
        <f t="shared" si="106"/>
        <v>0</v>
      </c>
      <c r="W2250" s="56">
        <f t="shared" si="107"/>
        <v>1308.5</v>
      </c>
    </row>
    <row r="2251" spans="1:23" x14ac:dyDescent="0.3">
      <c r="A2251" s="13" t="str" cm="1">
        <f t="array" ref="A2251:B2251">INDEX(BenchmarkResults!$B$1:$D$35,SUMPRODUCT((T2251&gt;=BenchmarkResults!$F$3:$F$35)*(mongodb_hardware_log!T2251&lt;BenchmarkResults!$G$3:$G$35)*ROW(BenchmarkResults!$F$3:$F$35)),{1,3})</f>
        <v>q6_inactive_customers</v>
      </c>
      <c r="B2251">
        <v>1</v>
      </c>
      <c r="C2251" s="13">
        <v>1</v>
      </c>
      <c r="D2251" s="13">
        <v>0</v>
      </c>
      <c r="E2251" s="13">
        <v>203520</v>
      </c>
      <c r="F2251" s="13">
        <v>393072</v>
      </c>
      <c r="G2251" s="13">
        <v>1244</v>
      </c>
      <c r="H2251" s="13">
        <v>2007796</v>
      </c>
      <c r="I2251" s="13">
        <v>1</v>
      </c>
      <c r="J2251" s="13">
        <v>0</v>
      </c>
      <c r="K2251" s="13">
        <v>1560</v>
      </c>
      <c r="L2251" s="13">
        <v>1600</v>
      </c>
      <c r="M2251" s="13">
        <v>744</v>
      </c>
      <c r="N2251" s="13">
        <v>229</v>
      </c>
      <c r="O2251" s="13">
        <v>33</v>
      </c>
      <c r="P2251" s="13">
        <v>1</v>
      </c>
      <c r="Q2251" s="13">
        <v>64</v>
      </c>
      <c r="R2251" s="13">
        <v>1</v>
      </c>
      <c r="S2251" s="13">
        <v>0</v>
      </c>
      <c r="T2251" s="23">
        <v>46247.744629629633</v>
      </c>
      <c r="U2251" s="55">
        <f t="shared" si="105"/>
        <v>1</v>
      </c>
      <c r="V2251" s="55">
        <f t="shared" si="106"/>
        <v>0</v>
      </c>
      <c r="W2251" s="56">
        <f t="shared" si="107"/>
        <v>1313.8333333333333</v>
      </c>
    </row>
    <row r="2252" spans="1:23" x14ac:dyDescent="0.3">
      <c r="A2252" s="13" t="str" cm="1">
        <f t="array" ref="A2252:B2252">INDEX(BenchmarkResults!$B$1:$D$35,SUMPRODUCT((T2252&gt;=BenchmarkResults!$F$3:$F$35)*(mongodb_hardware_log!T2252&lt;BenchmarkResults!$G$3:$G$35)*ROW(BenchmarkResults!$F$3:$F$35)),{1,3})</f>
        <v>q6_inactive_customers</v>
      </c>
      <c r="B2252">
        <v>1</v>
      </c>
      <c r="C2252" s="13">
        <v>2</v>
      </c>
      <c r="D2252" s="13">
        <v>0</v>
      </c>
      <c r="E2252" s="13">
        <v>203264</v>
      </c>
      <c r="F2252" s="13">
        <v>373416</v>
      </c>
      <c r="G2252" s="13">
        <v>1256</v>
      </c>
      <c r="H2252" s="13">
        <v>2026040</v>
      </c>
      <c r="I2252" s="13">
        <v>127</v>
      </c>
      <c r="J2252" s="13">
        <v>0</v>
      </c>
      <c r="K2252" s="13">
        <v>1945</v>
      </c>
      <c r="L2252" s="13">
        <v>13</v>
      </c>
      <c r="M2252" s="13">
        <v>787</v>
      </c>
      <c r="N2252" s="13">
        <v>281</v>
      </c>
      <c r="O2252" s="13">
        <v>33</v>
      </c>
      <c r="P2252" s="13">
        <v>2</v>
      </c>
      <c r="Q2252" s="13">
        <v>61</v>
      </c>
      <c r="R2252" s="13">
        <v>3</v>
      </c>
      <c r="S2252" s="13">
        <v>1</v>
      </c>
      <c r="T2252" s="23">
        <v>46247.744745370372</v>
      </c>
      <c r="U2252" s="55">
        <f t="shared" si="105"/>
        <v>1.1666666666666667</v>
      </c>
      <c r="V2252" s="55">
        <f t="shared" si="106"/>
        <v>0</v>
      </c>
      <c r="W2252" s="56">
        <f t="shared" si="107"/>
        <v>1384</v>
      </c>
    </row>
    <row r="2253" spans="1:23" x14ac:dyDescent="0.3">
      <c r="A2253" s="13" t="str" cm="1">
        <f t="array" ref="A2253:B2253">INDEX(BenchmarkResults!$B$1:$D$35,SUMPRODUCT((T2253&gt;=BenchmarkResults!$F$3:$F$35)*(mongodb_hardware_log!T2253&lt;BenchmarkResults!$G$3:$G$35)*ROW(BenchmarkResults!$F$3:$F$35)),{1,3})</f>
        <v>q6_inactive_customers</v>
      </c>
      <c r="B2253">
        <v>1</v>
      </c>
      <c r="C2253" s="13">
        <v>1</v>
      </c>
      <c r="D2253" s="13">
        <v>0</v>
      </c>
      <c r="E2253" s="13">
        <v>203264</v>
      </c>
      <c r="F2253" s="13">
        <v>357792</v>
      </c>
      <c r="G2253" s="13">
        <v>1264</v>
      </c>
      <c r="H2253" s="13">
        <v>2040384</v>
      </c>
      <c r="I2253" s="13">
        <v>37</v>
      </c>
      <c r="J2253" s="13">
        <v>0</v>
      </c>
      <c r="K2253" s="13">
        <v>1466</v>
      </c>
      <c r="L2253" s="13">
        <v>11</v>
      </c>
      <c r="M2253" s="13">
        <v>743</v>
      </c>
      <c r="N2253" s="13">
        <v>225</v>
      </c>
      <c r="O2253" s="13">
        <v>33</v>
      </c>
      <c r="P2253" s="13">
        <v>1</v>
      </c>
      <c r="Q2253" s="13">
        <v>65</v>
      </c>
      <c r="R2253" s="13">
        <v>1</v>
      </c>
      <c r="S2253" s="13">
        <v>0</v>
      </c>
      <c r="T2253" s="23">
        <v>46247.74486111111</v>
      </c>
      <c r="U2253" s="55">
        <f t="shared" si="105"/>
        <v>1.1666666666666667</v>
      </c>
      <c r="V2253" s="55">
        <f t="shared" si="106"/>
        <v>0</v>
      </c>
      <c r="W2253" s="56">
        <f t="shared" si="107"/>
        <v>1393.8333333333333</v>
      </c>
    </row>
    <row r="2254" spans="1:23" x14ac:dyDescent="0.3">
      <c r="A2254" s="13" t="str" cm="1">
        <f t="array" ref="A2254:B2254">INDEX(BenchmarkResults!$B$1:$D$35,SUMPRODUCT((T2254&gt;=BenchmarkResults!$F$3:$F$35)*(mongodb_hardware_log!T2254&lt;BenchmarkResults!$G$3:$G$35)*ROW(BenchmarkResults!$F$3:$F$35)),{1,3})</f>
        <v>q6_inactive_customers</v>
      </c>
      <c r="B2254">
        <v>1</v>
      </c>
      <c r="C2254" s="13">
        <v>1</v>
      </c>
      <c r="D2254" s="13">
        <v>0</v>
      </c>
      <c r="E2254" s="13">
        <v>203264</v>
      </c>
      <c r="F2254" s="13">
        <v>332592</v>
      </c>
      <c r="G2254" s="13">
        <v>1272</v>
      </c>
      <c r="H2254" s="13">
        <v>2066240</v>
      </c>
      <c r="I2254" s="13">
        <v>0</v>
      </c>
      <c r="J2254" s="13">
        <v>0</v>
      </c>
      <c r="K2254" s="13">
        <v>989</v>
      </c>
      <c r="L2254" s="13">
        <v>1578</v>
      </c>
      <c r="M2254" s="13">
        <v>690</v>
      </c>
      <c r="N2254" s="13">
        <v>175</v>
      </c>
      <c r="O2254" s="13">
        <v>32</v>
      </c>
      <c r="P2254" s="13">
        <v>2</v>
      </c>
      <c r="Q2254" s="13">
        <v>63</v>
      </c>
      <c r="R2254" s="13">
        <v>2</v>
      </c>
      <c r="S2254" s="13">
        <v>1</v>
      </c>
      <c r="T2254" s="23">
        <v>46247.744976851849</v>
      </c>
      <c r="U2254" s="55">
        <f t="shared" si="105"/>
        <v>1.1666666666666667</v>
      </c>
      <c r="V2254" s="55">
        <f t="shared" si="106"/>
        <v>0</v>
      </c>
      <c r="W2254" s="56">
        <f t="shared" si="107"/>
        <v>1393</v>
      </c>
    </row>
    <row r="2255" spans="1:23" x14ac:dyDescent="0.3">
      <c r="A2255" s="13" t="str" cm="1">
        <f t="array" ref="A2255:B2255">INDEX(BenchmarkResults!$B$1:$D$35,SUMPRODUCT((T2255&gt;=BenchmarkResults!$F$3:$F$35)*(mongodb_hardware_log!T2255&lt;BenchmarkResults!$G$3:$G$35)*ROW(BenchmarkResults!$F$3:$F$35)),{1,3})</f>
        <v>q6_inactive_customers</v>
      </c>
      <c r="B2255">
        <v>1</v>
      </c>
      <c r="C2255" s="13">
        <v>0</v>
      </c>
      <c r="D2255" s="13">
        <v>1</v>
      </c>
      <c r="E2255" s="13">
        <v>203264</v>
      </c>
      <c r="F2255" s="13">
        <v>317724</v>
      </c>
      <c r="G2255" s="13">
        <v>1288</v>
      </c>
      <c r="H2255" s="13">
        <v>2079820</v>
      </c>
      <c r="I2255" s="13">
        <v>0</v>
      </c>
      <c r="J2255" s="13">
        <v>0</v>
      </c>
      <c r="K2255" s="13">
        <v>1358</v>
      </c>
      <c r="L2255" s="13">
        <v>17</v>
      </c>
      <c r="M2255" s="13">
        <v>736</v>
      </c>
      <c r="N2255" s="13">
        <v>220</v>
      </c>
      <c r="O2255" s="13">
        <v>33</v>
      </c>
      <c r="P2255" s="13">
        <v>1</v>
      </c>
      <c r="Q2255" s="13">
        <v>65</v>
      </c>
      <c r="R2255" s="13">
        <v>1</v>
      </c>
      <c r="S2255" s="13">
        <v>1</v>
      </c>
      <c r="T2255" s="23">
        <v>46247.745092592595</v>
      </c>
      <c r="U2255" s="55">
        <f t="shared" si="105"/>
        <v>1</v>
      </c>
      <c r="V2255" s="55">
        <f t="shared" si="106"/>
        <v>0.16666666666666666</v>
      </c>
      <c r="W2255" s="56">
        <f t="shared" si="107"/>
        <v>1415.5</v>
      </c>
    </row>
    <row r="2256" spans="1:23" x14ac:dyDescent="0.3">
      <c r="A2256" s="13" t="str" cm="1">
        <f t="array" ref="A2256:B2256">INDEX(BenchmarkResults!$B$1:$D$35,SUMPRODUCT((T2256&gt;=BenchmarkResults!$F$3:$F$35)*(mongodb_hardware_log!T2256&lt;BenchmarkResults!$G$3:$G$35)*ROW(BenchmarkResults!$F$3:$F$35)),{1,3})</f>
        <v>q6_inactive_customers</v>
      </c>
      <c r="B2256">
        <v>1</v>
      </c>
      <c r="C2256" s="13">
        <v>1</v>
      </c>
      <c r="D2256" s="13">
        <v>0</v>
      </c>
      <c r="E2256" s="13">
        <v>203264</v>
      </c>
      <c r="F2256" s="13">
        <v>305628</v>
      </c>
      <c r="G2256" s="13">
        <v>1296</v>
      </c>
      <c r="H2256" s="13">
        <v>2091296</v>
      </c>
      <c r="I2256" s="13">
        <v>0</v>
      </c>
      <c r="J2256" s="13">
        <v>0</v>
      </c>
      <c r="K2256" s="13">
        <v>1147</v>
      </c>
      <c r="L2256" s="13">
        <v>8</v>
      </c>
      <c r="M2256" s="13">
        <v>743</v>
      </c>
      <c r="N2256" s="13">
        <v>216</v>
      </c>
      <c r="O2256" s="13">
        <v>33</v>
      </c>
      <c r="P2256" s="13">
        <v>1</v>
      </c>
      <c r="Q2256" s="13">
        <v>64</v>
      </c>
      <c r="R2256" s="13">
        <v>1</v>
      </c>
      <c r="S2256" s="13">
        <v>1</v>
      </c>
      <c r="T2256" s="23">
        <v>46247.745208333334</v>
      </c>
      <c r="U2256" s="55">
        <f t="shared" si="105"/>
        <v>1</v>
      </c>
      <c r="V2256" s="55">
        <f t="shared" si="106"/>
        <v>0.16666666666666666</v>
      </c>
      <c r="W2256" s="56">
        <f t="shared" si="107"/>
        <v>1410.8333333333333</v>
      </c>
    </row>
    <row r="2257" spans="1:23" x14ac:dyDescent="0.3">
      <c r="A2257" s="13" t="str" cm="1">
        <f t="array" ref="A2257:B2257">INDEX(BenchmarkResults!$B$1:$D$35,SUMPRODUCT((T2257&gt;=BenchmarkResults!$F$3:$F$35)*(mongodb_hardware_log!T2257&lt;BenchmarkResults!$G$3:$G$35)*ROW(BenchmarkResults!$F$3:$F$35)),{1,3})</f>
        <v>q6_inactive_customers</v>
      </c>
      <c r="B2257">
        <v>1</v>
      </c>
      <c r="C2257" s="13">
        <v>1</v>
      </c>
      <c r="D2257" s="13">
        <v>0</v>
      </c>
      <c r="E2257" s="13">
        <v>203264</v>
      </c>
      <c r="F2257" s="13">
        <v>295756</v>
      </c>
      <c r="G2257" s="13">
        <v>1320</v>
      </c>
      <c r="H2257" s="13">
        <v>2104212</v>
      </c>
      <c r="I2257" s="13">
        <v>2</v>
      </c>
      <c r="J2257" s="13">
        <v>0</v>
      </c>
      <c r="K2257" s="13">
        <v>1293</v>
      </c>
      <c r="L2257" s="13">
        <v>25</v>
      </c>
      <c r="M2257" s="13">
        <v>758</v>
      </c>
      <c r="N2257" s="13">
        <v>240</v>
      </c>
      <c r="O2257" s="13">
        <v>33</v>
      </c>
      <c r="P2257" s="13">
        <v>1</v>
      </c>
      <c r="Q2257" s="13">
        <v>63</v>
      </c>
      <c r="R2257" s="13">
        <v>1</v>
      </c>
      <c r="S2257" s="13">
        <v>2</v>
      </c>
      <c r="T2257" s="23">
        <v>46247.745324074072</v>
      </c>
      <c r="U2257" s="55">
        <f t="shared" si="105"/>
        <v>1</v>
      </c>
      <c r="V2257" s="55">
        <f t="shared" si="106"/>
        <v>0.16666666666666666</v>
      </c>
      <c r="W2257" s="56">
        <f t="shared" si="107"/>
        <v>1366.3333333333333</v>
      </c>
    </row>
    <row r="2258" spans="1:23" x14ac:dyDescent="0.3">
      <c r="A2258" s="13" t="str" cm="1">
        <f t="array" ref="A2258:B2258">INDEX(BenchmarkResults!$B$1:$D$35,SUMPRODUCT((T2258&gt;=BenchmarkResults!$F$3:$F$35)*(mongodb_hardware_log!T2258&lt;BenchmarkResults!$G$3:$G$35)*ROW(BenchmarkResults!$F$3:$F$35)),{1,3})</f>
        <v>q6_inactive_customers</v>
      </c>
      <c r="B2258">
        <v>1</v>
      </c>
      <c r="C2258" s="13">
        <v>1</v>
      </c>
      <c r="D2258" s="13">
        <v>0</v>
      </c>
      <c r="E2258" s="13">
        <v>203008</v>
      </c>
      <c r="F2258" s="13">
        <v>280756</v>
      </c>
      <c r="G2258" s="13">
        <v>1328</v>
      </c>
      <c r="H2258" s="13">
        <v>2129624</v>
      </c>
      <c r="I2258" s="13">
        <v>7</v>
      </c>
      <c r="J2258" s="13">
        <v>0</v>
      </c>
      <c r="K2258" s="13">
        <v>2540</v>
      </c>
      <c r="L2258" s="13">
        <v>18</v>
      </c>
      <c r="M2258" s="13">
        <v>801</v>
      </c>
      <c r="N2258" s="13">
        <v>302</v>
      </c>
      <c r="O2258" s="13">
        <v>34</v>
      </c>
      <c r="P2258" s="13">
        <v>2</v>
      </c>
      <c r="Q2258" s="13">
        <v>62</v>
      </c>
      <c r="R2258" s="13">
        <v>1</v>
      </c>
      <c r="S2258" s="13">
        <v>1</v>
      </c>
      <c r="T2258" s="23">
        <v>46247.745439814818</v>
      </c>
      <c r="U2258" s="55">
        <f t="shared" si="105"/>
        <v>0.83333333333333337</v>
      </c>
      <c r="V2258" s="55">
        <f t="shared" si="106"/>
        <v>0.16666666666666666</v>
      </c>
      <c r="W2258" s="56">
        <f t="shared" si="107"/>
        <v>1465.5</v>
      </c>
    </row>
    <row r="2259" spans="1:23" x14ac:dyDescent="0.3">
      <c r="A2259" s="13" t="str" cm="1">
        <f t="array" ref="A2259:B2259">INDEX(BenchmarkResults!$B$1:$D$35,SUMPRODUCT((T2259&gt;=BenchmarkResults!$F$3:$F$35)*(mongodb_hardware_log!T2259&lt;BenchmarkResults!$G$3:$G$35)*ROW(BenchmarkResults!$F$3:$F$35)),{1,3})</f>
        <v>q6_inactive_customers</v>
      </c>
      <c r="B2259">
        <v>1</v>
      </c>
      <c r="C2259" s="13">
        <v>1</v>
      </c>
      <c r="D2259" s="13">
        <v>0</v>
      </c>
      <c r="E2259" s="13">
        <v>203008</v>
      </c>
      <c r="F2259" s="13">
        <v>259948</v>
      </c>
      <c r="G2259" s="13">
        <v>1336</v>
      </c>
      <c r="H2259" s="13">
        <v>2145780</v>
      </c>
      <c r="I2259" s="13">
        <v>0</v>
      </c>
      <c r="J2259" s="13">
        <v>0</v>
      </c>
      <c r="K2259" s="13">
        <v>1607</v>
      </c>
      <c r="L2259" s="13">
        <v>41</v>
      </c>
      <c r="M2259" s="13">
        <v>751</v>
      </c>
      <c r="N2259" s="13">
        <v>227</v>
      </c>
      <c r="O2259" s="13">
        <v>33</v>
      </c>
      <c r="P2259" s="13">
        <v>1</v>
      </c>
      <c r="Q2259" s="13">
        <v>64</v>
      </c>
      <c r="R2259" s="13">
        <v>1</v>
      </c>
      <c r="S2259" s="13">
        <v>1</v>
      </c>
      <c r="T2259" s="23">
        <v>46247.745555555557</v>
      </c>
      <c r="U2259" s="55">
        <f t="shared" si="105"/>
        <v>0.83333333333333337</v>
      </c>
      <c r="V2259" s="55">
        <f t="shared" si="106"/>
        <v>0.16666666666666666</v>
      </c>
      <c r="W2259" s="56">
        <f t="shared" si="107"/>
        <v>1489</v>
      </c>
    </row>
    <row r="2260" spans="1:23" x14ac:dyDescent="0.3">
      <c r="A2260" s="13" t="str" cm="1">
        <f t="array" ref="A2260:B2260">INDEX(BenchmarkResults!$B$1:$D$35,SUMPRODUCT((T2260&gt;=BenchmarkResults!$F$3:$F$35)*(mongodb_hardware_log!T2260&lt;BenchmarkResults!$G$3:$G$35)*ROW(BenchmarkResults!$F$3:$F$35)),{1,3})</f>
        <v>q6_inactive_customers</v>
      </c>
      <c r="B2260">
        <v>1</v>
      </c>
      <c r="C2260" s="13">
        <v>1</v>
      </c>
      <c r="D2260" s="13">
        <v>0</v>
      </c>
      <c r="E2260" s="13">
        <v>203008</v>
      </c>
      <c r="F2260" s="13">
        <v>236764</v>
      </c>
      <c r="G2260" s="13">
        <v>1352</v>
      </c>
      <c r="H2260" s="13">
        <v>2167716</v>
      </c>
      <c r="I2260" s="13">
        <v>0</v>
      </c>
      <c r="J2260" s="13">
        <v>0</v>
      </c>
      <c r="K2260" s="13">
        <v>594</v>
      </c>
      <c r="L2260" s="13">
        <v>18</v>
      </c>
      <c r="M2260" s="13">
        <v>687</v>
      </c>
      <c r="N2260" s="13">
        <v>177</v>
      </c>
      <c r="O2260" s="13">
        <v>33</v>
      </c>
      <c r="P2260" s="13">
        <v>1</v>
      </c>
      <c r="Q2260" s="13">
        <v>65</v>
      </c>
      <c r="R2260" s="13">
        <v>0</v>
      </c>
      <c r="S2260" s="13">
        <v>1</v>
      </c>
      <c r="T2260" s="23">
        <v>46247.745671296296</v>
      </c>
      <c r="U2260" s="55">
        <f t="shared" si="105"/>
        <v>0.83333333333333337</v>
      </c>
      <c r="V2260" s="55">
        <f t="shared" si="106"/>
        <v>0.16666666666666666</v>
      </c>
      <c r="W2260" s="56">
        <f t="shared" si="107"/>
        <v>1423.1666666666667</v>
      </c>
    </row>
    <row r="2261" spans="1:23" x14ac:dyDescent="0.3">
      <c r="A2261" s="13" t="str" cm="1">
        <f t="array" ref="A2261:B2261">INDEX(BenchmarkResults!$B$1:$D$35,SUMPRODUCT((T2261&gt;=BenchmarkResults!$F$3:$F$35)*(mongodb_hardware_log!T2261&lt;BenchmarkResults!$G$3:$G$35)*ROW(BenchmarkResults!$F$3:$F$35)),{1,3})</f>
        <v>q6_inactive_customers</v>
      </c>
      <c r="B2261">
        <v>1</v>
      </c>
      <c r="C2261" s="13">
        <v>1</v>
      </c>
      <c r="D2261" s="13">
        <v>0</v>
      </c>
      <c r="E2261" s="13">
        <v>203008</v>
      </c>
      <c r="F2261" s="13">
        <v>231124</v>
      </c>
      <c r="G2261" s="13">
        <v>1360</v>
      </c>
      <c r="H2261" s="13">
        <v>2179280</v>
      </c>
      <c r="I2261" s="13">
        <v>0</v>
      </c>
      <c r="J2261" s="13">
        <v>0</v>
      </c>
      <c r="K2261" s="13">
        <v>1156</v>
      </c>
      <c r="L2261" s="13">
        <v>8</v>
      </c>
      <c r="M2261" s="13">
        <v>732</v>
      </c>
      <c r="N2261" s="13">
        <v>218</v>
      </c>
      <c r="O2261" s="13">
        <v>33</v>
      </c>
      <c r="P2261" s="13">
        <v>1</v>
      </c>
      <c r="Q2261" s="13">
        <v>64</v>
      </c>
      <c r="R2261" s="13">
        <v>1</v>
      </c>
      <c r="S2261" s="13">
        <v>1</v>
      </c>
      <c r="T2261" s="23">
        <v>46247.745787037034</v>
      </c>
      <c r="U2261" s="55">
        <f t="shared" si="105"/>
        <v>1</v>
      </c>
      <c r="V2261" s="55">
        <f t="shared" si="106"/>
        <v>0</v>
      </c>
      <c r="W2261" s="56">
        <f t="shared" si="107"/>
        <v>1389.5</v>
      </c>
    </row>
    <row r="2262" spans="1:23" x14ac:dyDescent="0.3">
      <c r="A2262" s="13" t="str" cm="1">
        <f t="array" ref="A2262:B2262">INDEX(BenchmarkResults!$B$1:$D$35,SUMPRODUCT((T2262&gt;=BenchmarkResults!$F$3:$F$35)*(mongodb_hardware_log!T2262&lt;BenchmarkResults!$G$3:$G$35)*ROW(BenchmarkResults!$F$3:$F$35)),{1,3})</f>
        <v>q6_inactive_customers</v>
      </c>
      <c r="B2262">
        <v>1</v>
      </c>
      <c r="C2262" s="13">
        <v>1</v>
      </c>
      <c r="D2262" s="13">
        <v>0</v>
      </c>
      <c r="E2262" s="13">
        <v>202496</v>
      </c>
      <c r="F2262" s="13">
        <v>210712</v>
      </c>
      <c r="G2262" s="13">
        <v>1376</v>
      </c>
      <c r="H2262" s="13">
        <v>2194936</v>
      </c>
      <c r="I2262" s="13">
        <v>51</v>
      </c>
      <c r="J2262" s="13">
        <v>0</v>
      </c>
      <c r="K2262" s="13">
        <v>1618</v>
      </c>
      <c r="L2262" s="13">
        <v>28</v>
      </c>
      <c r="M2262" s="13">
        <v>763</v>
      </c>
      <c r="N2262" s="13">
        <v>226</v>
      </c>
      <c r="O2262" s="13">
        <v>34</v>
      </c>
      <c r="P2262" s="13">
        <v>1</v>
      </c>
      <c r="Q2262" s="13">
        <v>63</v>
      </c>
      <c r="R2262" s="13">
        <v>1</v>
      </c>
      <c r="S2262" s="13">
        <v>1</v>
      </c>
      <c r="T2262" s="23">
        <v>46247.74590277778</v>
      </c>
      <c r="U2262" s="55">
        <f t="shared" si="105"/>
        <v>1</v>
      </c>
      <c r="V2262" s="55">
        <f t="shared" si="106"/>
        <v>0</v>
      </c>
      <c r="W2262" s="56">
        <f t="shared" si="107"/>
        <v>1468</v>
      </c>
    </row>
    <row r="2263" spans="1:23" x14ac:dyDescent="0.3">
      <c r="A2263" s="13" t="str" cm="1">
        <f t="array" ref="A2263:B2263">INDEX(BenchmarkResults!$B$1:$D$35,SUMPRODUCT((T2263&gt;=BenchmarkResults!$F$3:$F$35)*(mongodb_hardware_log!T2263&lt;BenchmarkResults!$G$3:$G$35)*ROW(BenchmarkResults!$F$3:$F$35)),{1,3})</f>
        <v>q6_inactive_customers</v>
      </c>
      <c r="B2263">
        <v>1</v>
      </c>
      <c r="C2263" s="13">
        <v>1</v>
      </c>
      <c r="D2263" s="13">
        <v>0</v>
      </c>
      <c r="E2263" s="13">
        <v>202496</v>
      </c>
      <c r="F2263" s="13">
        <v>196600</v>
      </c>
      <c r="G2263" s="13">
        <v>1408</v>
      </c>
      <c r="H2263" s="13">
        <v>2206948</v>
      </c>
      <c r="I2263" s="13">
        <v>1</v>
      </c>
      <c r="J2263" s="13">
        <v>0</v>
      </c>
      <c r="K2263" s="13">
        <v>1195</v>
      </c>
      <c r="L2263" s="13">
        <v>1591</v>
      </c>
      <c r="M2263" s="13">
        <v>787</v>
      </c>
      <c r="N2263" s="13">
        <v>273</v>
      </c>
      <c r="O2263" s="13">
        <v>33</v>
      </c>
      <c r="P2263" s="13">
        <v>1</v>
      </c>
      <c r="Q2263" s="13">
        <v>62</v>
      </c>
      <c r="R2263" s="13">
        <v>3</v>
      </c>
      <c r="S2263" s="13">
        <v>1</v>
      </c>
      <c r="T2263" s="23">
        <v>46247.746018518519</v>
      </c>
      <c r="U2263" s="55">
        <f t="shared" si="105"/>
        <v>1</v>
      </c>
      <c r="V2263" s="55">
        <f t="shared" si="106"/>
        <v>0</v>
      </c>
      <c r="W2263" s="56">
        <f t="shared" si="107"/>
        <v>1451.6666666666667</v>
      </c>
    </row>
    <row r="2264" spans="1:23" x14ac:dyDescent="0.3">
      <c r="A2264" s="13" t="str" cm="1">
        <f t="array" ref="A2264:B2264">INDEX(BenchmarkResults!$B$1:$D$35,SUMPRODUCT((T2264&gt;=BenchmarkResults!$F$3:$F$35)*(mongodb_hardware_log!T2264&lt;BenchmarkResults!$G$3:$G$35)*ROW(BenchmarkResults!$F$3:$F$35)),{1,3})</f>
        <v>q6_inactive_customers</v>
      </c>
      <c r="B2264">
        <v>1</v>
      </c>
      <c r="C2264" s="13">
        <v>1</v>
      </c>
      <c r="D2264" s="13">
        <v>0</v>
      </c>
      <c r="E2264" s="13">
        <v>202496</v>
      </c>
      <c r="F2264" s="13">
        <v>180472</v>
      </c>
      <c r="G2264" s="13">
        <v>1416</v>
      </c>
      <c r="H2264" s="13">
        <v>2219976</v>
      </c>
      <c r="I2264" s="13">
        <v>1</v>
      </c>
      <c r="J2264" s="13">
        <v>0</v>
      </c>
      <c r="K2264" s="13">
        <v>1303</v>
      </c>
      <c r="L2264" s="13">
        <v>7</v>
      </c>
      <c r="M2264" s="13">
        <v>774</v>
      </c>
      <c r="N2264" s="13">
        <v>269</v>
      </c>
      <c r="O2264" s="13">
        <v>33</v>
      </c>
      <c r="P2264" s="13">
        <v>1</v>
      </c>
      <c r="Q2264" s="13">
        <v>65</v>
      </c>
      <c r="R2264" s="13">
        <v>0</v>
      </c>
      <c r="S2264" s="13">
        <v>1</v>
      </c>
      <c r="T2264" s="23">
        <v>46247.746134259258</v>
      </c>
      <c r="U2264" s="55">
        <f t="shared" si="105"/>
        <v>1</v>
      </c>
      <c r="V2264" s="55">
        <f t="shared" si="106"/>
        <v>0</v>
      </c>
      <c r="W2264" s="56">
        <f t="shared" si="107"/>
        <v>1245.5</v>
      </c>
    </row>
    <row r="2265" spans="1:23" x14ac:dyDescent="0.3">
      <c r="A2265" s="13" t="str" cm="1">
        <f t="array" ref="A2265:B2265">INDEX(BenchmarkResults!$B$1:$D$35,SUMPRODUCT((T2265&gt;=BenchmarkResults!$F$3:$F$35)*(mongodb_hardware_log!T2265&lt;BenchmarkResults!$G$3:$G$35)*ROW(BenchmarkResults!$F$3:$F$35)),{1,3})</f>
        <v>q6_inactive_customers</v>
      </c>
      <c r="B2265">
        <v>1</v>
      </c>
      <c r="C2265" s="13">
        <v>1</v>
      </c>
      <c r="D2265" s="13">
        <v>0</v>
      </c>
      <c r="E2265" s="13">
        <v>202496</v>
      </c>
      <c r="F2265" s="13">
        <v>173164</v>
      </c>
      <c r="G2265" s="13">
        <v>1424</v>
      </c>
      <c r="H2265" s="13">
        <v>2234872</v>
      </c>
      <c r="I2265" s="13">
        <v>2</v>
      </c>
      <c r="J2265" s="13">
        <v>0</v>
      </c>
      <c r="K2265" s="13">
        <v>1494</v>
      </c>
      <c r="L2265" s="13">
        <v>23</v>
      </c>
      <c r="M2265" s="13">
        <v>741</v>
      </c>
      <c r="N2265" s="13">
        <v>230</v>
      </c>
      <c r="O2265" s="13">
        <v>33</v>
      </c>
      <c r="P2265" s="13">
        <v>1</v>
      </c>
      <c r="Q2265" s="13">
        <v>65</v>
      </c>
      <c r="R2265" s="13">
        <v>1</v>
      </c>
      <c r="S2265" s="13">
        <v>0</v>
      </c>
      <c r="T2265" s="23">
        <v>46247.746249999997</v>
      </c>
      <c r="U2265" s="55">
        <f t="shared" si="105"/>
        <v>1</v>
      </c>
      <c r="V2265" s="55">
        <f t="shared" si="106"/>
        <v>0</v>
      </c>
      <c r="W2265" s="56">
        <f t="shared" si="107"/>
        <v>1226.6666666666667</v>
      </c>
    </row>
    <row r="2266" spans="1:23" x14ac:dyDescent="0.3">
      <c r="A2266" s="13" t="str" cm="1">
        <f t="array" ref="A2266:B2266">INDEX(BenchmarkResults!$B$1:$D$35,SUMPRODUCT((T2266&gt;=BenchmarkResults!$F$3:$F$35)*(mongodb_hardware_log!T2266&lt;BenchmarkResults!$G$3:$G$35)*ROW(BenchmarkResults!$F$3:$F$35)),{1,3})</f>
        <v>q6_inactive_customers</v>
      </c>
      <c r="B2266">
        <v>1</v>
      </c>
      <c r="C2266" s="13">
        <v>1</v>
      </c>
      <c r="D2266" s="13">
        <v>0</v>
      </c>
      <c r="E2266" s="13">
        <v>202496</v>
      </c>
      <c r="F2266" s="13">
        <v>146200</v>
      </c>
      <c r="G2266" s="13">
        <v>1440</v>
      </c>
      <c r="H2266" s="13">
        <v>2259184</v>
      </c>
      <c r="I2266" s="13">
        <v>0</v>
      </c>
      <c r="J2266" s="13">
        <v>0</v>
      </c>
      <c r="K2266" s="13">
        <v>833</v>
      </c>
      <c r="L2266" s="13">
        <v>13</v>
      </c>
      <c r="M2266" s="13">
        <v>695</v>
      </c>
      <c r="N2266" s="13">
        <v>185</v>
      </c>
      <c r="O2266" s="13">
        <v>32</v>
      </c>
      <c r="P2266" s="13">
        <v>1</v>
      </c>
      <c r="Q2266" s="13">
        <v>65</v>
      </c>
      <c r="R2266" s="13">
        <v>1</v>
      </c>
      <c r="S2266" s="13">
        <v>0</v>
      </c>
      <c r="T2266" s="23">
        <v>46247.746365740742</v>
      </c>
      <c r="U2266" s="55">
        <f t="shared" si="105"/>
        <v>1</v>
      </c>
      <c r="V2266" s="55">
        <f t="shared" si="106"/>
        <v>0</v>
      </c>
      <c r="W2266" s="56">
        <f t="shared" si="107"/>
        <v>1266.5</v>
      </c>
    </row>
    <row r="2267" spans="1:23" x14ac:dyDescent="0.3">
      <c r="A2267" s="13" t="str" cm="1">
        <f t="array" ref="A2267:B2267">INDEX(BenchmarkResults!$B$1:$D$35,SUMPRODUCT((T2267&gt;=BenchmarkResults!$F$3:$F$35)*(mongodb_hardware_log!T2267&lt;BenchmarkResults!$G$3:$G$35)*ROW(BenchmarkResults!$F$3:$F$35)),{1,3})</f>
        <v>q6_inactive_customers</v>
      </c>
      <c r="B2267">
        <v>1</v>
      </c>
      <c r="C2267" s="13">
        <v>1</v>
      </c>
      <c r="D2267" s="13">
        <v>0</v>
      </c>
      <c r="E2267" s="13">
        <v>202496</v>
      </c>
      <c r="F2267" s="13">
        <v>130324</v>
      </c>
      <c r="G2267" s="13">
        <v>1448</v>
      </c>
      <c r="H2267" s="13">
        <v>2274584</v>
      </c>
      <c r="I2267" s="13">
        <v>0</v>
      </c>
      <c r="J2267" s="13">
        <v>0</v>
      </c>
      <c r="K2267" s="13">
        <v>1544</v>
      </c>
      <c r="L2267" s="13">
        <v>5</v>
      </c>
      <c r="M2267" s="13">
        <v>733</v>
      </c>
      <c r="N2267" s="13">
        <v>210</v>
      </c>
      <c r="O2267" s="13">
        <v>33</v>
      </c>
      <c r="P2267" s="13">
        <v>1</v>
      </c>
      <c r="Q2267" s="13">
        <v>65</v>
      </c>
      <c r="R2267" s="13">
        <v>1</v>
      </c>
      <c r="S2267" s="13">
        <v>1</v>
      </c>
      <c r="T2267" s="23">
        <v>46247.746481481481</v>
      </c>
      <c r="U2267" s="55">
        <f t="shared" si="105"/>
        <v>1</v>
      </c>
      <c r="V2267" s="55">
        <f t="shared" si="106"/>
        <v>0</v>
      </c>
      <c r="W2267" s="56">
        <f t="shared" si="107"/>
        <v>1331.1666666666667</v>
      </c>
    </row>
    <row r="2268" spans="1:23" x14ac:dyDescent="0.3">
      <c r="A2268" s="13" t="str" cm="1">
        <f t="array" ref="A2268:B2268">INDEX(BenchmarkResults!$B$1:$D$35,SUMPRODUCT((T2268&gt;=BenchmarkResults!$F$3:$F$35)*(mongodb_hardware_log!T2268&lt;BenchmarkResults!$G$3:$G$35)*ROW(BenchmarkResults!$F$3:$F$35)),{1,3})</f>
        <v>q6_inactive_customers</v>
      </c>
      <c r="B2268">
        <v>1</v>
      </c>
      <c r="C2268" s="13">
        <v>1</v>
      </c>
      <c r="D2268" s="13">
        <v>0</v>
      </c>
      <c r="E2268" s="13">
        <v>202496</v>
      </c>
      <c r="F2268" s="13">
        <v>120496</v>
      </c>
      <c r="G2268" s="13">
        <v>1456</v>
      </c>
      <c r="H2268" s="13">
        <v>2287464</v>
      </c>
      <c r="I2268" s="13">
        <v>0</v>
      </c>
      <c r="J2268" s="13">
        <v>0</v>
      </c>
      <c r="K2268" s="13">
        <v>1282</v>
      </c>
      <c r="L2268" s="13">
        <v>8</v>
      </c>
      <c r="M2268" s="13">
        <v>745</v>
      </c>
      <c r="N2268" s="13">
        <v>214</v>
      </c>
      <c r="O2268" s="13">
        <v>33</v>
      </c>
      <c r="P2268" s="13">
        <v>1</v>
      </c>
      <c r="Q2268" s="13">
        <v>65</v>
      </c>
      <c r="R2268" s="13">
        <v>0</v>
      </c>
      <c r="S2268" s="13">
        <v>1</v>
      </c>
      <c r="T2268" s="23">
        <v>46247.74659722222</v>
      </c>
      <c r="U2268" s="55">
        <f t="shared" si="105"/>
        <v>1</v>
      </c>
      <c r="V2268" s="55">
        <f t="shared" si="106"/>
        <v>0</v>
      </c>
      <c r="W2268" s="56">
        <f t="shared" si="107"/>
        <v>1275.1666666666667</v>
      </c>
    </row>
    <row r="2269" spans="1:23" x14ac:dyDescent="0.3">
      <c r="A2269" s="13" t="str" cm="1">
        <f t="array" ref="A2269:B2269">INDEX(BenchmarkResults!$B$1:$D$35,SUMPRODUCT((T2269&gt;=BenchmarkResults!$F$3:$F$35)*(mongodb_hardware_log!T2269&lt;BenchmarkResults!$G$3:$G$35)*ROW(BenchmarkResults!$F$3:$F$35)),{1,3})</f>
        <v>q6_inactive_customers</v>
      </c>
      <c r="B2269">
        <v>1</v>
      </c>
      <c r="C2269" s="13">
        <v>1</v>
      </c>
      <c r="D2269" s="13">
        <v>0</v>
      </c>
      <c r="E2269" s="13">
        <v>202496</v>
      </c>
      <c r="F2269" s="13">
        <v>159644</v>
      </c>
      <c r="G2269" s="13">
        <v>1488</v>
      </c>
      <c r="H2269" s="13">
        <v>2247532</v>
      </c>
      <c r="I2269" s="13">
        <v>1</v>
      </c>
      <c r="J2269" s="13">
        <v>0</v>
      </c>
      <c r="K2269" s="13">
        <v>1438</v>
      </c>
      <c r="L2269" s="13">
        <v>1584</v>
      </c>
      <c r="M2269" s="13">
        <v>752</v>
      </c>
      <c r="N2269" s="13">
        <v>228</v>
      </c>
      <c r="O2269" s="13">
        <v>33</v>
      </c>
      <c r="P2269" s="13">
        <v>1</v>
      </c>
      <c r="Q2269" s="13">
        <v>63</v>
      </c>
      <c r="R2269" s="13">
        <v>2</v>
      </c>
      <c r="S2269" s="13">
        <v>1</v>
      </c>
      <c r="T2269" s="23">
        <v>46247.746712962966</v>
      </c>
      <c r="U2269" s="55">
        <f t="shared" si="105"/>
        <v>1</v>
      </c>
      <c r="V2269" s="55">
        <f t="shared" si="106"/>
        <v>0</v>
      </c>
      <c r="W2269" s="56">
        <f t="shared" si="107"/>
        <v>1315.6666666666667</v>
      </c>
    </row>
    <row r="2270" spans="1:23" x14ac:dyDescent="0.3">
      <c r="A2270" s="13" t="str" cm="1">
        <f t="array" ref="A2270:B2270">INDEX(BenchmarkResults!$B$1:$D$35,SUMPRODUCT((T2270&gt;=BenchmarkResults!$F$3:$F$35)*(mongodb_hardware_log!T2270&lt;BenchmarkResults!$G$3:$G$35)*ROW(BenchmarkResults!$F$3:$F$35)),{1,3})</f>
        <v>q6_inactive_customers</v>
      </c>
      <c r="B2270">
        <v>1</v>
      </c>
      <c r="C2270" s="13">
        <v>1</v>
      </c>
      <c r="D2270" s="13">
        <v>0</v>
      </c>
      <c r="E2270" s="13">
        <v>202496</v>
      </c>
      <c r="F2270" s="13">
        <v>143012</v>
      </c>
      <c r="G2270" s="13">
        <v>1500</v>
      </c>
      <c r="H2270" s="13">
        <v>2258228</v>
      </c>
      <c r="I2270" s="13">
        <v>0</v>
      </c>
      <c r="J2270" s="13">
        <v>0</v>
      </c>
      <c r="K2270" s="13">
        <v>1072</v>
      </c>
      <c r="L2270" s="13">
        <v>10</v>
      </c>
      <c r="M2270" s="13">
        <v>773</v>
      </c>
      <c r="N2270" s="13">
        <v>221</v>
      </c>
      <c r="O2270" s="13">
        <v>32</v>
      </c>
      <c r="P2270" s="13">
        <v>1</v>
      </c>
      <c r="Q2270" s="13">
        <v>62</v>
      </c>
      <c r="R2270" s="13">
        <v>1</v>
      </c>
      <c r="S2270" s="13">
        <v>4</v>
      </c>
      <c r="T2270" s="23">
        <v>46247.746828703705</v>
      </c>
      <c r="U2270" s="55">
        <f t="shared" si="105"/>
        <v>1</v>
      </c>
      <c r="V2270" s="55">
        <f t="shared" si="106"/>
        <v>0</v>
      </c>
      <c r="W2270" s="56">
        <f t="shared" si="107"/>
        <v>1277.1666666666667</v>
      </c>
    </row>
    <row r="2271" spans="1:23" x14ac:dyDescent="0.3">
      <c r="A2271" s="13" t="str" cm="1">
        <f t="array" ref="A2271:B2271">INDEX(BenchmarkResults!$B$1:$D$35,SUMPRODUCT((T2271&gt;=BenchmarkResults!$F$3:$F$35)*(mongodb_hardware_log!T2271&lt;BenchmarkResults!$G$3:$G$35)*ROW(BenchmarkResults!$F$3:$F$35)),{1,3})</f>
        <v>q6_inactive_customers</v>
      </c>
      <c r="B2271">
        <v>1</v>
      </c>
      <c r="C2271" s="13">
        <v>1</v>
      </c>
      <c r="D2271" s="13">
        <v>0</v>
      </c>
      <c r="E2271" s="13">
        <v>202496</v>
      </c>
      <c r="F2271" s="13">
        <v>137248</v>
      </c>
      <c r="G2271" s="13">
        <v>1508</v>
      </c>
      <c r="H2271" s="13">
        <v>2267056</v>
      </c>
      <c r="I2271" s="13">
        <v>0</v>
      </c>
      <c r="J2271" s="13">
        <v>0</v>
      </c>
      <c r="K2271" s="13">
        <v>890</v>
      </c>
      <c r="L2271" s="13">
        <v>8</v>
      </c>
      <c r="M2271" s="13">
        <v>766</v>
      </c>
      <c r="N2271" s="13">
        <v>220</v>
      </c>
      <c r="O2271" s="13">
        <v>32</v>
      </c>
      <c r="P2271" s="13">
        <v>1</v>
      </c>
      <c r="Q2271" s="13">
        <v>63</v>
      </c>
      <c r="R2271" s="13">
        <v>1</v>
      </c>
      <c r="S2271" s="13">
        <v>4</v>
      </c>
      <c r="T2271" s="23">
        <v>46247.746944444443</v>
      </c>
      <c r="U2271" s="55">
        <f t="shared" si="105"/>
        <v>1</v>
      </c>
      <c r="V2271" s="55">
        <f t="shared" si="106"/>
        <v>0</v>
      </c>
      <c r="W2271" s="56">
        <f t="shared" si="107"/>
        <v>1176.5</v>
      </c>
    </row>
    <row r="2272" spans="1:23" x14ac:dyDescent="0.3">
      <c r="A2272" s="13" t="str" cm="1">
        <f t="array" ref="A2272:B2272">INDEX(BenchmarkResults!$B$1:$D$35,SUMPRODUCT((T2272&gt;=BenchmarkResults!$F$3:$F$35)*(mongodb_hardware_log!T2272&lt;BenchmarkResults!$G$3:$G$35)*ROW(BenchmarkResults!$F$3:$F$35)),{1,3})</f>
        <v>q6_inactive_customers</v>
      </c>
      <c r="B2272">
        <v>1</v>
      </c>
      <c r="C2272" s="13">
        <v>1</v>
      </c>
      <c r="D2272" s="13">
        <v>0</v>
      </c>
      <c r="E2272" s="13">
        <v>202496</v>
      </c>
      <c r="F2272" s="13">
        <v>120868</v>
      </c>
      <c r="G2272" s="13">
        <v>1516</v>
      </c>
      <c r="H2272" s="13">
        <v>2282688</v>
      </c>
      <c r="I2272" s="13">
        <v>1</v>
      </c>
      <c r="J2272" s="13">
        <v>0</v>
      </c>
      <c r="K2272" s="13">
        <v>958</v>
      </c>
      <c r="L2272" s="13">
        <v>11</v>
      </c>
      <c r="M2272" s="13">
        <v>737</v>
      </c>
      <c r="N2272" s="13">
        <v>204</v>
      </c>
      <c r="O2272" s="13">
        <v>33</v>
      </c>
      <c r="P2272" s="13">
        <v>1</v>
      </c>
      <c r="Q2272" s="13">
        <v>63</v>
      </c>
      <c r="R2272" s="13">
        <v>0</v>
      </c>
      <c r="S2272" s="13">
        <v>3</v>
      </c>
      <c r="T2272" s="23">
        <v>46247.747060185182</v>
      </c>
      <c r="U2272" s="55">
        <f t="shared" si="105"/>
        <v>1</v>
      </c>
      <c r="V2272" s="55">
        <f t="shared" si="106"/>
        <v>0</v>
      </c>
      <c r="W2272" s="56">
        <f t="shared" si="107"/>
        <v>1197.3333333333333</v>
      </c>
    </row>
    <row r="2273" spans="1:23" x14ac:dyDescent="0.3">
      <c r="A2273" s="13" t="str" cm="1">
        <f t="array" ref="A2273:B2273">INDEX(BenchmarkResults!$B$1:$D$35,SUMPRODUCT((T2273&gt;=BenchmarkResults!$F$3:$F$35)*(mongodb_hardware_log!T2273&lt;BenchmarkResults!$G$3:$G$35)*ROW(BenchmarkResults!$F$3:$F$35)),{1,3})</f>
        <v>q6_inactive_customers</v>
      </c>
      <c r="B2273">
        <v>1</v>
      </c>
      <c r="C2273" s="13">
        <v>1</v>
      </c>
      <c r="D2273" s="13">
        <v>0</v>
      </c>
      <c r="E2273" s="13">
        <v>202496</v>
      </c>
      <c r="F2273" s="13">
        <v>146580</v>
      </c>
      <c r="G2273" s="13">
        <v>1416</v>
      </c>
      <c r="H2273" s="13">
        <v>2252216</v>
      </c>
      <c r="I2273" s="13">
        <v>1</v>
      </c>
      <c r="J2273" s="13">
        <v>0</v>
      </c>
      <c r="K2273" s="13">
        <v>1516</v>
      </c>
      <c r="L2273" s="13">
        <v>15</v>
      </c>
      <c r="M2273" s="13">
        <v>751</v>
      </c>
      <c r="N2273" s="13">
        <v>229</v>
      </c>
      <c r="O2273" s="13">
        <v>34</v>
      </c>
      <c r="P2273" s="13">
        <v>3</v>
      </c>
      <c r="Q2273" s="13">
        <v>62</v>
      </c>
      <c r="R2273" s="13">
        <v>1</v>
      </c>
      <c r="S2273" s="13">
        <v>1</v>
      </c>
      <c r="T2273" s="23">
        <v>46247.747175925928</v>
      </c>
      <c r="U2273" s="55">
        <f t="shared" si="105"/>
        <v>1</v>
      </c>
      <c r="V2273" s="55">
        <f t="shared" si="106"/>
        <v>0</v>
      </c>
      <c r="W2273" s="56">
        <f t="shared" si="107"/>
        <v>1192.6666666666667</v>
      </c>
    </row>
    <row r="2274" spans="1:23" x14ac:dyDescent="0.3">
      <c r="A2274" s="13" t="str" cm="1">
        <f t="array" ref="A2274:B2274">INDEX(BenchmarkResults!$B$1:$D$35,SUMPRODUCT((T2274&gt;=BenchmarkResults!$F$3:$F$35)*(mongodb_hardware_log!T2274&lt;BenchmarkResults!$G$3:$G$35)*ROW(BenchmarkResults!$F$3:$F$35)),{1,3})</f>
        <v>q6_inactive_customers</v>
      </c>
      <c r="B2274">
        <v>1</v>
      </c>
      <c r="C2274" s="13">
        <v>1</v>
      </c>
      <c r="D2274" s="13">
        <v>0</v>
      </c>
      <c r="E2274" s="13">
        <v>202496</v>
      </c>
      <c r="F2274" s="13">
        <v>139928</v>
      </c>
      <c r="G2274" s="13">
        <v>1424</v>
      </c>
      <c r="H2274" s="13">
        <v>2265620</v>
      </c>
      <c r="I2274" s="13">
        <v>0</v>
      </c>
      <c r="J2274" s="13">
        <v>0</v>
      </c>
      <c r="K2274" s="13">
        <v>1335</v>
      </c>
      <c r="L2274" s="13">
        <v>10</v>
      </c>
      <c r="M2274" s="13">
        <v>744</v>
      </c>
      <c r="N2274" s="13">
        <v>221</v>
      </c>
      <c r="O2274" s="13">
        <v>34</v>
      </c>
      <c r="P2274" s="13">
        <v>1</v>
      </c>
      <c r="Q2274" s="13">
        <v>63</v>
      </c>
      <c r="R2274" s="13">
        <v>0</v>
      </c>
      <c r="S2274" s="13">
        <v>1</v>
      </c>
      <c r="T2274" s="23">
        <v>46247.747291666667</v>
      </c>
      <c r="U2274" s="55">
        <f t="shared" si="105"/>
        <v>1</v>
      </c>
      <c r="V2274" s="55">
        <f t="shared" si="106"/>
        <v>0</v>
      </c>
      <c r="W2274" s="56">
        <f t="shared" si="107"/>
        <v>1201.5</v>
      </c>
    </row>
    <row r="2275" spans="1:23" x14ac:dyDescent="0.3">
      <c r="A2275" s="13" t="str" cm="1">
        <f t="array" ref="A2275:B2275">INDEX(BenchmarkResults!$B$1:$D$35,SUMPRODUCT((T2275&gt;=BenchmarkResults!$F$3:$F$35)*(mongodb_hardware_log!T2275&lt;BenchmarkResults!$G$3:$G$35)*ROW(BenchmarkResults!$F$3:$F$35)),{1,3})</f>
        <v>q6_inactive_customers</v>
      </c>
      <c r="B2275">
        <v>1</v>
      </c>
      <c r="C2275" s="13">
        <v>1</v>
      </c>
      <c r="D2275" s="13">
        <v>0</v>
      </c>
      <c r="E2275" s="13">
        <v>202496</v>
      </c>
      <c r="F2275" s="13">
        <v>121712</v>
      </c>
      <c r="G2275" s="13">
        <v>1456</v>
      </c>
      <c r="H2275" s="13">
        <v>2283276</v>
      </c>
      <c r="I2275" s="13">
        <v>1</v>
      </c>
      <c r="J2275" s="13">
        <v>0</v>
      </c>
      <c r="K2275" s="13">
        <v>1763</v>
      </c>
      <c r="L2275" s="13">
        <v>26</v>
      </c>
      <c r="M2275" s="13">
        <v>741</v>
      </c>
      <c r="N2275" s="13">
        <v>230</v>
      </c>
      <c r="O2275" s="13">
        <v>33</v>
      </c>
      <c r="P2275" s="13">
        <v>1</v>
      </c>
      <c r="Q2275" s="13">
        <v>65</v>
      </c>
      <c r="R2275" s="13">
        <v>1</v>
      </c>
      <c r="S2275" s="13">
        <v>0</v>
      </c>
      <c r="T2275" s="23">
        <v>46247.747407407405</v>
      </c>
      <c r="U2275" s="55">
        <f t="shared" si="105"/>
        <v>1</v>
      </c>
      <c r="V2275" s="55">
        <f t="shared" si="106"/>
        <v>0</v>
      </c>
      <c r="W2275" s="56">
        <f t="shared" si="107"/>
        <v>1255.6666666666667</v>
      </c>
    </row>
    <row r="2276" spans="1:23" x14ac:dyDescent="0.3">
      <c r="A2276" s="13" t="str" cm="1">
        <f t="array" ref="A2276:B2276">INDEX(BenchmarkResults!$B$1:$D$35,SUMPRODUCT((T2276&gt;=BenchmarkResults!$F$3:$F$35)*(mongodb_hardware_log!T2276&lt;BenchmarkResults!$G$3:$G$35)*ROW(BenchmarkResults!$F$3:$F$35)),{1,3})</f>
        <v>q6_inactive_customers</v>
      </c>
      <c r="B2276">
        <v>1</v>
      </c>
      <c r="C2276" s="13">
        <v>1</v>
      </c>
      <c r="D2276" s="13">
        <v>0</v>
      </c>
      <c r="E2276" s="13">
        <v>202496</v>
      </c>
      <c r="F2276" s="13">
        <v>109560</v>
      </c>
      <c r="G2276" s="13">
        <v>1480</v>
      </c>
      <c r="H2276" s="13">
        <v>2295148</v>
      </c>
      <c r="I2276" s="13">
        <v>0</v>
      </c>
      <c r="J2276" s="13">
        <v>0</v>
      </c>
      <c r="K2276" s="13">
        <v>1190</v>
      </c>
      <c r="L2276" s="13">
        <v>1602</v>
      </c>
      <c r="M2276" s="13">
        <v>745</v>
      </c>
      <c r="N2276" s="13">
        <v>230</v>
      </c>
      <c r="O2276" s="13">
        <v>33</v>
      </c>
      <c r="P2276" s="13">
        <v>1</v>
      </c>
      <c r="Q2276" s="13">
        <v>63</v>
      </c>
      <c r="R2276" s="13">
        <v>2</v>
      </c>
      <c r="S2276" s="13">
        <v>1</v>
      </c>
      <c r="T2276" s="23">
        <v>46247.747523148151</v>
      </c>
      <c r="U2276" s="55">
        <f t="shared" si="105"/>
        <v>1</v>
      </c>
      <c r="V2276" s="55">
        <f t="shared" si="106"/>
        <v>0</v>
      </c>
      <c r="W2276" s="56">
        <f t="shared" si="107"/>
        <v>1275.3333333333333</v>
      </c>
    </row>
    <row r="2277" spans="1:23" x14ac:dyDescent="0.3">
      <c r="A2277" s="13" t="str" cm="1">
        <f t="array" ref="A2277:B2277">INDEX(BenchmarkResults!$B$1:$D$35,SUMPRODUCT((T2277&gt;=BenchmarkResults!$F$3:$F$35)*(mongodb_hardware_log!T2277&lt;BenchmarkResults!$G$3:$G$35)*ROW(BenchmarkResults!$F$3:$F$35)),{1,3})</f>
        <v>q6_inactive_customers</v>
      </c>
      <c r="B2277">
        <v>1</v>
      </c>
      <c r="C2277" s="13">
        <v>1</v>
      </c>
      <c r="D2277" s="13">
        <v>0</v>
      </c>
      <c r="E2277" s="13">
        <v>202496</v>
      </c>
      <c r="F2277" s="13">
        <v>150652</v>
      </c>
      <c r="G2277" s="13">
        <v>1488</v>
      </c>
      <c r="H2277" s="13">
        <v>2255492</v>
      </c>
      <c r="I2277" s="13">
        <v>0</v>
      </c>
      <c r="J2277" s="13">
        <v>0</v>
      </c>
      <c r="K2277" s="13">
        <v>1489</v>
      </c>
      <c r="L2277" s="13">
        <v>7</v>
      </c>
      <c r="M2277" s="13">
        <v>725</v>
      </c>
      <c r="N2277" s="13">
        <v>204</v>
      </c>
      <c r="O2277" s="13">
        <v>34</v>
      </c>
      <c r="P2277" s="13">
        <v>1</v>
      </c>
      <c r="Q2277" s="13">
        <v>64</v>
      </c>
      <c r="R2277" s="13">
        <v>0</v>
      </c>
      <c r="S2277" s="13">
        <v>1</v>
      </c>
      <c r="T2277" s="23">
        <v>46247.74763888889</v>
      </c>
      <c r="U2277" s="55">
        <f t="shared" si="105"/>
        <v>1</v>
      </c>
      <c r="V2277" s="55">
        <f t="shared" si="106"/>
        <v>0</v>
      </c>
      <c r="W2277" s="56">
        <f t="shared" si="107"/>
        <v>1375.1666666666667</v>
      </c>
    </row>
    <row r="2278" spans="1:23" x14ac:dyDescent="0.3">
      <c r="A2278" s="13" t="str" cm="1">
        <f t="array" ref="A2278:B2278">INDEX(BenchmarkResults!$B$1:$D$35,SUMPRODUCT((T2278&gt;=BenchmarkResults!$F$3:$F$35)*(mongodb_hardware_log!T2278&lt;BenchmarkResults!$G$3:$G$35)*ROW(BenchmarkResults!$F$3:$F$35)),{1,3})</f>
        <v>q6_inactive_customers</v>
      </c>
      <c r="B2278">
        <v>1</v>
      </c>
      <c r="C2278" s="13">
        <v>1</v>
      </c>
      <c r="D2278" s="13">
        <v>0</v>
      </c>
      <c r="E2278" s="13">
        <v>202496</v>
      </c>
      <c r="F2278" s="13">
        <v>118648</v>
      </c>
      <c r="G2278" s="13">
        <v>1496</v>
      </c>
      <c r="H2278" s="13">
        <v>2283460</v>
      </c>
      <c r="I2278" s="13">
        <v>0</v>
      </c>
      <c r="J2278" s="13">
        <v>0</v>
      </c>
      <c r="K2278" s="13">
        <v>1242</v>
      </c>
      <c r="L2278" s="13">
        <v>10</v>
      </c>
      <c r="M2278" s="13">
        <v>706</v>
      </c>
      <c r="N2278" s="13">
        <v>191</v>
      </c>
      <c r="O2278" s="13">
        <v>33</v>
      </c>
      <c r="P2278" s="13">
        <v>1</v>
      </c>
      <c r="Q2278" s="13">
        <v>65</v>
      </c>
      <c r="R2278" s="13">
        <v>1</v>
      </c>
      <c r="S2278" s="13">
        <v>0</v>
      </c>
      <c r="T2278" s="23">
        <v>46247.747754629629</v>
      </c>
      <c r="U2278" s="55">
        <f t="shared" si="105"/>
        <v>1</v>
      </c>
      <c r="V2278" s="55">
        <f t="shared" si="106"/>
        <v>0</v>
      </c>
      <c r="W2278" s="56">
        <f t="shared" si="107"/>
        <v>1422.5</v>
      </c>
    </row>
    <row r="2279" spans="1:23" x14ac:dyDescent="0.3">
      <c r="A2279" s="13" t="str" cm="1">
        <f t="array" ref="A2279:B2279">INDEX(BenchmarkResults!$B$1:$D$35,SUMPRODUCT((T2279&gt;=BenchmarkResults!$F$3:$F$35)*(mongodb_hardware_log!T2279&lt;BenchmarkResults!$G$3:$G$35)*ROW(BenchmarkResults!$F$3:$F$35)),{1,3})</f>
        <v>q6_inactive_customers</v>
      </c>
      <c r="B2279">
        <v>1</v>
      </c>
      <c r="C2279" s="13">
        <v>1</v>
      </c>
      <c r="D2279" s="13">
        <v>0</v>
      </c>
      <c r="E2279" s="13">
        <v>202496</v>
      </c>
      <c r="F2279" s="13">
        <v>110080</v>
      </c>
      <c r="G2279" s="13">
        <v>1504</v>
      </c>
      <c r="H2279" s="13">
        <v>2295648</v>
      </c>
      <c r="I2279" s="13">
        <v>0</v>
      </c>
      <c r="J2279" s="13">
        <v>0</v>
      </c>
      <c r="K2279" s="13">
        <v>1213</v>
      </c>
      <c r="L2279" s="13">
        <v>1570</v>
      </c>
      <c r="M2279" s="13">
        <v>730</v>
      </c>
      <c r="N2279" s="13">
        <v>213</v>
      </c>
      <c r="O2279" s="13">
        <v>34</v>
      </c>
      <c r="P2279" s="13">
        <v>1</v>
      </c>
      <c r="Q2279" s="13">
        <v>63</v>
      </c>
      <c r="R2279" s="13">
        <v>2</v>
      </c>
      <c r="S2279" s="13">
        <v>1</v>
      </c>
      <c r="T2279" s="23">
        <v>46247.747870370367</v>
      </c>
      <c r="U2279" s="55">
        <f t="shared" si="105"/>
        <v>1</v>
      </c>
      <c r="V2279" s="55">
        <f t="shared" si="106"/>
        <v>0</v>
      </c>
      <c r="W2279" s="56">
        <f t="shared" si="107"/>
        <v>1372</v>
      </c>
    </row>
    <row r="2280" spans="1:23" x14ac:dyDescent="0.3">
      <c r="A2280" s="13" t="str" cm="1">
        <f t="array" ref="A2280:B2280">INDEX(BenchmarkResults!$B$1:$D$35,SUMPRODUCT((T2280&gt;=BenchmarkResults!$F$3:$F$35)*(mongodb_hardware_log!T2280&lt;BenchmarkResults!$G$3:$G$35)*ROW(BenchmarkResults!$F$3:$F$35)),{1,3})</f>
        <v>q6_inactive_customers</v>
      </c>
      <c r="B2280">
        <v>1</v>
      </c>
      <c r="C2280" s="13">
        <v>1</v>
      </c>
      <c r="D2280" s="13">
        <v>0</v>
      </c>
      <c r="E2280" s="13">
        <v>202496</v>
      </c>
      <c r="F2280" s="13">
        <v>154876</v>
      </c>
      <c r="G2280" s="13">
        <v>1524</v>
      </c>
      <c r="H2280" s="13">
        <v>2255552</v>
      </c>
      <c r="I2280" s="13">
        <v>0</v>
      </c>
      <c r="J2280" s="13">
        <v>0</v>
      </c>
      <c r="K2280" s="13">
        <v>1442</v>
      </c>
      <c r="L2280" s="13">
        <v>16</v>
      </c>
      <c r="M2280" s="13">
        <v>738</v>
      </c>
      <c r="N2280" s="13">
        <v>211</v>
      </c>
      <c r="O2280" s="13">
        <v>33</v>
      </c>
      <c r="P2280" s="13">
        <v>1</v>
      </c>
      <c r="Q2280" s="13">
        <v>64</v>
      </c>
      <c r="R2280" s="13">
        <v>0</v>
      </c>
      <c r="S2280" s="13">
        <v>1</v>
      </c>
      <c r="T2280" s="23">
        <v>46247.747986111113</v>
      </c>
      <c r="U2280" s="55">
        <f t="shared" si="105"/>
        <v>1</v>
      </c>
      <c r="V2280" s="55">
        <f t="shared" si="106"/>
        <v>0</v>
      </c>
      <c r="W2280" s="56">
        <f t="shared" si="107"/>
        <v>1389.8333333333333</v>
      </c>
    </row>
    <row r="2281" spans="1:23" x14ac:dyDescent="0.3">
      <c r="A2281" s="13" t="str" cm="1">
        <f t="array" ref="A2281:B2281">INDEX(BenchmarkResults!$B$1:$D$35,SUMPRODUCT((T2281&gt;=BenchmarkResults!$F$3:$F$35)*(mongodb_hardware_log!T2281&lt;BenchmarkResults!$G$3:$G$35)*ROW(BenchmarkResults!$F$3:$F$35)),{1,3})</f>
        <v>q6_inactive_customers</v>
      </c>
      <c r="B2281">
        <v>1</v>
      </c>
      <c r="C2281" s="13">
        <v>2</v>
      </c>
      <c r="D2281" s="13">
        <v>0</v>
      </c>
      <c r="E2281" s="13">
        <v>202496</v>
      </c>
      <c r="F2281" s="13">
        <v>143284</v>
      </c>
      <c r="G2281" s="13">
        <v>1548</v>
      </c>
      <c r="H2281" s="13">
        <v>2267420</v>
      </c>
      <c r="I2281" s="13">
        <v>2</v>
      </c>
      <c r="J2281" s="13">
        <v>0</v>
      </c>
      <c r="K2281" s="13">
        <v>1192</v>
      </c>
      <c r="L2281" s="13">
        <v>21</v>
      </c>
      <c r="M2281" s="13">
        <v>754</v>
      </c>
      <c r="N2281" s="13">
        <v>231</v>
      </c>
      <c r="O2281" s="13">
        <v>34</v>
      </c>
      <c r="P2281" s="13">
        <v>1</v>
      </c>
      <c r="Q2281" s="13">
        <v>63</v>
      </c>
      <c r="R2281" s="13">
        <v>0</v>
      </c>
      <c r="S2281" s="13">
        <v>2</v>
      </c>
      <c r="T2281" s="23">
        <v>46247.748101851852</v>
      </c>
      <c r="U2281" s="55">
        <f t="shared" si="105"/>
        <v>1.1666666666666667</v>
      </c>
      <c r="V2281" s="55">
        <f t="shared" si="106"/>
        <v>0</v>
      </c>
      <c r="W2281" s="56">
        <f t="shared" si="107"/>
        <v>1294.6666666666667</v>
      </c>
    </row>
    <row r="2282" spans="1:23" x14ac:dyDescent="0.3">
      <c r="A2282" s="13" t="str" cm="1">
        <f t="array" ref="A2282:B2282">INDEX(BenchmarkResults!$B$1:$D$35,SUMPRODUCT((T2282&gt;=BenchmarkResults!$F$3:$F$35)*(mongodb_hardware_log!T2282&lt;BenchmarkResults!$G$3:$G$35)*ROW(BenchmarkResults!$F$3:$F$35)),{1,3})</f>
        <v>q6_inactive_customers</v>
      </c>
      <c r="B2282">
        <v>1</v>
      </c>
      <c r="C2282" s="13">
        <v>1</v>
      </c>
      <c r="D2282" s="13">
        <v>0</v>
      </c>
      <c r="E2282" s="13">
        <v>202496</v>
      </c>
      <c r="F2282" s="13">
        <v>127408</v>
      </c>
      <c r="G2282" s="13">
        <v>1556</v>
      </c>
      <c r="H2282" s="13">
        <v>2282336</v>
      </c>
      <c r="I2282" s="13">
        <v>0</v>
      </c>
      <c r="J2282" s="13">
        <v>0</v>
      </c>
      <c r="K2282" s="13">
        <v>1487</v>
      </c>
      <c r="L2282" s="13">
        <v>11</v>
      </c>
      <c r="M2282" s="13">
        <v>734</v>
      </c>
      <c r="N2282" s="13">
        <v>217</v>
      </c>
      <c r="O2282" s="13">
        <v>33</v>
      </c>
      <c r="P2282" s="13">
        <v>1</v>
      </c>
      <c r="Q2282" s="13">
        <v>64</v>
      </c>
      <c r="R2282" s="13">
        <v>1</v>
      </c>
      <c r="S2282" s="13">
        <v>1</v>
      </c>
      <c r="T2282" s="23">
        <v>46247.748217592591</v>
      </c>
      <c r="U2282" s="55">
        <f t="shared" si="105"/>
        <v>1.1666666666666667</v>
      </c>
      <c r="V2282" s="55">
        <f t="shared" si="106"/>
        <v>0</v>
      </c>
      <c r="W2282" s="56">
        <f t="shared" si="107"/>
        <v>1344.1666666666667</v>
      </c>
    </row>
    <row r="2283" spans="1:23" x14ac:dyDescent="0.3">
      <c r="A2283" s="13" t="str" cm="1">
        <f t="array" ref="A2283:B2283">INDEX(BenchmarkResults!$B$1:$D$35,SUMPRODUCT((T2283&gt;=BenchmarkResults!$F$3:$F$35)*(mongodb_hardware_log!T2283&lt;BenchmarkResults!$G$3:$G$35)*ROW(BenchmarkResults!$F$3:$F$35)),{1,3})</f>
        <v>q6_inactive_customers</v>
      </c>
      <c r="B2283">
        <v>1</v>
      </c>
      <c r="C2283" s="13">
        <v>1</v>
      </c>
      <c r="D2283" s="13">
        <v>0</v>
      </c>
      <c r="E2283" s="13">
        <v>202496</v>
      </c>
      <c r="F2283" s="13">
        <v>115564</v>
      </c>
      <c r="G2283" s="13">
        <v>1564</v>
      </c>
      <c r="H2283" s="13">
        <v>2295496</v>
      </c>
      <c r="I2283" s="13">
        <v>1</v>
      </c>
      <c r="J2283" s="13">
        <v>0</v>
      </c>
      <c r="K2283" s="13">
        <v>1315</v>
      </c>
      <c r="L2283" s="13">
        <v>13</v>
      </c>
      <c r="M2283" s="13">
        <v>733</v>
      </c>
      <c r="N2283" s="13">
        <v>218</v>
      </c>
      <c r="O2283" s="13">
        <v>34</v>
      </c>
      <c r="P2283" s="13">
        <v>1</v>
      </c>
      <c r="Q2283" s="13">
        <v>64</v>
      </c>
      <c r="R2283" s="13">
        <v>1</v>
      </c>
      <c r="S2283" s="13">
        <v>1</v>
      </c>
      <c r="T2283" s="23">
        <v>46247.748333333337</v>
      </c>
      <c r="U2283" s="55">
        <f t="shared" si="105"/>
        <v>1.1666666666666667</v>
      </c>
      <c r="V2283" s="55">
        <f t="shared" si="106"/>
        <v>0</v>
      </c>
      <c r="W2283" s="56">
        <f t="shared" si="107"/>
        <v>1315.1666666666667</v>
      </c>
    </row>
    <row r="2284" spans="1:23" x14ac:dyDescent="0.3">
      <c r="A2284" s="13" t="str" cm="1">
        <f t="array" ref="A2284:B2284">INDEX(BenchmarkResults!$B$1:$D$35,SUMPRODUCT((T2284&gt;=BenchmarkResults!$F$3:$F$35)*(mongodb_hardware_log!T2284&lt;BenchmarkResults!$G$3:$G$35)*ROW(BenchmarkResults!$F$3:$F$35)),{1,3})</f>
        <v>q6_inactive_customers</v>
      </c>
      <c r="B2284">
        <v>1</v>
      </c>
      <c r="C2284" s="13">
        <v>1</v>
      </c>
      <c r="D2284" s="13">
        <v>0</v>
      </c>
      <c r="E2284" s="13">
        <v>202496</v>
      </c>
      <c r="F2284" s="13">
        <v>137556</v>
      </c>
      <c r="G2284" s="13">
        <v>1580</v>
      </c>
      <c r="H2284" s="13">
        <v>2266380</v>
      </c>
      <c r="I2284" s="13">
        <v>0</v>
      </c>
      <c r="J2284" s="13">
        <v>0</v>
      </c>
      <c r="K2284" s="13">
        <v>958</v>
      </c>
      <c r="L2284" s="13">
        <v>16</v>
      </c>
      <c r="M2284" s="13">
        <v>712</v>
      </c>
      <c r="N2284" s="13">
        <v>200</v>
      </c>
      <c r="O2284" s="13">
        <v>33</v>
      </c>
      <c r="P2284" s="13">
        <v>1</v>
      </c>
      <c r="Q2284" s="13">
        <v>65</v>
      </c>
      <c r="R2284" s="13">
        <v>1</v>
      </c>
      <c r="S2284" s="13">
        <v>0</v>
      </c>
      <c r="T2284" s="23">
        <v>46247.748449074075</v>
      </c>
      <c r="U2284" s="55">
        <f t="shared" si="105"/>
        <v>1.1666666666666667</v>
      </c>
      <c r="V2284" s="55">
        <f t="shared" si="106"/>
        <v>0</v>
      </c>
      <c r="W2284" s="56">
        <f t="shared" si="107"/>
        <v>1267.8333333333333</v>
      </c>
    </row>
    <row r="2285" spans="1:23" x14ac:dyDescent="0.3">
      <c r="A2285" s="13" t="str" cm="1">
        <f t="array" ref="A2285:B2285">INDEX(BenchmarkResults!$B$1:$D$35,SUMPRODUCT((T2285&gt;=BenchmarkResults!$F$3:$F$35)*(mongodb_hardware_log!T2285&lt;BenchmarkResults!$G$3:$G$35)*ROW(BenchmarkResults!$F$3:$F$35)),{1,3})</f>
        <v>q6_inactive_customers</v>
      </c>
      <c r="B2285">
        <v>1</v>
      </c>
      <c r="C2285" s="13">
        <v>1</v>
      </c>
      <c r="D2285" s="13">
        <v>0</v>
      </c>
      <c r="E2285" s="13">
        <v>202496</v>
      </c>
      <c r="F2285" s="13">
        <v>725456</v>
      </c>
      <c r="G2285" s="13">
        <v>1588</v>
      </c>
      <c r="H2285" s="13">
        <v>1681528</v>
      </c>
      <c r="I2285" s="13">
        <v>0</v>
      </c>
      <c r="J2285" s="13">
        <v>0</v>
      </c>
      <c r="K2285" s="13">
        <v>1086</v>
      </c>
      <c r="L2285" s="13">
        <v>7</v>
      </c>
      <c r="M2285" s="13">
        <v>1021</v>
      </c>
      <c r="N2285" s="13">
        <v>450</v>
      </c>
      <c r="O2285" s="13">
        <v>38</v>
      </c>
      <c r="P2285" s="13">
        <v>11</v>
      </c>
      <c r="Q2285" s="13">
        <v>51</v>
      </c>
      <c r="R2285" s="13">
        <v>0</v>
      </c>
      <c r="S2285" s="13">
        <v>1</v>
      </c>
      <c r="T2285" s="23">
        <v>46247.748564814814</v>
      </c>
      <c r="U2285" s="55">
        <f t="shared" si="105"/>
        <v>1.1666666666666667</v>
      </c>
      <c r="V2285" s="55">
        <f t="shared" si="106"/>
        <v>0</v>
      </c>
      <c r="W2285" s="56">
        <f t="shared" si="107"/>
        <v>1246.6666666666667</v>
      </c>
    </row>
    <row r="2286" spans="1:23" x14ac:dyDescent="0.3">
      <c r="A2286" s="13" t="str" cm="1">
        <f t="array" ref="A2286:B2286">INDEX(BenchmarkResults!$B$1:$D$35,SUMPRODUCT((T2286&gt;=BenchmarkResults!$F$3:$F$35)*(mongodb_hardware_log!T2286&lt;BenchmarkResults!$G$3:$G$35)*ROW(BenchmarkResults!$F$3:$F$35)),{1,3})</f>
        <v>q6_inactive_customers</v>
      </c>
      <c r="B2286">
        <v>1</v>
      </c>
      <c r="C2286" s="13">
        <v>1</v>
      </c>
      <c r="D2286" s="13">
        <v>0</v>
      </c>
      <c r="E2286" s="13">
        <v>202496</v>
      </c>
      <c r="F2286" s="13">
        <v>703688</v>
      </c>
      <c r="G2286" s="13">
        <v>1596</v>
      </c>
      <c r="H2286" s="13">
        <v>1698824</v>
      </c>
      <c r="I2286" s="13">
        <v>0</v>
      </c>
      <c r="J2286" s="13">
        <v>0</v>
      </c>
      <c r="K2286" s="13">
        <v>1724</v>
      </c>
      <c r="L2286" s="13">
        <v>835</v>
      </c>
      <c r="M2286" s="13">
        <v>741</v>
      </c>
      <c r="N2286" s="13">
        <v>213</v>
      </c>
      <c r="O2286" s="13">
        <v>33</v>
      </c>
      <c r="P2286" s="13">
        <v>1</v>
      </c>
      <c r="Q2286" s="13">
        <v>64</v>
      </c>
      <c r="R2286" s="13">
        <v>2</v>
      </c>
      <c r="S2286" s="13">
        <v>1</v>
      </c>
      <c r="T2286" s="23">
        <v>46247.748680555553</v>
      </c>
      <c r="U2286" s="55">
        <f t="shared" si="105"/>
        <v>1.1666666666666667</v>
      </c>
      <c r="V2286" s="55">
        <f t="shared" si="106"/>
        <v>0</v>
      </c>
      <c r="W2286" s="56">
        <f t="shared" si="107"/>
        <v>1293.6666666666667</v>
      </c>
    </row>
    <row r="2287" spans="1:23" x14ac:dyDescent="0.3">
      <c r="A2287" s="13" t="str" cm="1">
        <f t="array" ref="A2287:B2287">INDEX(BenchmarkResults!$B$1:$D$35,SUMPRODUCT((T2287&gt;=BenchmarkResults!$F$3:$F$35)*(mongodb_hardware_log!T2287&lt;BenchmarkResults!$G$3:$G$35)*ROW(BenchmarkResults!$F$3:$F$35)),{1,3})</f>
        <v>q6_inactive_customers</v>
      </c>
      <c r="B2287">
        <v>1</v>
      </c>
      <c r="C2287" s="13">
        <v>1</v>
      </c>
      <c r="D2287" s="13">
        <v>0</v>
      </c>
      <c r="E2287" s="13">
        <v>202496</v>
      </c>
      <c r="F2287" s="13">
        <v>693860</v>
      </c>
      <c r="G2287" s="13">
        <v>1620</v>
      </c>
      <c r="H2287" s="13">
        <v>1715072</v>
      </c>
      <c r="I2287" s="13">
        <v>1</v>
      </c>
      <c r="J2287" s="13">
        <v>0</v>
      </c>
      <c r="K2287" s="13">
        <v>1622</v>
      </c>
      <c r="L2287" s="13">
        <v>766</v>
      </c>
      <c r="M2287" s="13">
        <v>739</v>
      </c>
      <c r="N2287" s="13">
        <v>226</v>
      </c>
      <c r="O2287" s="13">
        <v>33</v>
      </c>
      <c r="P2287" s="13">
        <v>1</v>
      </c>
      <c r="Q2287" s="13">
        <v>64</v>
      </c>
      <c r="R2287" s="13">
        <v>1</v>
      </c>
      <c r="S2287" s="13">
        <v>0</v>
      </c>
      <c r="T2287" s="23">
        <v>46247.748796296299</v>
      </c>
      <c r="U2287" s="55">
        <f t="shared" si="105"/>
        <v>1</v>
      </c>
      <c r="V2287" s="55">
        <f t="shared" si="106"/>
        <v>0</v>
      </c>
      <c r="W2287" s="56">
        <f t="shared" si="107"/>
        <v>1365.3333333333333</v>
      </c>
    </row>
    <row r="2288" spans="1:23" x14ac:dyDescent="0.3">
      <c r="A2288" s="13" t="str" cm="1">
        <f t="array" ref="A2288:B2288">INDEX(BenchmarkResults!$B$1:$D$35,SUMPRODUCT((T2288&gt;=BenchmarkResults!$F$3:$F$35)*(mongodb_hardware_log!T2288&lt;BenchmarkResults!$G$3:$G$35)*ROW(BenchmarkResults!$F$3:$F$35)),{1,3})</f>
        <v>q6_inactive_customers</v>
      </c>
      <c r="B2288">
        <v>1</v>
      </c>
      <c r="C2288" s="13">
        <v>1</v>
      </c>
      <c r="D2288" s="13">
        <v>0</v>
      </c>
      <c r="E2288" s="13">
        <v>202496</v>
      </c>
      <c r="F2288" s="13">
        <v>674960</v>
      </c>
      <c r="G2288" s="13">
        <v>1628</v>
      </c>
      <c r="H2288" s="13">
        <v>1734052</v>
      </c>
      <c r="I2288" s="13">
        <v>0</v>
      </c>
      <c r="J2288" s="13">
        <v>0</v>
      </c>
      <c r="K2288" s="13">
        <v>1902</v>
      </c>
      <c r="L2288" s="13">
        <v>11</v>
      </c>
      <c r="M2288" s="13">
        <v>718</v>
      </c>
      <c r="N2288" s="13">
        <v>213</v>
      </c>
      <c r="O2288" s="13">
        <v>33</v>
      </c>
      <c r="P2288" s="13">
        <v>1</v>
      </c>
      <c r="Q2288" s="13">
        <v>65</v>
      </c>
      <c r="R2288" s="13">
        <v>0</v>
      </c>
      <c r="S2288" s="13">
        <v>0</v>
      </c>
      <c r="T2288" s="23">
        <v>46247.748912037037</v>
      </c>
      <c r="U2288" s="55">
        <f t="shared" si="105"/>
        <v>1</v>
      </c>
      <c r="V2288" s="55">
        <f t="shared" si="106"/>
        <v>0</v>
      </c>
      <c r="W2288" s="56">
        <f t="shared" si="107"/>
        <v>1434.5</v>
      </c>
    </row>
    <row r="2289" spans="1:23" x14ac:dyDescent="0.3">
      <c r="A2289" s="13" t="str" cm="1">
        <f t="array" ref="A2289:B2289">INDEX(BenchmarkResults!$B$1:$D$35,SUMPRODUCT((T2289&gt;=BenchmarkResults!$F$3:$F$35)*(mongodb_hardware_log!T2289&lt;BenchmarkResults!$G$3:$G$35)*ROW(BenchmarkResults!$F$3:$F$35)),{1,3})</f>
        <v>q6_inactive_customers</v>
      </c>
      <c r="B2289">
        <v>1</v>
      </c>
      <c r="C2289" s="13">
        <v>1</v>
      </c>
      <c r="D2289" s="13">
        <v>0</v>
      </c>
      <c r="E2289" s="13">
        <v>202496</v>
      </c>
      <c r="F2289" s="13">
        <v>654548</v>
      </c>
      <c r="G2289" s="13">
        <v>1636</v>
      </c>
      <c r="H2289" s="13">
        <v>1755152</v>
      </c>
      <c r="I2289" s="13">
        <v>0</v>
      </c>
      <c r="J2289" s="13">
        <v>0</v>
      </c>
      <c r="K2289" s="13">
        <v>2111</v>
      </c>
      <c r="L2289" s="13">
        <v>12</v>
      </c>
      <c r="M2289" s="13">
        <v>726</v>
      </c>
      <c r="N2289" s="13">
        <v>210</v>
      </c>
      <c r="O2289" s="13">
        <v>33</v>
      </c>
      <c r="P2289" s="13">
        <v>1</v>
      </c>
      <c r="Q2289" s="13">
        <v>65</v>
      </c>
      <c r="R2289" s="13">
        <v>0</v>
      </c>
      <c r="S2289" s="13">
        <v>0</v>
      </c>
      <c r="T2289" s="23">
        <v>46247.749027777776</v>
      </c>
      <c r="U2289" s="55">
        <f t="shared" si="105"/>
        <v>1</v>
      </c>
      <c r="V2289" s="55">
        <f t="shared" si="106"/>
        <v>0</v>
      </c>
      <c r="W2289" s="56">
        <f t="shared" si="107"/>
        <v>1567.1666666666667</v>
      </c>
    </row>
    <row r="2290" spans="1:23" x14ac:dyDescent="0.3">
      <c r="A2290" s="13" t="str" cm="1">
        <f t="array" ref="A2290:B2290">INDEX(BenchmarkResults!$B$1:$D$35,SUMPRODUCT((T2290&gt;=BenchmarkResults!$F$3:$F$35)*(mongodb_hardware_log!T2290&lt;BenchmarkResults!$G$3:$G$35)*ROW(BenchmarkResults!$F$3:$F$35)),{1,3})</f>
        <v>q6_inactive_customers</v>
      </c>
      <c r="B2290">
        <v>1</v>
      </c>
      <c r="C2290" s="13">
        <v>1</v>
      </c>
      <c r="D2290" s="13">
        <v>0</v>
      </c>
      <c r="E2290" s="13">
        <v>202496</v>
      </c>
      <c r="F2290" s="13">
        <v>626208</v>
      </c>
      <c r="G2290" s="13">
        <v>1652</v>
      </c>
      <c r="H2290" s="13">
        <v>1779740</v>
      </c>
      <c r="I2290" s="13">
        <v>0</v>
      </c>
      <c r="J2290" s="13">
        <v>0</v>
      </c>
      <c r="K2290" s="13">
        <v>896</v>
      </c>
      <c r="L2290" s="13">
        <v>39</v>
      </c>
      <c r="M2290" s="13">
        <v>708</v>
      </c>
      <c r="N2290" s="13">
        <v>203</v>
      </c>
      <c r="O2290" s="13">
        <v>33</v>
      </c>
      <c r="P2290" s="13">
        <v>2</v>
      </c>
      <c r="Q2290" s="13">
        <v>64</v>
      </c>
      <c r="R2290" s="13">
        <v>0</v>
      </c>
      <c r="S2290" s="13">
        <v>0</v>
      </c>
      <c r="T2290" s="23">
        <v>46247.749143518522</v>
      </c>
      <c r="U2290" s="55">
        <f t="shared" si="105"/>
        <v>1</v>
      </c>
      <c r="V2290" s="55">
        <f t="shared" si="106"/>
        <v>0</v>
      </c>
      <c r="W2290" s="56">
        <f t="shared" si="107"/>
        <v>1556.8333333333333</v>
      </c>
    </row>
    <row r="2291" spans="1:23" x14ac:dyDescent="0.3">
      <c r="A2291" s="13" t="str" cm="1">
        <f t="array" ref="A2291:B2291">INDEX(BenchmarkResults!$B$1:$D$35,SUMPRODUCT((T2291&gt;=BenchmarkResults!$F$3:$F$35)*(mongodb_hardware_log!T2291&lt;BenchmarkResults!$G$3:$G$35)*ROW(BenchmarkResults!$F$3:$F$35)),{1,3})</f>
        <v>q6_inactive_customers</v>
      </c>
      <c r="B2291">
        <v>1</v>
      </c>
      <c r="C2291" s="13">
        <v>1</v>
      </c>
      <c r="D2291" s="13">
        <v>0</v>
      </c>
      <c r="E2291" s="13">
        <v>202496</v>
      </c>
      <c r="F2291" s="13">
        <v>631156</v>
      </c>
      <c r="G2291" s="13">
        <v>1660</v>
      </c>
      <c r="H2291" s="13">
        <v>1798364</v>
      </c>
      <c r="I2291" s="13">
        <v>0</v>
      </c>
      <c r="J2291" s="13">
        <v>0</v>
      </c>
      <c r="K2291" s="13">
        <v>1872</v>
      </c>
      <c r="L2291" s="13">
        <v>8</v>
      </c>
      <c r="M2291" s="13">
        <v>724</v>
      </c>
      <c r="N2291" s="13">
        <v>209</v>
      </c>
      <c r="O2291" s="13">
        <v>34</v>
      </c>
      <c r="P2291" s="13">
        <v>1</v>
      </c>
      <c r="Q2291" s="13">
        <v>64</v>
      </c>
      <c r="R2291" s="13">
        <v>0</v>
      </c>
      <c r="S2291" s="13">
        <v>0</v>
      </c>
      <c r="T2291" s="23">
        <v>46247.749259259261</v>
      </c>
      <c r="U2291" s="55">
        <f t="shared" si="105"/>
        <v>1</v>
      </c>
      <c r="V2291" s="55">
        <f t="shared" si="106"/>
        <v>0</v>
      </c>
      <c r="W2291" s="56">
        <f t="shared" si="107"/>
        <v>1687.8333333333333</v>
      </c>
    </row>
    <row r="2292" spans="1:23" x14ac:dyDescent="0.3">
      <c r="A2292" s="13" t="str" cm="1">
        <f t="array" ref="A2292:B2292">INDEX(BenchmarkResults!$B$1:$D$35,SUMPRODUCT((T2292&gt;=BenchmarkResults!$F$3:$F$35)*(mongodb_hardware_log!T2292&lt;BenchmarkResults!$G$3:$G$35)*ROW(BenchmarkResults!$F$3:$F$35)),{1,3})</f>
        <v>q6_inactive_customers</v>
      </c>
      <c r="B2292">
        <v>1</v>
      </c>
      <c r="C2292" s="13">
        <v>1</v>
      </c>
      <c r="D2292" s="13">
        <v>0</v>
      </c>
      <c r="E2292" s="13">
        <v>202496</v>
      </c>
      <c r="F2292" s="13">
        <v>614020</v>
      </c>
      <c r="G2292" s="13">
        <v>1676</v>
      </c>
      <c r="H2292" s="13">
        <v>1816804</v>
      </c>
      <c r="I2292" s="13">
        <v>0</v>
      </c>
      <c r="J2292" s="13">
        <v>0</v>
      </c>
      <c r="K2292" s="13">
        <v>1838</v>
      </c>
      <c r="L2292" s="13">
        <v>426</v>
      </c>
      <c r="M2292" s="13">
        <v>748</v>
      </c>
      <c r="N2292" s="13">
        <v>223</v>
      </c>
      <c r="O2292" s="13">
        <v>33</v>
      </c>
      <c r="P2292" s="13">
        <v>2</v>
      </c>
      <c r="Q2292" s="13">
        <v>65</v>
      </c>
      <c r="R2292" s="13">
        <v>1</v>
      </c>
      <c r="S2292" s="13">
        <v>0</v>
      </c>
      <c r="T2292" s="23">
        <v>46247.749374999999</v>
      </c>
      <c r="U2292" s="55">
        <f t="shared" si="105"/>
        <v>1</v>
      </c>
      <c r="V2292" s="55">
        <f t="shared" si="106"/>
        <v>0</v>
      </c>
      <c r="W2292" s="56">
        <f t="shared" si="107"/>
        <v>1706.8333333333333</v>
      </c>
    </row>
    <row r="2293" spans="1:23" x14ac:dyDescent="0.3">
      <c r="A2293" s="13" t="str" cm="1">
        <f t="array" ref="A2293:B2293">INDEX(BenchmarkResults!$B$1:$D$35,SUMPRODUCT((T2293&gt;=BenchmarkResults!$F$3:$F$35)*(mongodb_hardware_log!T2293&lt;BenchmarkResults!$G$3:$G$35)*ROW(BenchmarkResults!$F$3:$F$35)),{1,3})</f>
        <v>q6_inactive_customers</v>
      </c>
      <c r="B2293">
        <v>1</v>
      </c>
      <c r="C2293" s="13">
        <v>1</v>
      </c>
      <c r="D2293" s="13">
        <v>0</v>
      </c>
      <c r="E2293" s="13">
        <v>202240</v>
      </c>
      <c r="F2293" s="13">
        <v>599404</v>
      </c>
      <c r="G2293" s="13">
        <v>1732</v>
      </c>
      <c r="H2293" s="13">
        <v>1831464</v>
      </c>
      <c r="I2293" s="13">
        <v>1</v>
      </c>
      <c r="J2293" s="13">
        <v>0</v>
      </c>
      <c r="K2293" s="13">
        <v>1459</v>
      </c>
      <c r="L2293" s="13">
        <v>1181</v>
      </c>
      <c r="M2293" s="13">
        <v>737</v>
      </c>
      <c r="N2293" s="13">
        <v>227</v>
      </c>
      <c r="O2293" s="13">
        <v>33</v>
      </c>
      <c r="P2293" s="13">
        <v>1</v>
      </c>
      <c r="Q2293" s="13">
        <v>63</v>
      </c>
      <c r="R2293" s="13">
        <v>2</v>
      </c>
      <c r="S2293" s="13">
        <v>1</v>
      </c>
      <c r="T2293" s="23">
        <v>46247.749490740738</v>
      </c>
      <c r="U2293" s="55">
        <f t="shared" si="105"/>
        <v>1</v>
      </c>
      <c r="V2293" s="55">
        <f t="shared" si="106"/>
        <v>0</v>
      </c>
      <c r="W2293" s="56">
        <f t="shared" si="107"/>
        <v>1679.6666666666667</v>
      </c>
    </row>
    <row r="2294" spans="1:23" x14ac:dyDescent="0.3">
      <c r="A2294" s="13" t="str" cm="1">
        <f t="array" ref="A2294:B2294">INDEX(BenchmarkResults!$B$1:$D$35,SUMPRODUCT((T2294&gt;=BenchmarkResults!$F$3:$F$35)*(mongodb_hardware_log!T2294&lt;BenchmarkResults!$G$3:$G$35)*ROW(BenchmarkResults!$F$3:$F$35)),{1,3})</f>
        <v>q6_inactive_customers</v>
      </c>
      <c r="B2294">
        <v>1</v>
      </c>
      <c r="C2294" s="13">
        <v>1</v>
      </c>
      <c r="D2294" s="13">
        <v>0</v>
      </c>
      <c r="E2294" s="13">
        <v>202240</v>
      </c>
      <c r="F2294" s="13">
        <v>583780</v>
      </c>
      <c r="G2294" s="13">
        <v>1740</v>
      </c>
      <c r="H2294" s="13">
        <v>1847272</v>
      </c>
      <c r="I2294" s="13">
        <v>0</v>
      </c>
      <c r="J2294" s="13">
        <v>0</v>
      </c>
      <c r="K2294" s="13">
        <v>1576</v>
      </c>
      <c r="L2294" s="13">
        <v>7</v>
      </c>
      <c r="M2294" s="13">
        <v>790</v>
      </c>
      <c r="N2294" s="13">
        <v>287</v>
      </c>
      <c r="O2294" s="13">
        <v>33</v>
      </c>
      <c r="P2294" s="13">
        <v>1</v>
      </c>
      <c r="Q2294" s="13">
        <v>64</v>
      </c>
      <c r="R2294" s="13">
        <v>0</v>
      </c>
      <c r="S2294" s="13">
        <v>1</v>
      </c>
      <c r="T2294" s="23">
        <v>46247.749606481484</v>
      </c>
      <c r="U2294" s="55">
        <f t="shared" si="105"/>
        <v>1</v>
      </c>
      <c r="V2294" s="55">
        <f t="shared" si="106"/>
        <v>0</v>
      </c>
      <c r="W2294" s="56">
        <f t="shared" si="107"/>
        <v>1625.3333333333333</v>
      </c>
    </row>
    <row r="2295" spans="1:23" x14ac:dyDescent="0.3">
      <c r="A2295" s="13" t="str" cm="1">
        <f t="array" ref="A2295:B2295">INDEX(BenchmarkResults!$B$1:$D$35,SUMPRODUCT((T2295&gt;=BenchmarkResults!$F$3:$F$35)*(mongodb_hardware_log!T2295&lt;BenchmarkResults!$G$3:$G$35)*ROW(BenchmarkResults!$F$3:$F$35)),{1,3})</f>
        <v>q6_inactive_customers</v>
      </c>
      <c r="B2295">
        <v>1</v>
      </c>
      <c r="C2295" s="13">
        <v>1</v>
      </c>
      <c r="D2295" s="13">
        <v>0</v>
      </c>
      <c r="E2295" s="13">
        <v>202240</v>
      </c>
      <c r="F2295" s="13">
        <v>564404</v>
      </c>
      <c r="G2295" s="13">
        <v>1748</v>
      </c>
      <c r="H2295" s="13">
        <v>1865048</v>
      </c>
      <c r="I2295" s="13">
        <v>0</v>
      </c>
      <c r="J2295" s="13">
        <v>0</v>
      </c>
      <c r="K2295" s="13">
        <v>1777</v>
      </c>
      <c r="L2295" s="13">
        <v>15</v>
      </c>
      <c r="M2295" s="13">
        <v>752</v>
      </c>
      <c r="N2295" s="13">
        <v>247</v>
      </c>
      <c r="O2295" s="13">
        <v>33</v>
      </c>
      <c r="P2295" s="13">
        <v>1</v>
      </c>
      <c r="Q2295" s="13">
        <v>65</v>
      </c>
      <c r="R2295" s="13">
        <v>0</v>
      </c>
      <c r="S2295" s="13">
        <v>1</v>
      </c>
      <c r="T2295" s="23">
        <v>46247.749722222223</v>
      </c>
      <c r="U2295" s="55">
        <f t="shared" si="105"/>
        <v>1</v>
      </c>
      <c r="V2295" s="55">
        <f t="shared" si="106"/>
        <v>0</v>
      </c>
      <c r="W2295" s="56">
        <f t="shared" si="107"/>
        <v>1569.6666666666667</v>
      </c>
    </row>
    <row r="2296" spans="1:23" x14ac:dyDescent="0.3">
      <c r="A2296" s="13" t="str" cm="1">
        <f t="array" ref="A2296:B2296">INDEX(BenchmarkResults!$B$1:$D$35,SUMPRODUCT((T2296&gt;=BenchmarkResults!$F$3:$F$35)*(mongodb_hardware_log!T2296&lt;BenchmarkResults!$G$3:$G$35)*ROW(BenchmarkResults!$F$3:$F$35)),{1,3})</f>
        <v>q6_inactive_customers</v>
      </c>
      <c r="B2296">
        <v>1</v>
      </c>
      <c r="C2296" s="13">
        <v>1</v>
      </c>
      <c r="D2296" s="13">
        <v>0</v>
      </c>
      <c r="E2296" s="13">
        <v>202240</v>
      </c>
      <c r="F2296" s="13">
        <v>536684</v>
      </c>
      <c r="G2296" s="13">
        <v>1764</v>
      </c>
      <c r="H2296" s="13">
        <v>1891652</v>
      </c>
      <c r="I2296" s="13">
        <v>0</v>
      </c>
      <c r="J2296" s="13">
        <v>0</v>
      </c>
      <c r="K2296" s="13">
        <v>1065</v>
      </c>
      <c r="L2296" s="13">
        <v>19</v>
      </c>
      <c r="M2296" s="13">
        <v>693</v>
      </c>
      <c r="N2296" s="13">
        <v>172</v>
      </c>
      <c r="O2296" s="13">
        <v>32</v>
      </c>
      <c r="P2296" s="13">
        <v>2</v>
      </c>
      <c r="Q2296" s="13">
        <v>64</v>
      </c>
      <c r="R2296" s="13">
        <v>0</v>
      </c>
      <c r="S2296" s="13">
        <v>2</v>
      </c>
      <c r="T2296" s="23">
        <v>46247.749837962961</v>
      </c>
      <c r="U2296" s="55">
        <f t="shared" si="105"/>
        <v>1</v>
      </c>
      <c r="V2296" s="55">
        <f t="shared" si="106"/>
        <v>0</v>
      </c>
      <c r="W2296" s="56">
        <f t="shared" si="107"/>
        <v>1597.8333333333333</v>
      </c>
    </row>
    <row r="2297" spans="1:23" x14ac:dyDescent="0.3">
      <c r="A2297" s="13" t="str" cm="1">
        <f t="array" ref="A2297:B2297">INDEX(BenchmarkResults!$B$1:$D$35,SUMPRODUCT((T2297&gt;=BenchmarkResults!$F$3:$F$35)*(mongodb_hardware_log!T2297&lt;BenchmarkResults!$G$3:$G$35)*ROW(BenchmarkResults!$F$3:$F$35)),{1,3})</f>
        <v>q6_inactive_customers</v>
      </c>
      <c r="B2297">
        <v>1</v>
      </c>
      <c r="C2297" s="13">
        <v>1</v>
      </c>
      <c r="D2297" s="13">
        <v>0</v>
      </c>
      <c r="E2297" s="13">
        <v>202240</v>
      </c>
      <c r="F2297" s="13">
        <v>520052</v>
      </c>
      <c r="G2297" s="13">
        <v>1772</v>
      </c>
      <c r="H2297" s="13">
        <v>1907872</v>
      </c>
      <c r="I2297" s="13">
        <v>0</v>
      </c>
      <c r="J2297" s="13">
        <v>0</v>
      </c>
      <c r="K2297" s="13">
        <v>1623</v>
      </c>
      <c r="L2297" s="13">
        <v>5</v>
      </c>
      <c r="M2297" s="13">
        <v>836</v>
      </c>
      <c r="N2297" s="13">
        <v>318</v>
      </c>
      <c r="O2297" s="13">
        <v>32</v>
      </c>
      <c r="P2297" s="13">
        <v>1</v>
      </c>
      <c r="Q2297" s="13">
        <v>64</v>
      </c>
      <c r="R2297" s="13">
        <v>2</v>
      </c>
      <c r="S2297" s="13">
        <v>1</v>
      </c>
      <c r="T2297" s="23">
        <v>46247.7499537037</v>
      </c>
      <c r="U2297" s="55">
        <f t="shared" si="105"/>
        <v>1</v>
      </c>
      <c r="V2297" s="55">
        <f t="shared" si="106"/>
        <v>0</v>
      </c>
      <c r="W2297" s="56">
        <f t="shared" si="107"/>
        <v>1556.3333333333333</v>
      </c>
    </row>
    <row r="2298" spans="1:23" x14ac:dyDescent="0.3">
      <c r="A2298" s="13" t="str" cm="1">
        <f t="array" ref="A2298:B2298">INDEX(BenchmarkResults!$B$1:$D$35,SUMPRODUCT((T2298&gt;=BenchmarkResults!$F$3:$F$35)*(mongodb_hardware_log!T2298&lt;BenchmarkResults!$G$3:$G$35)*ROW(BenchmarkResults!$F$3:$F$35)),{1,3})</f>
        <v>q6_inactive_customers</v>
      </c>
      <c r="B2298">
        <v>1</v>
      </c>
      <c r="C2298" s="13">
        <v>2</v>
      </c>
      <c r="D2298" s="13">
        <v>0</v>
      </c>
      <c r="E2298" s="13">
        <v>202240</v>
      </c>
      <c r="F2298" s="13">
        <v>505940</v>
      </c>
      <c r="G2298" s="13">
        <v>1788</v>
      </c>
      <c r="H2298" s="13">
        <v>1920324</v>
      </c>
      <c r="I2298" s="13">
        <v>0</v>
      </c>
      <c r="J2298" s="13">
        <v>0</v>
      </c>
      <c r="K2298" s="13">
        <v>1242</v>
      </c>
      <c r="L2298" s="13">
        <v>16</v>
      </c>
      <c r="M2298" s="13">
        <v>772</v>
      </c>
      <c r="N2298" s="13">
        <v>224</v>
      </c>
      <c r="O2298" s="13">
        <v>32</v>
      </c>
      <c r="P2298" s="13">
        <v>1</v>
      </c>
      <c r="Q2298" s="13">
        <v>63</v>
      </c>
      <c r="R2298" s="13">
        <v>1</v>
      </c>
      <c r="S2298" s="13">
        <v>3</v>
      </c>
      <c r="T2298" s="23">
        <v>46247.750069444446</v>
      </c>
      <c r="U2298" s="55">
        <f t="shared" si="105"/>
        <v>1.1666666666666667</v>
      </c>
      <c r="V2298" s="55">
        <f t="shared" si="106"/>
        <v>0</v>
      </c>
      <c r="W2298" s="56">
        <f t="shared" si="107"/>
        <v>1457</v>
      </c>
    </row>
    <row r="2299" spans="1:23" x14ac:dyDescent="0.3">
      <c r="A2299" s="13" t="str" cm="1">
        <f t="array" ref="A2299:B2299">INDEX(BenchmarkResults!$B$1:$D$35,SUMPRODUCT((T2299&gt;=BenchmarkResults!$F$3:$F$35)*(mongodb_hardware_log!T2299&lt;BenchmarkResults!$G$3:$G$35)*ROW(BenchmarkResults!$F$3:$F$35)),{1,3})</f>
        <v>q6_inactive_customers</v>
      </c>
      <c r="B2299">
        <v>1</v>
      </c>
      <c r="C2299" s="13">
        <v>1</v>
      </c>
      <c r="D2299" s="13">
        <v>0</v>
      </c>
      <c r="E2299" s="13">
        <v>202240</v>
      </c>
      <c r="F2299" s="13">
        <v>493088</v>
      </c>
      <c r="G2299" s="13">
        <v>1812</v>
      </c>
      <c r="H2299" s="13">
        <v>1933880</v>
      </c>
      <c r="I2299" s="13">
        <v>1</v>
      </c>
      <c r="J2299" s="13">
        <v>0</v>
      </c>
      <c r="K2299" s="13">
        <v>1358</v>
      </c>
      <c r="L2299" s="13">
        <v>1584</v>
      </c>
      <c r="M2299" s="13">
        <v>783</v>
      </c>
      <c r="N2299" s="13">
        <v>228</v>
      </c>
      <c r="O2299" s="13">
        <v>32</v>
      </c>
      <c r="P2299" s="13">
        <v>1</v>
      </c>
      <c r="Q2299" s="13">
        <v>61</v>
      </c>
      <c r="R2299" s="13">
        <v>2</v>
      </c>
      <c r="S2299" s="13">
        <v>3</v>
      </c>
      <c r="T2299" s="23">
        <v>46247.750185185185</v>
      </c>
      <c r="U2299" s="55">
        <f t="shared" si="105"/>
        <v>1.1666666666666667</v>
      </c>
      <c r="V2299" s="55">
        <f t="shared" si="106"/>
        <v>0</v>
      </c>
      <c r="W2299" s="56">
        <f t="shared" si="107"/>
        <v>1440.1666666666667</v>
      </c>
    </row>
    <row r="2300" spans="1:23" x14ac:dyDescent="0.3">
      <c r="A2300" s="13" t="str" cm="1">
        <f t="array" ref="A2300:B2300">INDEX(BenchmarkResults!$B$1:$D$35,SUMPRODUCT((T2300&gt;=BenchmarkResults!$F$3:$F$35)*(mongodb_hardware_log!T2300&lt;BenchmarkResults!$G$3:$G$35)*ROW(BenchmarkResults!$F$3:$F$35)),{1,3})</f>
        <v>q6_inactive_customers</v>
      </c>
      <c r="B2300">
        <v>1</v>
      </c>
      <c r="C2300" s="13">
        <v>1</v>
      </c>
      <c r="D2300" s="13">
        <v>0</v>
      </c>
      <c r="E2300" s="13">
        <v>202240</v>
      </c>
      <c r="F2300" s="13">
        <v>476960</v>
      </c>
      <c r="G2300" s="13">
        <v>1828</v>
      </c>
      <c r="H2300" s="13">
        <v>1950532</v>
      </c>
      <c r="I2300" s="13">
        <v>0</v>
      </c>
      <c r="J2300" s="13">
        <v>0</v>
      </c>
      <c r="K2300" s="13">
        <v>1662</v>
      </c>
      <c r="L2300" s="13">
        <v>13</v>
      </c>
      <c r="M2300" s="13">
        <v>740</v>
      </c>
      <c r="N2300" s="13">
        <v>228</v>
      </c>
      <c r="O2300" s="13">
        <v>33</v>
      </c>
      <c r="P2300" s="13">
        <v>1</v>
      </c>
      <c r="Q2300" s="13">
        <v>64</v>
      </c>
      <c r="R2300" s="13">
        <v>0</v>
      </c>
      <c r="S2300" s="13">
        <v>1</v>
      </c>
      <c r="T2300" s="23">
        <v>46247.750300925924</v>
      </c>
      <c r="U2300" s="55">
        <f t="shared" si="105"/>
        <v>1.1666666666666667</v>
      </c>
      <c r="V2300" s="55">
        <f t="shared" si="106"/>
        <v>0</v>
      </c>
      <c r="W2300" s="56">
        <f t="shared" si="107"/>
        <v>1454.5</v>
      </c>
    </row>
    <row r="2301" spans="1:23" x14ac:dyDescent="0.3">
      <c r="A2301" s="13" t="str" cm="1">
        <f t="array" ref="A2301:B2301">INDEX(BenchmarkResults!$B$1:$D$35,SUMPRODUCT((T2301&gt;=BenchmarkResults!$F$3:$F$35)*(mongodb_hardware_log!T2301&lt;BenchmarkResults!$G$3:$G$35)*ROW(BenchmarkResults!$F$3:$F$35)),{1,3})</f>
        <v>q6_inactive_customers</v>
      </c>
      <c r="B2301">
        <v>1</v>
      </c>
      <c r="C2301" s="13">
        <v>1</v>
      </c>
      <c r="D2301" s="13">
        <v>0</v>
      </c>
      <c r="E2301" s="13">
        <v>202240</v>
      </c>
      <c r="F2301" s="13">
        <v>461840</v>
      </c>
      <c r="G2301" s="13">
        <v>1836</v>
      </c>
      <c r="H2301" s="13">
        <v>1966668</v>
      </c>
      <c r="I2301" s="13">
        <v>0</v>
      </c>
      <c r="J2301" s="13">
        <v>0</v>
      </c>
      <c r="K2301" s="13">
        <v>1614</v>
      </c>
      <c r="L2301" s="13">
        <v>5</v>
      </c>
      <c r="M2301" s="13">
        <v>732</v>
      </c>
      <c r="N2301" s="13">
        <v>215</v>
      </c>
      <c r="O2301" s="13">
        <v>33</v>
      </c>
      <c r="P2301" s="13">
        <v>1</v>
      </c>
      <c r="Q2301" s="13">
        <v>64</v>
      </c>
      <c r="R2301" s="13">
        <v>1</v>
      </c>
      <c r="S2301" s="13">
        <v>1</v>
      </c>
      <c r="T2301" s="23">
        <v>46247.750416666669</v>
      </c>
      <c r="U2301" s="55">
        <f t="shared" si="105"/>
        <v>1.1666666666666667</v>
      </c>
      <c r="V2301" s="55">
        <f t="shared" si="106"/>
        <v>0</v>
      </c>
      <c r="W2301" s="56">
        <f t="shared" si="107"/>
        <v>1427.3333333333333</v>
      </c>
    </row>
    <row r="2302" spans="1:23" x14ac:dyDescent="0.3">
      <c r="A2302" s="13" t="str" cm="1">
        <f t="array" ref="A2302:B2302">INDEX(BenchmarkResults!$B$1:$D$35,SUMPRODUCT((T2302&gt;=BenchmarkResults!$F$3:$F$35)*(mongodb_hardware_log!T2302&lt;BenchmarkResults!$G$3:$G$35)*ROW(BenchmarkResults!$F$3:$F$35)),{1,3})</f>
        <v>q6_inactive_customers</v>
      </c>
      <c r="B2302">
        <v>1</v>
      </c>
      <c r="C2302" s="13">
        <v>2</v>
      </c>
      <c r="D2302" s="13">
        <v>0</v>
      </c>
      <c r="E2302" s="13">
        <v>202240</v>
      </c>
      <c r="F2302" s="13">
        <v>438404</v>
      </c>
      <c r="G2302" s="13">
        <v>1844</v>
      </c>
      <c r="H2302" s="13">
        <v>1991260</v>
      </c>
      <c r="I2302" s="13">
        <v>0</v>
      </c>
      <c r="J2302" s="13">
        <v>0</v>
      </c>
      <c r="K2302" s="13">
        <v>852</v>
      </c>
      <c r="L2302" s="13">
        <v>16</v>
      </c>
      <c r="M2302" s="13">
        <v>697</v>
      </c>
      <c r="N2302" s="13">
        <v>177</v>
      </c>
      <c r="O2302" s="13">
        <v>32</v>
      </c>
      <c r="P2302" s="13">
        <v>2</v>
      </c>
      <c r="Q2302" s="13">
        <v>64</v>
      </c>
      <c r="R2302" s="13">
        <v>0</v>
      </c>
      <c r="S2302" s="13">
        <v>2</v>
      </c>
      <c r="T2302" s="23">
        <v>46247.750532407408</v>
      </c>
      <c r="U2302" s="55">
        <f t="shared" si="105"/>
        <v>1.3333333333333333</v>
      </c>
      <c r="V2302" s="55">
        <f t="shared" si="106"/>
        <v>0</v>
      </c>
      <c r="W2302" s="56">
        <f t="shared" si="107"/>
        <v>1391.8333333333333</v>
      </c>
    </row>
    <row r="2303" spans="1:23" x14ac:dyDescent="0.3">
      <c r="A2303" s="13" t="str" cm="1">
        <f t="array" ref="A2303:B2303">INDEX(BenchmarkResults!$B$1:$D$35,SUMPRODUCT((T2303&gt;=BenchmarkResults!$F$3:$F$35)*(mongodb_hardware_log!T2303&lt;BenchmarkResults!$G$3:$G$35)*ROW(BenchmarkResults!$F$3:$F$35)),{1,3})</f>
        <v>q6_inactive_customers</v>
      </c>
      <c r="B2303">
        <v>1</v>
      </c>
      <c r="C2303" s="13">
        <v>1</v>
      </c>
      <c r="D2303" s="13">
        <v>0</v>
      </c>
      <c r="E2303" s="13">
        <v>202240</v>
      </c>
      <c r="F2303" s="13">
        <v>426056</v>
      </c>
      <c r="G2303" s="13">
        <v>1860</v>
      </c>
      <c r="H2303" s="13">
        <v>2004768</v>
      </c>
      <c r="I2303" s="13">
        <v>0</v>
      </c>
      <c r="J2303" s="13">
        <v>0</v>
      </c>
      <c r="K2303" s="13">
        <v>1351</v>
      </c>
      <c r="L2303" s="13">
        <v>15</v>
      </c>
      <c r="M2303" s="13">
        <v>837</v>
      </c>
      <c r="N2303" s="13">
        <v>310</v>
      </c>
      <c r="O2303" s="13">
        <v>33</v>
      </c>
      <c r="P2303" s="13">
        <v>1</v>
      </c>
      <c r="Q2303" s="13">
        <v>63</v>
      </c>
      <c r="R2303" s="13">
        <v>1</v>
      </c>
      <c r="S2303" s="13">
        <v>2</v>
      </c>
      <c r="T2303" s="23">
        <v>46247.750648148147</v>
      </c>
      <c r="U2303" s="55">
        <f t="shared" si="105"/>
        <v>1.3333333333333333</v>
      </c>
      <c r="V2303" s="55">
        <f t="shared" si="106"/>
        <v>0</v>
      </c>
      <c r="W2303" s="56">
        <f t="shared" si="107"/>
        <v>1346.5</v>
      </c>
    </row>
    <row r="2304" spans="1:23" x14ac:dyDescent="0.3">
      <c r="A2304" s="13" t="str" cm="1">
        <f t="array" ref="A2304:B2304">INDEX(BenchmarkResults!$B$1:$D$35,SUMPRODUCT((T2304&gt;=BenchmarkResults!$F$3:$F$35)*(mongodb_hardware_log!T2304&lt;BenchmarkResults!$G$3:$G$35)*ROW(BenchmarkResults!$F$3:$F$35)),{1,3})</f>
        <v>q6_inactive_customers</v>
      </c>
      <c r="B2304">
        <v>1</v>
      </c>
      <c r="C2304" s="13">
        <v>1</v>
      </c>
      <c r="D2304" s="13">
        <v>0</v>
      </c>
      <c r="E2304" s="13">
        <v>202240</v>
      </c>
      <c r="F2304" s="13">
        <v>405144</v>
      </c>
      <c r="G2304" s="13">
        <v>1868</v>
      </c>
      <c r="H2304" s="13">
        <v>2020292</v>
      </c>
      <c r="I2304" s="13">
        <v>0</v>
      </c>
      <c r="J2304" s="13">
        <v>0</v>
      </c>
      <c r="K2304" s="13">
        <v>1555</v>
      </c>
      <c r="L2304" s="13">
        <v>5</v>
      </c>
      <c r="M2304" s="13">
        <v>762</v>
      </c>
      <c r="N2304" s="13">
        <v>230</v>
      </c>
      <c r="O2304" s="13">
        <v>33</v>
      </c>
      <c r="P2304" s="13">
        <v>1</v>
      </c>
      <c r="Q2304" s="13">
        <v>63</v>
      </c>
      <c r="R2304" s="13">
        <v>1</v>
      </c>
      <c r="S2304" s="13">
        <v>2</v>
      </c>
      <c r="T2304" s="23">
        <v>46247.750763888886</v>
      </c>
      <c r="U2304" s="55">
        <f t="shared" si="105"/>
        <v>1.1666666666666667</v>
      </c>
      <c r="V2304" s="55">
        <f t="shared" si="106"/>
        <v>0</v>
      </c>
      <c r="W2304" s="56">
        <f t="shared" si="107"/>
        <v>1398.6666666666667</v>
      </c>
    </row>
    <row r="2305" spans="1:23" x14ac:dyDescent="0.3">
      <c r="A2305" s="13" t="str" cm="1">
        <f t="array" ref="A2305:B2305">INDEX(BenchmarkResults!$B$1:$D$35,SUMPRODUCT((T2305&gt;=BenchmarkResults!$F$3:$F$35)*(mongodb_hardware_log!T2305&lt;BenchmarkResults!$G$3:$G$35)*ROW(BenchmarkResults!$F$3:$F$35)),{1,3})</f>
        <v>q6_inactive_customers</v>
      </c>
      <c r="B2305">
        <v>1</v>
      </c>
      <c r="C2305" s="13">
        <v>1</v>
      </c>
      <c r="D2305" s="13">
        <v>0</v>
      </c>
      <c r="E2305" s="13">
        <v>202240</v>
      </c>
      <c r="F2305" s="13">
        <v>390808</v>
      </c>
      <c r="G2305" s="13">
        <v>1908</v>
      </c>
      <c r="H2305" s="13">
        <v>2036436</v>
      </c>
      <c r="I2305" s="13">
        <v>2</v>
      </c>
      <c r="J2305" s="13">
        <v>0</v>
      </c>
      <c r="K2305" s="13">
        <v>1616</v>
      </c>
      <c r="L2305" s="13">
        <v>1623</v>
      </c>
      <c r="M2305" s="13">
        <v>743</v>
      </c>
      <c r="N2305" s="13">
        <v>231</v>
      </c>
      <c r="O2305" s="13">
        <v>34</v>
      </c>
      <c r="P2305" s="13">
        <v>2</v>
      </c>
      <c r="Q2305" s="13">
        <v>61</v>
      </c>
      <c r="R2305" s="13">
        <v>3</v>
      </c>
      <c r="S2305" s="13">
        <v>1</v>
      </c>
      <c r="T2305" s="23">
        <v>46247.750879629632</v>
      </c>
      <c r="U2305" s="55">
        <f t="shared" si="105"/>
        <v>1.1666666666666667</v>
      </c>
      <c r="V2305" s="55">
        <f t="shared" si="106"/>
        <v>0</v>
      </c>
      <c r="W2305" s="56">
        <f t="shared" si="107"/>
        <v>1441.6666666666667</v>
      </c>
    </row>
    <row r="2306" spans="1:23" x14ac:dyDescent="0.3">
      <c r="A2306" s="13" t="str" cm="1">
        <f t="array" ref="A2306:B2306">INDEX(BenchmarkResults!$B$1:$D$35,SUMPRODUCT((T2306&gt;=BenchmarkResults!$F$3:$F$35)*(mongodb_hardware_log!T2306&lt;BenchmarkResults!$G$3:$G$35)*ROW(BenchmarkResults!$F$3:$F$35)),{1,3})</f>
        <v>q6_inactive_customers</v>
      </c>
      <c r="B2306">
        <v>1</v>
      </c>
      <c r="C2306" s="13">
        <v>1</v>
      </c>
      <c r="D2306" s="13">
        <v>0</v>
      </c>
      <c r="E2306" s="13">
        <v>202240</v>
      </c>
      <c r="F2306" s="13">
        <v>375688</v>
      </c>
      <c r="G2306" s="13">
        <v>1924</v>
      </c>
      <c r="H2306" s="13">
        <v>2053900</v>
      </c>
      <c r="I2306" s="13">
        <v>0</v>
      </c>
      <c r="J2306" s="13">
        <v>0</v>
      </c>
      <c r="K2306" s="13">
        <v>1748</v>
      </c>
      <c r="L2306" s="13">
        <v>26</v>
      </c>
      <c r="M2306" s="13">
        <v>743</v>
      </c>
      <c r="N2306" s="13">
        <v>232</v>
      </c>
      <c r="O2306" s="13">
        <v>33</v>
      </c>
      <c r="P2306" s="13">
        <v>1</v>
      </c>
      <c r="Q2306" s="13">
        <v>64</v>
      </c>
      <c r="R2306" s="13">
        <v>1</v>
      </c>
      <c r="S2306" s="13">
        <v>1</v>
      </c>
      <c r="T2306" s="23">
        <v>46247.75099537037</v>
      </c>
      <c r="U2306" s="55">
        <f t="shared" si="105"/>
        <v>1.1666666666666667</v>
      </c>
      <c r="V2306" s="55">
        <f t="shared" si="106"/>
        <v>0</v>
      </c>
      <c r="W2306" s="56">
        <f t="shared" si="107"/>
        <v>1456</v>
      </c>
    </row>
    <row r="2307" spans="1:23" x14ac:dyDescent="0.3">
      <c r="A2307" s="13" t="str" cm="1">
        <f t="array" ref="A2307:B2307">INDEX(BenchmarkResults!$B$1:$D$35,SUMPRODUCT((T2307&gt;=BenchmarkResults!$F$3:$F$35)*(mongodb_hardware_log!T2307&lt;BenchmarkResults!$G$3:$G$35)*ROW(BenchmarkResults!$F$3:$F$35)),{1,3})</f>
        <v>q6_inactive_customers</v>
      </c>
      <c r="B2307">
        <v>1</v>
      </c>
      <c r="C2307" s="13">
        <v>1</v>
      </c>
      <c r="D2307" s="13">
        <v>0</v>
      </c>
      <c r="E2307" s="13">
        <v>202240</v>
      </c>
      <c r="F2307" s="13">
        <v>352756</v>
      </c>
      <c r="G2307" s="13">
        <v>1932</v>
      </c>
      <c r="H2307" s="13">
        <v>2071044</v>
      </c>
      <c r="I2307" s="13">
        <v>0</v>
      </c>
      <c r="J2307" s="13">
        <v>0</v>
      </c>
      <c r="K2307" s="13">
        <v>1716</v>
      </c>
      <c r="L2307" s="13">
        <v>6</v>
      </c>
      <c r="M2307" s="13">
        <v>718</v>
      </c>
      <c r="N2307" s="13">
        <v>208</v>
      </c>
      <c r="O2307" s="13">
        <v>33</v>
      </c>
      <c r="P2307" s="13">
        <v>1</v>
      </c>
      <c r="Q2307" s="13">
        <v>65</v>
      </c>
      <c r="R2307" s="13">
        <v>0</v>
      </c>
      <c r="S2307" s="13">
        <v>1</v>
      </c>
      <c r="T2307" s="23">
        <v>46247.751111111109</v>
      </c>
      <c r="U2307" s="55">
        <f t="shared" si="105"/>
        <v>1.1666666666666667</v>
      </c>
      <c r="V2307" s="55">
        <f t="shared" si="106"/>
        <v>0</v>
      </c>
      <c r="W2307" s="56">
        <f t="shared" si="107"/>
        <v>1473</v>
      </c>
    </row>
    <row r="2308" spans="1:23" x14ac:dyDescent="0.3">
      <c r="A2308" s="13" t="str" cm="1">
        <f t="array" ref="A2308:B2308">INDEX(BenchmarkResults!$B$1:$D$35,SUMPRODUCT((T2308&gt;=BenchmarkResults!$F$3:$F$35)*(mongodb_hardware_log!T2308&lt;BenchmarkResults!$G$3:$G$35)*ROW(BenchmarkResults!$F$3:$F$35)),{1,3})</f>
        <v>q6_inactive_customers</v>
      </c>
      <c r="B2308">
        <v>1</v>
      </c>
      <c r="C2308" s="13">
        <v>1</v>
      </c>
      <c r="D2308" s="13">
        <v>0</v>
      </c>
      <c r="E2308" s="13">
        <v>202240</v>
      </c>
      <c r="F2308" s="13">
        <v>321008</v>
      </c>
      <c r="G2308" s="13">
        <v>1940</v>
      </c>
      <c r="H2308" s="13">
        <v>2097200</v>
      </c>
      <c r="I2308" s="13">
        <v>0</v>
      </c>
      <c r="J2308" s="13">
        <v>0</v>
      </c>
      <c r="K2308" s="13">
        <v>1004</v>
      </c>
      <c r="L2308" s="13">
        <v>10</v>
      </c>
      <c r="M2308" s="13">
        <v>681</v>
      </c>
      <c r="N2308" s="13">
        <v>174</v>
      </c>
      <c r="O2308" s="13">
        <v>33</v>
      </c>
      <c r="P2308" s="13">
        <v>1</v>
      </c>
      <c r="Q2308" s="13">
        <v>65</v>
      </c>
      <c r="R2308" s="13">
        <v>0</v>
      </c>
      <c r="S2308" s="13">
        <v>1</v>
      </c>
      <c r="T2308" s="23">
        <v>46247.751226851855</v>
      </c>
      <c r="U2308" s="55">
        <f t="shared" si="105"/>
        <v>1</v>
      </c>
      <c r="V2308" s="55">
        <f t="shared" si="106"/>
        <v>0</v>
      </c>
      <c r="W2308" s="56">
        <f t="shared" si="107"/>
        <v>1498.3333333333333</v>
      </c>
    </row>
    <row r="2309" spans="1:23" x14ac:dyDescent="0.3">
      <c r="A2309" s="13" t="str" cm="1">
        <f t="array" ref="A2309:B2309">INDEX(BenchmarkResults!$B$1:$D$35,SUMPRODUCT((T2309&gt;=BenchmarkResults!$F$3:$F$35)*(mongodb_hardware_log!T2309&lt;BenchmarkResults!$G$3:$G$35)*ROW(BenchmarkResults!$F$3:$F$35)),{1,3})</f>
        <v>q6_inactive_customers</v>
      </c>
      <c r="B2309">
        <v>1</v>
      </c>
      <c r="C2309" s="13">
        <v>1</v>
      </c>
      <c r="D2309" s="13">
        <v>0</v>
      </c>
      <c r="E2309" s="13">
        <v>202240</v>
      </c>
      <c r="F2309" s="13">
        <v>303116</v>
      </c>
      <c r="G2309" s="13">
        <v>1948</v>
      </c>
      <c r="H2309" s="13">
        <v>2113888</v>
      </c>
      <c r="I2309" s="13">
        <v>0</v>
      </c>
      <c r="J2309" s="13">
        <v>0</v>
      </c>
      <c r="K2309" s="13">
        <v>1655</v>
      </c>
      <c r="L2309" s="13">
        <v>11</v>
      </c>
      <c r="M2309" s="13">
        <v>731</v>
      </c>
      <c r="N2309" s="13">
        <v>217</v>
      </c>
      <c r="O2309" s="13">
        <v>33</v>
      </c>
      <c r="P2309" s="13">
        <v>1</v>
      </c>
      <c r="Q2309" s="13">
        <v>64</v>
      </c>
      <c r="R2309" s="13">
        <v>0</v>
      </c>
      <c r="S2309" s="13">
        <v>1</v>
      </c>
      <c r="T2309" s="23">
        <v>46247.751342592594</v>
      </c>
      <c r="U2309" s="55">
        <f t="shared" si="105"/>
        <v>1</v>
      </c>
      <c r="V2309" s="55">
        <f t="shared" si="106"/>
        <v>0</v>
      </c>
      <c r="W2309" s="56">
        <f t="shared" si="107"/>
        <v>1549</v>
      </c>
    </row>
    <row r="2310" spans="1:23" x14ac:dyDescent="0.3">
      <c r="A2310" s="13" t="str" cm="1">
        <f t="array" ref="A2310:B2310">INDEX(BenchmarkResults!$B$1:$D$35,SUMPRODUCT((T2310&gt;=BenchmarkResults!$F$3:$F$35)*(mongodb_hardware_log!T2310&lt;BenchmarkResults!$G$3:$G$35)*ROW(BenchmarkResults!$F$3:$F$35)),{1,3})</f>
        <v>q6_inactive_customers</v>
      </c>
      <c r="B2310">
        <v>1</v>
      </c>
      <c r="C2310" s="13">
        <v>1</v>
      </c>
      <c r="D2310" s="13">
        <v>0</v>
      </c>
      <c r="E2310" s="13">
        <v>202240</v>
      </c>
      <c r="F2310" s="13">
        <v>287996</v>
      </c>
      <c r="G2310" s="13">
        <v>1956</v>
      </c>
      <c r="H2310" s="13">
        <v>2129356</v>
      </c>
      <c r="I2310" s="13">
        <v>0</v>
      </c>
      <c r="J2310" s="13">
        <v>0</v>
      </c>
      <c r="K2310" s="13">
        <v>1544</v>
      </c>
      <c r="L2310" s="13">
        <v>11</v>
      </c>
      <c r="M2310" s="13">
        <v>742</v>
      </c>
      <c r="N2310" s="13">
        <v>213</v>
      </c>
      <c r="O2310" s="13">
        <v>33</v>
      </c>
      <c r="P2310" s="13">
        <v>1</v>
      </c>
      <c r="Q2310" s="13">
        <v>64</v>
      </c>
      <c r="R2310" s="13">
        <v>0</v>
      </c>
      <c r="S2310" s="13">
        <v>2</v>
      </c>
      <c r="T2310" s="23">
        <v>46247.751458333332</v>
      </c>
      <c r="U2310" s="55">
        <f t="shared" si="105"/>
        <v>1</v>
      </c>
      <c r="V2310" s="55">
        <f t="shared" si="106"/>
        <v>0</v>
      </c>
      <c r="W2310" s="56">
        <f t="shared" si="107"/>
        <v>1547.1666666666667</v>
      </c>
    </row>
    <row r="2311" spans="1:23" x14ac:dyDescent="0.3">
      <c r="A2311" s="13" t="str" cm="1">
        <f t="array" ref="A2311:B2311">INDEX(BenchmarkResults!$B$1:$D$35,SUMPRODUCT((T2311&gt;=BenchmarkResults!$F$3:$F$35)*(mongodb_hardware_log!T2311&lt;BenchmarkResults!$G$3:$G$35)*ROW(BenchmarkResults!$F$3:$F$35)),{1,3})</f>
        <v>q6_inactive_customers</v>
      </c>
      <c r="B2311">
        <v>1</v>
      </c>
      <c r="C2311" s="13">
        <v>1</v>
      </c>
      <c r="D2311" s="13">
        <v>0</v>
      </c>
      <c r="E2311" s="13">
        <v>202240</v>
      </c>
      <c r="F2311" s="13">
        <v>271868</v>
      </c>
      <c r="G2311" s="13">
        <v>1980</v>
      </c>
      <c r="H2311" s="13">
        <v>2147148</v>
      </c>
      <c r="I2311" s="13">
        <v>1</v>
      </c>
      <c r="J2311" s="13">
        <v>0</v>
      </c>
      <c r="K2311" s="13">
        <v>1783</v>
      </c>
      <c r="L2311" s="13">
        <v>1594</v>
      </c>
      <c r="M2311" s="13">
        <v>820</v>
      </c>
      <c r="N2311" s="13">
        <v>307</v>
      </c>
      <c r="O2311" s="13">
        <v>33</v>
      </c>
      <c r="P2311" s="13">
        <v>2</v>
      </c>
      <c r="Q2311" s="13">
        <v>63</v>
      </c>
      <c r="R2311" s="13">
        <v>2</v>
      </c>
      <c r="S2311" s="13">
        <v>1</v>
      </c>
      <c r="T2311" s="23">
        <v>46247.751574074071</v>
      </c>
      <c r="U2311" s="55">
        <f t="shared" si="105"/>
        <v>1</v>
      </c>
      <c r="V2311" s="55">
        <f t="shared" si="106"/>
        <v>0</v>
      </c>
      <c r="W2311" s="56">
        <f t="shared" si="107"/>
        <v>1575</v>
      </c>
    </row>
    <row r="2312" spans="1:23" x14ac:dyDescent="0.3">
      <c r="A2312" s="13" t="str" cm="1">
        <f t="array" ref="A2312:B2312">INDEX(BenchmarkResults!$B$1:$D$35,SUMPRODUCT((T2312&gt;=BenchmarkResults!$F$3:$F$35)*(mongodb_hardware_log!T2312&lt;BenchmarkResults!$G$3:$G$35)*ROW(BenchmarkResults!$F$3:$F$35)),{1,3})</f>
        <v>q6_inactive_customers</v>
      </c>
      <c r="B2312">
        <v>1</v>
      </c>
      <c r="C2312" s="13">
        <v>1</v>
      </c>
      <c r="D2312" s="13">
        <v>0</v>
      </c>
      <c r="E2312" s="13">
        <v>202240</v>
      </c>
      <c r="F2312" s="13">
        <v>252212</v>
      </c>
      <c r="G2312" s="13">
        <v>1992</v>
      </c>
      <c r="H2312" s="13">
        <v>2164340</v>
      </c>
      <c r="I2312" s="13">
        <v>0</v>
      </c>
      <c r="J2312" s="13">
        <v>0</v>
      </c>
      <c r="K2312" s="13">
        <v>1718</v>
      </c>
      <c r="L2312" s="13">
        <v>9</v>
      </c>
      <c r="M2312" s="13">
        <v>737</v>
      </c>
      <c r="N2312" s="13">
        <v>221</v>
      </c>
      <c r="O2312" s="13">
        <v>33</v>
      </c>
      <c r="P2312" s="13">
        <v>1</v>
      </c>
      <c r="Q2312" s="13">
        <v>64</v>
      </c>
      <c r="R2312" s="13">
        <v>0</v>
      </c>
      <c r="S2312" s="13">
        <v>1</v>
      </c>
      <c r="T2312" s="23">
        <v>46247.751689814817</v>
      </c>
      <c r="U2312" s="55">
        <f t="shared" si="105"/>
        <v>1</v>
      </c>
      <c r="V2312" s="55">
        <f t="shared" si="106"/>
        <v>0</v>
      </c>
      <c r="W2312" s="56">
        <f t="shared" si="107"/>
        <v>1570</v>
      </c>
    </row>
    <row r="2313" spans="1:23" x14ac:dyDescent="0.3">
      <c r="A2313" s="13" t="str" cm="1">
        <f t="array" ref="A2313:B2313">INDEX(BenchmarkResults!$B$1:$D$35,SUMPRODUCT((T2313&gt;=BenchmarkResults!$F$3:$F$35)*(mongodb_hardware_log!T2313&lt;BenchmarkResults!$G$3:$G$35)*ROW(BenchmarkResults!$F$3:$F$35)),{1,3})</f>
        <v>q6_inactive_customers</v>
      </c>
      <c r="B2313">
        <v>1</v>
      </c>
      <c r="C2313" s="13">
        <v>1</v>
      </c>
      <c r="D2313" s="13">
        <v>0</v>
      </c>
      <c r="E2313" s="13">
        <v>202240</v>
      </c>
      <c r="F2313" s="13">
        <v>233312</v>
      </c>
      <c r="G2313" s="13">
        <v>2000</v>
      </c>
      <c r="H2313" s="13">
        <v>2180408</v>
      </c>
      <c r="I2313" s="13">
        <v>0</v>
      </c>
      <c r="J2313" s="13">
        <v>0</v>
      </c>
      <c r="K2313" s="13">
        <v>1601</v>
      </c>
      <c r="L2313" s="13">
        <v>19</v>
      </c>
      <c r="M2313" s="13">
        <v>732</v>
      </c>
      <c r="N2313" s="13">
        <v>214</v>
      </c>
      <c r="O2313" s="13">
        <v>33</v>
      </c>
      <c r="P2313" s="13">
        <v>1</v>
      </c>
      <c r="Q2313" s="13">
        <v>64</v>
      </c>
      <c r="R2313" s="13">
        <v>1</v>
      </c>
      <c r="S2313" s="13">
        <v>1</v>
      </c>
      <c r="T2313" s="23">
        <v>46247.751805555556</v>
      </c>
      <c r="U2313" s="55">
        <f t="shared" ref="U2313:U2376" si="108">AVERAGE(C2308:C2313)</f>
        <v>1</v>
      </c>
      <c r="V2313" s="55">
        <f t="shared" ref="V2313:V2376" si="109">AVERAGE(D2308:D2313)</f>
        <v>0</v>
      </c>
      <c r="W2313" s="56">
        <f t="shared" ref="W2313:W2376" si="110">AVERAGE(K2308:K2313)</f>
        <v>1550.8333333333333</v>
      </c>
    </row>
    <row r="2314" spans="1:23" x14ac:dyDescent="0.3">
      <c r="A2314" s="13" t="str" cm="1">
        <f t="array" ref="A2314:B2314">INDEX(BenchmarkResults!$B$1:$D$35,SUMPRODUCT((T2314&gt;=BenchmarkResults!$F$3:$F$35)*(mongodb_hardware_log!T2314&lt;BenchmarkResults!$G$3:$G$35)*ROW(BenchmarkResults!$F$3:$F$35)),{1,3})</f>
        <v>q6_inactive_customers</v>
      </c>
      <c r="B2314">
        <v>1</v>
      </c>
      <c r="C2314" s="13">
        <v>1</v>
      </c>
      <c r="D2314" s="13">
        <v>0</v>
      </c>
      <c r="E2314" s="13">
        <v>202240</v>
      </c>
      <c r="F2314" s="13">
        <v>195804</v>
      </c>
      <c r="G2314" s="13">
        <v>2008</v>
      </c>
      <c r="H2314" s="13">
        <v>2208184</v>
      </c>
      <c r="I2314" s="13">
        <v>0</v>
      </c>
      <c r="J2314" s="13">
        <v>0</v>
      </c>
      <c r="K2314" s="13">
        <v>1294</v>
      </c>
      <c r="L2314" s="13">
        <v>1360</v>
      </c>
      <c r="M2314" s="13">
        <v>728</v>
      </c>
      <c r="N2314" s="13">
        <v>200</v>
      </c>
      <c r="O2314" s="13">
        <v>32</v>
      </c>
      <c r="P2314" s="13">
        <v>2</v>
      </c>
      <c r="Q2314" s="13">
        <v>63</v>
      </c>
      <c r="R2314" s="13">
        <v>2</v>
      </c>
      <c r="S2314" s="13">
        <v>0</v>
      </c>
      <c r="T2314" s="23">
        <v>46247.751921296294</v>
      </c>
      <c r="U2314" s="55">
        <f t="shared" si="108"/>
        <v>1</v>
      </c>
      <c r="V2314" s="55">
        <f t="shared" si="109"/>
        <v>0</v>
      </c>
      <c r="W2314" s="56">
        <f t="shared" si="110"/>
        <v>1599.1666666666667</v>
      </c>
    </row>
    <row r="2315" spans="1:23" x14ac:dyDescent="0.3">
      <c r="A2315" s="13" t="str" cm="1">
        <f t="array" ref="A2315:B2315">INDEX(BenchmarkResults!$B$1:$D$35,SUMPRODUCT((T2315&gt;=BenchmarkResults!$F$3:$F$35)*(mongodb_hardware_log!T2315&lt;BenchmarkResults!$G$3:$G$35)*ROW(BenchmarkResults!$F$3:$F$35)),{1,3})</f>
        <v>q6_inactive_customers</v>
      </c>
      <c r="B2315">
        <v>1</v>
      </c>
      <c r="C2315" s="13">
        <v>1</v>
      </c>
      <c r="D2315" s="13">
        <v>0</v>
      </c>
      <c r="E2315" s="13">
        <v>202240</v>
      </c>
      <c r="F2315" s="13">
        <v>184968</v>
      </c>
      <c r="G2315" s="13">
        <v>2020</v>
      </c>
      <c r="H2315" s="13">
        <v>2226348</v>
      </c>
      <c r="I2315" s="13">
        <v>0</v>
      </c>
      <c r="J2315" s="13">
        <v>0</v>
      </c>
      <c r="K2315" s="13">
        <v>1700</v>
      </c>
      <c r="L2315" s="13">
        <v>13</v>
      </c>
      <c r="M2315" s="13">
        <v>709</v>
      </c>
      <c r="N2315" s="13">
        <v>197</v>
      </c>
      <c r="O2315" s="13">
        <v>34</v>
      </c>
      <c r="P2315" s="13">
        <v>1</v>
      </c>
      <c r="Q2315" s="13">
        <v>65</v>
      </c>
      <c r="R2315" s="13">
        <v>0</v>
      </c>
      <c r="S2315" s="13">
        <v>0</v>
      </c>
      <c r="T2315" s="23">
        <v>46247.75203703704</v>
      </c>
      <c r="U2315" s="55">
        <f t="shared" si="108"/>
        <v>1</v>
      </c>
      <c r="V2315" s="55">
        <f t="shared" si="109"/>
        <v>0</v>
      </c>
      <c r="W2315" s="56">
        <f t="shared" si="110"/>
        <v>1606.6666666666667</v>
      </c>
    </row>
    <row r="2316" spans="1:23" x14ac:dyDescent="0.3">
      <c r="A2316" s="13" t="str" cm="1">
        <f t="array" ref="A2316:B2316">INDEX(BenchmarkResults!$B$1:$D$35,SUMPRODUCT((T2316&gt;=BenchmarkResults!$F$3:$F$35)*(mongodb_hardware_log!T2316&lt;BenchmarkResults!$G$3:$G$35)*ROW(BenchmarkResults!$F$3:$F$35)),{1,3})</f>
        <v>q6_inactive_customers</v>
      </c>
      <c r="B2316">
        <v>1</v>
      </c>
      <c r="C2316" s="13">
        <v>1</v>
      </c>
      <c r="D2316" s="13">
        <v>0</v>
      </c>
      <c r="E2316" s="13">
        <v>202240</v>
      </c>
      <c r="F2316" s="13">
        <v>161784</v>
      </c>
      <c r="G2316" s="13">
        <v>2028</v>
      </c>
      <c r="H2316" s="13">
        <v>2244996</v>
      </c>
      <c r="I2316" s="13">
        <v>0</v>
      </c>
      <c r="J2316" s="13">
        <v>0</v>
      </c>
      <c r="K2316" s="13">
        <v>1869</v>
      </c>
      <c r="L2316" s="13">
        <v>11</v>
      </c>
      <c r="M2316" s="13">
        <v>725</v>
      </c>
      <c r="N2316" s="13">
        <v>201</v>
      </c>
      <c r="O2316" s="13">
        <v>33</v>
      </c>
      <c r="P2316" s="13">
        <v>1</v>
      </c>
      <c r="Q2316" s="13">
        <v>65</v>
      </c>
      <c r="R2316" s="13">
        <v>0</v>
      </c>
      <c r="S2316" s="13">
        <v>1</v>
      </c>
      <c r="T2316" s="23">
        <v>46247.752152777779</v>
      </c>
      <c r="U2316" s="55">
        <f t="shared" si="108"/>
        <v>1</v>
      </c>
      <c r="V2316" s="55">
        <f t="shared" si="109"/>
        <v>0</v>
      </c>
      <c r="W2316" s="56">
        <f t="shared" si="110"/>
        <v>1660.8333333333333</v>
      </c>
    </row>
    <row r="2317" spans="1:23" x14ac:dyDescent="0.3">
      <c r="A2317" s="13" t="str" cm="1">
        <f t="array" ref="A2317:B2317">INDEX(BenchmarkResults!$B$1:$D$35,SUMPRODUCT((T2317&gt;=BenchmarkResults!$F$3:$F$35)*(mongodb_hardware_log!T2317&lt;BenchmarkResults!$G$3:$G$35)*ROW(BenchmarkResults!$F$3:$F$35)),{1,3})</f>
        <v>q6_inactive_customers</v>
      </c>
      <c r="B2317">
        <v>1</v>
      </c>
      <c r="C2317" s="13">
        <v>1</v>
      </c>
      <c r="D2317" s="13">
        <v>0</v>
      </c>
      <c r="E2317" s="13">
        <v>202240</v>
      </c>
      <c r="F2317" s="13">
        <v>152184</v>
      </c>
      <c r="G2317" s="13">
        <v>2052</v>
      </c>
      <c r="H2317" s="13">
        <v>2262208</v>
      </c>
      <c r="I2317" s="13">
        <v>1</v>
      </c>
      <c r="J2317" s="13">
        <v>0</v>
      </c>
      <c r="K2317" s="13">
        <v>1725</v>
      </c>
      <c r="L2317" s="13">
        <v>34</v>
      </c>
      <c r="M2317" s="13">
        <v>729</v>
      </c>
      <c r="N2317" s="13">
        <v>216</v>
      </c>
      <c r="O2317" s="13">
        <v>33</v>
      </c>
      <c r="P2317" s="13">
        <v>1</v>
      </c>
      <c r="Q2317" s="13">
        <v>64</v>
      </c>
      <c r="R2317" s="13">
        <v>0</v>
      </c>
      <c r="S2317" s="13">
        <v>1</v>
      </c>
      <c r="T2317" s="23">
        <v>46247.752268518518</v>
      </c>
      <c r="U2317" s="55">
        <f t="shared" si="108"/>
        <v>1</v>
      </c>
      <c r="V2317" s="55">
        <f t="shared" si="109"/>
        <v>0</v>
      </c>
      <c r="W2317" s="56">
        <f t="shared" si="110"/>
        <v>1651.1666666666667</v>
      </c>
    </row>
    <row r="2318" spans="1:23" x14ac:dyDescent="0.3">
      <c r="A2318" s="13" t="str" cm="1">
        <f t="array" ref="A2318:B2318">INDEX(BenchmarkResults!$B$1:$D$35,SUMPRODUCT((T2318&gt;=BenchmarkResults!$F$3:$F$35)*(mongodb_hardware_log!T2318&lt;BenchmarkResults!$G$3:$G$35)*ROW(BenchmarkResults!$F$3:$F$35)),{1,3})</f>
        <v>q6_inactive_customers</v>
      </c>
      <c r="B2318">
        <v>1</v>
      </c>
      <c r="C2318" s="13">
        <v>1</v>
      </c>
      <c r="D2318" s="13">
        <v>0</v>
      </c>
      <c r="E2318" s="13">
        <v>202240</v>
      </c>
      <c r="F2318" s="13">
        <v>132024</v>
      </c>
      <c r="G2318" s="13">
        <v>2060</v>
      </c>
      <c r="H2318" s="13">
        <v>2281368</v>
      </c>
      <c r="I2318" s="13">
        <v>0</v>
      </c>
      <c r="J2318" s="13">
        <v>0</v>
      </c>
      <c r="K2318" s="13">
        <v>1907</v>
      </c>
      <c r="L2318" s="13">
        <v>222</v>
      </c>
      <c r="M2318" s="13">
        <v>735</v>
      </c>
      <c r="N2318" s="13">
        <v>220</v>
      </c>
      <c r="O2318" s="13">
        <v>33</v>
      </c>
      <c r="P2318" s="13">
        <v>1</v>
      </c>
      <c r="Q2318" s="13">
        <v>64</v>
      </c>
      <c r="R2318" s="13">
        <v>1</v>
      </c>
      <c r="S2318" s="13">
        <v>1</v>
      </c>
      <c r="T2318" s="23">
        <v>46247.752384259256</v>
      </c>
      <c r="U2318" s="55">
        <f t="shared" si="108"/>
        <v>1</v>
      </c>
      <c r="V2318" s="55">
        <f t="shared" si="109"/>
        <v>0</v>
      </c>
      <c r="W2318" s="56">
        <f t="shared" si="110"/>
        <v>1682.6666666666667</v>
      </c>
    </row>
    <row r="2319" spans="1:23" x14ac:dyDescent="0.3">
      <c r="A2319" s="13" t="str" cm="1">
        <f t="array" ref="A2319:B2319">INDEX(BenchmarkResults!$B$1:$D$35,SUMPRODUCT((T2319&gt;=BenchmarkResults!$F$3:$F$35)*(mongodb_hardware_log!T2319&lt;BenchmarkResults!$G$3:$G$35)*ROW(BenchmarkResults!$F$3:$F$35)),{1,3})</f>
        <v>q6_inactive_customers</v>
      </c>
      <c r="B2319">
        <v>1</v>
      </c>
      <c r="C2319" s="13">
        <v>2</v>
      </c>
      <c r="D2319" s="13">
        <v>0</v>
      </c>
      <c r="E2319" s="13">
        <v>202240</v>
      </c>
      <c r="F2319" s="13">
        <v>127224</v>
      </c>
      <c r="G2319" s="13">
        <v>2076</v>
      </c>
      <c r="H2319" s="13">
        <v>2297440</v>
      </c>
      <c r="I2319" s="13">
        <v>0</v>
      </c>
      <c r="J2319" s="13">
        <v>0</v>
      </c>
      <c r="K2319" s="13">
        <v>1607</v>
      </c>
      <c r="L2319" s="13">
        <v>16</v>
      </c>
      <c r="M2319" s="13">
        <v>737</v>
      </c>
      <c r="N2319" s="13">
        <v>239</v>
      </c>
      <c r="O2319" s="13">
        <v>34</v>
      </c>
      <c r="P2319" s="13">
        <v>1</v>
      </c>
      <c r="Q2319" s="13">
        <v>64</v>
      </c>
      <c r="R2319" s="13">
        <v>0</v>
      </c>
      <c r="S2319" s="13">
        <v>0</v>
      </c>
      <c r="T2319" s="23">
        <v>46247.752500000002</v>
      </c>
      <c r="U2319" s="55">
        <f t="shared" si="108"/>
        <v>1.1666666666666667</v>
      </c>
      <c r="V2319" s="55">
        <f t="shared" si="109"/>
        <v>0</v>
      </c>
      <c r="W2319" s="56">
        <f t="shared" si="110"/>
        <v>1683.6666666666667</v>
      </c>
    </row>
    <row r="2320" spans="1:23" x14ac:dyDescent="0.3">
      <c r="A2320" s="13" t="str" cm="1">
        <f t="array" ref="A2320:B2320">INDEX(BenchmarkResults!$B$1:$D$35,SUMPRODUCT((T2320&gt;=BenchmarkResults!$F$3:$F$35)*(mongodb_hardware_log!T2320&lt;BenchmarkResults!$G$3:$G$35)*ROW(BenchmarkResults!$F$3:$F$35)),{1,3})</f>
        <v>q6_inactive_customers</v>
      </c>
      <c r="B2320">
        <v>1</v>
      </c>
      <c r="C2320" s="13">
        <v>1</v>
      </c>
      <c r="D2320" s="13">
        <v>0</v>
      </c>
      <c r="E2320" s="13">
        <v>202240</v>
      </c>
      <c r="F2320" s="13">
        <v>140516</v>
      </c>
      <c r="G2320" s="13">
        <v>2084</v>
      </c>
      <c r="H2320" s="13">
        <v>2271232</v>
      </c>
      <c r="I2320" s="13">
        <v>0</v>
      </c>
      <c r="J2320" s="13">
        <v>0</v>
      </c>
      <c r="K2320" s="13">
        <v>1323</v>
      </c>
      <c r="L2320" s="13">
        <v>35</v>
      </c>
      <c r="M2320" s="13">
        <v>684</v>
      </c>
      <c r="N2320" s="13">
        <v>175</v>
      </c>
      <c r="O2320" s="13">
        <v>33</v>
      </c>
      <c r="P2320" s="13">
        <v>1</v>
      </c>
      <c r="Q2320" s="13">
        <v>65</v>
      </c>
      <c r="R2320" s="13">
        <v>0</v>
      </c>
      <c r="S2320" s="13">
        <v>0</v>
      </c>
      <c r="T2320" s="23">
        <v>46247.752615740741</v>
      </c>
      <c r="U2320" s="55">
        <f t="shared" si="108"/>
        <v>1.1666666666666667</v>
      </c>
      <c r="V2320" s="55">
        <f t="shared" si="109"/>
        <v>0</v>
      </c>
      <c r="W2320" s="56">
        <f t="shared" si="110"/>
        <v>1688.5</v>
      </c>
    </row>
    <row r="2321" spans="1:23" x14ac:dyDescent="0.3">
      <c r="A2321" s="13" t="str" cm="1">
        <f t="array" ref="A2321:B2321">INDEX(BenchmarkResults!$B$1:$D$35,SUMPRODUCT((T2321&gt;=BenchmarkResults!$F$3:$F$35)*(mongodb_hardware_log!T2321&lt;BenchmarkResults!$G$3:$G$35)*ROW(BenchmarkResults!$F$3:$F$35)),{1,3})</f>
        <v>q6_inactive_customers</v>
      </c>
      <c r="B2321">
        <v>1</v>
      </c>
      <c r="C2321" s="13">
        <v>1</v>
      </c>
      <c r="D2321" s="13">
        <v>0</v>
      </c>
      <c r="E2321" s="13">
        <v>202240</v>
      </c>
      <c r="F2321" s="13">
        <v>128924</v>
      </c>
      <c r="G2321" s="13">
        <v>2108</v>
      </c>
      <c r="H2321" s="13">
        <v>2288500</v>
      </c>
      <c r="I2321" s="13">
        <v>0</v>
      </c>
      <c r="J2321" s="13">
        <v>0</v>
      </c>
      <c r="K2321" s="13">
        <v>1726</v>
      </c>
      <c r="L2321" s="13">
        <v>1588</v>
      </c>
      <c r="M2321" s="13">
        <v>741</v>
      </c>
      <c r="N2321" s="13">
        <v>219</v>
      </c>
      <c r="O2321" s="13">
        <v>33</v>
      </c>
      <c r="P2321" s="13">
        <v>1</v>
      </c>
      <c r="Q2321" s="13">
        <v>64</v>
      </c>
      <c r="R2321" s="13">
        <v>2</v>
      </c>
      <c r="S2321" s="13">
        <v>0</v>
      </c>
      <c r="T2321" s="23">
        <v>46247.75273148148</v>
      </c>
      <c r="U2321" s="55">
        <f t="shared" si="108"/>
        <v>1.1666666666666667</v>
      </c>
      <c r="V2321" s="55">
        <f t="shared" si="109"/>
        <v>0</v>
      </c>
      <c r="W2321" s="56">
        <f t="shared" si="110"/>
        <v>1692.8333333333333</v>
      </c>
    </row>
    <row r="2322" spans="1:23" x14ac:dyDescent="0.3">
      <c r="A2322" s="13" t="str" cm="1">
        <f t="array" ref="A2322:B2322">INDEX(BenchmarkResults!$B$1:$D$35,SUMPRODUCT((T2322&gt;=BenchmarkResults!$F$3:$F$35)*(mongodb_hardware_log!T2322&lt;BenchmarkResults!$G$3:$G$35)*ROW(BenchmarkResults!$F$3:$F$35)),{1,3})</f>
        <v>q6_inactive_customers</v>
      </c>
      <c r="B2322">
        <v>1</v>
      </c>
      <c r="C2322" s="13">
        <v>1</v>
      </c>
      <c r="D2322" s="13">
        <v>0</v>
      </c>
      <c r="E2322" s="13">
        <v>202240</v>
      </c>
      <c r="F2322" s="13">
        <v>108512</v>
      </c>
      <c r="G2322" s="13">
        <v>2116</v>
      </c>
      <c r="H2322" s="13">
        <v>2305028</v>
      </c>
      <c r="I2322" s="13">
        <v>1</v>
      </c>
      <c r="J2322" s="13">
        <v>0</v>
      </c>
      <c r="K2322" s="13">
        <v>1662</v>
      </c>
      <c r="L2322" s="13">
        <v>5</v>
      </c>
      <c r="M2322" s="13">
        <v>739</v>
      </c>
      <c r="N2322" s="13">
        <v>212</v>
      </c>
      <c r="O2322" s="13">
        <v>33</v>
      </c>
      <c r="P2322" s="13">
        <v>1</v>
      </c>
      <c r="Q2322" s="13">
        <v>65</v>
      </c>
      <c r="R2322" s="13">
        <v>1</v>
      </c>
      <c r="S2322" s="13">
        <v>1</v>
      </c>
      <c r="T2322" s="23">
        <v>46247.752847222226</v>
      </c>
      <c r="U2322" s="55">
        <f t="shared" si="108"/>
        <v>1.1666666666666667</v>
      </c>
      <c r="V2322" s="55">
        <f t="shared" si="109"/>
        <v>0</v>
      </c>
      <c r="W2322" s="56">
        <f t="shared" si="110"/>
        <v>1658.3333333333333</v>
      </c>
    </row>
    <row r="2323" spans="1:23" x14ac:dyDescent="0.3">
      <c r="A2323" s="13" t="str" cm="1">
        <f t="array" ref="A2323:B2323">INDEX(BenchmarkResults!$B$1:$D$35,SUMPRODUCT((T2323&gt;=BenchmarkResults!$F$3:$F$35)*(mongodb_hardware_log!T2323&lt;BenchmarkResults!$G$3:$G$35)*ROW(BenchmarkResults!$F$3:$F$35)),{1,3})</f>
        <v>q6_inactive_customers</v>
      </c>
      <c r="B2323">
        <v>1</v>
      </c>
      <c r="C2323" s="13">
        <v>1</v>
      </c>
      <c r="D2323" s="13">
        <v>0</v>
      </c>
      <c r="E2323" s="13">
        <v>202240</v>
      </c>
      <c r="F2323" s="13">
        <v>150232</v>
      </c>
      <c r="G2323" s="13">
        <v>2156</v>
      </c>
      <c r="H2323" s="13">
        <v>2267304</v>
      </c>
      <c r="I2323" s="13">
        <v>1</v>
      </c>
      <c r="J2323" s="13">
        <v>0</v>
      </c>
      <c r="K2323" s="13">
        <v>1746</v>
      </c>
      <c r="L2323" s="13">
        <v>34</v>
      </c>
      <c r="M2323" s="13">
        <v>725</v>
      </c>
      <c r="N2323" s="13">
        <v>220</v>
      </c>
      <c r="O2323" s="13">
        <v>33</v>
      </c>
      <c r="P2323" s="13">
        <v>1</v>
      </c>
      <c r="Q2323" s="13">
        <v>65</v>
      </c>
      <c r="R2323" s="13">
        <v>0</v>
      </c>
      <c r="S2323" s="13">
        <v>0</v>
      </c>
      <c r="T2323" s="23">
        <v>46247.752962962964</v>
      </c>
      <c r="U2323" s="55">
        <f t="shared" si="108"/>
        <v>1.1666666666666667</v>
      </c>
      <c r="V2323" s="55">
        <f t="shared" si="109"/>
        <v>0</v>
      </c>
      <c r="W2323" s="56">
        <f t="shared" si="110"/>
        <v>1661.8333333333333</v>
      </c>
    </row>
    <row r="2324" spans="1:23" x14ac:dyDescent="0.3">
      <c r="A2324" s="13" t="str" cm="1">
        <f t="array" ref="A2324:B2324">INDEX(BenchmarkResults!$B$1:$D$35,SUMPRODUCT((T2324&gt;=BenchmarkResults!$F$3:$F$35)*(mongodb_hardware_log!T2324&lt;BenchmarkResults!$G$3:$G$35)*ROW(BenchmarkResults!$F$3:$F$35)),{1,3})</f>
        <v>q6_inactive_customers</v>
      </c>
      <c r="B2324">
        <v>1</v>
      </c>
      <c r="C2324" s="13">
        <v>1</v>
      </c>
      <c r="D2324" s="13">
        <v>0</v>
      </c>
      <c r="E2324" s="13">
        <v>202240</v>
      </c>
      <c r="F2324" s="13">
        <v>129568</v>
      </c>
      <c r="G2324" s="13">
        <v>2164</v>
      </c>
      <c r="H2324" s="13">
        <v>2286136</v>
      </c>
      <c r="I2324" s="13">
        <v>0</v>
      </c>
      <c r="J2324" s="13">
        <v>0</v>
      </c>
      <c r="K2324" s="13">
        <v>1886</v>
      </c>
      <c r="L2324" s="13">
        <v>9</v>
      </c>
      <c r="M2324" s="13">
        <v>749</v>
      </c>
      <c r="N2324" s="13">
        <v>241</v>
      </c>
      <c r="O2324" s="13">
        <v>33</v>
      </c>
      <c r="P2324" s="13">
        <v>1</v>
      </c>
      <c r="Q2324" s="13">
        <v>65</v>
      </c>
      <c r="R2324" s="13">
        <v>0</v>
      </c>
      <c r="S2324" s="13">
        <v>0</v>
      </c>
      <c r="T2324" s="23">
        <v>46247.753078703703</v>
      </c>
      <c r="U2324" s="55">
        <f t="shared" si="108"/>
        <v>1.1666666666666667</v>
      </c>
      <c r="V2324" s="55">
        <f t="shared" si="109"/>
        <v>0</v>
      </c>
      <c r="W2324" s="56">
        <f t="shared" si="110"/>
        <v>1658.3333333333333</v>
      </c>
    </row>
    <row r="2325" spans="1:23" x14ac:dyDescent="0.3">
      <c r="A2325" s="13" t="str" cm="1">
        <f t="array" ref="A2325:B2325">INDEX(BenchmarkResults!$B$1:$D$35,SUMPRODUCT((T2325&gt;=BenchmarkResults!$F$3:$F$35)*(mongodb_hardware_log!T2325&lt;BenchmarkResults!$G$3:$G$35)*ROW(BenchmarkResults!$F$3:$F$35)),{1,3})</f>
        <v>q6_inactive_customers</v>
      </c>
      <c r="B2325">
        <v>1</v>
      </c>
      <c r="C2325" s="13">
        <v>1</v>
      </c>
      <c r="D2325" s="13">
        <v>0</v>
      </c>
      <c r="E2325" s="13">
        <v>202240</v>
      </c>
      <c r="F2325" s="13">
        <v>158220</v>
      </c>
      <c r="G2325" s="13">
        <v>2172</v>
      </c>
      <c r="H2325" s="13">
        <v>2255428</v>
      </c>
      <c r="I2325" s="13">
        <v>0</v>
      </c>
      <c r="J2325" s="13">
        <v>0</v>
      </c>
      <c r="K2325" s="13">
        <v>1576</v>
      </c>
      <c r="L2325" s="13">
        <v>14</v>
      </c>
      <c r="M2325" s="13">
        <v>766</v>
      </c>
      <c r="N2325" s="13">
        <v>264</v>
      </c>
      <c r="O2325" s="13">
        <v>33</v>
      </c>
      <c r="P2325" s="13">
        <v>1</v>
      </c>
      <c r="Q2325" s="13">
        <v>65</v>
      </c>
      <c r="R2325" s="13">
        <v>0</v>
      </c>
      <c r="S2325" s="13">
        <v>0</v>
      </c>
      <c r="T2325" s="23">
        <v>46247.753194444442</v>
      </c>
      <c r="U2325" s="55">
        <f t="shared" si="108"/>
        <v>1</v>
      </c>
      <c r="V2325" s="55">
        <f t="shared" si="109"/>
        <v>0</v>
      </c>
      <c r="W2325" s="56">
        <f t="shared" si="110"/>
        <v>1653.1666666666667</v>
      </c>
    </row>
    <row r="2326" spans="1:23" x14ac:dyDescent="0.3">
      <c r="A2326" s="13" t="str" cm="1">
        <f t="array" ref="A2326:B2326">INDEX(BenchmarkResults!$B$1:$D$35,SUMPRODUCT((T2326&gt;=BenchmarkResults!$F$3:$F$35)*(mongodb_hardware_log!T2326&lt;BenchmarkResults!$G$3:$G$35)*ROW(BenchmarkResults!$F$3:$F$35)),{1,3})</f>
        <v>q6_inactive_customers</v>
      </c>
      <c r="B2326">
        <v>1</v>
      </c>
      <c r="C2326" s="13">
        <v>1</v>
      </c>
      <c r="D2326" s="13">
        <v>0</v>
      </c>
      <c r="E2326" s="13">
        <v>202240</v>
      </c>
      <c r="F2326" s="13">
        <v>138360</v>
      </c>
      <c r="G2326" s="13">
        <v>2180</v>
      </c>
      <c r="H2326" s="13">
        <v>2277912</v>
      </c>
      <c r="I2326" s="13">
        <v>0</v>
      </c>
      <c r="J2326" s="13">
        <v>0</v>
      </c>
      <c r="K2326" s="13">
        <v>1460</v>
      </c>
      <c r="L2326" s="13">
        <v>11</v>
      </c>
      <c r="M2326" s="13">
        <v>721</v>
      </c>
      <c r="N2326" s="13">
        <v>205</v>
      </c>
      <c r="O2326" s="13">
        <v>33</v>
      </c>
      <c r="P2326" s="13">
        <v>1</v>
      </c>
      <c r="Q2326" s="13">
        <v>65</v>
      </c>
      <c r="R2326" s="13">
        <v>1</v>
      </c>
      <c r="S2326" s="13">
        <v>0</v>
      </c>
      <c r="T2326" s="23">
        <v>46247.753310185188</v>
      </c>
      <c r="U2326" s="55">
        <f t="shared" si="108"/>
        <v>1</v>
      </c>
      <c r="V2326" s="55">
        <f t="shared" si="109"/>
        <v>0</v>
      </c>
      <c r="W2326" s="56">
        <f t="shared" si="110"/>
        <v>1676</v>
      </c>
    </row>
    <row r="2327" spans="1:23" x14ac:dyDescent="0.3">
      <c r="A2327" s="13" t="str" cm="1">
        <f t="array" ref="A2327:B2327">INDEX(BenchmarkResults!$B$1:$D$35,SUMPRODUCT((T2327&gt;=BenchmarkResults!$F$3:$F$35)*(mongodb_hardware_log!T2327&lt;BenchmarkResults!$G$3:$G$35)*ROW(BenchmarkResults!$F$3:$F$35)),{1,3})</f>
        <v>q6_inactive_customers</v>
      </c>
      <c r="B2327">
        <v>1</v>
      </c>
      <c r="C2327" s="13">
        <v>1</v>
      </c>
      <c r="D2327" s="13">
        <v>0</v>
      </c>
      <c r="E2327" s="13">
        <v>202240</v>
      </c>
      <c r="F2327" s="13">
        <v>120468</v>
      </c>
      <c r="G2327" s="13">
        <v>2188</v>
      </c>
      <c r="H2327" s="13">
        <v>2293184</v>
      </c>
      <c r="I2327" s="13">
        <v>0</v>
      </c>
      <c r="J2327" s="13">
        <v>0</v>
      </c>
      <c r="K2327" s="13">
        <v>1536</v>
      </c>
      <c r="L2327" s="13">
        <v>8</v>
      </c>
      <c r="M2327" s="13">
        <v>732</v>
      </c>
      <c r="N2327" s="13">
        <v>208</v>
      </c>
      <c r="O2327" s="13">
        <v>33</v>
      </c>
      <c r="P2327" s="13">
        <v>1</v>
      </c>
      <c r="Q2327" s="13">
        <v>64</v>
      </c>
      <c r="R2327" s="13">
        <v>1</v>
      </c>
      <c r="S2327" s="13">
        <v>2</v>
      </c>
      <c r="T2327" s="23">
        <v>46247.753425925926</v>
      </c>
      <c r="U2327" s="55">
        <f t="shared" si="108"/>
        <v>1</v>
      </c>
      <c r="V2327" s="55">
        <f t="shared" si="109"/>
        <v>0</v>
      </c>
      <c r="W2327" s="56">
        <f t="shared" si="110"/>
        <v>1644.3333333333333</v>
      </c>
    </row>
    <row r="2328" spans="1:23" x14ac:dyDescent="0.3">
      <c r="A2328" s="13" t="str" cm="1">
        <f t="array" ref="A2328:B2328">INDEX(BenchmarkResults!$B$1:$D$35,SUMPRODUCT((T2328&gt;=BenchmarkResults!$F$3:$F$35)*(mongodb_hardware_log!T2328&lt;BenchmarkResults!$G$3:$G$35)*ROW(BenchmarkResults!$F$3:$F$35)),{1,3})</f>
        <v>q6_inactive_customers</v>
      </c>
      <c r="B2328">
        <v>1</v>
      </c>
      <c r="C2328" s="13">
        <v>1</v>
      </c>
      <c r="D2328" s="13">
        <v>0</v>
      </c>
      <c r="E2328" s="13">
        <v>202240</v>
      </c>
      <c r="F2328" s="13">
        <v>107616</v>
      </c>
      <c r="G2328" s="13">
        <v>2196</v>
      </c>
      <c r="H2328" s="13">
        <v>2309216</v>
      </c>
      <c r="I2328" s="13">
        <v>0</v>
      </c>
      <c r="J2328" s="13">
        <v>0</v>
      </c>
      <c r="K2328" s="13">
        <v>1603</v>
      </c>
      <c r="L2328" s="13">
        <v>1576</v>
      </c>
      <c r="M2328" s="13">
        <v>779</v>
      </c>
      <c r="N2328" s="13">
        <v>230</v>
      </c>
      <c r="O2328" s="13">
        <v>32</v>
      </c>
      <c r="P2328" s="13">
        <v>1</v>
      </c>
      <c r="Q2328" s="13">
        <v>62</v>
      </c>
      <c r="R2328" s="13">
        <v>2</v>
      </c>
      <c r="S2328" s="13">
        <v>2</v>
      </c>
      <c r="T2328" s="23">
        <v>46247.753541666665</v>
      </c>
      <c r="U2328" s="55">
        <f t="shared" si="108"/>
        <v>1</v>
      </c>
      <c r="V2328" s="55">
        <f t="shared" si="109"/>
        <v>0</v>
      </c>
      <c r="W2328" s="56">
        <f t="shared" si="110"/>
        <v>1634.5</v>
      </c>
    </row>
    <row r="2329" spans="1:23" x14ac:dyDescent="0.3">
      <c r="A2329" s="13" t="str" cm="1">
        <f t="array" ref="A2329:B2329">INDEX(BenchmarkResults!$B$1:$D$35,SUMPRODUCT((T2329&gt;=BenchmarkResults!$F$3:$F$35)*(mongodb_hardware_log!T2329&lt;BenchmarkResults!$G$3:$G$35)*ROW(BenchmarkResults!$F$3:$F$35)),{1,3})</f>
        <v>q6_inactive_customers</v>
      </c>
      <c r="B2329">
        <v>1</v>
      </c>
      <c r="C2329" s="13">
        <v>1</v>
      </c>
      <c r="D2329" s="13">
        <v>0</v>
      </c>
      <c r="E2329" s="13">
        <v>202240</v>
      </c>
      <c r="F2329" s="13">
        <v>146648</v>
      </c>
      <c r="G2329" s="13">
        <v>2224</v>
      </c>
      <c r="H2329" s="13">
        <v>2270708</v>
      </c>
      <c r="I2329" s="13">
        <v>1</v>
      </c>
      <c r="J2329" s="13">
        <v>0</v>
      </c>
      <c r="K2329" s="13">
        <v>1577</v>
      </c>
      <c r="L2329" s="13">
        <v>26</v>
      </c>
      <c r="M2329" s="13">
        <v>751</v>
      </c>
      <c r="N2329" s="13">
        <v>229</v>
      </c>
      <c r="O2329" s="13">
        <v>33</v>
      </c>
      <c r="P2329" s="13">
        <v>1</v>
      </c>
      <c r="Q2329" s="13">
        <v>64</v>
      </c>
      <c r="R2329" s="13">
        <v>1</v>
      </c>
      <c r="S2329" s="13">
        <v>1</v>
      </c>
      <c r="T2329" s="23">
        <v>46247.753657407404</v>
      </c>
      <c r="U2329" s="55">
        <f t="shared" si="108"/>
        <v>1</v>
      </c>
      <c r="V2329" s="55">
        <f t="shared" si="109"/>
        <v>0</v>
      </c>
      <c r="W2329" s="56">
        <f t="shared" si="110"/>
        <v>1606.3333333333333</v>
      </c>
    </row>
    <row r="2330" spans="1:23" x14ac:dyDescent="0.3">
      <c r="A2330" s="13" t="str" cm="1">
        <f t="array" ref="A2330:B2330">INDEX(BenchmarkResults!$B$1:$D$35,SUMPRODUCT((T2330&gt;=BenchmarkResults!$F$3:$F$35)*(mongodb_hardware_log!T2330&lt;BenchmarkResults!$G$3:$G$35)*ROW(BenchmarkResults!$F$3:$F$35)),{1,3})</f>
        <v>q6_inactive_customers</v>
      </c>
      <c r="B2330">
        <v>1</v>
      </c>
      <c r="C2330" s="13">
        <v>1</v>
      </c>
      <c r="D2330" s="13">
        <v>0</v>
      </c>
      <c r="E2330" s="13">
        <v>202240</v>
      </c>
      <c r="F2330" s="13">
        <v>127496</v>
      </c>
      <c r="G2330" s="13">
        <v>2232</v>
      </c>
      <c r="H2330" s="13">
        <v>2286700</v>
      </c>
      <c r="I2330" s="13">
        <v>0</v>
      </c>
      <c r="J2330" s="13">
        <v>0</v>
      </c>
      <c r="K2330" s="13">
        <v>1598</v>
      </c>
      <c r="L2330" s="13">
        <v>5</v>
      </c>
      <c r="M2330" s="13">
        <v>726</v>
      </c>
      <c r="N2330" s="13">
        <v>218</v>
      </c>
      <c r="O2330" s="13">
        <v>33</v>
      </c>
      <c r="P2330" s="13">
        <v>1</v>
      </c>
      <c r="Q2330" s="13">
        <v>64</v>
      </c>
      <c r="R2330" s="13">
        <v>0</v>
      </c>
      <c r="S2330" s="13">
        <v>1</v>
      </c>
      <c r="T2330" s="23">
        <v>46247.75377314815</v>
      </c>
      <c r="U2330" s="55">
        <f t="shared" si="108"/>
        <v>1</v>
      </c>
      <c r="V2330" s="55">
        <f t="shared" si="109"/>
        <v>0</v>
      </c>
      <c r="W2330" s="56">
        <f t="shared" si="110"/>
        <v>1558.3333333333333</v>
      </c>
    </row>
    <row r="2331" spans="1:23" x14ac:dyDescent="0.3">
      <c r="A2331" s="13" t="str" cm="1">
        <f t="array" ref="A2331:B2331">INDEX(BenchmarkResults!$B$1:$D$35,SUMPRODUCT((T2331&gt;=BenchmarkResults!$F$3:$F$35)*(mongodb_hardware_log!T2331&lt;BenchmarkResults!$G$3:$G$35)*ROW(BenchmarkResults!$F$3:$F$35)),{1,3})</f>
        <v>q6_inactive_customers</v>
      </c>
      <c r="B2331">
        <v>1</v>
      </c>
      <c r="C2331" s="13">
        <v>1</v>
      </c>
      <c r="D2331" s="13">
        <v>0</v>
      </c>
      <c r="E2331" s="13">
        <v>202240</v>
      </c>
      <c r="F2331" s="13">
        <v>107588</v>
      </c>
      <c r="G2331" s="13">
        <v>2240</v>
      </c>
      <c r="H2331" s="13">
        <v>2308564</v>
      </c>
      <c r="I2331" s="13">
        <v>0</v>
      </c>
      <c r="J2331" s="13">
        <v>0</v>
      </c>
      <c r="K2331" s="13">
        <v>1618</v>
      </c>
      <c r="L2331" s="13">
        <v>8</v>
      </c>
      <c r="M2331" s="13">
        <v>705</v>
      </c>
      <c r="N2331" s="13">
        <v>194</v>
      </c>
      <c r="O2331" s="13">
        <v>33</v>
      </c>
      <c r="P2331" s="13">
        <v>1</v>
      </c>
      <c r="Q2331" s="13">
        <v>65</v>
      </c>
      <c r="R2331" s="13">
        <v>0</v>
      </c>
      <c r="S2331" s="13">
        <v>0</v>
      </c>
      <c r="T2331" s="23">
        <v>46247.753888888888</v>
      </c>
      <c r="U2331" s="55">
        <f t="shared" si="108"/>
        <v>1</v>
      </c>
      <c r="V2331" s="55">
        <f t="shared" si="109"/>
        <v>0</v>
      </c>
      <c r="W2331" s="56">
        <f t="shared" si="110"/>
        <v>1565.3333333333333</v>
      </c>
    </row>
    <row r="2332" spans="1:23" x14ac:dyDescent="0.3">
      <c r="A2332" s="13" t="str" cm="1">
        <f t="array" ref="A2332:B2332">INDEX(BenchmarkResults!$B$1:$D$35,SUMPRODUCT((T2332&gt;=BenchmarkResults!$F$3:$F$35)*(mongodb_hardware_log!T2332&lt;BenchmarkResults!$G$3:$G$35)*ROW(BenchmarkResults!$F$3:$F$35)),{1,3})</f>
        <v>q6_inactive_customers</v>
      </c>
      <c r="B2332">
        <v>1</v>
      </c>
      <c r="C2332" s="13">
        <v>1</v>
      </c>
      <c r="D2332" s="13">
        <v>0</v>
      </c>
      <c r="E2332" s="13">
        <v>202240</v>
      </c>
      <c r="F2332" s="13">
        <v>136940</v>
      </c>
      <c r="G2332" s="13">
        <v>2256</v>
      </c>
      <c r="H2332" s="13">
        <v>2277976</v>
      </c>
      <c r="I2332" s="13">
        <v>0</v>
      </c>
      <c r="J2332" s="13">
        <v>0</v>
      </c>
      <c r="K2332" s="13">
        <v>1402</v>
      </c>
      <c r="L2332" s="13">
        <v>21</v>
      </c>
      <c r="M2332" s="13">
        <v>713</v>
      </c>
      <c r="N2332" s="13">
        <v>196</v>
      </c>
      <c r="O2332" s="13">
        <v>33</v>
      </c>
      <c r="P2332" s="13">
        <v>1</v>
      </c>
      <c r="Q2332" s="13">
        <v>64</v>
      </c>
      <c r="R2332" s="13">
        <v>0</v>
      </c>
      <c r="S2332" s="13">
        <v>1</v>
      </c>
      <c r="T2332" s="23">
        <v>46247.754004629627</v>
      </c>
      <c r="U2332" s="55">
        <f t="shared" si="108"/>
        <v>1</v>
      </c>
      <c r="V2332" s="55">
        <f t="shared" si="109"/>
        <v>0</v>
      </c>
      <c r="W2332" s="56">
        <f t="shared" si="110"/>
        <v>1555.6666666666667</v>
      </c>
    </row>
    <row r="2333" spans="1:23" x14ac:dyDescent="0.3">
      <c r="A2333" s="13" t="str" cm="1">
        <f t="array" ref="A2333:B2333">INDEX(BenchmarkResults!$B$1:$D$35,SUMPRODUCT((T2333&gt;=BenchmarkResults!$F$3:$F$35)*(mongodb_hardware_log!T2333&lt;BenchmarkResults!$G$3:$G$35)*ROW(BenchmarkResults!$F$3:$F$35)),{1,3})</f>
        <v>q6_inactive_customers</v>
      </c>
      <c r="B2333">
        <v>1</v>
      </c>
      <c r="C2333" s="13">
        <v>1</v>
      </c>
      <c r="D2333" s="13">
        <v>0</v>
      </c>
      <c r="E2333" s="13">
        <v>202240</v>
      </c>
      <c r="F2333" s="13">
        <v>113000</v>
      </c>
      <c r="G2333" s="13">
        <v>2276</v>
      </c>
      <c r="H2333" s="13">
        <v>2297144</v>
      </c>
      <c r="I2333" s="13">
        <v>3</v>
      </c>
      <c r="J2333" s="13">
        <v>0</v>
      </c>
      <c r="K2333" s="13">
        <v>1903</v>
      </c>
      <c r="L2333" s="13">
        <v>837</v>
      </c>
      <c r="M2333" s="13">
        <v>738</v>
      </c>
      <c r="N2333" s="13">
        <v>225</v>
      </c>
      <c r="O2333" s="13">
        <v>34</v>
      </c>
      <c r="P2333" s="13">
        <v>2</v>
      </c>
      <c r="Q2333" s="13">
        <v>62</v>
      </c>
      <c r="R2333" s="13">
        <v>2</v>
      </c>
      <c r="S2333" s="13">
        <v>1</v>
      </c>
      <c r="T2333" s="23">
        <v>46247.754120370373</v>
      </c>
      <c r="U2333" s="55">
        <f t="shared" si="108"/>
        <v>1</v>
      </c>
      <c r="V2333" s="55">
        <f t="shared" si="109"/>
        <v>0</v>
      </c>
      <c r="W2333" s="56">
        <f t="shared" si="110"/>
        <v>1616.8333333333333</v>
      </c>
    </row>
    <row r="2334" spans="1:23" x14ac:dyDescent="0.3">
      <c r="A2334" s="13" t="str" cm="1">
        <f t="array" ref="A2334:B2334">INDEX(BenchmarkResults!$B$1:$D$35,SUMPRODUCT((T2334&gt;=BenchmarkResults!$F$3:$F$35)*(mongodb_hardware_log!T2334&lt;BenchmarkResults!$G$3:$G$35)*ROW(BenchmarkResults!$F$3:$F$35)),{1,3})</f>
        <v>q6_inactive_customers</v>
      </c>
      <c r="B2334">
        <v>1</v>
      </c>
      <c r="C2334" s="13">
        <v>1</v>
      </c>
      <c r="D2334" s="13">
        <v>0</v>
      </c>
      <c r="E2334" s="13">
        <v>202240</v>
      </c>
      <c r="F2334" s="13">
        <v>158604</v>
      </c>
      <c r="G2334" s="13">
        <v>2288</v>
      </c>
      <c r="H2334" s="13">
        <v>2258628</v>
      </c>
      <c r="I2334" s="13">
        <v>0</v>
      </c>
      <c r="J2334" s="13">
        <v>0</v>
      </c>
      <c r="K2334" s="13">
        <v>1626</v>
      </c>
      <c r="L2334" s="13">
        <v>750</v>
      </c>
      <c r="M2334" s="13">
        <v>754</v>
      </c>
      <c r="N2334" s="13">
        <v>215</v>
      </c>
      <c r="O2334" s="13">
        <v>33</v>
      </c>
      <c r="P2334" s="13">
        <v>1</v>
      </c>
      <c r="Q2334" s="13">
        <v>63</v>
      </c>
      <c r="R2334" s="13">
        <v>1</v>
      </c>
      <c r="S2334" s="13">
        <v>2</v>
      </c>
      <c r="T2334" s="23">
        <v>46247.754236111112</v>
      </c>
      <c r="U2334" s="55">
        <f t="shared" si="108"/>
        <v>1</v>
      </c>
      <c r="V2334" s="55">
        <f t="shared" si="109"/>
        <v>0</v>
      </c>
      <c r="W2334" s="56">
        <f t="shared" si="110"/>
        <v>1620.6666666666667</v>
      </c>
    </row>
    <row r="2335" spans="1:23" x14ac:dyDescent="0.3">
      <c r="A2335" s="13" t="str" cm="1">
        <f t="array" ref="A2335:B2335">INDEX(BenchmarkResults!$B$1:$D$35,SUMPRODUCT((T2335&gt;=BenchmarkResults!$F$3:$F$35)*(mongodb_hardware_log!T2335&lt;BenchmarkResults!$G$3:$G$35)*ROW(BenchmarkResults!$F$3:$F$35)),{1,3})</f>
        <v>q6_inactive_customers</v>
      </c>
      <c r="B2335">
        <v>1</v>
      </c>
      <c r="C2335" s="13">
        <v>1</v>
      </c>
      <c r="D2335" s="13">
        <v>0</v>
      </c>
      <c r="E2335" s="13">
        <v>202240</v>
      </c>
      <c r="F2335" s="13">
        <v>141496</v>
      </c>
      <c r="G2335" s="13">
        <v>2320</v>
      </c>
      <c r="H2335" s="13">
        <v>2274908</v>
      </c>
      <c r="I2335" s="13">
        <v>1</v>
      </c>
      <c r="J2335" s="13">
        <v>0</v>
      </c>
      <c r="K2335" s="13">
        <v>1630</v>
      </c>
      <c r="L2335" s="13">
        <v>29</v>
      </c>
      <c r="M2335" s="13">
        <v>736</v>
      </c>
      <c r="N2335" s="13">
        <v>222</v>
      </c>
      <c r="O2335" s="13">
        <v>33</v>
      </c>
      <c r="P2335" s="13">
        <v>1</v>
      </c>
      <c r="Q2335" s="13">
        <v>64</v>
      </c>
      <c r="R2335" s="13">
        <v>0</v>
      </c>
      <c r="S2335" s="13">
        <v>1</v>
      </c>
      <c r="T2335" s="23">
        <v>46247.754351851851</v>
      </c>
      <c r="U2335" s="55">
        <f t="shared" si="108"/>
        <v>1</v>
      </c>
      <c r="V2335" s="55">
        <f t="shared" si="109"/>
        <v>0</v>
      </c>
      <c r="W2335" s="56">
        <f t="shared" si="110"/>
        <v>1629.5</v>
      </c>
    </row>
    <row r="2336" spans="1:23" x14ac:dyDescent="0.3">
      <c r="A2336" s="13" t="str" cm="1">
        <f t="array" ref="A2336:B2336">INDEX(BenchmarkResults!$B$1:$D$35,SUMPRODUCT((T2336&gt;=BenchmarkResults!$F$3:$F$35)*(mongodb_hardware_log!T2336&lt;BenchmarkResults!$G$3:$G$35)*ROW(BenchmarkResults!$F$3:$F$35)),{1,3})</f>
        <v>q6_inactive_customers</v>
      </c>
      <c r="B2336">
        <v>1</v>
      </c>
      <c r="C2336" s="13">
        <v>1</v>
      </c>
      <c r="D2336" s="13">
        <v>0</v>
      </c>
      <c r="E2336" s="13">
        <v>202240</v>
      </c>
      <c r="F2336" s="13">
        <v>119320</v>
      </c>
      <c r="G2336" s="13">
        <v>2336</v>
      </c>
      <c r="H2336" s="13">
        <v>2294080</v>
      </c>
      <c r="I2336" s="13">
        <v>0</v>
      </c>
      <c r="J2336" s="13">
        <v>0</v>
      </c>
      <c r="K2336" s="13">
        <v>1915</v>
      </c>
      <c r="L2336" s="13">
        <v>16</v>
      </c>
      <c r="M2336" s="13">
        <v>717</v>
      </c>
      <c r="N2336" s="13">
        <v>209</v>
      </c>
      <c r="O2336" s="13">
        <v>34</v>
      </c>
      <c r="P2336" s="13">
        <v>1</v>
      </c>
      <c r="Q2336" s="13">
        <v>65</v>
      </c>
      <c r="R2336" s="13">
        <v>0</v>
      </c>
      <c r="S2336" s="13">
        <v>1</v>
      </c>
      <c r="T2336" s="23">
        <v>46247.754467592589</v>
      </c>
      <c r="U2336" s="55">
        <f t="shared" si="108"/>
        <v>1</v>
      </c>
      <c r="V2336" s="55">
        <f t="shared" si="109"/>
        <v>0</v>
      </c>
      <c r="W2336" s="56">
        <f t="shared" si="110"/>
        <v>1682.3333333333333</v>
      </c>
    </row>
    <row r="2337" spans="1:23" x14ac:dyDescent="0.3">
      <c r="A2337" s="13" t="str" cm="1">
        <f t="array" ref="A2337:B2337">INDEX(BenchmarkResults!$B$1:$D$35,SUMPRODUCT((T2337&gt;=BenchmarkResults!$F$3:$F$35)*(mongodb_hardware_log!T2337&lt;BenchmarkResults!$G$3:$G$35)*ROW(BenchmarkResults!$F$3:$F$35)),{1,3})</f>
        <v>q6_inactive_customers</v>
      </c>
      <c r="B2337">
        <v>1</v>
      </c>
      <c r="C2337" s="13">
        <v>1</v>
      </c>
      <c r="D2337" s="13">
        <v>0</v>
      </c>
      <c r="E2337" s="13">
        <v>202240</v>
      </c>
      <c r="F2337" s="13">
        <v>149500</v>
      </c>
      <c r="G2337" s="13">
        <v>2344</v>
      </c>
      <c r="H2337" s="13">
        <v>2264788</v>
      </c>
      <c r="I2337" s="13">
        <v>0</v>
      </c>
      <c r="J2337" s="13">
        <v>0</v>
      </c>
      <c r="K2337" s="13">
        <v>1568</v>
      </c>
      <c r="L2337" s="13">
        <v>6</v>
      </c>
      <c r="M2337" s="13">
        <v>702</v>
      </c>
      <c r="N2337" s="13">
        <v>191</v>
      </c>
      <c r="O2337" s="13">
        <v>33</v>
      </c>
      <c r="P2337" s="13">
        <v>1</v>
      </c>
      <c r="Q2337" s="13">
        <v>65</v>
      </c>
      <c r="R2337" s="13">
        <v>0</v>
      </c>
      <c r="S2337" s="13">
        <v>0</v>
      </c>
      <c r="T2337" s="23">
        <v>46247.754583333335</v>
      </c>
      <c r="U2337" s="55">
        <f t="shared" si="108"/>
        <v>1</v>
      </c>
      <c r="V2337" s="55">
        <f t="shared" si="109"/>
        <v>0</v>
      </c>
      <c r="W2337" s="56">
        <f t="shared" si="110"/>
        <v>1674</v>
      </c>
    </row>
    <row r="2338" spans="1:23" x14ac:dyDescent="0.3">
      <c r="A2338" s="13" t="str" cm="1">
        <f t="array" ref="A2338:B2338">INDEX(BenchmarkResults!$B$1:$D$35,SUMPRODUCT((T2338&gt;=BenchmarkResults!$F$3:$F$35)*(mongodb_hardware_log!T2338&lt;BenchmarkResults!$G$3:$G$35)*ROW(BenchmarkResults!$F$3:$F$35)),{1,3})</f>
        <v>q6_inactive_customers</v>
      </c>
      <c r="B2338">
        <v>1</v>
      </c>
      <c r="C2338" s="13">
        <v>1</v>
      </c>
      <c r="D2338" s="13">
        <v>0</v>
      </c>
      <c r="E2338" s="13">
        <v>202240</v>
      </c>
      <c r="F2338" s="13">
        <v>125560</v>
      </c>
      <c r="G2338" s="13">
        <v>2352</v>
      </c>
      <c r="H2338" s="13">
        <v>2288276</v>
      </c>
      <c r="I2338" s="13">
        <v>0</v>
      </c>
      <c r="J2338" s="13">
        <v>0</v>
      </c>
      <c r="K2338" s="13">
        <v>1772</v>
      </c>
      <c r="L2338" s="13">
        <v>11</v>
      </c>
      <c r="M2338" s="13">
        <v>727</v>
      </c>
      <c r="N2338" s="13">
        <v>209</v>
      </c>
      <c r="O2338" s="13">
        <v>33</v>
      </c>
      <c r="P2338" s="13">
        <v>1</v>
      </c>
      <c r="Q2338" s="13">
        <v>65</v>
      </c>
      <c r="R2338" s="13">
        <v>1</v>
      </c>
      <c r="S2338" s="13">
        <v>0</v>
      </c>
      <c r="T2338" s="23">
        <v>46247.754699074074</v>
      </c>
      <c r="U2338" s="55">
        <f t="shared" si="108"/>
        <v>1</v>
      </c>
      <c r="V2338" s="55">
        <f t="shared" si="109"/>
        <v>0</v>
      </c>
      <c r="W2338" s="56">
        <f t="shared" si="110"/>
        <v>1735.6666666666667</v>
      </c>
    </row>
    <row r="2339" spans="1:23" x14ac:dyDescent="0.3">
      <c r="A2339" s="13" t="str" cm="1">
        <f t="array" ref="A2339:B2339">INDEX(BenchmarkResults!$B$1:$D$35,SUMPRODUCT((T2339&gt;=BenchmarkResults!$F$3:$F$35)*(mongodb_hardware_log!T2339&lt;BenchmarkResults!$G$3:$G$35)*ROW(BenchmarkResults!$F$3:$F$35)),{1,3})</f>
        <v>q6_inactive_customers</v>
      </c>
      <c r="B2339">
        <v>1</v>
      </c>
      <c r="C2339" s="13">
        <v>1</v>
      </c>
      <c r="D2339" s="13">
        <v>0</v>
      </c>
      <c r="E2339" s="13">
        <v>202240</v>
      </c>
      <c r="F2339" s="13">
        <v>108676</v>
      </c>
      <c r="G2339" s="13">
        <v>2360</v>
      </c>
      <c r="H2339" s="13">
        <v>2307632</v>
      </c>
      <c r="I2339" s="13">
        <v>0</v>
      </c>
      <c r="J2339" s="13">
        <v>0</v>
      </c>
      <c r="K2339" s="13">
        <v>1933</v>
      </c>
      <c r="L2339" s="13">
        <v>11</v>
      </c>
      <c r="M2339" s="13">
        <v>749</v>
      </c>
      <c r="N2339" s="13">
        <v>222</v>
      </c>
      <c r="O2339" s="13">
        <v>33</v>
      </c>
      <c r="P2339" s="13">
        <v>1</v>
      </c>
      <c r="Q2339" s="13">
        <v>65</v>
      </c>
      <c r="R2339" s="13">
        <v>1</v>
      </c>
      <c r="S2339" s="13">
        <v>1</v>
      </c>
      <c r="T2339" s="23">
        <v>46247.754814814813</v>
      </c>
      <c r="U2339" s="55">
        <f t="shared" si="108"/>
        <v>1</v>
      </c>
      <c r="V2339" s="55">
        <f t="shared" si="109"/>
        <v>0</v>
      </c>
      <c r="W2339" s="56">
        <f t="shared" si="110"/>
        <v>1740.6666666666667</v>
      </c>
    </row>
    <row r="2340" spans="1:23" x14ac:dyDescent="0.3">
      <c r="A2340" s="13" t="str" cm="1">
        <f t="array" ref="A2340:B2340">INDEX(BenchmarkResults!$B$1:$D$35,SUMPRODUCT((T2340&gt;=BenchmarkResults!$F$3:$F$35)*(mongodb_hardware_log!T2340&lt;BenchmarkResults!$G$3:$G$35)*ROW(BenchmarkResults!$F$3:$F$35)),{1,3})</f>
        <v>q6_inactive_customers</v>
      </c>
      <c r="B2340">
        <v>1</v>
      </c>
      <c r="C2340" s="13">
        <v>1</v>
      </c>
      <c r="D2340" s="13">
        <v>0</v>
      </c>
      <c r="E2340" s="13">
        <v>202240</v>
      </c>
      <c r="F2340" s="13">
        <v>149076</v>
      </c>
      <c r="G2340" s="13">
        <v>2376</v>
      </c>
      <c r="H2340" s="13">
        <v>2268268</v>
      </c>
      <c r="I2340" s="13">
        <v>0</v>
      </c>
      <c r="J2340" s="13">
        <v>0</v>
      </c>
      <c r="K2340" s="13">
        <v>1576</v>
      </c>
      <c r="L2340" s="13">
        <v>1574</v>
      </c>
      <c r="M2340" s="13">
        <v>739</v>
      </c>
      <c r="N2340" s="13">
        <v>206</v>
      </c>
      <c r="O2340" s="13">
        <v>33</v>
      </c>
      <c r="P2340" s="13">
        <v>1</v>
      </c>
      <c r="Q2340" s="13">
        <v>63</v>
      </c>
      <c r="R2340" s="13">
        <v>2</v>
      </c>
      <c r="S2340" s="13">
        <v>1</v>
      </c>
      <c r="T2340" s="23">
        <v>46247.754930555559</v>
      </c>
      <c r="U2340" s="55">
        <f t="shared" si="108"/>
        <v>1</v>
      </c>
      <c r="V2340" s="55">
        <f t="shared" si="109"/>
        <v>0</v>
      </c>
      <c r="W2340" s="56">
        <f t="shared" si="110"/>
        <v>1732.3333333333333</v>
      </c>
    </row>
    <row r="2341" spans="1:23" x14ac:dyDescent="0.3">
      <c r="A2341" s="13" t="str" cm="1">
        <f t="array" ref="A2341:B2341">INDEX(BenchmarkResults!$B$1:$D$35,SUMPRODUCT((T2341&gt;=BenchmarkResults!$F$3:$F$35)*(mongodb_hardware_log!T2341&lt;BenchmarkResults!$G$3:$G$35)*ROW(BenchmarkResults!$F$3:$F$35)),{1,3})</f>
        <v>q6_inactive_customers</v>
      </c>
      <c r="B2341">
        <v>1</v>
      </c>
      <c r="C2341" s="13">
        <v>1</v>
      </c>
      <c r="D2341" s="13">
        <v>0</v>
      </c>
      <c r="E2341" s="13">
        <v>202240</v>
      </c>
      <c r="F2341" s="13">
        <v>127404</v>
      </c>
      <c r="G2341" s="13">
        <v>2412</v>
      </c>
      <c r="H2341" s="13">
        <v>2287492</v>
      </c>
      <c r="I2341" s="13">
        <v>1</v>
      </c>
      <c r="J2341" s="13">
        <v>0</v>
      </c>
      <c r="K2341" s="13">
        <v>1923</v>
      </c>
      <c r="L2341" s="13">
        <v>26</v>
      </c>
      <c r="M2341" s="13">
        <v>723</v>
      </c>
      <c r="N2341" s="13">
        <v>217</v>
      </c>
      <c r="O2341" s="13">
        <v>34</v>
      </c>
      <c r="P2341" s="13">
        <v>1</v>
      </c>
      <c r="Q2341" s="13">
        <v>64</v>
      </c>
      <c r="R2341" s="13">
        <v>0</v>
      </c>
      <c r="S2341" s="13">
        <v>0</v>
      </c>
      <c r="T2341" s="23">
        <v>46247.755046296297</v>
      </c>
      <c r="U2341" s="55">
        <f t="shared" si="108"/>
        <v>1</v>
      </c>
      <c r="V2341" s="55">
        <f t="shared" si="109"/>
        <v>0</v>
      </c>
      <c r="W2341" s="56">
        <f t="shared" si="110"/>
        <v>1781.1666666666667</v>
      </c>
    </row>
    <row r="2342" spans="1:23" x14ac:dyDescent="0.3">
      <c r="A2342" s="13" t="str" cm="1">
        <f t="array" ref="A2342:B2342">INDEX(BenchmarkResults!$B$1:$D$35,SUMPRODUCT((T2342&gt;=BenchmarkResults!$F$3:$F$35)*(mongodb_hardware_log!T2342&lt;BenchmarkResults!$G$3:$G$35)*ROW(BenchmarkResults!$F$3:$F$35)),{1,3})</f>
        <v>q6_inactive_customers</v>
      </c>
      <c r="B2342">
        <v>1</v>
      </c>
      <c r="C2342" s="13">
        <v>1</v>
      </c>
      <c r="D2342" s="13">
        <v>0</v>
      </c>
      <c r="E2342" s="13">
        <v>202240</v>
      </c>
      <c r="F2342" s="13">
        <v>105228</v>
      </c>
      <c r="G2342" s="13">
        <v>2420</v>
      </c>
      <c r="H2342" s="13">
        <v>2306784</v>
      </c>
      <c r="I2342" s="13">
        <v>0</v>
      </c>
      <c r="J2342" s="13">
        <v>0</v>
      </c>
      <c r="K2342" s="13">
        <v>1930</v>
      </c>
      <c r="L2342" s="13">
        <v>6</v>
      </c>
      <c r="M2342" s="13">
        <v>730</v>
      </c>
      <c r="N2342" s="13">
        <v>229</v>
      </c>
      <c r="O2342" s="13">
        <v>33</v>
      </c>
      <c r="P2342" s="13">
        <v>1</v>
      </c>
      <c r="Q2342" s="13">
        <v>65</v>
      </c>
      <c r="R2342" s="13">
        <v>1</v>
      </c>
      <c r="S2342" s="13">
        <v>0</v>
      </c>
      <c r="T2342" s="23">
        <v>46247.755162037036</v>
      </c>
      <c r="U2342" s="55">
        <f t="shared" si="108"/>
        <v>1</v>
      </c>
      <c r="V2342" s="55">
        <f t="shared" si="109"/>
        <v>0</v>
      </c>
      <c r="W2342" s="56">
        <f t="shared" si="110"/>
        <v>1783.6666666666667</v>
      </c>
    </row>
    <row r="2343" spans="1:23" x14ac:dyDescent="0.3">
      <c r="A2343" s="13" t="str" cm="1">
        <f t="array" ref="A2343:B2343">INDEX(BenchmarkResults!$B$1:$D$35,SUMPRODUCT((T2343&gt;=BenchmarkResults!$F$3:$F$35)*(mongodb_hardware_log!T2343&lt;BenchmarkResults!$G$3:$G$35)*ROW(BenchmarkResults!$F$3:$F$35)),{1,3})</f>
        <v>q6_inactive_customers</v>
      </c>
      <c r="B2343">
        <v>1</v>
      </c>
      <c r="C2343" s="13">
        <v>1</v>
      </c>
      <c r="D2343" s="13">
        <v>0</v>
      </c>
      <c r="E2343" s="13">
        <v>202240</v>
      </c>
      <c r="F2343" s="13">
        <v>131960</v>
      </c>
      <c r="G2343" s="13">
        <v>2428</v>
      </c>
      <c r="H2343" s="13">
        <v>2280760</v>
      </c>
      <c r="I2343" s="13">
        <v>0</v>
      </c>
      <c r="J2343" s="13">
        <v>0</v>
      </c>
      <c r="K2343" s="13">
        <v>1362</v>
      </c>
      <c r="L2343" s="13">
        <v>18</v>
      </c>
      <c r="M2343" s="13">
        <v>689</v>
      </c>
      <c r="N2343" s="13">
        <v>185</v>
      </c>
      <c r="O2343" s="13">
        <v>33</v>
      </c>
      <c r="P2343" s="13">
        <v>1</v>
      </c>
      <c r="Q2343" s="13">
        <v>65</v>
      </c>
      <c r="R2343" s="13">
        <v>0</v>
      </c>
      <c r="S2343" s="13">
        <v>0</v>
      </c>
      <c r="T2343" s="23">
        <v>46247.755277777775</v>
      </c>
      <c r="U2343" s="55">
        <f t="shared" si="108"/>
        <v>1</v>
      </c>
      <c r="V2343" s="55">
        <f t="shared" si="109"/>
        <v>0</v>
      </c>
      <c r="W2343" s="56">
        <f t="shared" si="110"/>
        <v>1749.3333333333333</v>
      </c>
    </row>
    <row r="2344" spans="1:23" x14ac:dyDescent="0.3">
      <c r="A2344" s="13" t="str" cm="1">
        <f t="array" ref="A2344:B2344">INDEX(BenchmarkResults!$B$1:$D$35,SUMPRODUCT((T2344&gt;=BenchmarkResults!$F$3:$F$35)*(mongodb_hardware_log!T2344&lt;BenchmarkResults!$G$3:$G$35)*ROW(BenchmarkResults!$F$3:$F$35)),{1,3})</f>
        <v>q6_inactive_customers</v>
      </c>
      <c r="B2344">
        <v>1</v>
      </c>
      <c r="C2344" s="13">
        <v>1</v>
      </c>
      <c r="D2344" s="13">
        <v>0</v>
      </c>
      <c r="E2344" s="13">
        <v>202240</v>
      </c>
      <c r="F2344" s="13">
        <v>113060</v>
      </c>
      <c r="G2344" s="13">
        <v>2448</v>
      </c>
      <c r="H2344" s="13">
        <v>2300300</v>
      </c>
      <c r="I2344" s="13">
        <v>0</v>
      </c>
      <c r="J2344" s="13">
        <v>0</v>
      </c>
      <c r="K2344" s="13">
        <v>1956</v>
      </c>
      <c r="L2344" s="13">
        <v>1578</v>
      </c>
      <c r="M2344" s="13">
        <v>728</v>
      </c>
      <c r="N2344" s="13">
        <v>213</v>
      </c>
      <c r="O2344" s="13">
        <v>34</v>
      </c>
      <c r="P2344" s="13">
        <v>1</v>
      </c>
      <c r="Q2344" s="13">
        <v>63</v>
      </c>
      <c r="R2344" s="13">
        <v>2</v>
      </c>
      <c r="S2344" s="13">
        <v>0</v>
      </c>
      <c r="T2344" s="23">
        <v>46247.755393518521</v>
      </c>
      <c r="U2344" s="55">
        <f t="shared" si="108"/>
        <v>1</v>
      </c>
      <c r="V2344" s="55">
        <f t="shared" si="109"/>
        <v>0</v>
      </c>
      <c r="W2344" s="56">
        <f t="shared" si="110"/>
        <v>1780</v>
      </c>
    </row>
    <row r="2345" spans="1:23" x14ac:dyDescent="0.3">
      <c r="A2345" s="13" t="str" cm="1">
        <f t="array" ref="A2345:B2345">INDEX(BenchmarkResults!$B$1:$D$35,SUMPRODUCT((T2345&gt;=BenchmarkResults!$F$3:$F$35)*(mongodb_hardware_log!T2345&lt;BenchmarkResults!$G$3:$G$35)*ROW(BenchmarkResults!$F$3:$F$35)),{1,3})</f>
        <v>q6_inactive_customers</v>
      </c>
      <c r="B2345">
        <v>1</v>
      </c>
      <c r="C2345" s="13">
        <v>2</v>
      </c>
      <c r="D2345" s="13">
        <v>0</v>
      </c>
      <c r="E2345" s="13">
        <v>202240</v>
      </c>
      <c r="F2345" s="13">
        <v>154396</v>
      </c>
      <c r="G2345" s="13">
        <v>2464</v>
      </c>
      <c r="H2345" s="13">
        <v>2263600</v>
      </c>
      <c r="I2345" s="13">
        <v>0</v>
      </c>
      <c r="J2345" s="13">
        <v>0</v>
      </c>
      <c r="K2345" s="13">
        <v>1833</v>
      </c>
      <c r="L2345" s="13">
        <v>12</v>
      </c>
      <c r="M2345" s="13">
        <v>741</v>
      </c>
      <c r="N2345" s="13">
        <v>215</v>
      </c>
      <c r="O2345" s="13">
        <v>33</v>
      </c>
      <c r="P2345" s="13">
        <v>1</v>
      </c>
      <c r="Q2345" s="13">
        <v>64</v>
      </c>
      <c r="R2345" s="13">
        <v>2</v>
      </c>
      <c r="S2345" s="13">
        <v>1</v>
      </c>
      <c r="T2345" s="23">
        <v>46247.755509259259</v>
      </c>
      <c r="U2345" s="55">
        <f t="shared" si="108"/>
        <v>1.1666666666666667</v>
      </c>
      <c r="V2345" s="55">
        <f t="shared" si="109"/>
        <v>0</v>
      </c>
      <c r="W2345" s="56">
        <f t="shared" si="110"/>
        <v>1763.3333333333333</v>
      </c>
    </row>
    <row r="2346" spans="1:23" x14ac:dyDescent="0.3">
      <c r="A2346" s="13" t="str" cm="1">
        <f t="array" ref="A2346:B2346">INDEX(BenchmarkResults!$B$1:$D$35,SUMPRODUCT((T2346&gt;=BenchmarkResults!$F$3:$F$35)*(mongodb_hardware_log!T2346&lt;BenchmarkResults!$G$3:$G$35)*ROW(BenchmarkResults!$F$3:$F$35)),{1,3})</f>
        <v>q6_inactive_customers</v>
      </c>
      <c r="B2346">
        <v>1</v>
      </c>
      <c r="C2346" s="13">
        <v>2</v>
      </c>
      <c r="D2346" s="13">
        <v>0</v>
      </c>
      <c r="E2346" s="13">
        <v>202240</v>
      </c>
      <c r="F2346" s="13">
        <v>752560</v>
      </c>
      <c r="G2346" s="13">
        <v>2476</v>
      </c>
      <c r="H2346" s="13">
        <v>1643824</v>
      </c>
      <c r="I2346" s="13">
        <v>0</v>
      </c>
      <c r="J2346" s="13">
        <v>0</v>
      </c>
      <c r="K2346" s="13">
        <v>1237</v>
      </c>
      <c r="L2346" s="13">
        <v>7</v>
      </c>
      <c r="M2346" s="13">
        <v>1038</v>
      </c>
      <c r="N2346" s="13">
        <v>458</v>
      </c>
      <c r="O2346" s="13">
        <v>38</v>
      </c>
      <c r="P2346" s="13">
        <v>10</v>
      </c>
      <c r="Q2346" s="13">
        <v>51</v>
      </c>
      <c r="R2346" s="13">
        <v>0</v>
      </c>
      <c r="S2346" s="13">
        <v>1</v>
      </c>
      <c r="T2346" s="23">
        <v>46247.755624999998</v>
      </c>
      <c r="U2346" s="55">
        <f t="shared" si="108"/>
        <v>1.3333333333333333</v>
      </c>
      <c r="V2346" s="55">
        <f t="shared" si="109"/>
        <v>0</v>
      </c>
      <c r="W2346" s="56">
        <f t="shared" si="110"/>
        <v>1706.8333333333333</v>
      </c>
    </row>
    <row r="2347" spans="1:23" x14ac:dyDescent="0.3">
      <c r="A2347" s="13" t="str" cm="1">
        <f t="array" ref="A2347:B2347">INDEX(BenchmarkResults!$B$1:$D$35,SUMPRODUCT((T2347&gt;=BenchmarkResults!$F$3:$F$35)*(mongodb_hardware_log!T2347&lt;BenchmarkResults!$G$3:$G$35)*ROW(BenchmarkResults!$F$3:$F$35)),{1,3})</f>
        <v>q6_inactive_customers</v>
      </c>
      <c r="B2347">
        <v>1</v>
      </c>
      <c r="C2347" s="13">
        <v>1</v>
      </c>
      <c r="D2347" s="13">
        <v>0</v>
      </c>
      <c r="E2347" s="13">
        <v>202240</v>
      </c>
      <c r="F2347" s="13">
        <v>744448</v>
      </c>
      <c r="G2347" s="13">
        <v>2500</v>
      </c>
      <c r="H2347" s="13">
        <v>1661624</v>
      </c>
      <c r="I2347" s="13">
        <v>1</v>
      </c>
      <c r="J2347" s="13">
        <v>0</v>
      </c>
      <c r="K2347" s="13">
        <v>1783</v>
      </c>
      <c r="L2347" s="13">
        <v>36</v>
      </c>
      <c r="M2347" s="13">
        <v>759</v>
      </c>
      <c r="N2347" s="13">
        <v>220</v>
      </c>
      <c r="O2347" s="13">
        <v>34</v>
      </c>
      <c r="P2347" s="13">
        <v>4</v>
      </c>
      <c r="Q2347" s="13">
        <v>61</v>
      </c>
      <c r="R2347" s="13">
        <v>0</v>
      </c>
      <c r="S2347" s="13">
        <v>1</v>
      </c>
      <c r="T2347" s="23">
        <v>46247.755740740744</v>
      </c>
      <c r="U2347" s="55">
        <f t="shared" si="108"/>
        <v>1.3333333333333333</v>
      </c>
      <c r="V2347" s="55">
        <f t="shared" si="109"/>
        <v>0</v>
      </c>
      <c r="W2347" s="56">
        <f t="shared" si="110"/>
        <v>1683.5</v>
      </c>
    </row>
    <row r="2348" spans="1:23" x14ac:dyDescent="0.3">
      <c r="A2348" s="13" t="str" cm="1">
        <f t="array" ref="A2348:B2348">INDEX(BenchmarkResults!$B$1:$D$35,SUMPRODUCT((T2348&gt;=BenchmarkResults!$F$3:$F$35)*(mongodb_hardware_log!T2348&lt;BenchmarkResults!$G$3:$G$35)*ROW(BenchmarkResults!$F$3:$F$35)),{1,3})</f>
        <v>q6_inactive_customers</v>
      </c>
      <c r="B2348">
        <v>1</v>
      </c>
      <c r="C2348" s="13">
        <v>1</v>
      </c>
      <c r="D2348" s="13">
        <v>0</v>
      </c>
      <c r="E2348" s="13">
        <v>202240</v>
      </c>
      <c r="F2348" s="13">
        <v>728320</v>
      </c>
      <c r="G2348" s="13">
        <v>2508</v>
      </c>
      <c r="H2348" s="13">
        <v>1677800</v>
      </c>
      <c r="I2348" s="13">
        <v>0</v>
      </c>
      <c r="J2348" s="13">
        <v>0</v>
      </c>
      <c r="K2348" s="13">
        <v>1617</v>
      </c>
      <c r="L2348" s="13">
        <v>14</v>
      </c>
      <c r="M2348" s="13">
        <v>722</v>
      </c>
      <c r="N2348" s="13">
        <v>211</v>
      </c>
      <c r="O2348" s="13">
        <v>33</v>
      </c>
      <c r="P2348" s="13">
        <v>1</v>
      </c>
      <c r="Q2348" s="13">
        <v>65</v>
      </c>
      <c r="R2348" s="13">
        <v>0</v>
      </c>
      <c r="S2348" s="13">
        <v>1</v>
      </c>
      <c r="T2348" s="23">
        <v>46247.755856481483</v>
      </c>
      <c r="U2348" s="55">
        <f t="shared" si="108"/>
        <v>1.3333333333333333</v>
      </c>
      <c r="V2348" s="55">
        <f t="shared" si="109"/>
        <v>0</v>
      </c>
      <c r="W2348" s="56">
        <f t="shared" si="110"/>
        <v>1631.3333333333333</v>
      </c>
    </row>
    <row r="2349" spans="1:23" x14ac:dyDescent="0.3">
      <c r="A2349" s="13" t="str" cm="1">
        <f t="array" ref="A2349:B2349">INDEX(BenchmarkResults!$B$1:$D$35,SUMPRODUCT((T2349&gt;=BenchmarkResults!$F$3:$F$35)*(mongodb_hardware_log!T2349&lt;BenchmarkResults!$G$3:$G$35)*ROW(BenchmarkResults!$F$3:$F$35)),{1,3})</f>
        <v>q6_inactive_customers</v>
      </c>
      <c r="B2349">
        <v>1</v>
      </c>
      <c r="C2349" s="13">
        <v>1</v>
      </c>
      <c r="D2349" s="13">
        <v>0</v>
      </c>
      <c r="E2349" s="13">
        <v>202240</v>
      </c>
      <c r="F2349" s="13">
        <v>697576</v>
      </c>
      <c r="G2349" s="13">
        <v>2524</v>
      </c>
      <c r="H2349" s="13">
        <v>1708616</v>
      </c>
      <c r="I2349" s="13">
        <v>0</v>
      </c>
      <c r="J2349" s="13">
        <v>0</v>
      </c>
      <c r="K2349" s="13">
        <v>1523</v>
      </c>
      <c r="L2349" s="13">
        <v>21</v>
      </c>
      <c r="M2349" s="13">
        <v>687</v>
      </c>
      <c r="N2349" s="13">
        <v>182</v>
      </c>
      <c r="O2349" s="13">
        <v>33</v>
      </c>
      <c r="P2349" s="13">
        <v>1</v>
      </c>
      <c r="Q2349" s="13">
        <v>64</v>
      </c>
      <c r="R2349" s="13">
        <v>1</v>
      </c>
      <c r="S2349" s="13">
        <v>0</v>
      </c>
      <c r="T2349" s="23">
        <v>46247.755972222221</v>
      </c>
      <c r="U2349" s="55">
        <f t="shared" si="108"/>
        <v>1.3333333333333333</v>
      </c>
      <c r="V2349" s="55">
        <f t="shared" si="109"/>
        <v>0</v>
      </c>
      <c r="W2349" s="56">
        <f t="shared" si="110"/>
        <v>1658.1666666666667</v>
      </c>
    </row>
    <row r="2350" spans="1:23" x14ac:dyDescent="0.3">
      <c r="A2350" s="13" t="str" cm="1">
        <f t="array" ref="A2350:B2350">INDEX(BenchmarkResults!$B$1:$D$35,SUMPRODUCT((T2350&gt;=BenchmarkResults!$F$3:$F$35)*(mongodb_hardware_log!T2350&lt;BenchmarkResults!$G$3:$G$35)*ROW(BenchmarkResults!$F$3:$F$35)),{1,3})</f>
        <v>q6_inactive_customers</v>
      </c>
      <c r="B2350">
        <v>1</v>
      </c>
      <c r="C2350" s="13">
        <v>1</v>
      </c>
      <c r="D2350" s="13">
        <v>0</v>
      </c>
      <c r="E2350" s="13">
        <v>202240</v>
      </c>
      <c r="F2350" s="13">
        <v>673384</v>
      </c>
      <c r="G2350" s="13">
        <v>2532</v>
      </c>
      <c r="H2350" s="13">
        <v>1728424</v>
      </c>
      <c r="I2350" s="13">
        <v>0</v>
      </c>
      <c r="J2350" s="13">
        <v>0</v>
      </c>
      <c r="K2350" s="13">
        <v>1977</v>
      </c>
      <c r="L2350" s="13">
        <v>9</v>
      </c>
      <c r="M2350" s="13">
        <v>722</v>
      </c>
      <c r="N2350" s="13">
        <v>209</v>
      </c>
      <c r="O2350" s="13">
        <v>34</v>
      </c>
      <c r="P2350" s="13">
        <v>1</v>
      </c>
      <c r="Q2350" s="13">
        <v>64</v>
      </c>
      <c r="R2350" s="13">
        <v>0</v>
      </c>
      <c r="S2350" s="13">
        <v>0</v>
      </c>
      <c r="T2350" s="23">
        <v>46247.75608796296</v>
      </c>
      <c r="U2350" s="55">
        <f t="shared" si="108"/>
        <v>1.3333333333333333</v>
      </c>
      <c r="V2350" s="55">
        <f t="shared" si="109"/>
        <v>0</v>
      </c>
      <c r="W2350" s="56">
        <f t="shared" si="110"/>
        <v>1661.6666666666667</v>
      </c>
    </row>
    <row r="2351" spans="1:23" x14ac:dyDescent="0.3">
      <c r="A2351" s="13" t="str" cm="1">
        <f t="array" ref="A2351:B2351">INDEX(BenchmarkResults!$B$1:$D$35,SUMPRODUCT((T2351&gt;=BenchmarkResults!$F$3:$F$35)*(mongodb_hardware_log!T2351&lt;BenchmarkResults!$G$3:$G$35)*ROW(BenchmarkResults!$F$3:$F$35)),{1,3})</f>
        <v>q6_inactive_customers</v>
      </c>
      <c r="B2351">
        <v>1</v>
      </c>
      <c r="C2351" s="13">
        <v>1</v>
      </c>
      <c r="D2351" s="13">
        <v>0</v>
      </c>
      <c r="E2351" s="13">
        <v>202240</v>
      </c>
      <c r="F2351" s="13">
        <v>659272</v>
      </c>
      <c r="G2351" s="13">
        <v>2540</v>
      </c>
      <c r="H2351" s="13">
        <v>1746140</v>
      </c>
      <c r="I2351" s="13">
        <v>0</v>
      </c>
      <c r="J2351" s="13">
        <v>0</v>
      </c>
      <c r="K2351" s="13">
        <v>1772</v>
      </c>
      <c r="L2351" s="13">
        <v>12</v>
      </c>
      <c r="M2351" s="13">
        <v>709</v>
      </c>
      <c r="N2351" s="13">
        <v>201</v>
      </c>
      <c r="O2351" s="13">
        <v>33</v>
      </c>
      <c r="P2351" s="13">
        <v>1</v>
      </c>
      <c r="Q2351" s="13">
        <v>64</v>
      </c>
      <c r="R2351" s="13">
        <v>1</v>
      </c>
      <c r="S2351" s="13">
        <v>0</v>
      </c>
      <c r="T2351" s="23">
        <v>46247.756203703706</v>
      </c>
      <c r="U2351" s="55">
        <f t="shared" si="108"/>
        <v>1.1666666666666667</v>
      </c>
      <c r="V2351" s="55">
        <f t="shared" si="109"/>
        <v>0</v>
      </c>
      <c r="W2351" s="56">
        <f t="shared" si="110"/>
        <v>1651.5</v>
      </c>
    </row>
    <row r="2352" spans="1:23" x14ac:dyDescent="0.3">
      <c r="A2352" s="13" t="str" cm="1">
        <f t="array" ref="A2352:B2352">INDEX(BenchmarkResults!$B$1:$D$35,SUMPRODUCT((T2352&gt;=BenchmarkResults!$F$3:$F$35)*(mongodb_hardware_log!T2352&lt;BenchmarkResults!$G$3:$G$35)*ROW(BenchmarkResults!$F$3:$F$35)),{1,3})</f>
        <v>q6_inactive_customers</v>
      </c>
      <c r="B2352">
        <v>1</v>
      </c>
      <c r="C2352" s="13">
        <v>1</v>
      </c>
      <c r="D2352" s="13">
        <v>0</v>
      </c>
      <c r="E2352" s="13">
        <v>202240</v>
      </c>
      <c r="F2352" s="13">
        <v>647176</v>
      </c>
      <c r="G2352" s="13">
        <v>2548</v>
      </c>
      <c r="H2352" s="13">
        <v>1762340</v>
      </c>
      <c r="I2352" s="13">
        <v>0</v>
      </c>
      <c r="J2352" s="13">
        <v>0</v>
      </c>
      <c r="K2352" s="13">
        <v>1618</v>
      </c>
      <c r="L2352" s="13">
        <v>1566</v>
      </c>
      <c r="M2352" s="13">
        <v>741</v>
      </c>
      <c r="N2352" s="13">
        <v>215</v>
      </c>
      <c r="O2352" s="13">
        <v>34</v>
      </c>
      <c r="P2352" s="13">
        <v>1</v>
      </c>
      <c r="Q2352" s="13">
        <v>63</v>
      </c>
      <c r="R2352" s="13">
        <v>2</v>
      </c>
      <c r="S2352" s="13">
        <v>1</v>
      </c>
      <c r="T2352" s="23">
        <v>46247.756319444445</v>
      </c>
      <c r="U2352" s="55">
        <f t="shared" si="108"/>
        <v>1</v>
      </c>
      <c r="V2352" s="55">
        <f t="shared" si="109"/>
        <v>0</v>
      </c>
      <c r="W2352" s="56">
        <f t="shared" si="110"/>
        <v>1715</v>
      </c>
    </row>
    <row r="2353" spans="1:23" x14ac:dyDescent="0.3">
      <c r="A2353" s="13" t="str" cm="1">
        <f t="array" ref="A2353:B2353">INDEX(BenchmarkResults!$B$1:$D$35,SUMPRODUCT((T2353&gt;=BenchmarkResults!$F$3:$F$35)*(mongodb_hardware_log!T2353&lt;BenchmarkResults!$G$3:$G$35)*ROW(BenchmarkResults!$F$3:$F$35)),{1,3})</f>
        <v>q6_inactive_customers</v>
      </c>
      <c r="B2353">
        <v>1</v>
      </c>
      <c r="C2353" s="13">
        <v>1</v>
      </c>
      <c r="D2353" s="13">
        <v>0</v>
      </c>
      <c r="E2353" s="13">
        <v>202240</v>
      </c>
      <c r="F2353" s="13">
        <v>646224</v>
      </c>
      <c r="G2353" s="13">
        <v>2608</v>
      </c>
      <c r="H2353" s="13">
        <v>1774892</v>
      </c>
      <c r="I2353" s="13">
        <v>1</v>
      </c>
      <c r="J2353" s="13">
        <v>0</v>
      </c>
      <c r="K2353" s="13">
        <v>1254</v>
      </c>
      <c r="L2353" s="13">
        <v>39</v>
      </c>
      <c r="M2353" s="13">
        <v>749</v>
      </c>
      <c r="N2353" s="13">
        <v>248</v>
      </c>
      <c r="O2353" s="13">
        <v>33</v>
      </c>
      <c r="P2353" s="13">
        <v>1</v>
      </c>
      <c r="Q2353" s="13">
        <v>64</v>
      </c>
      <c r="R2353" s="13">
        <v>1</v>
      </c>
      <c r="S2353" s="13">
        <v>1</v>
      </c>
      <c r="T2353" s="23">
        <v>46247.756435185183</v>
      </c>
      <c r="U2353" s="55">
        <f t="shared" si="108"/>
        <v>1</v>
      </c>
      <c r="V2353" s="55">
        <f t="shared" si="109"/>
        <v>0</v>
      </c>
      <c r="W2353" s="56">
        <f t="shared" si="110"/>
        <v>1626.8333333333333</v>
      </c>
    </row>
    <row r="2354" spans="1:23" x14ac:dyDescent="0.3">
      <c r="A2354" s="13" t="str" cm="1">
        <f t="array" ref="A2354:B2354">INDEX(BenchmarkResults!$B$1:$D$35,SUMPRODUCT((T2354&gt;=BenchmarkResults!$F$3:$F$35)*(mongodb_hardware_log!T2354&lt;BenchmarkResults!$G$3:$G$35)*ROW(BenchmarkResults!$F$3:$F$35)),{1,3})</f>
        <v>q6_inactive_customers</v>
      </c>
      <c r="B2354">
        <v>1</v>
      </c>
      <c r="C2354" s="13">
        <v>1</v>
      </c>
      <c r="D2354" s="13">
        <v>0</v>
      </c>
      <c r="E2354" s="13">
        <v>202240</v>
      </c>
      <c r="F2354" s="13">
        <v>637936</v>
      </c>
      <c r="G2354" s="13">
        <v>2616</v>
      </c>
      <c r="H2354" s="13">
        <v>1788080</v>
      </c>
      <c r="I2354" s="13">
        <v>0</v>
      </c>
      <c r="J2354" s="13">
        <v>0</v>
      </c>
      <c r="K2354" s="13">
        <v>1322</v>
      </c>
      <c r="L2354" s="13">
        <v>4</v>
      </c>
      <c r="M2354" s="13">
        <v>748</v>
      </c>
      <c r="N2354" s="13">
        <v>237</v>
      </c>
      <c r="O2354" s="13">
        <v>34</v>
      </c>
      <c r="P2354" s="13">
        <v>1</v>
      </c>
      <c r="Q2354" s="13">
        <v>64</v>
      </c>
      <c r="R2354" s="13">
        <v>0</v>
      </c>
      <c r="S2354" s="13">
        <v>1</v>
      </c>
      <c r="T2354" s="23">
        <v>46247.756550925929</v>
      </c>
      <c r="U2354" s="55">
        <f t="shared" si="108"/>
        <v>1</v>
      </c>
      <c r="V2354" s="55">
        <f t="shared" si="109"/>
        <v>0</v>
      </c>
      <c r="W2354" s="56">
        <f t="shared" si="110"/>
        <v>1577.6666666666667</v>
      </c>
    </row>
    <row r="2355" spans="1:23" x14ac:dyDescent="0.3">
      <c r="A2355" s="13" t="str" cm="1">
        <f t="array" ref="A2355:B2355">INDEX(BenchmarkResults!$B$1:$D$35,SUMPRODUCT((T2355&gt;=BenchmarkResults!$F$3:$F$35)*(mongodb_hardware_log!T2355&lt;BenchmarkResults!$G$3:$G$35)*ROW(BenchmarkResults!$F$3:$F$35)),{1,3})</f>
        <v>q6_inactive_customers</v>
      </c>
      <c r="B2355">
        <v>1</v>
      </c>
      <c r="C2355" s="13">
        <v>1</v>
      </c>
      <c r="D2355" s="13">
        <v>0</v>
      </c>
      <c r="E2355" s="13">
        <v>202240</v>
      </c>
      <c r="F2355" s="13">
        <v>604168</v>
      </c>
      <c r="G2355" s="13">
        <v>2632</v>
      </c>
      <c r="H2355" s="13">
        <v>1813356</v>
      </c>
      <c r="I2355" s="13">
        <v>0</v>
      </c>
      <c r="J2355" s="13">
        <v>0</v>
      </c>
      <c r="K2355" s="13">
        <v>958</v>
      </c>
      <c r="L2355" s="13">
        <v>1584</v>
      </c>
      <c r="M2355" s="13">
        <v>701</v>
      </c>
      <c r="N2355" s="13">
        <v>192</v>
      </c>
      <c r="O2355" s="13">
        <v>33</v>
      </c>
      <c r="P2355" s="13">
        <v>2</v>
      </c>
      <c r="Q2355" s="13">
        <v>63</v>
      </c>
      <c r="R2355" s="13">
        <v>2</v>
      </c>
      <c r="S2355" s="13">
        <v>0</v>
      </c>
      <c r="T2355" s="23">
        <v>46247.756666666668</v>
      </c>
      <c r="U2355" s="55">
        <f t="shared" si="108"/>
        <v>1</v>
      </c>
      <c r="V2355" s="55">
        <f t="shared" si="109"/>
        <v>0</v>
      </c>
      <c r="W2355" s="56">
        <f t="shared" si="110"/>
        <v>1483.5</v>
      </c>
    </row>
    <row r="2356" spans="1:23" x14ac:dyDescent="0.3">
      <c r="A2356" s="13" t="str" cm="1">
        <f t="array" ref="A2356:B2356">INDEX(BenchmarkResults!$B$1:$D$35,SUMPRODUCT((T2356&gt;=BenchmarkResults!$F$3:$F$35)*(mongodb_hardware_log!T2356&lt;BenchmarkResults!$G$3:$G$35)*ROW(BenchmarkResults!$F$3:$F$35)),{1,3})</f>
        <v>q6_inactive_customers</v>
      </c>
      <c r="B2356">
        <v>1</v>
      </c>
      <c r="C2356" s="13">
        <v>1</v>
      </c>
      <c r="D2356" s="13">
        <v>0</v>
      </c>
      <c r="E2356" s="13">
        <v>202240</v>
      </c>
      <c r="F2356" s="13">
        <v>592576</v>
      </c>
      <c r="G2356" s="13">
        <v>2644</v>
      </c>
      <c r="H2356" s="13">
        <v>1826504</v>
      </c>
      <c r="I2356" s="13">
        <v>0</v>
      </c>
      <c r="J2356" s="13">
        <v>0</v>
      </c>
      <c r="K2356" s="13">
        <v>1312</v>
      </c>
      <c r="L2356" s="13">
        <v>14</v>
      </c>
      <c r="M2356" s="13">
        <v>731</v>
      </c>
      <c r="N2356" s="13">
        <v>219</v>
      </c>
      <c r="O2356" s="13">
        <v>33</v>
      </c>
      <c r="P2356" s="13">
        <v>1</v>
      </c>
      <c r="Q2356" s="13">
        <v>65</v>
      </c>
      <c r="R2356" s="13">
        <v>0</v>
      </c>
      <c r="S2356" s="13">
        <v>0</v>
      </c>
      <c r="T2356" s="23">
        <v>46247.756782407407</v>
      </c>
      <c r="U2356" s="55">
        <f t="shared" si="108"/>
        <v>1</v>
      </c>
      <c r="V2356" s="55">
        <f t="shared" si="109"/>
        <v>0</v>
      </c>
      <c r="W2356" s="56">
        <f t="shared" si="110"/>
        <v>1372.6666666666667</v>
      </c>
    </row>
    <row r="2357" spans="1:23" x14ac:dyDescent="0.3">
      <c r="A2357" s="13" t="str" cm="1">
        <f t="array" ref="A2357:B2357">INDEX(BenchmarkResults!$B$1:$D$35,SUMPRODUCT((T2357&gt;=BenchmarkResults!$F$3:$F$35)*(mongodb_hardware_log!T2357&lt;BenchmarkResults!$G$3:$G$35)*ROW(BenchmarkResults!$F$3:$F$35)),{1,3})</f>
        <v>q6_inactive_customers</v>
      </c>
      <c r="B2357">
        <v>1</v>
      </c>
      <c r="C2357" s="13">
        <v>1</v>
      </c>
      <c r="D2357" s="13">
        <v>0</v>
      </c>
      <c r="E2357" s="13">
        <v>202240</v>
      </c>
      <c r="F2357" s="13">
        <v>580984</v>
      </c>
      <c r="G2357" s="13">
        <v>2652</v>
      </c>
      <c r="H2357" s="13">
        <v>1839684</v>
      </c>
      <c r="I2357" s="13">
        <v>0</v>
      </c>
      <c r="J2357" s="13">
        <v>0</v>
      </c>
      <c r="K2357" s="13">
        <v>1320</v>
      </c>
      <c r="L2357" s="13">
        <v>9</v>
      </c>
      <c r="M2357" s="13">
        <v>739</v>
      </c>
      <c r="N2357" s="13">
        <v>220</v>
      </c>
      <c r="O2357" s="13">
        <v>33</v>
      </c>
      <c r="P2357" s="13">
        <v>1</v>
      </c>
      <c r="Q2357" s="13">
        <v>65</v>
      </c>
      <c r="R2357" s="13">
        <v>1</v>
      </c>
      <c r="S2357" s="13">
        <v>0</v>
      </c>
      <c r="T2357" s="23">
        <v>46247.756898148145</v>
      </c>
      <c r="U2357" s="55">
        <f t="shared" si="108"/>
        <v>1</v>
      </c>
      <c r="V2357" s="55">
        <f t="shared" si="109"/>
        <v>0</v>
      </c>
      <c r="W2357" s="56">
        <f t="shared" si="110"/>
        <v>1297.3333333333333</v>
      </c>
    </row>
    <row r="2358" spans="1:23" x14ac:dyDescent="0.3">
      <c r="A2358" s="13" t="str" cm="1">
        <f t="array" ref="A2358:B2358">INDEX(BenchmarkResults!$B$1:$D$35,SUMPRODUCT((T2358&gt;=BenchmarkResults!$F$3:$F$35)*(mongodb_hardware_log!T2358&lt;BenchmarkResults!$G$3:$G$35)*ROW(BenchmarkResults!$F$3:$F$35)),{1,3})</f>
        <v>q6_inactive_customers</v>
      </c>
      <c r="B2358">
        <v>1</v>
      </c>
      <c r="C2358" s="13">
        <v>2</v>
      </c>
      <c r="D2358" s="13">
        <v>0</v>
      </c>
      <c r="E2358" s="13">
        <v>202240</v>
      </c>
      <c r="F2358" s="13">
        <v>569392</v>
      </c>
      <c r="G2358" s="13">
        <v>2660</v>
      </c>
      <c r="H2358" s="13">
        <v>1851364</v>
      </c>
      <c r="I2358" s="13">
        <v>0</v>
      </c>
      <c r="J2358" s="13">
        <v>0</v>
      </c>
      <c r="K2358" s="13">
        <v>1168</v>
      </c>
      <c r="L2358" s="13">
        <v>9</v>
      </c>
      <c r="M2358" s="13">
        <v>766</v>
      </c>
      <c r="N2358" s="13">
        <v>227</v>
      </c>
      <c r="O2358" s="13">
        <v>32</v>
      </c>
      <c r="P2358" s="13">
        <v>1</v>
      </c>
      <c r="Q2358" s="13">
        <v>64</v>
      </c>
      <c r="R2358" s="13">
        <v>0</v>
      </c>
      <c r="S2358" s="13">
        <v>2</v>
      </c>
      <c r="T2358" s="23">
        <v>46247.757013888891</v>
      </c>
      <c r="U2358" s="55">
        <f t="shared" si="108"/>
        <v>1.1666666666666667</v>
      </c>
      <c r="V2358" s="55">
        <f t="shared" si="109"/>
        <v>0</v>
      </c>
      <c r="W2358" s="56">
        <f t="shared" si="110"/>
        <v>1222.3333333333333</v>
      </c>
    </row>
    <row r="2359" spans="1:23" x14ac:dyDescent="0.3">
      <c r="A2359" s="13" t="str" cm="1">
        <f t="array" ref="A2359:B2359">INDEX(BenchmarkResults!$B$1:$D$35,SUMPRODUCT((T2359&gt;=BenchmarkResults!$F$3:$F$35)*(mongodb_hardware_log!T2359&lt;BenchmarkResults!$G$3:$G$35)*ROW(BenchmarkResults!$F$3:$F$35)),{1,3})</f>
        <v>q6_inactive_customers</v>
      </c>
      <c r="B2359">
        <v>1</v>
      </c>
      <c r="C2359" s="13">
        <v>1</v>
      </c>
      <c r="D2359" s="13">
        <v>0</v>
      </c>
      <c r="E2359" s="13">
        <v>202240</v>
      </c>
      <c r="F2359" s="13">
        <v>554524</v>
      </c>
      <c r="G2359" s="13">
        <v>2684</v>
      </c>
      <c r="H2359" s="13">
        <v>1862676</v>
      </c>
      <c r="I2359" s="13">
        <v>1</v>
      </c>
      <c r="J2359" s="13">
        <v>0</v>
      </c>
      <c r="K2359" s="13">
        <v>1131</v>
      </c>
      <c r="L2359" s="13">
        <v>31</v>
      </c>
      <c r="M2359" s="13">
        <v>826</v>
      </c>
      <c r="N2359" s="13">
        <v>301</v>
      </c>
      <c r="O2359" s="13">
        <v>33</v>
      </c>
      <c r="P2359" s="13">
        <v>1</v>
      </c>
      <c r="Q2359" s="13">
        <v>63</v>
      </c>
      <c r="R2359" s="13">
        <v>1</v>
      </c>
      <c r="S2359" s="13">
        <v>2</v>
      </c>
      <c r="T2359" s="23">
        <v>46247.75712962963</v>
      </c>
      <c r="U2359" s="55">
        <f t="shared" si="108"/>
        <v>1.1666666666666667</v>
      </c>
      <c r="V2359" s="55">
        <f t="shared" si="109"/>
        <v>0</v>
      </c>
      <c r="W2359" s="56">
        <f t="shared" si="110"/>
        <v>1201.8333333333333</v>
      </c>
    </row>
    <row r="2360" spans="1:23" x14ac:dyDescent="0.3">
      <c r="A2360" s="13" t="str" cm="1">
        <f t="array" ref="A2360:B2360">INDEX(BenchmarkResults!$B$1:$D$35,SUMPRODUCT((T2360&gt;=BenchmarkResults!$F$3:$F$35)*(mongodb_hardware_log!T2360&lt;BenchmarkResults!$G$3:$G$35)*ROW(BenchmarkResults!$F$3:$F$35)),{1,3})</f>
        <v>q6_inactive_customers</v>
      </c>
      <c r="B2360">
        <v>1</v>
      </c>
      <c r="C2360" s="13">
        <v>5</v>
      </c>
      <c r="D2360" s="13">
        <v>0</v>
      </c>
      <c r="E2360" s="13">
        <v>202240</v>
      </c>
      <c r="F2360" s="13">
        <v>546964</v>
      </c>
      <c r="G2360" s="13">
        <v>2700</v>
      </c>
      <c r="H2360" s="13">
        <v>1873232</v>
      </c>
      <c r="I2360" s="13">
        <v>1</v>
      </c>
      <c r="J2360" s="13">
        <v>0</v>
      </c>
      <c r="K2360" s="13">
        <v>1054</v>
      </c>
      <c r="L2360" s="13">
        <v>17</v>
      </c>
      <c r="M2360" s="13">
        <v>748</v>
      </c>
      <c r="N2360" s="13">
        <v>221</v>
      </c>
      <c r="O2360" s="13">
        <v>33</v>
      </c>
      <c r="P2360" s="13">
        <v>1</v>
      </c>
      <c r="Q2360" s="13">
        <v>64</v>
      </c>
      <c r="R2360" s="13">
        <v>1</v>
      </c>
      <c r="S2360" s="13">
        <v>2</v>
      </c>
      <c r="T2360" s="23">
        <v>46247.757245370369</v>
      </c>
      <c r="U2360" s="55">
        <f t="shared" si="108"/>
        <v>1.8333333333333333</v>
      </c>
      <c r="V2360" s="55">
        <f t="shared" si="109"/>
        <v>0</v>
      </c>
      <c r="W2360" s="56">
        <f t="shared" si="110"/>
        <v>1157.1666666666667</v>
      </c>
    </row>
    <row r="2361" spans="1:23" x14ac:dyDescent="0.3">
      <c r="A2361" s="13" t="str" cm="1">
        <f t="array" ref="A2361:B2361">INDEX(BenchmarkResults!$B$1:$D$35,SUMPRODUCT((T2361&gt;=BenchmarkResults!$F$3:$F$35)*(mongodb_hardware_log!T2361&lt;BenchmarkResults!$G$3:$G$35)*ROW(BenchmarkResults!$F$3:$F$35)),{1,3})</f>
        <v>q6_inactive_customers</v>
      </c>
      <c r="B2361">
        <v>1</v>
      </c>
      <c r="C2361" s="13">
        <v>1</v>
      </c>
      <c r="D2361" s="13">
        <v>0</v>
      </c>
      <c r="E2361" s="13">
        <v>202240</v>
      </c>
      <c r="F2361" s="13">
        <v>520508</v>
      </c>
      <c r="G2361" s="13">
        <v>2708</v>
      </c>
      <c r="H2361" s="13">
        <v>1897392</v>
      </c>
      <c r="I2361" s="13">
        <v>0</v>
      </c>
      <c r="J2361" s="13">
        <v>0</v>
      </c>
      <c r="K2361" s="13">
        <v>825</v>
      </c>
      <c r="L2361" s="13">
        <v>5</v>
      </c>
      <c r="M2361" s="13">
        <v>680</v>
      </c>
      <c r="N2361" s="13">
        <v>178</v>
      </c>
      <c r="O2361" s="13">
        <v>33</v>
      </c>
      <c r="P2361" s="13">
        <v>2</v>
      </c>
      <c r="Q2361" s="13">
        <v>65</v>
      </c>
      <c r="R2361" s="13">
        <v>0</v>
      </c>
      <c r="S2361" s="13">
        <v>0</v>
      </c>
      <c r="T2361" s="23">
        <v>46247.757361111115</v>
      </c>
      <c r="U2361" s="55">
        <f t="shared" si="108"/>
        <v>1.8333333333333333</v>
      </c>
      <c r="V2361" s="55">
        <f t="shared" si="109"/>
        <v>0</v>
      </c>
      <c r="W2361" s="56">
        <f t="shared" si="110"/>
        <v>1135</v>
      </c>
    </row>
    <row r="2362" spans="1:23" x14ac:dyDescent="0.3">
      <c r="A2362" s="13" t="str" cm="1">
        <f t="array" ref="A2362:B2362">INDEX(BenchmarkResults!$B$1:$D$35,SUMPRODUCT((T2362&gt;=BenchmarkResults!$F$3:$F$35)*(mongodb_hardware_log!T2362&lt;BenchmarkResults!$G$3:$G$35)*ROW(BenchmarkResults!$F$3:$F$35)),{1,3})</f>
        <v>q6_inactive_customers</v>
      </c>
      <c r="B2362">
        <v>1</v>
      </c>
      <c r="C2362" s="13">
        <v>1</v>
      </c>
      <c r="D2362" s="13">
        <v>0</v>
      </c>
      <c r="E2362" s="13">
        <v>202240</v>
      </c>
      <c r="F2362" s="13">
        <v>504632</v>
      </c>
      <c r="G2362" s="13">
        <v>2716</v>
      </c>
      <c r="H2362" s="13">
        <v>1910548</v>
      </c>
      <c r="I2362" s="13">
        <v>0</v>
      </c>
      <c r="J2362" s="13">
        <v>0</v>
      </c>
      <c r="K2362" s="13">
        <v>1309</v>
      </c>
      <c r="L2362" s="13">
        <v>10</v>
      </c>
      <c r="M2362" s="13">
        <v>730</v>
      </c>
      <c r="N2362" s="13">
        <v>208</v>
      </c>
      <c r="O2362" s="13">
        <v>33</v>
      </c>
      <c r="P2362" s="13">
        <v>1</v>
      </c>
      <c r="Q2362" s="13">
        <v>65</v>
      </c>
      <c r="R2362" s="13">
        <v>0</v>
      </c>
      <c r="S2362" s="13">
        <v>1</v>
      </c>
      <c r="T2362" s="23">
        <v>46247.757476851853</v>
      </c>
      <c r="U2362" s="55">
        <f t="shared" si="108"/>
        <v>1.8333333333333333</v>
      </c>
      <c r="V2362" s="55">
        <f t="shared" si="109"/>
        <v>0</v>
      </c>
      <c r="W2362" s="56">
        <f t="shared" si="110"/>
        <v>1134.5</v>
      </c>
    </row>
    <row r="2363" spans="1:23" x14ac:dyDescent="0.3">
      <c r="A2363" s="13" t="str" cm="1">
        <f t="array" ref="A2363:B2363">INDEX(BenchmarkResults!$B$1:$D$35,SUMPRODUCT((T2363&gt;=BenchmarkResults!$F$3:$F$35)*(mongodb_hardware_log!T2363&lt;BenchmarkResults!$G$3:$G$35)*ROW(BenchmarkResults!$F$3:$F$35)),{1,3})</f>
        <v>q6_inactive_customers</v>
      </c>
      <c r="B2363">
        <v>1</v>
      </c>
      <c r="C2363" s="13">
        <v>1</v>
      </c>
      <c r="D2363" s="13">
        <v>0</v>
      </c>
      <c r="E2363" s="13">
        <v>202240</v>
      </c>
      <c r="F2363" s="13">
        <v>495056</v>
      </c>
      <c r="G2363" s="13">
        <v>2732</v>
      </c>
      <c r="H2363" s="13">
        <v>1924760</v>
      </c>
      <c r="I2363" s="13">
        <v>4</v>
      </c>
      <c r="J2363" s="13">
        <v>0</v>
      </c>
      <c r="K2363" s="13">
        <v>1451</v>
      </c>
      <c r="L2363" s="13">
        <v>14</v>
      </c>
      <c r="M2363" s="13">
        <v>729</v>
      </c>
      <c r="N2363" s="13">
        <v>216</v>
      </c>
      <c r="O2363" s="13">
        <v>33</v>
      </c>
      <c r="P2363" s="13">
        <v>2</v>
      </c>
      <c r="Q2363" s="13">
        <v>64</v>
      </c>
      <c r="R2363" s="13">
        <v>0</v>
      </c>
      <c r="S2363" s="13">
        <v>1</v>
      </c>
      <c r="T2363" s="23">
        <v>46247.757592592592</v>
      </c>
      <c r="U2363" s="55">
        <f t="shared" si="108"/>
        <v>1.8333333333333333</v>
      </c>
      <c r="V2363" s="55">
        <f t="shared" si="109"/>
        <v>0</v>
      </c>
      <c r="W2363" s="56">
        <f t="shared" si="110"/>
        <v>1156.3333333333333</v>
      </c>
    </row>
    <row r="2364" spans="1:23" x14ac:dyDescent="0.3">
      <c r="A2364" s="13" t="str" cm="1">
        <f t="array" ref="A2364:B2364">INDEX(BenchmarkResults!$B$1:$D$35,SUMPRODUCT((T2364&gt;=BenchmarkResults!$F$3:$F$35)*(mongodb_hardware_log!T2364&lt;BenchmarkResults!$G$3:$G$35)*ROW(BenchmarkResults!$F$3:$F$35)),{1,3})</f>
        <v>q6_inactive_customers</v>
      </c>
      <c r="B2364">
        <v>1</v>
      </c>
      <c r="C2364" s="13">
        <v>1</v>
      </c>
      <c r="D2364" s="13">
        <v>0</v>
      </c>
      <c r="E2364" s="13">
        <v>202240</v>
      </c>
      <c r="F2364" s="13">
        <v>482960</v>
      </c>
      <c r="G2364" s="13">
        <v>2744</v>
      </c>
      <c r="H2364" s="13">
        <v>1937720</v>
      </c>
      <c r="I2364" s="13">
        <v>0</v>
      </c>
      <c r="J2364" s="13">
        <v>0</v>
      </c>
      <c r="K2364" s="13">
        <v>1291</v>
      </c>
      <c r="L2364" s="13">
        <v>1572</v>
      </c>
      <c r="M2364" s="13">
        <v>739</v>
      </c>
      <c r="N2364" s="13">
        <v>214</v>
      </c>
      <c r="O2364" s="13">
        <v>33</v>
      </c>
      <c r="P2364" s="13">
        <v>1</v>
      </c>
      <c r="Q2364" s="13">
        <v>63</v>
      </c>
      <c r="R2364" s="13">
        <v>1</v>
      </c>
      <c r="S2364" s="13">
        <v>1</v>
      </c>
      <c r="T2364" s="23">
        <v>46247.757708333331</v>
      </c>
      <c r="U2364" s="55">
        <f t="shared" si="108"/>
        <v>1.6666666666666667</v>
      </c>
      <c r="V2364" s="55">
        <f t="shared" si="109"/>
        <v>0</v>
      </c>
      <c r="W2364" s="56">
        <f t="shared" si="110"/>
        <v>1176.8333333333333</v>
      </c>
    </row>
    <row r="2365" spans="1:23" x14ac:dyDescent="0.3">
      <c r="A2365" s="13" t="str" cm="1">
        <f t="array" ref="A2365:B2365">INDEX(BenchmarkResults!$B$1:$D$35,SUMPRODUCT((T2365&gt;=BenchmarkResults!$F$3:$F$35)*(mongodb_hardware_log!T2365&lt;BenchmarkResults!$G$3:$G$35)*ROW(BenchmarkResults!$F$3:$F$35)),{1,3})</f>
        <v>q6_inactive_customers</v>
      </c>
      <c r="B2365">
        <v>1</v>
      </c>
      <c r="C2365" s="13">
        <v>1</v>
      </c>
      <c r="D2365" s="13">
        <v>0</v>
      </c>
      <c r="E2365" s="13">
        <v>202240</v>
      </c>
      <c r="F2365" s="13">
        <v>468600</v>
      </c>
      <c r="G2365" s="13">
        <v>2784</v>
      </c>
      <c r="H2365" s="13">
        <v>1952036</v>
      </c>
      <c r="I2365" s="13">
        <v>1</v>
      </c>
      <c r="J2365" s="13">
        <v>0</v>
      </c>
      <c r="K2365" s="13">
        <v>1440</v>
      </c>
      <c r="L2365" s="13">
        <v>32</v>
      </c>
      <c r="M2365" s="13">
        <v>735</v>
      </c>
      <c r="N2365" s="13">
        <v>224</v>
      </c>
      <c r="O2365" s="13">
        <v>33</v>
      </c>
      <c r="P2365" s="13">
        <v>1</v>
      </c>
      <c r="Q2365" s="13">
        <v>65</v>
      </c>
      <c r="R2365" s="13">
        <v>1</v>
      </c>
      <c r="S2365" s="13">
        <v>0</v>
      </c>
      <c r="T2365" s="23">
        <v>46247.757824074077</v>
      </c>
      <c r="U2365" s="55">
        <f t="shared" si="108"/>
        <v>1.6666666666666667</v>
      </c>
      <c r="V2365" s="55">
        <f t="shared" si="109"/>
        <v>0</v>
      </c>
      <c r="W2365" s="56">
        <f t="shared" si="110"/>
        <v>1228.3333333333333</v>
      </c>
    </row>
    <row r="2366" spans="1:23" x14ac:dyDescent="0.3">
      <c r="A2366" s="13" t="str" cm="1">
        <f t="array" ref="A2366:B2366">INDEX(BenchmarkResults!$B$1:$D$35,SUMPRODUCT((T2366&gt;=BenchmarkResults!$F$3:$F$35)*(mongodb_hardware_log!T2366&lt;BenchmarkResults!$G$3:$G$35)*ROW(BenchmarkResults!$F$3:$F$35)),{1,3})</f>
        <v>q6_inactive_customers</v>
      </c>
      <c r="B2366">
        <v>1</v>
      </c>
      <c r="C2366" s="13">
        <v>1</v>
      </c>
      <c r="D2366" s="13">
        <v>0</v>
      </c>
      <c r="E2366" s="13">
        <v>202240</v>
      </c>
      <c r="F2366" s="13">
        <v>443652</v>
      </c>
      <c r="G2366" s="13">
        <v>2792</v>
      </c>
      <c r="H2366" s="13">
        <v>1969948</v>
      </c>
      <c r="I2366" s="13">
        <v>0</v>
      </c>
      <c r="J2366" s="13">
        <v>0</v>
      </c>
      <c r="K2366" s="13">
        <v>1333</v>
      </c>
      <c r="L2366" s="13">
        <v>6</v>
      </c>
      <c r="M2366" s="13">
        <v>716</v>
      </c>
      <c r="N2366" s="13">
        <v>206</v>
      </c>
      <c r="O2366" s="13">
        <v>33</v>
      </c>
      <c r="P2366" s="13">
        <v>1</v>
      </c>
      <c r="Q2366" s="13">
        <v>65</v>
      </c>
      <c r="R2366" s="13">
        <v>0</v>
      </c>
      <c r="S2366" s="13">
        <v>1</v>
      </c>
      <c r="T2366" s="23">
        <v>46247.757939814815</v>
      </c>
      <c r="U2366" s="55">
        <f t="shared" si="108"/>
        <v>1</v>
      </c>
      <c r="V2366" s="55">
        <f t="shared" si="109"/>
        <v>0</v>
      </c>
      <c r="W2366" s="56">
        <f t="shared" si="110"/>
        <v>1274.8333333333333</v>
      </c>
    </row>
    <row r="2367" spans="1:23" x14ac:dyDescent="0.3">
      <c r="A2367" s="13" t="str" cm="1">
        <f t="array" ref="A2367:B2367">INDEX(BenchmarkResults!$B$1:$D$35,SUMPRODUCT((T2367&gt;=BenchmarkResults!$F$3:$F$35)*(mongodb_hardware_log!T2367&lt;BenchmarkResults!$G$3:$G$35)*ROW(BenchmarkResults!$F$3:$F$35)),{1,3})</f>
        <v>q6_inactive_customers</v>
      </c>
      <c r="B2367">
        <v>1</v>
      </c>
      <c r="C2367" s="13">
        <v>1</v>
      </c>
      <c r="D2367" s="13">
        <v>0</v>
      </c>
      <c r="E2367" s="13">
        <v>202240</v>
      </c>
      <c r="F2367" s="13">
        <v>426264</v>
      </c>
      <c r="G2367" s="13">
        <v>2812</v>
      </c>
      <c r="H2367" s="13">
        <v>1993228</v>
      </c>
      <c r="I2367" s="13">
        <v>0</v>
      </c>
      <c r="J2367" s="13">
        <v>0</v>
      </c>
      <c r="K2367" s="13">
        <v>1180</v>
      </c>
      <c r="L2367" s="13">
        <v>1582</v>
      </c>
      <c r="M2367" s="13">
        <v>720</v>
      </c>
      <c r="N2367" s="13">
        <v>203</v>
      </c>
      <c r="O2367" s="13">
        <v>32</v>
      </c>
      <c r="P2367" s="13">
        <v>2</v>
      </c>
      <c r="Q2367" s="13">
        <v>63</v>
      </c>
      <c r="R2367" s="13">
        <v>2</v>
      </c>
      <c r="S2367" s="13">
        <v>1</v>
      </c>
      <c r="T2367" s="23">
        <v>46247.758055555554</v>
      </c>
      <c r="U2367" s="55">
        <f t="shared" si="108"/>
        <v>1</v>
      </c>
      <c r="V2367" s="55">
        <f t="shared" si="109"/>
        <v>0</v>
      </c>
      <c r="W2367" s="56">
        <f t="shared" si="110"/>
        <v>1334</v>
      </c>
    </row>
    <row r="2368" spans="1:23" x14ac:dyDescent="0.3">
      <c r="A2368" s="13" t="str" cm="1">
        <f t="array" ref="A2368:B2368">INDEX(BenchmarkResults!$B$1:$D$35,SUMPRODUCT((T2368&gt;=BenchmarkResults!$F$3:$F$35)*(mongodb_hardware_log!T2368&lt;BenchmarkResults!$G$3:$G$35)*ROW(BenchmarkResults!$F$3:$F$35)),{1,3})</f>
        <v>q6_inactive_customers</v>
      </c>
      <c r="B2368">
        <v>1</v>
      </c>
      <c r="C2368" s="13">
        <v>1</v>
      </c>
      <c r="D2368" s="13">
        <v>0</v>
      </c>
      <c r="E2368" s="13">
        <v>202240</v>
      </c>
      <c r="F2368" s="13">
        <v>403080</v>
      </c>
      <c r="G2368" s="13">
        <v>2820</v>
      </c>
      <c r="H2368" s="13">
        <v>2009376</v>
      </c>
      <c r="I2368" s="13">
        <v>0</v>
      </c>
      <c r="J2368" s="13">
        <v>0</v>
      </c>
      <c r="K2368" s="13">
        <v>1614</v>
      </c>
      <c r="L2368" s="13">
        <v>6</v>
      </c>
      <c r="M2368" s="13">
        <v>729</v>
      </c>
      <c r="N2368" s="13">
        <v>209</v>
      </c>
      <c r="O2368" s="13">
        <v>33</v>
      </c>
      <c r="P2368" s="13">
        <v>1</v>
      </c>
      <c r="Q2368" s="13">
        <v>65</v>
      </c>
      <c r="R2368" s="13">
        <v>0</v>
      </c>
      <c r="S2368" s="13">
        <v>1</v>
      </c>
      <c r="T2368" s="23">
        <v>46247.758171296293</v>
      </c>
      <c r="U2368" s="55">
        <f t="shared" si="108"/>
        <v>1</v>
      </c>
      <c r="V2368" s="55">
        <f t="shared" si="109"/>
        <v>0</v>
      </c>
      <c r="W2368" s="56">
        <f t="shared" si="110"/>
        <v>1384.8333333333333</v>
      </c>
    </row>
    <row r="2369" spans="1:23" x14ac:dyDescent="0.3">
      <c r="A2369" s="13" t="str" cm="1">
        <f t="array" ref="A2369:B2369">INDEX(BenchmarkResults!$B$1:$D$35,SUMPRODUCT((T2369&gt;=BenchmarkResults!$F$3:$F$35)*(mongodb_hardware_log!T2369&lt;BenchmarkResults!$G$3:$G$35)*ROW(BenchmarkResults!$F$3:$F$35)),{1,3})</f>
        <v>q6_inactive_customers</v>
      </c>
      <c r="B2369">
        <v>1</v>
      </c>
      <c r="C2369" s="13">
        <v>1</v>
      </c>
      <c r="D2369" s="13">
        <v>0</v>
      </c>
      <c r="E2369" s="13">
        <v>202240</v>
      </c>
      <c r="F2369" s="13">
        <v>392244</v>
      </c>
      <c r="G2369" s="13">
        <v>2828</v>
      </c>
      <c r="H2369" s="13">
        <v>2025092</v>
      </c>
      <c r="I2369" s="13">
        <v>0</v>
      </c>
      <c r="J2369" s="13">
        <v>0</v>
      </c>
      <c r="K2369" s="13">
        <v>1574</v>
      </c>
      <c r="L2369" s="13">
        <v>11</v>
      </c>
      <c r="M2369" s="13">
        <v>731</v>
      </c>
      <c r="N2369" s="13">
        <v>214</v>
      </c>
      <c r="O2369" s="13">
        <v>33</v>
      </c>
      <c r="P2369" s="13">
        <v>1</v>
      </c>
      <c r="Q2369" s="13">
        <v>65</v>
      </c>
      <c r="R2369" s="13">
        <v>0</v>
      </c>
      <c r="S2369" s="13">
        <v>0</v>
      </c>
      <c r="T2369" s="23">
        <v>46247.758287037039</v>
      </c>
      <c r="U2369" s="55">
        <f t="shared" si="108"/>
        <v>1</v>
      </c>
      <c r="V2369" s="55">
        <f t="shared" si="109"/>
        <v>0</v>
      </c>
      <c r="W2369" s="56">
        <f t="shared" si="110"/>
        <v>1405.3333333333333</v>
      </c>
    </row>
    <row r="2370" spans="1:23" x14ac:dyDescent="0.3">
      <c r="A2370" s="13" t="str" cm="1">
        <f t="array" ref="A2370:B2370">INDEX(BenchmarkResults!$B$1:$D$35,SUMPRODUCT((T2370&gt;=BenchmarkResults!$F$3:$F$35)*(mongodb_hardware_log!T2370&lt;BenchmarkResults!$G$3:$G$35)*ROW(BenchmarkResults!$F$3:$F$35)),{1,3})</f>
        <v>q6_inactive_customers</v>
      </c>
      <c r="B2370">
        <v>1</v>
      </c>
      <c r="C2370" s="13">
        <v>1</v>
      </c>
      <c r="D2370" s="13">
        <v>0</v>
      </c>
      <c r="E2370" s="13">
        <v>202240</v>
      </c>
      <c r="F2370" s="13">
        <v>376368</v>
      </c>
      <c r="G2370" s="13">
        <v>2836</v>
      </c>
      <c r="H2370" s="13">
        <v>2038924</v>
      </c>
      <c r="I2370" s="13">
        <v>0</v>
      </c>
      <c r="J2370" s="13">
        <v>0</v>
      </c>
      <c r="K2370" s="13">
        <v>1380</v>
      </c>
      <c r="L2370" s="13">
        <v>10</v>
      </c>
      <c r="M2370" s="13">
        <v>756</v>
      </c>
      <c r="N2370" s="13">
        <v>214</v>
      </c>
      <c r="O2370" s="13">
        <v>32</v>
      </c>
      <c r="P2370" s="13">
        <v>1</v>
      </c>
      <c r="Q2370" s="13">
        <v>64</v>
      </c>
      <c r="R2370" s="13">
        <v>0</v>
      </c>
      <c r="S2370" s="13">
        <v>2</v>
      </c>
      <c r="T2370" s="23">
        <v>46247.758402777778</v>
      </c>
      <c r="U2370" s="55">
        <f t="shared" si="108"/>
        <v>1</v>
      </c>
      <c r="V2370" s="55">
        <f t="shared" si="109"/>
        <v>0</v>
      </c>
      <c r="W2370" s="56">
        <f t="shared" si="110"/>
        <v>1420.1666666666667</v>
      </c>
    </row>
    <row r="2371" spans="1:23" x14ac:dyDescent="0.3">
      <c r="A2371" s="13" t="str" cm="1">
        <f t="array" ref="A2371:B2371">INDEX(BenchmarkResults!$B$1:$D$35,SUMPRODUCT((T2371&gt;=BenchmarkResults!$F$3:$F$35)*(mongodb_hardware_log!T2371&lt;BenchmarkResults!$G$3:$G$35)*ROW(BenchmarkResults!$F$3:$F$35)),{1,3})</f>
        <v>q6_inactive_customers</v>
      </c>
      <c r="B2371">
        <v>1</v>
      </c>
      <c r="C2371" s="13">
        <v>1</v>
      </c>
      <c r="D2371" s="13">
        <v>0</v>
      </c>
      <c r="E2371" s="13">
        <v>202240</v>
      </c>
      <c r="F2371" s="13">
        <v>366540</v>
      </c>
      <c r="G2371" s="13">
        <v>2860</v>
      </c>
      <c r="H2371" s="13">
        <v>2051896</v>
      </c>
      <c r="I2371" s="13">
        <v>1</v>
      </c>
      <c r="J2371" s="13">
        <v>0</v>
      </c>
      <c r="K2371" s="13">
        <v>1298</v>
      </c>
      <c r="L2371" s="13">
        <v>27</v>
      </c>
      <c r="M2371" s="13">
        <v>759</v>
      </c>
      <c r="N2371" s="13">
        <v>229</v>
      </c>
      <c r="O2371" s="13">
        <v>32</v>
      </c>
      <c r="P2371" s="13">
        <v>1</v>
      </c>
      <c r="Q2371" s="13">
        <v>64</v>
      </c>
      <c r="R2371" s="13">
        <v>1</v>
      </c>
      <c r="S2371" s="13">
        <v>2</v>
      </c>
      <c r="T2371" s="23">
        <v>46247.758518518516</v>
      </c>
      <c r="U2371" s="55">
        <f t="shared" si="108"/>
        <v>1</v>
      </c>
      <c r="V2371" s="55">
        <f t="shared" si="109"/>
        <v>0</v>
      </c>
      <c r="W2371" s="56">
        <f t="shared" si="110"/>
        <v>1396.5</v>
      </c>
    </row>
    <row r="2372" spans="1:23" x14ac:dyDescent="0.3">
      <c r="A2372" s="13" t="str" cm="1">
        <f t="array" ref="A2372:B2372">INDEX(BenchmarkResults!$B$1:$D$35,SUMPRODUCT((T2372&gt;=BenchmarkResults!$F$3:$F$35)*(mongodb_hardware_log!T2372&lt;BenchmarkResults!$G$3:$G$35)*ROW(BenchmarkResults!$F$3:$F$35)),{1,3})</f>
        <v>q6_inactive_customers</v>
      </c>
      <c r="B2372">
        <v>1</v>
      </c>
      <c r="C2372" s="13">
        <v>1</v>
      </c>
      <c r="D2372" s="13">
        <v>0</v>
      </c>
      <c r="E2372" s="13">
        <v>202240</v>
      </c>
      <c r="F2372" s="13">
        <v>352428</v>
      </c>
      <c r="G2372" s="13">
        <v>2876</v>
      </c>
      <c r="H2372" s="13">
        <v>2064016</v>
      </c>
      <c r="I2372" s="13">
        <v>0</v>
      </c>
      <c r="J2372" s="13">
        <v>0</v>
      </c>
      <c r="K2372" s="13">
        <v>1216</v>
      </c>
      <c r="L2372" s="13">
        <v>20</v>
      </c>
      <c r="M2372" s="13">
        <v>740</v>
      </c>
      <c r="N2372" s="13">
        <v>217</v>
      </c>
      <c r="O2372" s="13">
        <v>33</v>
      </c>
      <c r="P2372" s="13">
        <v>1</v>
      </c>
      <c r="Q2372" s="13">
        <v>63</v>
      </c>
      <c r="R2372" s="13">
        <v>1</v>
      </c>
      <c r="S2372" s="13">
        <v>2</v>
      </c>
      <c r="T2372" s="23">
        <v>46247.758634259262</v>
      </c>
      <c r="U2372" s="55">
        <f t="shared" si="108"/>
        <v>1</v>
      </c>
      <c r="V2372" s="55">
        <f t="shared" si="109"/>
        <v>0</v>
      </c>
      <c r="W2372" s="56">
        <f t="shared" si="110"/>
        <v>1377</v>
      </c>
    </row>
    <row r="2373" spans="1:23" x14ac:dyDescent="0.3">
      <c r="A2373" s="13" t="str" cm="1">
        <f t="array" ref="A2373:B2373">INDEX(BenchmarkResults!$B$1:$D$35,SUMPRODUCT((T2373&gt;=BenchmarkResults!$F$3:$F$35)*(mongodb_hardware_log!T2373&lt;BenchmarkResults!$G$3:$G$35)*ROW(BenchmarkResults!$F$3:$F$35)),{1,3})</f>
        <v>q6_inactive_customers</v>
      </c>
      <c r="B2373">
        <v>1</v>
      </c>
      <c r="C2373" s="13">
        <v>1</v>
      </c>
      <c r="D2373" s="13">
        <v>0</v>
      </c>
      <c r="E2373" s="13">
        <v>202240</v>
      </c>
      <c r="F2373" s="13">
        <v>338512</v>
      </c>
      <c r="G2373" s="13">
        <v>2884</v>
      </c>
      <c r="H2373" s="13">
        <v>2087908</v>
      </c>
      <c r="I2373" s="13">
        <v>0</v>
      </c>
      <c r="J2373" s="13">
        <v>0</v>
      </c>
      <c r="K2373" s="13">
        <v>786</v>
      </c>
      <c r="L2373" s="13">
        <v>8</v>
      </c>
      <c r="M2373" s="13">
        <v>698</v>
      </c>
      <c r="N2373" s="13">
        <v>181</v>
      </c>
      <c r="O2373" s="13">
        <v>32</v>
      </c>
      <c r="P2373" s="13">
        <v>2</v>
      </c>
      <c r="Q2373" s="13">
        <v>65</v>
      </c>
      <c r="R2373" s="13">
        <v>0</v>
      </c>
      <c r="S2373" s="13">
        <v>1</v>
      </c>
      <c r="T2373" s="23">
        <v>46247.758750000001</v>
      </c>
      <c r="U2373" s="55">
        <f t="shared" si="108"/>
        <v>1</v>
      </c>
      <c r="V2373" s="55">
        <f t="shared" si="109"/>
        <v>0</v>
      </c>
      <c r="W2373" s="56">
        <f t="shared" si="110"/>
        <v>1311.3333333333333</v>
      </c>
    </row>
    <row r="2374" spans="1:23" x14ac:dyDescent="0.3">
      <c r="A2374" s="13" t="str" cm="1">
        <f t="array" ref="A2374:B2374">INDEX(BenchmarkResults!$B$1:$D$35,SUMPRODUCT((T2374&gt;=BenchmarkResults!$F$3:$F$35)*(mongodb_hardware_log!T2374&lt;BenchmarkResults!$G$3:$G$35)*ROW(BenchmarkResults!$F$3:$F$35)),{1,3})</f>
        <v>q6_inactive_customers</v>
      </c>
      <c r="B2374">
        <v>1</v>
      </c>
      <c r="C2374" s="13">
        <v>1</v>
      </c>
      <c r="D2374" s="13">
        <v>0</v>
      </c>
      <c r="E2374" s="13">
        <v>202240</v>
      </c>
      <c r="F2374" s="13">
        <v>322888</v>
      </c>
      <c r="G2374" s="13">
        <v>2900</v>
      </c>
      <c r="H2374" s="13">
        <v>2103804</v>
      </c>
      <c r="I2374" s="13">
        <v>0</v>
      </c>
      <c r="J2374" s="13">
        <v>0</v>
      </c>
      <c r="K2374" s="13">
        <v>1589</v>
      </c>
      <c r="L2374" s="13">
        <v>1576</v>
      </c>
      <c r="M2374" s="13">
        <v>746</v>
      </c>
      <c r="N2374" s="13">
        <v>217</v>
      </c>
      <c r="O2374" s="13">
        <v>33</v>
      </c>
      <c r="P2374" s="13">
        <v>1</v>
      </c>
      <c r="Q2374" s="13">
        <v>63</v>
      </c>
      <c r="R2374" s="13">
        <v>2</v>
      </c>
      <c r="S2374" s="13">
        <v>1</v>
      </c>
      <c r="T2374" s="23">
        <v>46247.75886574074</v>
      </c>
      <c r="U2374" s="55">
        <f t="shared" si="108"/>
        <v>1</v>
      </c>
      <c r="V2374" s="55">
        <f t="shared" si="109"/>
        <v>0</v>
      </c>
      <c r="W2374" s="56">
        <f t="shared" si="110"/>
        <v>1307.1666666666667</v>
      </c>
    </row>
    <row r="2375" spans="1:23" x14ac:dyDescent="0.3">
      <c r="A2375" s="13" t="str" cm="1">
        <f t="array" ref="A2375:B2375">INDEX(BenchmarkResults!$B$1:$D$35,SUMPRODUCT((T2375&gt;=BenchmarkResults!$F$3:$F$35)*(mongodb_hardware_log!T2375&lt;BenchmarkResults!$G$3:$G$35)*ROW(BenchmarkResults!$F$3:$F$35)),{1,3})</f>
        <v>q6_inactive_customers</v>
      </c>
      <c r="B2375">
        <v>1</v>
      </c>
      <c r="C2375" s="13">
        <v>1</v>
      </c>
      <c r="D2375" s="13">
        <v>0</v>
      </c>
      <c r="E2375" s="13">
        <v>202240</v>
      </c>
      <c r="F2375" s="13">
        <v>305500</v>
      </c>
      <c r="G2375" s="13">
        <v>2912</v>
      </c>
      <c r="H2375" s="13">
        <v>2117792</v>
      </c>
      <c r="I2375" s="13">
        <v>0</v>
      </c>
      <c r="J2375" s="13">
        <v>0</v>
      </c>
      <c r="K2375" s="13">
        <v>1399</v>
      </c>
      <c r="L2375" s="13">
        <v>14</v>
      </c>
      <c r="M2375" s="13">
        <v>727</v>
      </c>
      <c r="N2375" s="13">
        <v>214</v>
      </c>
      <c r="O2375" s="13">
        <v>34</v>
      </c>
      <c r="P2375" s="13">
        <v>1</v>
      </c>
      <c r="Q2375" s="13">
        <v>64</v>
      </c>
      <c r="R2375" s="13">
        <v>1</v>
      </c>
      <c r="S2375" s="13">
        <v>1</v>
      </c>
      <c r="T2375" s="23">
        <v>46247.758981481478</v>
      </c>
      <c r="U2375" s="55">
        <f t="shared" si="108"/>
        <v>1</v>
      </c>
      <c r="V2375" s="55">
        <f t="shared" si="109"/>
        <v>0</v>
      </c>
      <c r="W2375" s="56">
        <f t="shared" si="110"/>
        <v>1278</v>
      </c>
    </row>
    <row r="2376" spans="1:23" x14ac:dyDescent="0.3">
      <c r="A2376" s="13" t="str" cm="1">
        <f t="array" ref="A2376:B2376">INDEX(BenchmarkResults!$B$1:$D$35,SUMPRODUCT((T2376&gt;=BenchmarkResults!$F$3:$F$35)*(mongodb_hardware_log!T2376&lt;BenchmarkResults!$G$3:$G$35)*ROW(BenchmarkResults!$F$3:$F$35)),{1,3})</f>
        <v>q6_inactive_customers</v>
      </c>
      <c r="B2376">
        <v>1</v>
      </c>
      <c r="C2376" s="13">
        <v>2</v>
      </c>
      <c r="D2376" s="13">
        <v>0</v>
      </c>
      <c r="E2376" s="13">
        <v>202240</v>
      </c>
      <c r="F2376" s="13">
        <v>290884</v>
      </c>
      <c r="G2376" s="13">
        <v>2928</v>
      </c>
      <c r="H2376" s="13">
        <v>2134068</v>
      </c>
      <c r="I2376" s="13">
        <v>0</v>
      </c>
      <c r="J2376" s="13">
        <v>0</v>
      </c>
      <c r="K2376" s="13">
        <v>1637</v>
      </c>
      <c r="L2376" s="13">
        <v>17</v>
      </c>
      <c r="M2376" s="13">
        <v>732</v>
      </c>
      <c r="N2376" s="13">
        <v>207</v>
      </c>
      <c r="O2376" s="13">
        <v>33</v>
      </c>
      <c r="P2376" s="13">
        <v>1</v>
      </c>
      <c r="Q2376" s="13">
        <v>65</v>
      </c>
      <c r="R2376" s="13">
        <v>0</v>
      </c>
      <c r="S2376" s="13">
        <v>0</v>
      </c>
      <c r="T2376" s="23">
        <v>46247.759097222224</v>
      </c>
      <c r="U2376" s="55">
        <f t="shared" si="108"/>
        <v>1.1666666666666667</v>
      </c>
      <c r="V2376" s="55">
        <f t="shared" si="109"/>
        <v>0</v>
      </c>
      <c r="W2376" s="56">
        <f t="shared" si="110"/>
        <v>1320.8333333333333</v>
      </c>
    </row>
    <row r="2377" spans="1:23" x14ac:dyDescent="0.3">
      <c r="A2377" s="13" t="str" cm="1">
        <f t="array" ref="A2377:B2377">INDEX(BenchmarkResults!$B$1:$D$35,SUMPRODUCT((T2377&gt;=BenchmarkResults!$F$3:$F$35)*(mongodb_hardware_log!T2377&lt;BenchmarkResults!$G$3:$G$35)*ROW(BenchmarkResults!$F$3:$F$35)),{1,3})</f>
        <v>q6_inactive_customers</v>
      </c>
      <c r="B2377">
        <v>1</v>
      </c>
      <c r="C2377" s="13">
        <v>1</v>
      </c>
      <c r="D2377" s="13">
        <v>0</v>
      </c>
      <c r="E2377" s="13">
        <v>202240</v>
      </c>
      <c r="F2377" s="13">
        <v>275008</v>
      </c>
      <c r="G2377" s="13">
        <v>2952</v>
      </c>
      <c r="H2377" s="13">
        <v>2150768</v>
      </c>
      <c r="I2377" s="13">
        <v>1</v>
      </c>
      <c r="J2377" s="13">
        <v>0</v>
      </c>
      <c r="K2377" s="13">
        <v>1665</v>
      </c>
      <c r="L2377" s="13">
        <v>31</v>
      </c>
      <c r="M2377" s="13">
        <v>734</v>
      </c>
      <c r="N2377" s="13">
        <v>222</v>
      </c>
      <c r="O2377" s="13">
        <v>33</v>
      </c>
      <c r="P2377" s="13">
        <v>1</v>
      </c>
      <c r="Q2377" s="13">
        <v>65</v>
      </c>
      <c r="R2377" s="13">
        <v>0</v>
      </c>
      <c r="S2377" s="13">
        <v>1</v>
      </c>
      <c r="T2377" s="23">
        <v>46247.759212962963</v>
      </c>
      <c r="U2377" s="55">
        <f t="shared" ref="U2377:U2440" si="111">AVERAGE(C2372:C2377)</f>
        <v>1.1666666666666667</v>
      </c>
      <c r="V2377" s="55">
        <f t="shared" ref="V2377:V2440" si="112">AVERAGE(D2372:D2377)</f>
        <v>0</v>
      </c>
      <c r="W2377" s="56">
        <f t="shared" ref="W2377:W2440" si="113">AVERAGE(K2372:K2377)</f>
        <v>1382</v>
      </c>
    </row>
    <row r="2378" spans="1:23" x14ac:dyDescent="0.3">
      <c r="A2378" s="13" t="str" cm="1">
        <f t="array" ref="A2378:B2378">INDEX(BenchmarkResults!$B$1:$D$35,SUMPRODUCT((T2378&gt;=BenchmarkResults!$F$3:$F$35)*(mongodb_hardware_log!T2378&lt;BenchmarkResults!$G$3:$G$35)*ROW(BenchmarkResults!$F$3:$F$35)),{1,3})</f>
        <v>q6_inactive_customers</v>
      </c>
      <c r="B2378">
        <v>1</v>
      </c>
      <c r="C2378" s="13">
        <v>1</v>
      </c>
      <c r="D2378" s="13">
        <v>0</v>
      </c>
      <c r="E2378" s="13">
        <v>202240</v>
      </c>
      <c r="F2378" s="13">
        <v>256812</v>
      </c>
      <c r="G2378" s="13">
        <v>2968</v>
      </c>
      <c r="H2378" s="13">
        <v>2167616</v>
      </c>
      <c r="I2378" s="13">
        <v>1</v>
      </c>
      <c r="J2378" s="13">
        <v>0</v>
      </c>
      <c r="K2378" s="13">
        <v>1228</v>
      </c>
      <c r="L2378" s="13">
        <v>20</v>
      </c>
      <c r="M2378" s="13">
        <v>725</v>
      </c>
      <c r="N2378" s="13">
        <v>223</v>
      </c>
      <c r="O2378" s="13">
        <v>33</v>
      </c>
      <c r="P2378" s="13">
        <v>1</v>
      </c>
      <c r="Q2378" s="13">
        <v>64</v>
      </c>
      <c r="R2378" s="13">
        <v>0</v>
      </c>
      <c r="S2378" s="13">
        <v>1</v>
      </c>
      <c r="T2378" s="23">
        <v>46247.759328703702</v>
      </c>
      <c r="U2378" s="55">
        <f t="shared" si="111"/>
        <v>1.1666666666666667</v>
      </c>
      <c r="V2378" s="55">
        <f t="shared" si="112"/>
        <v>0</v>
      </c>
      <c r="W2378" s="56">
        <f t="shared" si="113"/>
        <v>1384</v>
      </c>
    </row>
    <row r="2379" spans="1:23" x14ac:dyDescent="0.3">
      <c r="A2379" s="13" t="str" cm="1">
        <f t="array" ref="A2379:B2379">INDEX(BenchmarkResults!$B$1:$D$35,SUMPRODUCT((T2379&gt;=BenchmarkResults!$F$3:$F$35)*(mongodb_hardware_log!T2379&lt;BenchmarkResults!$G$3:$G$35)*ROW(BenchmarkResults!$F$3:$F$35)),{1,3})</f>
        <v>q6_inactive_customers</v>
      </c>
      <c r="B2379">
        <v>1</v>
      </c>
      <c r="C2379" s="13">
        <v>1</v>
      </c>
      <c r="D2379" s="13">
        <v>0</v>
      </c>
      <c r="E2379" s="13">
        <v>202240</v>
      </c>
      <c r="F2379" s="13">
        <v>233628</v>
      </c>
      <c r="G2379" s="13">
        <v>2980</v>
      </c>
      <c r="H2379" s="13">
        <v>2191372</v>
      </c>
      <c r="I2379" s="13">
        <v>0</v>
      </c>
      <c r="J2379" s="13">
        <v>0</v>
      </c>
      <c r="K2379" s="13">
        <v>1219</v>
      </c>
      <c r="L2379" s="13">
        <v>25</v>
      </c>
      <c r="M2379" s="13">
        <v>791</v>
      </c>
      <c r="N2379" s="13">
        <v>286</v>
      </c>
      <c r="O2379" s="13">
        <v>32</v>
      </c>
      <c r="P2379" s="13">
        <v>2</v>
      </c>
      <c r="Q2379" s="13">
        <v>65</v>
      </c>
      <c r="R2379" s="13">
        <v>0</v>
      </c>
      <c r="S2379" s="13">
        <v>0</v>
      </c>
      <c r="T2379" s="23">
        <v>46247.759444444448</v>
      </c>
      <c r="U2379" s="55">
        <f t="shared" si="111"/>
        <v>1.1666666666666667</v>
      </c>
      <c r="V2379" s="55">
        <f t="shared" si="112"/>
        <v>0</v>
      </c>
      <c r="W2379" s="56">
        <f t="shared" si="113"/>
        <v>1456.1666666666667</v>
      </c>
    </row>
    <row r="2380" spans="1:23" x14ac:dyDescent="0.3">
      <c r="A2380" s="13" t="str" cm="1">
        <f t="array" ref="A2380:B2380">INDEX(BenchmarkResults!$B$1:$D$35,SUMPRODUCT((T2380&gt;=BenchmarkResults!$F$3:$F$35)*(mongodb_hardware_log!T2380&lt;BenchmarkResults!$G$3:$G$35)*ROW(BenchmarkResults!$F$3:$F$35)),{1,3})</f>
        <v>q6_inactive_customers</v>
      </c>
      <c r="B2380">
        <v>1</v>
      </c>
      <c r="C2380" s="13">
        <v>1</v>
      </c>
      <c r="D2380" s="13">
        <v>0</v>
      </c>
      <c r="E2380" s="13">
        <v>202240</v>
      </c>
      <c r="F2380" s="13">
        <v>223552</v>
      </c>
      <c r="G2380" s="13">
        <v>2996</v>
      </c>
      <c r="H2380" s="13">
        <v>2206328</v>
      </c>
      <c r="I2380" s="13">
        <v>0</v>
      </c>
      <c r="J2380" s="13">
        <v>0</v>
      </c>
      <c r="K2380" s="13">
        <v>1495</v>
      </c>
      <c r="L2380" s="13">
        <v>18</v>
      </c>
      <c r="M2380" s="13">
        <v>749</v>
      </c>
      <c r="N2380" s="13">
        <v>242</v>
      </c>
      <c r="O2380" s="13">
        <v>33</v>
      </c>
      <c r="P2380" s="13">
        <v>2</v>
      </c>
      <c r="Q2380" s="13">
        <v>64</v>
      </c>
      <c r="R2380" s="13">
        <v>0</v>
      </c>
      <c r="S2380" s="13">
        <v>0</v>
      </c>
      <c r="T2380" s="23">
        <v>46247.759560185186</v>
      </c>
      <c r="U2380" s="55">
        <f t="shared" si="111"/>
        <v>1.1666666666666667</v>
      </c>
      <c r="V2380" s="55">
        <f t="shared" si="112"/>
        <v>0</v>
      </c>
      <c r="W2380" s="56">
        <f t="shared" si="113"/>
        <v>1440.5</v>
      </c>
    </row>
    <row r="2381" spans="1:23" x14ac:dyDescent="0.3">
      <c r="A2381" s="13" t="str" cm="1">
        <f t="array" ref="A2381:B2381">INDEX(BenchmarkResults!$B$1:$D$35,SUMPRODUCT((T2381&gt;=BenchmarkResults!$F$3:$F$35)*(mongodb_hardware_log!T2381&lt;BenchmarkResults!$G$3:$G$35)*ROW(BenchmarkResults!$F$3:$F$35)),{1,3})</f>
        <v>q6_inactive_customers</v>
      </c>
      <c r="B2381">
        <v>1</v>
      </c>
      <c r="C2381" s="13">
        <v>5</v>
      </c>
      <c r="D2381" s="13">
        <v>0</v>
      </c>
      <c r="E2381" s="13">
        <v>202240</v>
      </c>
      <c r="F2381" s="13">
        <v>205196</v>
      </c>
      <c r="G2381" s="13">
        <v>3004</v>
      </c>
      <c r="H2381" s="13">
        <v>2222512</v>
      </c>
      <c r="I2381" s="13">
        <v>0</v>
      </c>
      <c r="J2381" s="13">
        <v>0</v>
      </c>
      <c r="K2381" s="13">
        <v>1617</v>
      </c>
      <c r="L2381" s="13">
        <v>1606</v>
      </c>
      <c r="M2381" s="13">
        <v>728</v>
      </c>
      <c r="N2381" s="13">
        <v>209</v>
      </c>
      <c r="O2381" s="13">
        <v>34</v>
      </c>
      <c r="P2381" s="13">
        <v>1</v>
      </c>
      <c r="Q2381" s="13">
        <v>62</v>
      </c>
      <c r="R2381" s="13">
        <v>3</v>
      </c>
      <c r="S2381" s="13">
        <v>0</v>
      </c>
      <c r="T2381" s="23">
        <v>46247.759675925925</v>
      </c>
      <c r="U2381" s="55">
        <f t="shared" si="111"/>
        <v>1.8333333333333333</v>
      </c>
      <c r="V2381" s="55">
        <f t="shared" si="112"/>
        <v>0</v>
      </c>
      <c r="W2381" s="56">
        <f t="shared" si="113"/>
        <v>1476.8333333333333</v>
      </c>
    </row>
    <row r="2382" spans="1:23" x14ac:dyDescent="0.3">
      <c r="A2382" s="13" t="str" cm="1">
        <f t="array" ref="A2382:B2382">INDEX(BenchmarkResults!$B$1:$D$35,SUMPRODUCT((T2382&gt;=BenchmarkResults!$F$3:$F$35)*(mongodb_hardware_log!T2382&lt;BenchmarkResults!$G$3:$G$35)*ROW(BenchmarkResults!$F$3:$F$35)),{1,3})</f>
        <v>q6_inactive_customers</v>
      </c>
      <c r="B2382">
        <v>1</v>
      </c>
      <c r="C2382" s="13">
        <v>1</v>
      </c>
      <c r="D2382" s="13">
        <v>0</v>
      </c>
      <c r="E2382" s="13">
        <v>202240</v>
      </c>
      <c r="F2382" s="13">
        <v>195872</v>
      </c>
      <c r="G2382" s="13">
        <v>3016</v>
      </c>
      <c r="H2382" s="13">
        <v>2238036</v>
      </c>
      <c r="I2382" s="13">
        <v>1</v>
      </c>
      <c r="J2382" s="13">
        <v>0</v>
      </c>
      <c r="K2382" s="13">
        <v>1553</v>
      </c>
      <c r="L2382" s="13">
        <v>7</v>
      </c>
      <c r="M2382" s="13">
        <v>738</v>
      </c>
      <c r="N2382" s="13">
        <v>210</v>
      </c>
      <c r="O2382" s="13">
        <v>33</v>
      </c>
      <c r="P2382" s="13">
        <v>1</v>
      </c>
      <c r="Q2382" s="13">
        <v>64</v>
      </c>
      <c r="R2382" s="13">
        <v>0</v>
      </c>
      <c r="S2382" s="13">
        <v>1</v>
      </c>
      <c r="T2382" s="23">
        <v>46247.759791666664</v>
      </c>
      <c r="U2382" s="55">
        <f t="shared" si="111"/>
        <v>1.6666666666666667</v>
      </c>
      <c r="V2382" s="55">
        <f t="shared" si="112"/>
        <v>0</v>
      </c>
      <c r="W2382" s="56">
        <f t="shared" si="113"/>
        <v>1462.8333333333333</v>
      </c>
    </row>
    <row r="2383" spans="1:23" x14ac:dyDescent="0.3">
      <c r="A2383" s="13" t="str" cm="1">
        <f t="array" ref="A2383:B2383">INDEX(BenchmarkResults!$B$1:$D$35,SUMPRODUCT((T2383&gt;=BenchmarkResults!$F$3:$F$35)*(mongodb_hardware_log!T2383&lt;BenchmarkResults!$G$3:$G$35)*ROW(BenchmarkResults!$F$3:$F$35)),{1,3})</f>
        <v>q6_inactive_customers</v>
      </c>
      <c r="B2383">
        <v>1</v>
      </c>
      <c r="C2383" s="13">
        <v>1</v>
      </c>
      <c r="D2383" s="13">
        <v>0</v>
      </c>
      <c r="E2383" s="13">
        <v>202240</v>
      </c>
      <c r="F2383" s="13">
        <v>173696</v>
      </c>
      <c r="G2383" s="13">
        <v>3064</v>
      </c>
      <c r="H2383" s="13">
        <v>2254296</v>
      </c>
      <c r="I2383" s="13">
        <v>1</v>
      </c>
      <c r="J2383" s="13">
        <v>0</v>
      </c>
      <c r="K2383" s="13">
        <v>1620</v>
      </c>
      <c r="L2383" s="13">
        <v>32</v>
      </c>
      <c r="M2383" s="13">
        <v>750</v>
      </c>
      <c r="N2383" s="13">
        <v>242</v>
      </c>
      <c r="O2383" s="13">
        <v>34</v>
      </c>
      <c r="P2383" s="13">
        <v>1</v>
      </c>
      <c r="Q2383" s="13">
        <v>64</v>
      </c>
      <c r="R2383" s="13">
        <v>1</v>
      </c>
      <c r="S2383" s="13">
        <v>0</v>
      </c>
      <c r="T2383" s="23">
        <v>46247.75990740741</v>
      </c>
      <c r="U2383" s="55">
        <f t="shared" si="111"/>
        <v>1.6666666666666667</v>
      </c>
      <c r="V2383" s="55">
        <f t="shared" si="112"/>
        <v>0</v>
      </c>
      <c r="W2383" s="56">
        <f t="shared" si="113"/>
        <v>1455.3333333333333</v>
      </c>
    </row>
    <row r="2384" spans="1:23" x14ac:dyDescent="0.3">
      <c r="A2384" s="13" t="str" cm="1">
        <f t="array" ref="A2384:B2384">INDEX(BenchmarkResults!$B$1:$D$35,SUMPRODUCT((T2384&gt;=BenchmarkResults!$F$3:$F$35)*(mongodb_hardware_log!T2384&lt;BenchmarkResults!$G$3:$G$35)*ROW(BenchmarkResults!$F$3:$F$35)),{1,3})</f>
        <v>q6_inactive_customers</v>
      </c>
      <c r="B2384">
        <v>1</v>
      </c>
      <c r="C2384" s="13">
        <v>1</v>
      </c>
      <c r="D2384" s="13">
        <v>0</v>
      </c>
      <c r="E2384" s="13">
        <v>202240</v>
      </c>
      <c r="F2384" s="13">
        <v>130608</v>
      </c>
      <c r="G2384" s="13">
        <v>3076</v>
      </c>
      <c r="H2384" s="13">
        <v>2280936</v>
      </c>
      <c r="I2384" s="13">
        <v>0</v>
      </c>
      <c r="J2384" s="13">
        <v>0</v>
      </c>
      <c r="K2384" s="13">
        <v>1070</v>
      </c>
      <c r="L2384" s="13">
        <v>13</v>
      </c>
      <c r="M2384" s="13">
        <v>741</v>
      </c>
      <c r="N2384" s="13">
        <v>234</v>
      </c>
      <c r="O2384" s="13">
        <v>33</v>
      </c>
      <c r="P2384" s="13">
        <v>1</v>
      </c>
      <c r="Q2384" s="13">
        <v>65</v>
      </c>
      <c r="R2384" s="13">
        <v>0</v>
      </c>
      <c r="S2384" s="13">
        <v>1</v>
      </c>
      <c r="T2384" s="23">
        <v>46247.760023148148</v>
      </c>
      <c r="U2384" s="55">
        <f t="shared" si="111"/>
        <v>1.6666666666666667</v>
      </c>
      <c r="V2384" s="55">
        <f t="shared" si="112"/>
        <v>0</v>
      </c>
      <c r="W2384" s="56">
        <f t="shared" si="113"/>
        <v>1429</v>
      </c>
    </row>
    <row r="2385" spans="1:23" x14ac:dyDescent="0.3">
      <c r="A2385" s="13" t="str" cm="1">
        <f t="array" ref="A2385:B2385">INDEX(BenchmarkResults!$B$1:$D$35,SUMPRODUCT((T2385&gt;=BenchmarkResults!$F$3:$F$35)*(mongodb_hardware_log!T2385&lt;BenchmarkResults!$G$3:$G$35)*ROW(BenchmarkResults!$F$3:$F$35)),{1,3})</f>
        <v>q6_inactive_customers</v>
      </c>
      <c r="B2385">
        <v>1</v>
      </c>
      <c r="C2385" s="13">
        <v>1</v>
      </c>
      <c r="D2385" s="13">
        <v>0</v>
      </c>
      <c r="E2385" s="13">
        <v>202240</v>
      </c>
      <c r="F2385" s="13">
        <v>121536</v>
      </c>
      <c r="G2385" s="13">
        <v>3096</v>
      </c>
      <c r="H2385" s="13">
        <v>2296840</v>
      </c>
      <c r="I2385" s="13">
        <v>0</v>
      </c>
      <c r="J2385" s="13">
        <v>0</v>
      </c>
      <c r="K2385" s="13">
        <v>1580</v>
      </c>
      <c r="L2385" s="13">
        <v>1586</v>
      </c>
      <c r="M2385" s="13">
        <v>867</v>
      </c>
      <c r="N2385" s="13">
        <v>369</v>
      </c>
      <c r="O2385" s="13">
        <v>33</v>
      </c>
      <c r="P2385" s="13">
        <v>1</v>
      </c>
      <c r="Q2385" s="13">
        <v>63</v>
      </c>
      <c r="R2385" s="13">
        <v>2</v>
      </c>
      <c r="S2385" s="13">
        <v>0</v>
      </c>
      <c r="T2385" s="23">
        <v>46247.760138888887</v>
      </c>
      <c r="U2385" s="55">
        <f t="shared" si="111"/>
        <v>1.6666666666666667</v>
      </c>
      <c r="V2385" s="55">
        <f t="shared" si="112"/>
        <v>0</v>
      </c>
      <c r="W2385" s="56">
        <f t="shared" si="113"/>
        <v>1489.1666666666667</v>
      </c>
    </row>
    <row r="2386" spans="1:23" x14ac:dyDescent="0.3">
      <c r="A2386" s="13" t="str" cm="1">
        <f t="array" ref="A2386:B2386">INDEX(BenchmarkResults!$B$1:$D$35,SUMPRODUCT((T2386&gt;=BenchmarkResults!$F$3:$F$35)*(mongodb_hardware_log!T2386&lt;BenchmarkResults!$G$3:$G$35)*ROW(BenchmarkResults!$F$3:$F$35)),{1,3})</f>
        <v>q6_inactive_customers</v>
      </c>
      <c r="B2386">
        <v>1</v>
      </c>
      <c r="C2386" s="13">
        <v>1</v>
      </c>
      <c r="D2386" s="13">
        <v>0</v>
      </c>
      <c r="E2386" s="13">
        <v>202240</v>
      </c>
      <c r="F2386" s="13">
        <v>111708</v>
      </c>
      <c r="G2386" s="13">
        <v>3104</v>
      </c>
      <c r="H2386" s="13">
        <v>2310884</v>
      </c>
      <c r="I2386" s="13">
        <v>0</v>
      </c>
      <c r="J2386" s="13">
        <v>0</v>
      </c>
      <c r="K2386" s="13">
        <v>1405</v>
      </c>
      <c r="L2386" s="13">
        <v>10</v>
      </c>
      <c r="M2386" s="13">
        <v>740</v>
      </c>
      <c r="N2386" s="13">
        <v>218</v>
      </c>
      <c r="O2386" s="13">
        <v>33</v>
      </c>
      <c r="P2386" s="13">
        <v>1</v>
      </c>
      <c r="Q2386" s="13">
        <v>65</v>
      </c>
      <c r="R2386" s="13">
        <v>1</v>
      </c>
      <c r="S2386" s="13">
        <v>1</v>
      </c>
      <c r="T2386" s="23">
        <v>46247.760254629633</v>
      </c>
      <c r="U2386" s="55">
        <f t="shared" si="111"/>
        <v>1.6666666666666667</v>
      </c>
      <c r="V2386" s="55">
        <f t="shared" si="112"/>
        <v>0</v>
      </c>
      <c r="W2386" s="56">
        <f t="shared" si="113"/>
        <v>1474.1666666666667</v>
      </c>
    </row>
    <row r="2387" spans="1:23" x14ac:dyDescent="0.3">
      <c r="A2387" s="13" t="str" cm="1">
        <f t="array" ref="A2387:B2387">INDEX(BenchmarkResults!$B$1:$D$35,SUMPRODUCT((T2387&gt;=BenchmarkResults!$F$3:$F$35)*(mongodb_hardware_log!T2387&lt;BenchmarkResults!$G$3:$G$35)*ROW(BenchmarkResults!$F$3:$F$35)),{1,3})</f>
        <v>q6_inactive_customers</v>
      </c>
      <c r="B2387">
        <v>1</v>
      </c>
      <c r="C2387" s="13">
        <v>1</v>
      </c>
      <c r="D2387" s="13">
        <v>0</v>
      </c>
      <c r="E2387" s="13">
        <v>202240</v>
      </c>
      <c r="F2387" s="13">
        <v>154616</v>
      </c>
      <c r="G2387" s="13">
        <v>3112</v>
      </c>
      <c r="H2387" s="13">
        <v>2269016</v>
      </c>
      <c r="I2387" s="13">
        <v>0</v>
      </c>
      <c r="J2387" s="13">
        <v>0</v>
      </c>
      <c r="K2387" s="13">
        <v>1351</v>
      </c>
      <c r="L2387" s="13">
        <v>8</v>
      </c>
      <c r="M2387" s="13">
        <v>751</v>
      </c>
      <c r="N2387" s="13">
        <v>212</v>
      </c>
      <c r="O2387" s="13">
        <v>33</v>
      </c>
      <c r="P2387" s="13">
        <v>1</v>
      </c>
      <c r="Q2387" s="13">
        <v>64</v>
      </c>
      <c r="R2387" s="13">
        <v>1</v>
      </c>
      <c r="S2387" s="13">
        <v>2</v>
      </c>
      <c r="T2387" s="23">
        <v>46247.760370370372</v>
      </c>
      <c r="U2387" s="55">
        <f t="shared" si="111"/>
        <v>1</v>
      </c>
      <c r="V2387" s="55">
        <f t="shared" si="112"/>
        <v>0</v>
      </c>
      <c r="W2387" s="56">
        <f t="shared" si="113"/>
        <v>1429.8333333333333</v>
      </c>
    </row>
    <row r="2388" spans="1:23" x14ac:dyDescent="0.3">
      <c r="A2388" s="13" t="str" cm="1">
        <f t="array" ref="A2388:B2388">INDEX(BenchmarkResults!$B$1:$D$35,SUMPRODUCT((T2388&gt;=BenchmarkResults!$F$3:$F$35)*(mongodb_hardware_log!T2388&lt;BenchmarkResults!$G$3:$G$35)*ROW(BenchmarkResults!$F$3:$F$35)),{1,3})</f>
        <v>q6_inactive_customers</v>
      </c>
      <c r="B2388">
        <v>1</v>
      </c>
      <c r="C2388" s="13">
        <v>1</v>
      </c>
      <c r="D2388" s="13">
        <v>0</v>
      </c>
      <c r="E2388" s="13">
        <v>202240</v>
      </c>
      <c r="F2388" s="13">
        <v>128660</v>
      </c>
      <c r="G2388" s="13">
        <v>3120</v>
      </c>
      <c r="H2388" s="13">
        <v>2281256</v>
      </c>
      <c r="I2388" s="13">
        <v>0</v>
      </c>
      <c r="J2388" s="13">
        <v>0</v>
      </c>
      <c r="K2388" s="13">
        <v>1222</v>
      </c>
      <c r="L2388" s="13">
        <v>11</v>
      </c>
      <c r="M2388" s="13">
        <v>750</v>
      </c>
      <c r="N2388" s="13">
        <v>216</v>
      </c>
      <c r="O2388" s="13">
        <v>33</v>
      </c>
      <c r="P2388" s="13">
        <v>1</v>
      </c>
      <c r="Q2388" s="13">
        <v>64</v>
      </c>
      <c r="R2388" s="13">
        <v>1</v>
      </c>
      <c r="S2388" s="13">
        <v>1</v>
      </c>
      <c r="T2388" s="23">
        <v>46247.76048611111</v>
      </c>
      <c r="U2388" s="55">
        <f t="shared" si="111"/>
        <v>1</v>
      </c>
      <c r="V2388" s="55">
        <f t="shared" si="112"/>
        <v>0</v>
      </c>
      <c r="W2388" s="56">
        <f t="shared" si="113"/>
        <v>1374.6666666666667</v>
      </c>
    </row>
    <row r="2389" spans="1:23" x14ac:dyDescent="0.3">
      <c r="A2389" s="13" t="str" cm="1">
        <f t="array" ref="A2389:B2389">INDEX(BenchmarkResults!$B$1:$D$35,SUMPRODUCT((T2389&gt;=BenchmarkResults!$F$3:$F$35)*(mongodb_hardware_log!T2389&lt;BenchmarkResults!$G$3:$G$35)*ROW(BenchmarkResults!$F$3:$F$35)),{1,3})</f>
        <v>q6_inactive_customers</v>
      </c>
      <c r="B2389">
        <v>1</v>
      </c>
      <c r="C2389" s="13">
        <v>1</v>
      </c>
      <c r="D2389" s="13">
        <v>0</v>
      </c>
      <c r="E2389" s="13">
        <v>202240</v>
      </c>
      <c r="F2389" s="13">
        <v>111272</v>
      </c>
      <c r="G2389" s="13">
        <v>3144</v>
      </c>
      <c r="H2389" s="13">
        <v>2296332</v>
      </c>
      <c r="I2389" s="13">
        <v>1</v>
      </c>
      <c r="J2389" s="13">
        <v>0</v>
      </c>
      <c r="K2389" s="13">
        <v>1503</v>
      </c>
      <c r="L2389" s="13">
        <v>24</v>
      </c>
      <c r="M2389" s="13">
        <v>748</v>
      </c>
      <c r="N2389" s="13">
        <v>226</v>
      </c>
      <c r="O2389" s="13">
        <v>33</v>
      </c>
      <c r="P2389" s="13">
        <v>1</v>
      </c>
      <c r="Q2389" s="13">
        <v>64</v>
      </c>
      <c r="R2389" s="13">
        <v>1</v>
      </c>
      <c r="S2389" s="13">
        <v>1</v>
      </c>
      <c r="T2389" s="23">
        <v>46247.760601851849</v>
      </c>
      <c r="U2389" s="55">
        <f t="shared" si="111"/>
        <v>1</v>
      </c>
      <c r="V2389" s="55">
        <f t="shared" si="112"/>
        <v>0</v>
      </c>
      <c r="W2389" s="56">
        <f t="shared" si="113"/>
        <v>1355.1666666666667</v>
      </c>
    </row>
    <row r="2390" spans="1:23" x14ac:dyDescent="0.3">
      <c r="A2390" s="13" t="str" cm="1">
        <f t="array" ref="A2390:B2390">INDEX(BenchmarkResults!$B$1:$D$35,SUMPRODUCT((T2390&gt;=BenchmarkResults!$F$3:$F$35)*(mongodb_hardware_log!T2390&lt;BenchmarkResults!$G$3:$G$35)*ROW(BenchmarkResults!$F$3:$F$35)),{1,3})</f>
        <v>q6_inactive_customers</v>
      </c>
      <c r="B2390">
        <v>1</v>
      </c>
      <c r="C2390" s="13">
        <v>1</v>
      </c>
      <c r="D2390" s="13">
        <v>0</v>
      </c>
      <c r="E2390" s="13">
        <v>202240</v>
      </c>
      <c r="F2390" s="13">
        <v>139780</v>
      </c>
      <c r="G2390" s="13">
        <v>3152</v>
      </c>
      <c r="H2390" s="13">
        <v>2266980</v>
      </c>
      <c r="I2390" s="13">
        <v>0</v>
      </c>
      <c r="J2390" s="13">
        <v>0</v>
      </c>
      <c r="K2390" s="13">
        <v>1033</v>
      </c>
      <c r="L2390" s="13">
        <v>6</v>
      </c>
      <c r="M2390" s="13">
        <v>682</v>
      </c>
      <c r="N2390" s="13">
        <v>176</v>
      </c>
      <c r="O2390" s="13">
        <v>33</v>
      </c>
      <c r="P2390" s="13">
        <v>1</v>
      </c>
      <c r="Q2390" s="13">
        <v>65</v>
      </c>
      <c r="R2390" s="13">
        <v>0</v>
      </c>
      <c r="S2390" s="13">
        <v>1</v>
      </c>
      <c r="T2390" s="23">
        <v>46247.760717592595</v>
      </c>
      <c r="U2390" s="55">
        <f t="shared" si="111"/>
        <v>1</v>
      </c>
      <c r="V2390" s="55">
        <f t="shared" si="112"/>
        <v>0</v>
      </c>
      <c r="W2390" s="56">
        <f t="shared" si="113"/>
        <v>1349</v>
      </c>
    </row>
    <row r="2391" spans="1:23" x14ac:dyDescent="0.3">
      <c r="A2391" s="13" t="str" cm="1">
        <f t="array" ref="A2391:B2391">INDEX(BenchmarkResults!$B$1:$D$35,SUMPRODUCT((T2391&gt;=BenchmarkResults!$F$3:$F$35)*(mongodb_hardware_log!T2391&lt;BenchmarkResults!$G$3:$G$35)*ROW(BenchmarkResults!$F$3:$F$35)),{1,3})</f>
        <v>q6_inactive_customers</v>
      </c>
      <c r="B2391">
        <v>1</v>
      </c>
      <c r="C2391" s="13">
        <v>1</v>
      </c>
      <c r="D2391" s="13">
        <v>0</v>
      </c>
      <c r="E2391" s="13">
        <v>202240</v>
      </c>
      <c r="F2391" s="13">
        <v>119872</v>
      </c>
      <c r="G2391" s="13">
        <v>3168</v>
      </c>
      <c r="H2391" s="13">
        <v>2283416</v>
      </c>
      <c r="I2391" s="13">
        <v>0</v>
      </c>
      <c r="J2391" s="13">
        <v>0</v>
      </c>
      <c r="K2391" s="13">
        <v>1648</v>
      </c>
      <c r="L2391" s="13">
        <v>20</v>
      </c>
      <c r="M2391" s="13">
        <v>737</v>
      </c>
      <c r="N2391" s="13">
        <v>226</v>
      </c>
      <c r="O2391" s="13">
        <v>34</v>
      </c>
      <c r="P2391" s="13">
        <v>1</v>
      </c>
      <c r="Q2391" s="13">
        <v>65</v>
      </c>
      <c r="R2391" s="13">
        <v>1</v>
      </c>
      <c r="S2391" s="13">
        <v>0</v>
      </c>
      <c r="T2391" s="23">
        <v>46247.760833333334</v>
      </c>
      <c r="U2391" s="55">
        <f t="shared" si="111"/>
        <v>1</v>
      </c>
      <c r="V2391" s="55">
        <f t="shared" si="112"/>
        <v>0</v>
      </c>
      <c r="W2391" s="56">
        <f t="shared" si="113"/>
        <v>1360.3333333333333</v>
      </c>
    </row>
    <row r="2392" spans="1:23" x14ac:dyDescent="0.3">
      <c r="A2392" s="13" t="str" cm="1">
        <f t="array" ref="A2392:B2392">INDEX(BenchmarkResults!$B$1:$D$35,SUMPRODUCT((T2392&gt;=BenchmarkResults!$F$3:$F$35)*(mongodb_hardware_log!T2392&lt;BenchmarkResults!$G$3:$G$35)*ROW(BenchmarkResults!$F$3:$F$35)),{1,3})</f>
        <v>q6_inactive_customers</v>
      </c>
      <c r="B2392">
        <v>1</v>
      </c>
      <c r="C2392" s="13">
        <v>1</v>
      </c>
      <c r="D2392" s="13">
        <v>0</v>
      </c>
      <c r="E2392" s="13">
        <v>202240</v>
      </c>
      <c r="F2392" s="13">
        <v>154904</v>
      </c>
      <c r="G2392" s="13">
        <v>3176</v>
      </c>
      <c r="H2392" s="13">
        <v>2251032</v>
      </c>
      <c r="I2392" s="13">
        <v>1</v>
      </c>
      <c r="J2392" s="13">
        <v>0</v>
      </c>
      <c r="K2392" s="13">
        <v>1616</v>
      </c>
      <c r="L2392" s="13">
        <v>5</v>
      </c>
      <c r="M2392" s="13">
        <v>742</v>
      </c>
      <c r="N2392" s="13">
        <v>229</v>
      </c>
      <c r="O2392" s="13">
        <v>33</v>
      </c>
      <c r="P2392" s="13">
        <v>1</v>
      </c>
      <c r="Q2392" s="13">
        <v>64</v>
      </c>
      <c r="R2392" s="13">
        <v>1</v>
      </c>
      <c r="S2392" s="13">
        <v>0</v>
      </c>
      <c r="T2392" s="23">
        <v>46247.760949074072</v>
      </c>
      <c r="U2392" s="55">
        <f t="shared" si="111"/>
        <v>1</v>
      </c>
      <c r="V2392" s="55">
        <f t="shared" si="112"/>
        <v>0</v>
      </c>
      <c r="W2392" s="56">
        <f t="shared" si="113"/>
        <v>1395.5</v>
      </c>
    </row>
    <row r="2393" spans="1:23" x14ac:dyDescent="0.3">
      <c r="A2393" s="13" t="str" cm="1">
        <f t="array" ref="A2393:B2393">INDEX(BenchmarkResults!$B$1:$D$35,SUMPRODUCT((T2393&gt;=BenchmarkResults!$F$3:$F$35)*(mongodb_hardware_log!T2393&lt;BenchmarkResults!$G$3:$G$35)*ROW(BenchmarkResults!$F$3:$F$35)),{1,3})</f>
        <v>q6_inactive_customers</v>
      </c>
      <c r="B2393">
        <v>1</v>
      </c>
      <c r="C2393" s="13">
        <v>1</v>
      </c>
      <c r="D2393" s="13">
        <v>0</v>
      </c>
      <c r="E2393" s="13">
        <v>202240</v>
      </c>
      <c r="F2393" s="13">
        <v>138304</v>
      </c>
      <c r="G2393" s="13">
        <v>3192</v>
      </c>
      <c r="H2393" s="13">
        <v>2266592</v>
      </c>
      <c r="I2393" s="13">
        <v>3</v>
      </c>
      <c r="J2393" s="13">
        <v>0</v>
      </c>
      <c r="K2393" s="13">
        <v>1557</v>
      </c>
      <c r="L2393" s="13">
        <v>1576</v>
      </c>
      <c r="M2393" s="13">
        <v>744</v>
      </c>
      <c r="N2393" s="13">
        <v>221</v>
      </c>
      <c r="O2393" s="13">
        <v>35</v>
      </c>
      <c r="P2393" s="13">
        <v>1</v>
      </c>
      <c r="Q2393" s="13">
        <v>62</v>
      </c>
      <c r="R2393" s="13">
        <v>2</v>
      </c>
      <c r="S2393" s="13">
        <v>0</v>
      </c>
      <c r="T2393" s="23">
        <v>46247.761064814818</v>
      </c>
      <c r="U2393" s="55">
        <f t="shared" si="111"/>
        <v>1</v>
      </c>
      <c r="V2393" s="55">
        <f t="shared" si="112"/>
        <v>0</v>
      </c>
      <c r="W2393" s="56">
        <f t="shared" si="113"/>
        <v>1429.8333333333333</v>
      </c>
    </row>
    <row r="2394" spans="1:23" x14ac:dyDescent="0.3">
      <c r="A2394" s="13" t="str" cm="1">
        <f t="array" ref="A2394:B2394">INDEX(BenchmarkResults!$B$1:$D$35,SUMPRODUCT((T2394&gt;=BenchmarkResults!$F$3:$F$35)*(mongodb_hardware_log!T2394&lt;BenchmarkResults!$G$3:$G$35)*ROW(BenchmarkResults!$F$3:$F$35)),{1,3})</f>
        <v>q6_inactive_customers</v>
      </c>
      <c r="B2394">
        <v>1</v>
      </c>
      <c r="C2394" s="13">
        <v>1</v>
      </c>
      <c r="D2394" s="13">
        <v>0</v>
      </c>
      <c r="E2394" s="13">
        <v>202240</v>
      </c>
      <c r="F2394" s="13">
        <v>120412</v>
      </c>
      <c r="G2394" s="13">
        <v>3204</v>
      </c>
      <c r="H2394" s="13">
        <v>2281756</v>
      </c>
      <c r="I2394" s="13">
        <v>0</v>
      </c>
      <c r="J2394" s="13">
        <v>0</v>
      </c>
      <c r="K2394" s="13">
        <v>1524</v>
      </c>
      <c r="L2394" s="13">
        <v>10</v>
      </c>
      <c r="M2394" s="13">
        <v>732</v>
      </c>
      <c r="N2394" s="13">
        <v>205</v>
      </c>
      <c r="O2394" s="13">
        <v>33</v>
      </c>
      <c r="P2394" s="13">
        <v>1</v>
      </c>
      <c r="Q2394" s="13">
        <v>65</v>
      </c>
      <c r="R2394" s="13">
        <v>0</v>
      </c>
      <c r="S2394" s="13">
        <v>0</v>
      </c>
      <c r="T2394" s="23">
        <v>46247.761180555557</v>
      </c>
      <c r="U2394" s="55">
        <f t="shared" si="111"/>
        <v>1</v>
      </c>
      <c r="V2394" s="55">
        <f t="shared" si="112"/>
        <v>0</v>
      </c>
      <c r="W2394" s="56">
        <f t="shared" si="113"/>
        <v>1480.1666666666667</v>
      </c>
    </row>
    <row r="2395" spans="1:23" x14ac:dyDescent="0.3">
      <c r="A2395" s="13" t="str" cm="1">
        <f t="array" ref="A2395:B2395">INDEX(BenchmarkResults!$B$1:$D$35,SUMPRODUCT((T2395&gt;=BenchmarkResults!$F$3:$F$35)*(mongodb_hardware_log!T2395&lt;BenchmarkResults!$G$3:$G$35)*ROW(BenchmarkResults!$F$3:$F$35)),{1,3})</f>
        <v>q6_inactive_customers</v>
      </c>
      <c r="B2395">
        <v>1</v>
      </c>
      <c r="C2395" s="13">
        <v>1</v>
      </c>
      <c r="D2395" s="13">
        <v>0</v>
      </c>
      <c r="E2395" s="13">
        <v>202240</v>
      </c>
      <c r="F2395" s="13">
        <v>163532</v>
      </c>
      <c r="G2395" s="13">
        <v>3244</v>
      </c>
      <c r="H2395" s="13">
        <v>2246048</v>
      </c>
      <c r="I2395" s="13">
        <v>1</v>
      </c>
      <c r="J2395" s="13">
        <v>0</v>
      </c>
      <c r="K2395" s="13">
        <v>1593</v>
      </c>
      <c r="L2395" s="13">
        <v>30</v>
      </c>
      <c r="M2395" s="13">
        <v>715</v>
      </c>
      <c r="N2395" s="13">
        <v>208</v>
      </c>
      <c r="O2395" s="13">
        <v>34</v>
      </c>
      <c r="P2395" s="13">
        <v>1</v>
      </c>
      <c r="Q2395" s="13">
        <v>64</v>
      </c>
      <c r="R2395" s="13">
        <v>1</v>
      </c>
      <c r="S2395" s="13">
        <v>0</v>
      </c>
      <c r="T2395" s="23">
        <v>46247.761296296296</v>
      </c>
      <c r="U2395" s="55">
        <f t="shared" si="111"/>
        <v>1</v>
      </c>
      <c r="V2395" s="55">
        <f t="shared" si="112"/>
        <v>0</v>
      </c>
      <c r="W2395" s="56">
        <f t="shared" si="113"/>
        <v>1495.1666666666667</v>
      </c>
    </row>
    <row r="2396" spans="1:23" x14ac:dyDescent="0.3">
      <c r="A2396" s="13" t="str" cm="1">
        <f t="array" ref="A2396:B2396">INDEX(BenchmarkResults!$B$1:$D$35,SUMPRODUCT((T2396&gt;=BenchmarkResults!$F$3:$F$35)*(mongodb_hardware_log!T2396&lt;BenchmarkResults!$G$3:$G$35)*ROW(BenchmarkResults!$F$3:$F$35)),{1,3})</f>
        <v>q6_inactive_customers</v>
      </c>
      <c r="B2396">
        <v>1</v>
      </c>
      <c r="C2396" s="13">
        <v>1</v>
      </c>
      <c r="D2396" s="13">
        <v>0</v>
      </c>
      <c r="E2396" s="13">
        <v>202240</v>
      </c>
      <c r="F2396" s="13">
        <v>137104</v>
      </c>
      <c r="G2396" s="13">
        <v>3252</v>
      </c>
      <c r="H2396" s="13">
        <v>2271744</v>
      </c>
      <c r="I2396" s="13">
        <v>0</v>
      </c>
      <c r="J2396" s="13">
        <v>0</v>
      </c>
      <c r="K2396" s="13">
        <v>1342</v>
      </c>
      <c r="L2396" s="13">
        <v>1564</v>
      </c>
      <c r="M2396" s="13">
        <v>715</v>
      </c>
      <c r="N2396" s="13">
        <v>204</v>
      </c>
      <c r="O2396" s="13">
        <v>33</v>
      </c>
      <c r="P2396" s="13">
        <v>1</v>
      </c>
      <c r="Q2396" s="13">
        <v>64</v>
      </c>
      <c r="R2396" s="13">
        <v>2</v>
      </c>
      <c r="S2396" s="13">
        <v>0</v>
      </c>
      <c r="T2396" s="23">
        <v>46247.761412037034</v>
      </c>
      <c r="U2396" s="55">
        <f t="shared" si="111"/>
        <v>1</v>
      </c>
      <c r="V2396" s="55">
        <f t="shared" si="112"/>
        <v>0</v>
      </c>
      <c r="W2396" s="56">
        <f t="shared" si="113"/>
        <v>1546.6666666666667</v>
      </c>
    </row>
    <row r="2397" spans="1:23" x14ac:dyDescent="0.3">
      <c r="A2397" s="13" t="str" cm="1">
        <f t="array" ref="A2397:B2397">INDEX(BenchmarkResults!$B$1:$D$35,SUMPRODUCT((T2397&gt;=BenchmarkResults!$F$3:$F$35)*(mongodb_hardware_log!T2397&lt;BenchmarkResults!$G$3:$G$35)*ROW(BenchmarkResults!$F$3:$F$35)),{1,3})</f>
        <v>q6_inactive_customers</v>
      </c>
      <c r="B2397">
        <v>1</v>
      </c>
      <c r="C2397" s="13">
        <v>1</v>
      </c>
      <c r="D2397" s="13">
        <v>0</v>
      </c>
      <c r="E2397" s="13">
        <v>202240</v>
      </c>
      <c r="F2397" s="13">
        <v>123244</v>
      </c>
      <c r="G2397" s="13">
        <v>3264</v>
      </c>
      <c r="H2397" s="13">
        <v>2287844</v>
      </c>
      <c r="I2397" s="13">
        <v>0</v>
      </c>
      <c r="J2397" s="13">
        <v>0</v>
      </c>
      <c r="K2397" s="13">
        <v>1611</v>
      </c>
      <c r="L2397" s="13">
        <v>12</v>
      </c>
      <c r="M2397" s="13">
        <v>735</v>
      </c>
      <c r="N2397" s="13">
        <v>214</v>
      </c>
      <c r="O2397" s="13">
        <v>34</v>
      </c>
      <c r="P2397" s="13">
        <v>1</v>
      </c>
      <c r="Q2397" s="13">
        <v>65</v>
      </c>
      <c r="R2397" s="13">
        <v>0</v>
      </c>
      <c r="S2397" s="13">
        <v>0</v>
      </c>
      <c r="T2397" s="23">
        <v>46247.76152777778</v>
      </c>
      <c r="U2397" s="55">
        <f t="shared" si="111"/>
        <v>1</v>
      </c>
      <c r="V2397" s="55">
        <f t="shared" si="112"/>
        <v>0</v>
      </c>
      <c r="W2397" s="56">
        <f t="shared" si="113"/>
        <v>1540.5</v>
      </c>
    </row>
    <row r="2398" spans="1:23" x14ac:dyDescent="0.3">
      <c r="A2398" s="13" t="str" cm="1">
        <f t="array" ref="A2398:B2398">INDEX(BenchmarkResults!$B$1:$D$35,SUMPRODUCT((T2398&gt;=BenchmarkResults!$F$3:$F$35)*(mongodb_hardware_log!T2398&lt;BenchmarkResults!$G$3:$G$35)*ROW(BenchmarkResults!$F$3:$F$35)),{1,3})</f>
        <v>q6_inactive_customers</v>
      </c>
      <c r="B2398">
        <v>1</v>
      </c>
      <c r="C2398" s="13">
        <v>1</v>
      </c>
      <c r="D2398" s="13">
        <v>0</v>
      </c>
      <c r="E2398" s="13">
        <v>202240</v>
      </c>
      <c r="F2398" s="13">
        <v>159264</v>
      </c>
      <c r="G2398" s="13">
        <v>3272</v>
      </c>
      <c r="H2398" s="13">
        <v>2250380</v>
      </c>
      <c r="I2398" s="13">
        <v>0</v>
      </c>
      <c r="J2398" s="13">
        <v>0</v>
      </c>
      <c r="K2398" s="13">
        <v>1722</v>
      </c>
      <c r="L2398" s="13">
        <v>18</v>
      </c>
      <c r="M2398" s="13">
        <v>731</v>
      </c>
      <c r="N2398" s="13">
        <v>215</v>
      </c>
      <c r="O2398" s="13">
        <v>33</v>
      </c>
      <c r="P2398" s="13">
        <v>1</v>
      </c>
      <c r="Q2398" s="13">
        <v>65</v>
      </c>
      <c r="R2398" s="13">
        <v>0</v>
      </c>
      <c r="S2398" s="13">
        <v>0</v>
      </c>
      <c r="T2398" s="23">
        <v>46247.761643518519</v>
      </c>
      <c r="U2398" s="55">
        <f t="shared" si="111"/>
        <v>1</v>
      </c>
      <c r="V2398" s="55">
        <f t="shared" si="112"/>
        <v>0</v>
      </c>
      <c r="W2398" s="56">
        <f t="shared" si="113"/>
        <v>1558.1666666666667</v>
      </c>
    </row>
    <row r="2399" spans="1:23" x14ac:dyDescent="0.3">
      <c r="A2399" s="13" t="str" cm="1">
        <f t="array" ref="A2399:B2399">INDEX(BenchmarkResults!$B$1:$D$35,SUMPRODUCT((T2399&gt;=BenchmarkResults!$F$3:$F$35)*(mongodb_hardware_log!T2399&lt;BenchmarkResults!$G$3:$G$35)*ROW(BenchmarkResults!$F$3:$F$35)),{1,3})</f>
        <v>q6_inactive_customers</v>
      </c>
      <c r="B2399">
        <v>1</v>
      </c>
      <c r="C2399" s="13">
        <v>1</v>
      </c>
      <c r="D2399" s="13">
        <v>0</v>
      </c>
      <c r="E2399" s="13">
        <v>202240</v>
      </c>
      <c r="F2399" s="13">
        <v>143896</v>
      </c>
      <c r="G2399" s="13">
        <v>3280</v>
      </c>
      <c r="H2399" s="13">
        <v>2265196</v>
      </c>
      <c r="I2399" s="13">
        <v>0</v>
      </c>
      <c r="J2399" s="13">
        <v>0</v>
      </c>
      <c r="K2399" s="13">
        <v>1480</v>
      </c>
      <c r="L2399" s="13">
        <v>10</v>
      </c>
      <c r="M2399" s="13">
        <v>732</v>
      </c>
      <c r="N2399" s="13">
        <v>219</v>
      </c>
      <c r="O2399" s="13">
        <v>33</v>
      </c>
      <c r="P2399" s="13">
        <v>1</v>
      </c>
      <c r="Q2399" s="13">
        <v>65</v>
      </c>
      <c r="R2399" s="13">
        <v>1</v>
      </c>
      <c r="S2399" s="13">
        <v>0</v>
      </c>
      <c r="T2399" s="23">
        <v>46247.761759259258</v>
      </c>
      <c r="U2399" s="55">
        <f t="shared" si="111"/>
        <v>1</v>
      </c>
      <c r="V2399" s="55">
        <f t="shared" si="112"/>
        <v>0</v>
      </c>
      <c r="W2399" s="56">
        <f t="shared" si="113"/>
        <v>1545.3333333333333</v>
      </c>
    </row>
    <row r="2400" spans="1:23" x14ac:dyDescent="0.3">
      <c r="A2400" s="13" t="str" cm="1">
        <f t="array" ref="A2400:B2400">INDEX(BenchmarkResults!$B$1:$D$35,SUMPRODUCT((T2400&gt;=BenchmarkResults!$F$3:$F$35)*(mongodb_hardware_log!T2400&lt;BenchmarkResults!$G$3:$G$35)*ROW(BenchmarkResults!$F$3:$F$35)),{1,3})</f>
        <v>q6_inactive_customers</v>
      </c>
      <c r="B2400">
        <v>1</v>
      </c>
      <c r="C2400" s="13">
        <v>1</v>
      </c>
      <c r="D2400" s="13">
        <v>0</v>
      </c>
      <c r="E2400" s="13">
        <v>202240</v>
      </c>
      <c r="F2400" s="13">
        <v>127520</v>
      </c>
      <c r="G2400" s="13">
        <v>3300</v>
      </c>
      <c r="H2400" s="13">
        <v>2280220</v>
      </c>
      <c r="I2400" s="13">
        <v>13</v>
      </c>
      <c r="J2400" s="13">
        <v>0</v>
      </c>
      <c r="K2400" s="13">
        <v>1513</v>
      </c>
      <c r="L2400" s="13">
        <v>14</v>
      </c>
      <c r="M2400" s="13">
        <v>752</v>
      </c>
      <c r="N2400" s="13">
        <v>221</v>
      </c>
      <c r="O2400" s="13">
        <v>33</v>
      </c>
      <c r="P2400" s="13">
        <v>1</v>
      </c>
      <c r="Q2400" s="13">
        <v>64</v>
      </c>
      <c r="R2400" s="13">
        <v>1</v>
      </c>
      <c r="S2400" s="13">
        <v>1</v>
      </c>
      <c r="T2400" s="23">
        <v>46247.761874999997</v>
      </c>
      <c r="U2400" s="55">
        <f t="shared" si="111"/>
        <v>1</v>
      </c>
      <c r="V2400" s="55">
        <f t="shared" si="112"/>
        <v>0</v>
      </c>
      <c r="W2400" s="56">
        <f t="shared" si="113"/>
        <v>1543.5</v>
      </c>
    </row>
    <row r="2401" spans="1:23" x14ac:dyDescent="0.3">
      <c r="A2401" s="13" t="str" cm="1">
        <f t="array" ref="A2401:B2401">INDEX(BenchmarkResults!$B$1:$D$35,SUMPRODUCT((T2401&gt;=BenchmarkResults!$F$3:$F$35)*(mongodb_hardware_log!T2401&lt;BenchmarkResults!$G$3:$G$35)*ROW(BenchmarkResults!$F$3:$F$35)),{1,3})</f>
        <v>q6_inactive_customers</v>
      </c>
      <c r="B2401">
        <v>1</v>
      </c>
      <c r="C2401" s="13">
        <v>1</v>
      </c>
      <c r="D2401" s="13">
        <v>0</v>
      </c>
      <c r="E2401" s="13">
        <v>202240</v>
      </c>
      <c r="F2401" s="13">
        <v>150128</v>
      </c>
      <c r="G2401" s="13">
        <v>3332</v>
      </c>
      <c r="H2401" s="13">
        <v>2252916</v>
      </c>
      <c r="I2401" s="13">
        <v>4</v>
      </c>
      <c r="J2401" s="13">
        <v>0</v>
      </c>
      <c r="K2401" s="13">
        <v>1170</v>
      </c>
      <c r="L2401" s="13">
        <v>46</v>
      </c>
      <c r="M2401" s="13">
        <v>694</v>
      </c>
      <c r="N2401" s="13">
        <v>186</v>
      </c>
      <c r="O2401" s="13">
        <v>33</v>
      </c>
      <c r="P2401" s="13">
        <v>1</v>
      </c>
      <c r="Q2401" s="13">
        <v>65</v>
      </c>
      <c r="R2401" s="13">
        <v>0</v>
      </c>
      <c r="S2401" s="13">
        <v>0</v>
      </c>
      <c r="T2401" s="23">
        <v>46247.761990740742</v>
      </c>
      <c r="U2401" s="55">
        <f t="shared" si="111"/>
        <v>1</v>
      </c>
      <c r="V2401" s="55">
        <f t="shared" si="112"/>
        <v>0</v>
      </c>
      <c r="W2401" s="56">
        <f t="shared" si="113"/>
        <v>1473</v>
      </c>
    </row>
    <row r="2402" spans="1:23" x14ac:dyDescent="0.3">
      <c r="A2402" s="13" t="str" cm="1">
        <f t="array" ref="A2402:B2402">INDEX(BenchmarkResults!$B$1:$D$35,SUMPRODUCT((T2402&gt;=BenchmarkResults!$F$3:$F$35)*(mongodb_hardware_log!T2402&lt;BenchmarkResults!$G$3:$G$35)*ROW(BenchmarkResults!$F$3:$F$35)),{1,3})</f>
        <v>q6_inactive_customers</v>
      </c>
      <c r="B2402">
        <v>1</v>
      </c>
      <c r="C2402" s="13">
        <v>1</v>
      </c>
      <c r="D2402" s="13">
        <v>0</v>
      </c>
      <c r="E2402" s="13">
        <v>202240</v>
      </c>
      <c r="F2402" s="13">
        <v>135008</v>
      </c>
      <c r="G2402" s="13">
        <v>3340</v>
      </c>
      <c r="H2402" s="13">
        <v>2267996</v>
      </c>
      <c r="I2402" s="13">
        <v>0</v>
      </c>
      <c r="J2402" s="13">
        <v>0</v>
      </c>
      <c r="K2402" s="13">
        <v>1498</v>
      </c>
      <c r="L2402" s="13">
        <v>8</v>
      </c>
      <c r="M2402" s="13">
        <v>720</v>
      </c>
      <c r="N2402" s="13">
        <v>208</v>
      </c>
      <c r="O2402" s="13">
        <v>33</v>
      </c>
      <c r="P2402" s="13">
        <v>1</v>
      </c>
      <c r="Q2402" s="13">
        <v>65</v>
      </c>
      <c r="R2402" s="13">
        <v>0</v>
      </c>
      <c r="S2402" s="13">
        <v>0</v>
      </c>
      <c r="T2402" s="23">
        <v>46247.762106481481</v>
      </c>
      <c r="U2402" s="55">
        <f t="shared" si="111"/>
        <v>1</v>
      </c>
      <c r="V2402" s="55">
        <f t="shared" si="112"/>
        <v>0</v>
      </c>
      <c r="W2402" s="56">
        <f t="shared" si="113"/>
        <v>1499</v>
      </c>
    </row>
    <row r="2403" spans="1:23" x14ac:dyDescent="0.3">
      <c r="A2403" s="13" t="str" cm="1">
        <f t="array" ref="A2403:B2403">INDEX(BenchmarkResults!$B$1:$D$35,SUMPRODUCT((T2403&gt;=BenchmarkResults!$F$3:$F$35)*(mongodb_hardware_log!T2403&lt;BenchmarkResults!$G$3:$G$35)*ROW(BenchmarkResults!$F$3:$F$35)),{1,3})</f>
        <v>q6_inactive_customers</v>
      </c>
      <c r="B2403">
        <v>1</v>
      </c>
      <c r="C2403" s="13">
        <v>1</v>
      </c>
      <c r="D2403" s="13">
        <v>0</v>
      </c>
      <c r="E2403" s="13">
        <v>202240</v>
      </c>
      <c r="F2403" s="13">
        <v>113872</v>
      </c>
      <c r="G2403" s="13">
        <v>3348</v>
      </c>
      <c r="H2403" s="13">
        <v>2284068</v>
      </c>
      <c r="I2403" s="13">
        <v>0</v>
      </c>
      <c r="J2403" s="13">
        <v>0</v>
      </c>
      <c r="K2403" s="13">
        <v>1605</v>
      </c>
      <c r="L2403" s="13">
        <v>11</v>
      </c>
      <c r="M2403" s="13">
        <v>726</v>
      </c>
      <c r="N2403" s="13">
        <v>222</v>
      </c>
      <c r="O2403" s="13">
        <v>34</v>
      </c>
      <c r="P2403" s="13">
        <v>1</v>
      </c>
      <c r="Q2403" s="13">
        <v>65</v>
      </c>
      <c r="R2403" s="13">
        <v>0</v>
      </c>
      <c r="S2403" s="13">
        <v>0</v>
      </c>
      <c r="T2403" s="23">
        <v>46247.76222222222</v>
      </c>
      <c r="U2403" s="55">
        <f t="shared" si="111"/>
        <v>1</v>
      </c>
      <c r="V2403" s="55">
        <f t="shared" si="112"/>
        <v>0</v>
      </c>
      <c r="W2403" s="56">
        <f t="shared" si="113"/>
        <v>1498</v>
      </c>
    </row>
    <row r="2404" spans="1:23" x14ac:dyDescent="0.3">
      <c r="A2404" s="13" t="str" cm="1">
        <f t="array" ref="A2404:B2404">INDEX(BenchmarkResults!$B$1:$D$35,SUMPRODUCT((T2404&gt;=BenchmarkResults!$F$3:$F$35)*(mongodb_hardware_log!T2404&lt;BenchmarkResults!$G$3:$G$35)*ROW(BenchmarkResults!$F$3:$F$35)),{1,3})</f>
        <v>q6_inactive_customers</v>
      </c>
      <c r="B2404">
        <v>1</v>
      </c>
      <c r="C2404" s="13">
        <v>1</v>
      </c>
      <c r="D2404" s="13">
        <v>0</v>
      </c>
      <c r="E2404" s="13">
        <v>202240</v>
      </c>
      <c r="F2404" s="13">
        <v>139648</v>
      </c>
      <c r="G2404" s="13">
        <v>3356</v>
      </c>
      <c r="H2404" s="13">
        <v>2262100</v>
      </c>
      <c r="I2404" s="13">
        <v>0</v>
      </c>
      <c r="J2404" s="13">
        <v>0</v>
      </c>
      <c r="K2404" s="13">
        <v>1745</v>
      </c>
      <c r="L2404" s="13">
        <v>1580</v>
      </c>
      <c r="M2404" s="13">
        <v>742</v>
      </c>
      <c r="N2404" s="13">
        <v>223</v>
      </c>
      <c r="O2404" s="13">
        <v>34</v>
      </c>
      <c r="P2404" s="13">
        <v>1</v>
      </c>
      <c r="Q2404" s="13">
        <v>63</v>
      </c>
      <c r="R2404" s="13">
        <v>2</v>
      </c>
      <c r="S2404" s="13">
        <v>0</v>
      </c>
      <c r="T2404" s="23">
        <v>46247.762337962966</v>
      </c>
      <c r="U2404" s="55">
        <f t="shared" si="111"/>
        <v>1</v>
      </c>
      <c r="V2404" s="55">
        <f t="shared" si="112"/>
        <v>0</v>
      </c>
      <c r="W2404" s="56">
        <f t="shared" si="113"/>
        <v>1501.8333333333333</v>
      </c>
    </row>
    <row r="2405" spans="1:23" x14ac:dyDescent="0.3">
      <c r="A2405" s="13" t="str" cm="1">
        <f t="array" ref="A2405:B2405">INDEX(BenchmarkResults!$B$1:$D$35,SUMPRODUCT((T2405&gt;=BenchmarkResults!$F$3:$F$35)*(mongodb_hardware_log!T2405&lt;BenchmarkResults!$G$3:$G$35)*ROW(BenchmarkResults!$F$3:$F$35)),{1,3})</f>
        <v>q6_inactive_customers</v>
      </c>
      <c r="B2405">
        <v>1</v>
      </c>
      <c r="C2405" s="13">
        <v>1</v>
      </c>
      <c r="D2405" s="13">
        <v>0</v>
      </c>
      <c r="E2405" s="13">
        <v>202240</v>
      </c>
      <c r="F2405" s="13">
        <v>115712</v>
      </c>
      <c r="G2405" s="13">
        <v>3368</v>
      </c>
      <c r="H2405" s="13">
        <v>2277196</v>
      </c>
      <c r="I2405" s="13">
        <v>0</v>
      </c>
      <c r="J2405" s="13">
        <v>0</v>
      </c>
      <c r="K2405" s="13">
        <v>1512</v>
      </c>
      <c r="L2405" s="13">
        <v>13</v>
      </c>
      <c r="M2405" s="13">
        <v>741</v>
      </c>
      <c r="N2405" s="13">
        <v>228</v>
      </c>
      <c r="O2405" s="13">
        <v>34</v>
      </c>
      <c r="P2405" s="13">
        <v>1</v>
      </c>
      <c r="Q2405" s="13">
        <v>64</v>
      </c>
      <c r="R2405" s="13">
        <v>1</v>
      </c>
      <c r="S2405" s="13">
        <v>0</v>
      </c>
      <c r="T2405" s="23">
        <v>46247.762453703705</v>
      </c>
      <c r="U2405" s="55">
        <f t="shared" si="111"/>
        <v>1</v>
      </c>
      <c r="V2405" s="55">
        <f t="shared" si="112"/>
        <v>0</v>
      </c>
      <c r="W2405" s="56">
        <f t="shared" si="113"/>
        <v>1507.1666666666667</v>
      </c>
    </row>
    <row r="2406" spans="1:23" x14ac:dyDescent="0.3">
      <c r="A2406" s="13" t="str" cm="1">
        <f t="array" ref="A2406:B2406">INDEX(BenchmarkResults!$B$1:$D$35,SUMPRODUCT((T2406&gt;=BenchmarkResults!$F$3:$F$35)*(mongodb_hardware_log!T2406&lt;BenchmarkResults!$G$3:$G$35)*ROW(BenchmarkResults!$F$3:$F$35)),{1,3})</f>
        <v>q6_inactive_customers</v>
      </c>
      <c r="B2406">
        <v>1</v>
      </c>
      <c r="C2406" s="13">
        <v>1</v>
      </c>
      <c r="D2406" s="13">
        <v>0</v>
      </c>
      <c r="E2406" s="13">
        <v>202240</v>
      </c>
      <c r="F2406" s="13">
        <v>153476</v>
      </c>
      <c r="G2406" s="13">
        <v>3376</v>
      </c>
      <c r="H2406" s="13">
        <v>2248572</v>
      </c>
      <c r="I2406" s="13">
        <v>0</v>
      </c>
      <c r="J2406" s="13">
        <v>0</v>
      </c>
      <c r="K2406" s="13">
        <v>1035</v>
      </c>
      <c r="L2406" s="13">
        <v>12</v>
      </c>
      <c r="M2406" s="13">
        <v>691</v>
      </c>
      <c r="N2406" s="13">
        <v>178</v>
      </c>
      <c r="O2406" s="13">
        <v>34</v>
      </c>
      <c r="P2406" s="13">
        <v>1</v>
      </c>
      <c r="Q2406" s="13">
        <v>65</v>
      </c>
      <c r="R2406" s="13">
        <v>0</v>
      </c>
      <c r="S2406" s="13">
        <v>0</v>
      </c>
      <c r="T2406" s="23">
        <v>46247.762569444443</v>
      </c>
      <c r="U2406" s="55">
        <f t="shared" si="111"/>
        <v>1</v>
      </c>
      <c r="V2406" s="55">
        <f t="shared" si="112"/>
        <v>0</v>
      </c>
      <c r="W2406" s="56">
        <f t="shared" si="113"/>
        <v>1427.5</v>
      </c>
    </row>
    <row r="2407" spans="1:23" x14ac:dyDescent="0.3">
      <c r="A2407" s="13" t="str" cm="1">
        <f t="array" ref="A2407:B2407">INDEX(BenchmarkResults!$B$1:$D$35,SUMPRODUCT((T2407&gt;=BenchmarkResults!$F$3:$F$35)*(mongodb_hardware_log!T2407&lt;BenchmarkResults!$G$3:$G$35)*ROW(BenchmarkResults!$F$3:$F$35)),{1,3})</f>
        <v>q6_inactive_customers</v>
      </c>
      <c r="B2407">
        <v>1</v>
      </c>
      <c r="C2407" s="13">
        <v>6</v>
      </c>
      <c r="D2407" s="13">
        <v>0</v>
      </c>
      <c r="E2407" s="13">
        <v>202240</v>
      </c>
      <c r="F2407" s="13">
        <v>763996</v>
      </c>
      <c r="G2407" s="13">
        <v>3400</v>
      </c>
      <c r="H2407" s="13">
        <v>1621548</v>
      </c>
      <c r="I2407" s="13">
        <v>1</v>
      </c>
      <c r="J2407" s="13">
        <v>0</v>
      </c>
      <c r="K2407" s="13">
        <v>1124</v>
      </c>
      <c r="L2407" s="13">
        <v>1588</v>
      </c>
      <c r="M2407" s="13">
        <v>1027</v>
      </c>
      <c r="N2407" s="13">
        <v>461</v>
      </c>
      <c r="O2407" s="13">
        <v>38</v>
      </c>
      <c r="P2407" s="13">
        <v>10</v>
      </c>
      <c r="Q2407" s="13">
        <v>49</v>
      </c>
      <c r="R2407" s="13">
        <v>2</v>
      </c>
      <c r="S2407" s="13">
        <v>1</v>
      </c>
      <c r="T2407" s="23">
        <v>46247.762685185182</v>
      </c>
      <c r="U2407" s="55">
        <f t="shared" si="111"/>
        <v>1.8333333333333333</v>
      </c>
      <c r="V2407" s="55">
        <f t="shared" si="112"/>
        <v>0</v>
      </c>
      <c r="W2407" s="56">
        <f t="shared" si="113"/>
        <v>1419.8333333333333</v>
      </c>
    </row>
    <row r="2408" spans="1:23" x14ac:dyDescent="0.3">
      <c r="A2408" s="13" t="str" cm="1">
        <f t="array" ref="A2408:B2408">INDEX(BenchmarkResults!$B$1:$D$35,SUMPRODUCT((T2408&gt;=BenchmarkResults!$F$3:$F$35)*(mongodb_hardware_log!T2408&lt;BenchmarkResults!$G$3:$G$35)*ROW(BenchmarkResults!$F$3:$F$35)),{1,3})</f>
        <v>q6_inactive_customers</v>
      </c>
      <c r="B2408">
        <v>1</v>
      </c>
      <c r="C2408" s="13">
        <v>1</v>
      </c>
      <c r="D2408" s="13">
        <v>0</v>
      </c>
      <c r="E2408" s="13">
        <v>202240</v>
      </c>
      <c r="F2408" s="13">
        <v>736268</v>
      </c>
      <c r="G2408" s="13">
        <v>3420</v>
      </c>
      <c r="H2408" s="13">
        <v>1639268</v>
      </c>
      <c r="I2408" s="13">
        <v>0</v>
      </c>
      <c r="J2408" s="13">
        <v>0</v>
      </c>
      <c r="K2408" s="13">
        <v>1768</v>
      </c>
      <c r="L2408" s="13">
        <v>22</v>
      </c>
      <c r="M2408" s="13">
        <v>771</v>
      </c>
      <c r="N2408" s="13">
        <v>233</v>
      </c>
      <c r="O2408" s="13">
        <v>33</v>
      </c>
      <c r="P2408" s="13">
        <v>2</v>
      </c>
      <c r="Q2408" s="13">
        <v>63</v>
      </c>
      <c r="R2408" s="13">
        <v>1</v>
      </c>
      <c r="S2408" s="13">
        <v>1</v>
      </c>
      <c r="T2408" s="23">
        <v>46247.762800925928</v>
      </c>
      <c r="U2408" s="55">
        <f t="shared" si="111"/>
        <v>1.8333333333333333</v>
      </c>
      <c r="V2408" s="55">
        <f t="shared" si="112"/>
        <v>0</v>
      </c>
      <c r="W2408" s="56">
        <f t="shared" si="113"/>
        <v>1464.8333333333333</v>
      </c>
    </row>
    <row r="2409" spans="1:23" x14ac:dyDescent="0.3">
      <c r="A2409" s="13" t="str" cm="1">
        <f t="array" ref="A2409:B2409">INDEX(BenchmarkResults!$B$1:$D$35,SUMPRODUCT((T2409&gt;=BenchmarkResults!$F$3:$F$35)*(mongodb_hardware_log!T2409&lt;BenchmarkResults!$G$3:$G$35)*ROW(BenchmarkResults!$F$3:$F$35)),{1,3})</f>
        <v>q6_inactive_customers</v>
      </c>
      <c r="B2409">
        <v>1</v>
      </c>
      <c r="C2409" s="13">
        <v>1</v>
      </c>
      <c r="D2409" s="13">
        <v>0</v>
      </c>
      <c r="E2409" s="13">
        <v>202240</v>
      </c>
      <c r="F2409" s="13">
        <v>719944</v>
      </c>
      <c r="G2409" s="13">
        <v>3428</v>
      </c>
      <c r="H2409" s="13">
        <v>1655932</v>
      </c>
      <c r="I2409" s="13">
        <v>0</v>
      </c>
      <c r="J2409" s="13">
        <v>0</v>
      </c>
      <c r="K2409" s="13">
        <v>1665</v>
      </c>
      <c r="L2409" s="13">
        <v>8</v>
      </c>
      <c r="M2409" s="13">
        <v>724</v>
      </c>
      <c r="N2409" s="13">
        <v>212</v>
      </c>
      <c r="O2409" s="13">
        <v>33</v>
      </c>
      <c r="P2409" s="13">
        <v>1</v>
      </c>
      <c r="Q2409" s="13">
        <v>65</v>
      </c>
      <c r="R2409" s="13">
        <v>0</v>
      </c>
      <c r="S2409" s="13">
        <v>0</v>
      </c>
      <c r="T2409" s="23">
        <v>46247.762916666667</v>
      </c>
      <c r="U2409" s="55">
        <f t="shared" si="111"/>
        <v>1.8333333333333333</v>
      </c>
      <c r="V2409" s="55">
        <f t="shared" si="112"/>
        <v>0</v>
      </c>
      <c r="W2409" s="56">
        <f t="shared" si="113"/>
        <v>1474.8333333333333</v>
      </c>
    </row>
    <row r="2410" spans="1:23" x14ac:dyDescent="0.3">
      <c r="A2410" s="13" t="str" cm="1">
        <f t="array" ref="A2410:B2410">INDEX(BenchmarkResults!$B$1:$D$35,SUMPRODUCT((T2410&gt;=BenchmarkResults!$F$3:$F$35)*(mongodb_hardware_log!T2410&lt;BenchmarkResults!$G$3:$G$35)*ROW(BenchmarkResults!$F$3:$F$35)),{1,3})</f>
        <v>q6_inactive_customers</v>
      </c>
      <c r="B2410">
        <v>1</v>
      </c>
      <c r="C2410" s="13">
        <v>1</v>
      </c>
      <c r="D2410" s="13">
        <v>0</v>
      </c>
      <c r="E2410" s="13">
        <v>202240</v>
      </c>
      <c r="F2410" s="13">
        <v>704332</v>
      </c>
      <c r="G2410" s="13">
        <v>3444</v>
      </c>
      <c r="H2410" s="13">
        <v>1672412</v>
      </c>
      <c r="I2410" s="13">
        <v>0</v>
      </c>
      <c r="J2410" s="13">
        <v>0</v>
      </c>
      <c r="K2410" s="13">
        <v>1648</v>
      </c>
      <c r="L2410" s="13">
        <v>19</v>
      </c>
      <c r="M2410" s="13">
        <v>723</v>
      </c>
      <c r="N2410" s="13">
        <v>207</v>
      </c>
      <c r="O2410" s="13">
        <v>33</v>
      </c>
      <c r="P2410" s="13">
        <v>1</v>
      </c>
      <c r="Q2410" s="13">
        <v>65</v>
      </c>
      <c r="R2410" s="13">
        <v>0</v>
      </c>
      <c r="S2410" s="13">
        <v>0</v>
      </c>
      <c r="T2410" s="23">
        <v>46247.763032407405</v>
      </c>
      <c r="U2410" s="55">
        <f t="shared" si="111"/>
        <v>1.8333333333333333</v>
      </c>
      <c r="V2410" s="55">
        <f t="shared" si="112"/>
        <v>0</v>
      </c>
      <c r="W2410" s="56">
        <f t="shared" si="113"/>
        <v>1458.6666666666667</v>
      </c>
    </row>
    <row r="2411" spans="1:23" x14ac:dyDescent="0.3">
      <c r="A2411" s="13" t="str" cm="1">
        <f t="array" ref="A2411:B2411">INDEX(BenchmarkResults!$B$1:$D$35,SUMPRODUCT((T2411&gt;=BenchmarkResults!$F$3:$F$35)*(mongodb_hardware_log!T2411&lt;BenchmarkResults!$G$3:$G$35)*ROW(BenchmarkResults!$F$3:$F$35)),{1,3})</f>
        <v>q6_inactive_customers</v>
      </c>
      <c r="B2411">
        <v>1</v>
      </c>
      <c r="C2411" s="13">
        <v>1</v>
      </c>
      <c r="D2411" s="13">
        <v>0</v>
      </c>
      <c r="E2411" s="13">
        <v>202240</v>
      </c>
      <c r="F2411" s="13">
        <v>712728</v>
      </c>
      <c r="G2411" s="13">
        <v>3452</v>
      </c>
      <c r="H2411" s="13">
        <v>1688700</v>
      </c>
      <c r="I2411" s="13">
        <v>0</v>
      </c>
      <c r="J2411" s="13">
        <v>0</v>
      </c>
      <c r="K2411" s="13">
        <v>1625</v>
      </c>
      <c r="L2411" s="13">
        <v>10</v>
      </c>
      <c r="M2411" s="13">
        <v>721</v>
      </c>
      <c r="N2411" s="13">
        <v>208</v>
      </c>
      <c r="O2411" s="13">
        <v>33</v>
      </c>
      <c r="P2411" s="13">
        <v>1</v>
      </c>
      <c r="Q2411" s="13">
        <v>65</v>
      </c>
      <c r="R2411" s="13">
        <v>0</v>
      </c>
      <c r="S2411" s="13">
        <v>0</v>
      </c>
      <c r="T2411" s="23">
        <v>46247.763148148151</v>
      </c>
      <c r="U2411" s="55">
        <f t="shared" si="111"/>
        <v>1.8333333333333333</v>
      </c>
      <c r="V2411" s="55">
        <f t="shared" si="112"/>
        <v>0</v>
      </c>
      <c r="W2411" s="56">
        <f t="shared" si="113"/>
        <v>1477.5</v>
      </c>
    </row>
    <row r="2412" spans="1:23" x14ac:dyDescent="0.3">
      <c r="A2412" s="13" t="str" cm="1">
        <f t="array" ref="A2412:B2412">INDEX(BenchmarkResults!$B$1:$D$35,SUMPRODUCT((T2412&gt;=BenchmarkResults!$F$3:$F$35)*(mongodb_hardware_log!T2412&lt;BenchmarkResults!$G$3:$G$35)*ROW(BenchmarkResults!$F$3:$F$35)),{1,3})</f>
        <v>q6_inactive_customers</v>
      </c>
      <c r="B2412">
        <v>1</v>
      </c>
      <c r="C2412" s="13">
        <v>1</v>
      </c>
      <c r="D2412" s="13">
        <v>0</v>
      </c>
      <c r="E2412" s="13">
        <v>202240</v>
      </c>
      <c r="F2412" s="13">
        <v>679300</v>
      </c>
      <c r="G2412" s="13">
        <v>3468</v>
      </c>
      <c r="H2412" s="13">
        <v>1715668</v>
      </c>
      <c r="I2412" s="13">
        <v>0</v>
      </c>
      <c r="J2412" s="13">
        <v>0</v>
      </c>
      <c r="K2412" s="13">
        <v>1124</v>
      </c>
      <c r="L2412" s="13">
        <v>17</v>
      </c>
      <c r="M2412" s="13">
        <v>704</v>
      </c>
      <c r="N2412" s="13">
        <v>185</v>
      </c>
      <c r="O2412" s="13">
        <v>32</v>
      </c>
      <c r="P2412" s="13">
        <v>2</v>
      </c>
      <c r="Q2412" s="13">
        <v>65</v>
      </c>
      <c r="R2412" s="13">
        <v>0</v>
      </c>
      <c r="S2412" s="13">
        <v>0</v>
      </c>
      <c r="T2412" s="23">
        <v>46247.76326388889</v>
      </c>
      <c r="U2412" s="55">
        <f t="shared" si="111"/>
        <v>1.8333333333333333</v>
      </c>
      <c r="V2412" s="55">
        <f t="shared" si="112"/>
        <v>0</v>
      </c>
      <c r="W2412" s="56">
        <f t="shared" si="113"/>
        <v>1492.3333333333333</v>
      </c>
    </row>
    <row r="2413" spans="1:23" x14ac:dyDescent="0.3">
      <c r="A2413" s="13" t="str" cm="1">
        <f t="array" ref="A2413:B2413">INDEX(BenchmarkResults!$B$1:$D$35,SUMPRODUCT((T2413&gt;=BenchmarkResults!$F$3:$F$35)*(mongodb_hardware_log!T2413&lt;BenchmarkResults!$G$3:$G$35)*ROW(BenchmarkResults!$F$3:$F$35)),{1,3})</f>
        <v>q6_inactive_customers</v>
      </c>
      <c r="B2413">
        <v>1</v>
      </c>
      <c r="C2413" s="13">
        <v>1</v>
      </c>
      <c r="D2413" s="13">
        <v>0</v>
      </c>
      <c r="E2413" s="13">
        <v>201984</v>
      </c>
      <c r="F2413" s="13">
        <v>668216</v>
      </c>
      <c r="G2413" s="13">
        <v>3524</v>
      </c>
      <c r="H2413" s="13">
        <v>1731620</v>
      </c>
      <c r="I2413" s="13">
        <v>1</v>
      </c>
      <c r="J2413" s="13">
        <v>0</v>
      </c>
      <c r="K2413" s="13">
        <v>1591</v>
      </c>
      <c r="L2413" s="13">
        <v>33</v>
      </c>
      <c r="M2413" s="13">
        <v>750</v>
      </c>
      <c r="N2413" s="13">
        <v>241</v>
      </c>
      <c r="O2413" s="13">
        <v>33</v>
      </c>
      <c r="P2413" s="13">
        <v>1</v>
      </c>
      <c r="Q2413" s="13">
        <v>65</v>
      </c>
      <c r="R2413" s="13">
        <v>1</v>
      </c>
      <c r="S2413" s="13">
        <v>0</v>
      </c>
      <c r="T2413" s="23">
        <v>46247.763379629629</v>
      </c>
      <c r="U2413" s="55">
        <f t="shared" si="111"/>
        <v>1</v>
      </c>
      <c r="V2413" s="55">
        <f t="shared" si="112"/>
        <v>0</v>
      </c>
      <c r="W2413" s="56">
        <f t="shared" si="113"/>
        <v>1570.1666666666667</v>
      </c>
    </row>
    <row r="2414" spans="1:23" x14ac:dyDescent="0.3">
      <c r="A2414" s="13" t="str" cm="1">
        <f t="array" ref="A2414:B2414">INDEX(BenchmarkResults!$B$1:$D$35,SUMPRODUCT((T2414&gt;=BenchmarkResults!$F$3:$F$35)*(mongodb_hardware_log!T2414&lt;BenchmarkResults!$G$3:$G$35)*ROW(BenchmarkResults!$F$3:$F$35)),{1,3})</f>
        <v>q6_inactive_customers</v>
      </c>
      <c r="B2414">
        <v>1</v>
      </c>
      <c r="C2414" s="13">
        <v>1</v>
      </c>
      <c r="D2414" s="13">
        <v>0</v>
      </c>
      <c r="E2414" s="13">
        <v>201984</v>
      </c>
      <c r="F2414" s="13">
        <v>652340</v>
      </c>
      <c r="G2414" s="13">
        <v>3532</v>
      </c>
      <c r="H2414" s="13">
        <v>1747708</v>
      </c>
      <c r="I2414" s="13">
        <v>0</v>
      </c>
      <c r="J2414" s="13">
        <v>0</v>
      </c>
      <c r="K2414" s="13">
        <v>1606</v>
      </c>
      <c r="L2414" s="13">
        <v>4</v>
      </c>
      <c r="M2414" s="13">
        <v>749</v>
      </c>
      <c r="N2414" s="13">
        <v>240</v>
      </c>
      <c r="O2414" s="13">
        <v>33</v>
      </c>
      <c r="P2414" s="13">
        <v>1</v>
      </c>
      <c r="Q2414" s="13">
        <v>65</v>
      </c>
      <c r="R2414" s="13">
        <v>0</v>
      </c>
      <c r="S2414" s="13">
        <v>0</v>
      </c>
      <c r="T2414" s="23">
        <v>46247.763495370367</v>
      </c>
      <c r="U2414" s="55">
        <f t="shared" si="111"/>
        <v>1</v>
      </c>
      <c r="V2414" s="55">
        <f t="shared" si="112"/>
        <v>0</v>
      </c>
      <c r="W2414" s="56">
        <f t="shared" si="113"/>
        <v>1543.1666666666667</v>
      </c>
    </row>
    <row r="2415" spans="1:23" x14ac:dyDescent="0.3">
      <c r="A2415" s="13" t="str" cm="1">
        <f t="array" ref="A2415:B2415">INDEX(BenchmarkResults!$B$1:$D$35,SUMPRODUCT((T2415&gt;=BenchmarkResults!$F$3:$F$35)*(mongodb_hardware_log!T2415&lt;BenchmarkResults!$G$3:$G$35)*ROW(BenchmarkResults!$F$3:$F$35)),{1,3})</f>
        <v>q6_inactive_customers</v>
      </c>
      <c r="B2415">
        <v>1</v>
      </c>
      <c r="C2415" s="13">
        <v>1</v>
      </c>
      <c r="D2415" s="13">
        <v>0</v>
      </c>
      <c r="E2415" s="13">
        <v>201984</v>
      </c>
      <c r="F2415" s="13">
        <v>636212</v>
      </c>
      <c r="G2415" s="13">
        <v>3540</v>
      </c>
      <c r="H2415" s="13">
        <v>1765572</v>
      </c>
      <c r="I2415" s="13">
        <v>0</v>
      </c>
      <c r="J2415" s="13">
        <v>0</v>
      </c>
      <c r="K2415" s="13">
        <v>1780</v>
      </c>
      <c r="L2415" s="13">
        <v>1573</v>
      </c>
      <c r="M2415" s="13">
        <v>742</v>
      </c>
      <c r="N2415" s="13">
        <v>220</v>
      </c>
      <c r="O2415" s="13">
        <v>33</v>
      </c>
      <c r="P2415" s="13">
        <v>2</v>
      </c>
      <c r="Q2415" s="13">
        <v>63</v>
      </c>
      <c r="R2415" s="13">
        <v>2</v>
      </c>
      <c r="S2415" s="13">
        <v>0</v>
      </c>
      <c r="T2415" s="23">
        <v>46247.763611111113</v>
      </c>
      <c r="U2415" s="55">
        <f t="shared" si="111"/>
        <v>1</v>
      </c>
      <c r="V2415" s="55">
        <f t="shared" si="112"/>
        <v>0</v>
      </c>
      <c r="W2415" s="56">
        <f t="shared" si="113"/>
        <v>1562.3333333333333</v>
      </c>
    </row>
    <row r="2416" spans="1:23" x14ac:dyDescent="0.3">
      <c r="A2416" s="13" t="str" cm="1">
        <f t="array" ref="A2416:B2416">INDEX(BenchmarkResults!$B$1:$D$35,SUMPRODUCT((T2416&gt;=BenchmarkResults!$F$3:$F$35)*(mongodb_hardware_log!T2416&lt;BenchmarkResults!$G$3:$G$35)*ROW(BenchmarkResults!$F$3:$F$35)),{1,3})</f>
        <v>q6_inactive_customers</v>
      </c>
      <c r="B2416">
        <v>1</v>
      </c>
      <c r="C2416" s="13">
        <v>1</v>
      </c>
      <c r="D2416" s="13">
        <v>0</v>
      </c>
      <c r="E2416" s="13">
        <v>201984</v>
      </c>
      <c r="F2416" s="13">
        <v>617060</v>
      </c>
      <c r="G2416" s="13">
        <v>3560</v>
      </c>
      <c r="H2416" s="13">
        <v>1783244</v>
      </c>
      <c r="I2416" s="13">
        <v>0</v>
      </c>
      <c r="J2416" s="13">
        <v>0</v>
      </c>
      <c r="K2416" s="13">
        <v>1767</v>
      </c>
      <c r="L2416" s="13">
        <v>19</v>
      </c>
      <c r="M2416" s="13">
        <v>727</v>
      </c>
      <c r="N2416" s="13">
        <v>216</v>
      </c>
      <c r="O2416" s="13">
        <v>33</v>
      </c>
      <c r="P2416" s="13">
        <v>1</v>
      </c>
      <c r="Q2416" s="13">
        <v>65</v>
      </c>
      <c r="R2416" s="13">
        <v>0</v>
      </c>
      <c r="S2416" s="13">
        <v>0</v>
      </c>
      <c r="T2416" s="23">
        <v>46247.763726851852</v>
      </c>
      <c r="U2416" s="55">
        <f t="shared" si="111"/>
        <v>1</v>
      </c>
      <c r="V2416" s="55">
        <f t="shared" si="112"/>
        <v>0</v>
      </c>
      <c r="W2416" s="56">
        <f t="shared" si="113"/>
        <v>1582.1666666666667</v>
      </c>
    </row>
    <row r="2417" spans="1:23" x14ac:dyDescent="0.3">
      <c r="A2417" s="13" t="str" cm="1">
        <f t="array" ref="A2417:B2417">INDEX(BenchmarkResults!$B$1:$D$35,SUMPRODUCT((T2417&gt;=BenchmarkResults!$F$3:$F$35)*(mongodb_hardware_log!T2417&lt;BenchmarkResults!$G$3:$G$35)*ROW(BenchmarkResults!$F$3:$F$35)),{1,3})</f>
        <v>q6_inactive_customers</v>
      </c>
      <c r="B2417">
        <v>1</v>
      </c>
      <c r="C2417" s="13">
        <v>2</v>
      </c>
      <c r="D2417" s="13">
        <v>0</v>
      </c>
      <c r="E2417" s="13">
        <v>201984</v>
      </c>
      <c r="F2417" s="13">
        <v>600292</v>
      </c>
      <c r="G2417" s="13">
        <v>3568</v>
      </c>
      <c r="H2417" s="13">
        <v>1799816</v>
      </c>
      <c r="I2417" s="13">
        <v>0</v>
      </c>
      <c r="J2417" s="13">
        <v>0</v>
      </c>
      <c r="K2417" s="13">
        <v>1650</v>
      </c>
      <c r="L2417" s="13">
        <v>7</v>
      </c>
      <c r="M2417" s="13">
        <v>736</v>
      </c>
      <c r="N2417" s="13">
        <v>220</v>
      </c>
      <c r="O2417" s="13">
        <v>33</v>
      </c>
      <c r="P2417" s="13">
        <v>2</v>
      </c>
      <c r="Q2417" s="13">
        <v>65</v>
      </c>
      <c r="R2417" s="13">
        <v>0</v>
      </c>
      <c r="S2417" s="13">
        <v>0</v>
      </c>
      <c r="T2417" s="23">
        <v>46247.763842592591</v>
      </c>
      <c r="U2417" s="55">
        <f t="shared" si="111"/>
        <v>1.1666666666666667</v>
      </c>
      <c r="V2417" s="55">
        <f t="shared" si="112"/>
        <v>0</v>
      </c>
      <c r="W2417" s="56">
        <f t="shared" si="113"/>
        <v>1586.3333333333333</v>
      </c>
    </row>
    <row r="2418" spans="1:23" x14ac:dyDescent="0.3">
      <c r="A2418" s="13" t="str" cm="1">
        <f t="array" ref="A2418:B2418">INDEX(BenchmarkResults!$B$1:$D$35,SUMPRODUCT((T2418&gt;=BenchmarkResults!$F$3:$F$35)*(mongodb_hardware_log!T2418&lt;BenchmarkResults!$G$3:$G$35)*ROW(BenchmarkResults!$F$3:$F$35)),{1,3})</f>
        <v>q6_inactive_customers</v>
      </c>
      <c r="B2418">
        <v>1</v>
      </c>
      <c r="C2418" s="13">
        <v>1</v>
      </c>
      <c r="D2418" s="13">
        <v>0</v>
      </c>
      <c r="E2418" s="13">
        <v>201984</v>
      </c>
      <c r="F2418" s="13">
        <v>568820</v>
      </c>
      <c r="G2418" s="13">
        <v>3588</v>
      </c>
      <c r="H2418" s="13">
        <v>1825572</v>
      </c>
      <c r="I2418" s="13">
        <v>0</v>
      </c>
      <c r="J2418" s="13">
        <v>0</v>
      </c>
      <c r="K2418" s="13">
        <v>981</v>
      </c>
      <c r="L2418" s="13">
        <v>1583</v>
      </c>
      <c r="M2418" s="13">
        <v>708</v>
      </c>
      <c r="N2418" s="13">
        <v>182</v>
      </c>
      <c r="O2418" s="13">
        <v>32</v>
      </c>
      <c r="P2418" s="13">
        <v>2</v>
      </c>
      <c r="Q2418" s="13">
        <v>63</v>
      </c>
      <c r="R2418" s="13">
        <v>2</v>
      </c>
      <c r="S2418" s="13">
        <v>1</v>
      </c>
      <c r="T2418" s="23">
        <v>46247.763958333337</v>
      </c>
      <c r="U2418" s="55">
        <f t="shared" si="111"/>
        <v>1.1666666666666667</v>
      </c>
      <c r="V2418" s="55">
        <f t="shared" si="112"/>
        <v>0</v>
      </c>
      <c r="W2418" s="56">
        <f t="shared" si="113"/>
        <v>1562.5</v>
      </c>
    </row>
    <row r="2419" spans="1:23" x14ac:dyDescent="0.3">
      <c r="A2419" s="13" t="str" cm="1">
        <f t="array" ref="A2419:B2419">INDEX(BenchmarkResults!$B$1:$D$35,SUMPRODUCT((T2419&gt;=BenchmarkResults!$F$3:$F$35)*(mongodb_hardware_log!T2419&lt;BenchmarkResults!$G$3:$G$35)*ROW(BenchmarkResults!$F$3:$F$35)),{1,3})</f>
        <v>q6_inactive_customers</v>
      </c>
      <c r="B2419">
        <v>1</v>
      </c>
      <c r="C2419" s="13">
        <v>1</v>
      </c>
      <c r="D2419" s="13">
        <v>0</v>
      </c>
      <c r="E2419" s="13">
        <v>201984</v>
      </c>
      <c r="F2419" s="13">
        <v>551684</v>
      </c>
      <c r="G2419" s="13">
        <v>3612</v>
      </c>
      <c r="H2419" s="13">
        <v>1844036</v>
      </c>
      <c r="I2419" s="13">
        <v>1</v>
      </c>
      <c r="J2419" s="13">
        <v>0</v>
      </c>
      <c r="K2419" s="13">
        <v>1847</v>
      </c>
      <c r="L2419" s="13">
        <v>36</v>
      </c>
      <c r="M2419" s="13">
        <v>736</v>
      </c>
      <c r="N2419" s="13">
        <v>224</v>
      </c>
      <c r="O2419" s="13">
        <v>33</v>
      </c>
      <c r="P2419" s="13">
        <v>1</v>
      </c>
      <c r="Q2419" s="13">
        <v>65</v>
      </c>
      <c r="R2419" s="13">
        <v>0</v>
      </c>
      <c r="S2419" s="13">
        <v>0</v>
      </c>
      <c r="T2419" s="23">
        <v>46247.764074074075</v>
      </c>
      <c r="U2419" s="55">
        <f t="shared" si="111"/>
        <v>1.1666666666666667</v>
      </c>
      <c r="V2419" s="55">
        <f t="shared" si="112"/>
        <v>0</v>
      </c>
      <c r="W2419" s="56">
        <f t="shared" si="113"/>
        <v>1605.1666666666667</v>
      </c>
    </row>
    <row r="2420" spans="1:23" x14ac:dyDescent="0.3">
      <c r="A2420" s="13" t="str" cm="1">
        <f t="array" ref="A2420:B2420">INDEX(BenchmarkResults!$B$1:$D$35,SUMPRODUCT((T2420&gt;=BenchmarkResults!$F$3:$F$35)*(mongodb_hardware_log!T2420&lt;BenchmarkResults!$G$3:$G$35)*ROW(BenchmarkResults!$F$3:$F$35)),{1,3})</f>
        <v>q6_inactive_customers</v>
      </c>
      <c r="B2420">
        <v>1</v>
      </c>
      <c r="C2420" s="13">
        <v>1</v>
      </c>
      <c r="D2420" s="13">
        <v>0</v>
      </c>
      <c r="E2420" s="13">
        <v>201984</v>
      </c>
      <c r="F2420" s="13">
        <v>536316</v>
      </c>
      <c r="G2420" s="13">
        <v>3620</v>
      </c>
      <c r="H2420" s="13">
        <v>1859892</v>
      </c>
      <c r="I2420" s="13">
        <v>0</v>
      </c>
      <c r="J2420" s="13">
        <v>0</v>
      </c>
      <c r="K2420" s="13">
        <v>1578</v>
      </c>
      <c r="L2420" s="13">
        <v>6</v>
      </c>
      <c r="M2420" s="13">
        <v>746</v>
      </c>
      <c r="N2420" s="13">
        <v>225</v>
      </c>
      <c r="O2420" s="13">
        <v>33</v>
      </c>
      <c r="P2420" s="13">
        <v>1</v>
      </c>
      <c r="Q2420" s="13">
        <v>64</v>
      </c>
      <c r="R2420" s="13">
        <v>1</v>
      </c>
      <c r="S2420" s="13">
        <v>1</v>
      </c>
      <c r="T2420" s="23">
        <v>46247.764189814814</v>
      </c>
      <c r="U2420" s="55">
        <f t="shared" si="111"/>
        <v>1.1666666666666667</v>
      </c>
      <c r="V2420" s="55">
        <f t="shared" si="112"/>
        <v>0</v>
      </c>
      <c r="W2420" s="56">
        <f t="shared" si="113"/>
        <v>1600.5</v>
      </c>
    </row>
    <row r="2421" spans="1:23" x14ac:dyDescent="0.3">
      <c r="A2421" s="13" t="str" cm="1">
        <f t="array" ref="A2421:B2421">INDEX(BenchmarkResults!$B$1:$D$35,SUMPRODUCT((T2421&gt;=BenchmarkResults!$F$3:$F$35)*(mongodb_hardware_log!T2421&lt;BenchmarkResults!$G$3:$G$35)*ROW(BenchmarkResults!$F$3:$F$35)),{1,3})</f>
        <v>q6_inactive_customers</v>
      </c>
      <c r="B2421">
        <v>1</v>
      </c>
      <c r="C2421" s="13">
        <v>1</v>
      </c>
      <c r="D2421" s="13">
        <v>0</v>
      </c>
      <c r="E2421" s="13">
        <v>201984</v>
      </c>
      <c r="F2421" s="13">
        <v>512376</v>
      </c>
      <c r="G2421" s="13">
        <v>3628</v>
      </c>
      <c r="H2421" s="13">
        <v>1878192</v>
      </c>
      <c r="I2421" s="13">
        <v>0</v>
      </c>
      <c r="J2421" s="13">
        <v>0</v>
      </c>
      <c r="K2421" s="13">
        <v>1824</v>
      </c>
      <c r="L2421" s="13">
        <v>9</v>
      </c>
      <c r="M2421" s="13">
        <v>732</v>
      </c>
      <c r="N2421" s="13">
        <v>217</v>
      </c>
      <c r="O2421" s="13">
        <v>33</v>
      </c>
      <c r="P2421" s="13">
        <v>1</v>
      </c>
      <c r="Q2421" s="13">
        <v>65</v>
      </c>
      <c r="R2421" s="13">
        <v>1</v>
      </c>
      <c r="S2421" s="13">
        <v>0</v>
      </c>
      <c r="T2421" s="23">
        <v>46247.764305555553</v>
      </c>
      <c r="U2421" s="55">
        <f t="shared" si="111"/>
        <v>1.1666666666666667</v>
      </c>
      <c r="V2421" s="55">
        <f t="shared" si="112"/>
        <v>0</v>
      </c>
      <c r="W2421" s="56">
        <f t="shared" si="113"/>
        <v>1607.8333333333333</v>
      </c>
    </row>
    <row r="2422" spans="1:23" x14ac:dyDescent="0.3">
      <c r="A2422" s="13" t="str" cm="1">
        <f t="array" ref="A2422:B2422">INDEX(BenchmarkResults!$B$1:$D$35,SUMPRODUCT((T2422&gt;=BenchmarkResults!$F$3:$F$35)*(mongodb_hardware_log!T2422&lt;BenchmarkResults!$G$3:$G$35)*ROW(BenchmarkResults!$F$3:$F$35)),{1,3})</f>
        <v>q6_inactive_customers</v>
      </c>
      <c r="B2422">
        <v>1</v>
      </c>
      <c r="C2422" s="13">
        <v>2</v>
      </c>
      <c r="D2422" s="13">
        <v>0</v>
      </c>
      <c r="E2422" s="13">
        <v>201984</v>
      </c>
      <c r="F2422" s="13">
        <v>497256</v>
      </c>
      <c r="G2422" s="13">
        <v>3636</v>
      </c>
      <c r="H2422" s="13">
        <v>1892316</v>
      </c>
      <c r="I2422" s="13">
        <v>0</v>
      </c>
      <c r="J2422" s="13">
        <v>0</v>
      </c>
      <c r="K2422" s="13">
        <v>1414</v>
      </c>
      <c r="L2422" s="13">
        <v>12</v>
      </c>
      <c r="M2422" s="13">
        <v>719</v>
      </c>
      <c r="N2422" s="13">
        <v>213</v>
      </c>
      <c r="O2422" s="13">
        <v>33</v>
      </c>
      <c r="P2422" s="13">
        <v>1</v>
      </c>
      <c r="Q2422" s="13">
        <v>65</v>
      </c>
      <c r="R2422" s="13">
        <v>0</v>
      </c>
      <c r="S2422" s="13">
        <v>0</v>
      </c>
      <c r="T2422" s="23">
        <v>46247.764421296299</v>
      </c>
      <c r="U2422" s="55">
        <f t="shared" si="111"/>
        <v>1.3333333333333333</v>
      </c>
      <c r="V2422" s="55">
        <f t="shared" si="112"/>
        <v>0</v>
      </c>
      <c r="W2422" s="56">
        <f t="shared" si="113"/>
        <v>1549</v>
      </c>
    </row>
    <row r="2423" spans="1:23" x14ac:dyDescent="0.3">
      <c r="A2423" s="13" t="str" cm="1">
        <f t="array" ref="A2423:B2423">INDEX(BenchmarkResults!$B$1:$D$35,SUMPRODUCT((T2423&gt;=BenchmarkResults!$F$3:$F$35)*(mongodb_hardware_log!T2423&lt;BenchmarkResults!$G$3:$G$35)*ROW(BenchmarkResults!$F$3:$F$35)),{1,3})</f>
        <v>q6_inactive_customers</v>
      </c>
      <c r="B2423">
        <v>1</v>
      </c>
      <c r="C2423" s="13">
        <v>1</v>
      </c>
      <c r="D2423" s="13">
        <v>0</v>
      </c>
      <c r="E2423" s="13">
        <v>201984</v>
      </c>
      <c r="F2423" s="13">
        <v>458196</v>
      </c>
      <c r="G2423" s="13">
        <v>3652</v>
      </c>
      <c r="H2423" s="13">
        <v>1919908</v>
      </c>
      <c r="I2423" s="13">
        <v>1</v>
      </c>
      <c r="J2423" s="13">
        <v>0</v>
      </c>
      <c r="K2423" s="13">
        <v>1158</v>
      </c>
      <c r="L2423" s="13">
        <v>15</v>
      </c>
      <c r="M2423" s="13">
        <v>684</v>
      </c>
      <c r="N2423" s="13">
        <v>180</v>
      </c>
      <c r="O2423" s="13">
        <v>32</v>
      </c>
      <c r="P2423" s="13">
        <v>2</v>
      </c>
      <c r="Q2423" s="13">
        <v>65</v>
      </c>
      <c r="R2423" s="13">
        <v>0</v>
      </c>
      <c r="S2423" s="13">
        <v>0</v>
      </c>
      <c r="T2423" s="23">
        <v>46247.764537037037</v>
      </c>
      <c r="U2423" s="55">
        <f t="shared" si="111"/>
        <v>1.1666666666666667</v>
      </c>
      <c r="V2423" s="55">
        <f t="shared" si="112"/>
        <v>0</v>
      </c>
      <c r="W2423" s="56">
        <f t="shared" si="113"/>
        <v>1467</v>
      </c>
    </row>
    <row r="2424" spans="1:23" x14ac:dyDescent="0.3">
      <c r="A2424" s="13" t="str" cm="1">
        <f t="array" ref="A2424:B2424">INDEX(BenchmarkResults!$B$1:$D$35,SUMPRODUCT((T2424&gt;=BenchmarkResults!$F$3:$F$35)*(mongodb_hardware_log!T2424&lt;BenchmarkResults!$G$3:$G$35)*ROW(BenchmarkResults!$F$3:$F$35)),{1,3})</f>
        <v>q6_inactive_customers</v>
      </c>
      <c r="B2424">
        <v>1</v>
      </c>
      <c r="C2424" s="13">
        <v>1</v>
      </c>
      <c r="D2424" s="13">
        <v>0</v>
      </c>
      <c r="E2424" s="13">
        <v>201984</v>
      </c>
      <c r="F2424" s="13">
        <v>448120</v>
      </c>
      <c r="G2424" s="13">
        <v>3668</v>
      </c>
      <c r="H2424" s="13">
        <v>1935852</v>
      </c>
      <c r="I2424" s="13">
        <v>0</v>
      </c>
      <c r="J2424" s="13">
        <v>0</v>
      </c>
      <c r="K2424" s="13">
        <v>1588</v>
      </c>
      <c r="L2424" s="13">
        <v>1579</v>
      </c>
      <c r="M2424" s="13">
        <v>750</v>
      </c>
      <c r="N2424" s="13">
        <v>226</v>
      </c>
      <c r="O2424" s="13">
        <v>33</v>
      </c>
      <c r="P2424" s="13">
        <v>2</v>
      </c>
      <c r="Q2424" s="13">
        <v>63</v>
      </c>
      <c r="R2424" s="13">
        <v>2</v>
      </c>
      <c r="S2424" s="13">
        <v>0</v>
      </c>
      <c r="T2424" s="23">
        <v>46247.764652777776</v>
      </c>
      <c r="U2424" s="55">
        <f t="shared" si="111"/>
        <v>1.1666666666666667</v>
      </c>
      <c r="V2424" s="55">
        <f t="shared" si="112"/>
        <v>0</v>
      </c>
      <c r="W2424" s="56">
        <f t="shared" si="113"/>
        <v>1568.1666666666667</v>
      </c>
    </row>
    <row r="2425" spans="1:23" x14ac:dyDescent="0.3">
      <c r="A2425" s="13" t="str" cm="1">
        <f t="array" ref="A2425:B2425">INDEX(BenchmarkResults!$B$1:$D$35,SUMPRODUCT((T2425&gt;=BenchmarkResults!$F$3:$F$35)*(mongodb_hardware_log!T2425&lt;BenchmarkResults!$G$3:$G$35)*ROW(BenchmarkResults!$F$3:$F$35)),{1,3})</f>
        <v>q6_inactive_customers</v>
      </c>
      <c r="B2425">
        <v>1</v>
      </c>
      <c r="C2425" s="13">
        <v>1</v>
      </c>
      <c r="D2425" s="13">
        <v>0</v>
      </c>
      <c r="E2425" s="13">
        <v>201984</v>
      </c>
      <c r="F2425" s="13">
        <v>443964</v>
      </c>
      <c r="G2425" s="13">
        <v>3700</v>
      </c>
      <c r="H2425" s="13">
        <v>1954028</v>
      </c>
      <c r="I2425" s="13">
        <v>0</v>
      </c>
      <c r="J2425" s="13">
        <v>0</v>
      </c>
      <c r="K2425" s="13">
        <v>1820</v>
      </c>
      <c r="L2425" s="13">
        <v>40</v>
      </c>
      <c r="M2425" s="13">
        <v>742</v>
      </c>
      <c r="N2425" s="13">
        <v>232</v>
      </c>
      <c r="O2425" s="13">
        <v>33</v>
      </c>
      <c r="P2425" s="13">
        <v>1</v>
      </c>
      <c r="Q2425" s="13">
        <v>65</v>
      </c>
      <c r="R2425" s="13">
        <v>0</v>
      </c>
      <c r="S2425" s="13">
        <v>0</v>
      </c>
      <c r="T2425" s="23">
        <v>46247.764768518522</v>
      </c>
      <c r="U2425" s="55">
        <f t="shared" si="111"/>
        <v>1.1666666666666667</v>
      </c>
      <c r="V2425" s="55">
        <f t="shared" si="112"/>
        <v>0</v>
      </c>
      <c r="W2425" s="56">
        <f t="shared" si="113"/>
        <v>1563.6666666666667</v>
      </c>
    </row>
    <row r="2426" spans="1:23" x14ac:dyDescent="0.3">
      <c r="A2426" s="13" t="str" cm="1">
        <f t="array" ref="A2426:B2426">INDEX(BenchmarkResults!$B$1:$D$35,SUMPRODUCT((T2426&gt;=BenchmarkResults!$F$3:$F$35)*(mongodb_hardware_log!T2426&lt;BenchmarkResults!$G$3:$G$35)*ROW(BenchmarkResults!$F$3:$F$35)),{1,3})</f>
        <v>q6_inactive_customers</v>
      </c>
      <c r="B2426">
        <v>1</v>
      </c>
      <c r="C2426" s="13">
        <v>1</v>
      </c>
      <c r="D2426" s="13">
        <v>0</v>
      </c>
      <c r="E2426" s="13">
        <v>201984</v>
      </c>
      <c r="F2426" s="13">
        <v>417756</v>
      </c>
      <c r="G2426" s="13">
        <v>3708</v>
      </c>
      <c r="H2426" s="13">
        <v>1972652</v>
      </c>
      <c r="I2426" s="13">
        <v>0</v>
      </c>
      <c r="J2426" s="13">
        <v>0</v>
      </c>
      <c r="K2426" s="13">
        <v>1862</v>
      </c>
      <c r="L2426" s="13">
        <v>8</v>
      </c>
      <c r="M2426" s="13">
        <v>713</v>
      </c>
      <c r="N2426" s="13">
        <v>211</v>
      </c>
      <c r="O2426" s="13">
        <v>33</v>
      </c>
      <c r="P2426" s="13">
        <v>1</v>
      </c>
      <c r="Q2426" s="13">
        <v>65</v>
      </c>
      <c r="R2426" s="13">
        <v>0</v>
      </c>
      <c r="S2426" s="13">
        <v>0</v>
      </c>
      <c r="T2426" s="23">
        <v>46247.764884259261</v>
      </c>
      <c r="U2426" s="55">
        <f t="shared" si="111"/>
        <v>1.1666666666666667</v>
      </c>
      <c r="V2426" s="55">
        <f t="shared" si="112"/>
        <v>0</v>
      </c>
      <c r="W2426" s="56">
        <f t="shared" si="113"/>
        <v>1611</v>
      </c>
    </row>
    <row r="2427" spans="1:23" x14ac:dyDescent="0.3">
      <c r="A2427" s="13" t="str" cm="1">
        <f t="array" ref="A2427:B2427">INDEX(BenchmarkResults!$B$1:$D$35,SUMPRODUCT((T2427&gt;=BenchmarkResults!$F$3:$F$35)*(mongodb_hardware_log!T2427&lt;BenchmarkResults!$G$3:$G$35)*ROW(BenchmarkResults!$F$3:$F$35)),{1,3})</f>
        <v>q6_inactive_customers</v>
      </c>
      <c r="B2427">
        <v>1</v>
      </c>
      <c r="C2427" s="13">
        <v>1</v>
      </c>
      <c r="D2427" s="13">
        <v>0</v>
      </c>
      <c r="E2427" s="13">
        <v>201984</v>
      </c>
      <c r="F2427" s="13">
        <v>401632</v>
      </c>
      <c r="G2427" s="13">
        <v>3724</v>
      </c>
      <c r="H2427" s="13">
        <v>1994412</v>
      </c>
      <c r="I2427" s="13">
        <v>0</v>
      </c>
      <c r="J2427" s="13">
        <v>0</v>
      </c>
      <c r="K2427" s="13">
        <v>2178</v>
      </c>
      <c r="L2427" s="13">
        <v>14</v>
      </c>
      <c r="M2427" s="13">
        <v>747</v>
      </c>
      <c r="N2427" s="13">
        <v>227</v>
      </c>
      <c r="O2427" s="13">
        <v>33</v>
      </c>
      <c r="P2427" s="13">
        <v>2</v>
      </c>
      <c r="Q2427" s="13">
        <v>65</v>
      </c>
      <c r="R2427" s="13">
        <v>1</v>
      </c>
      <c r="S2427" s="13">
        <v>0</v>
      </c>
      <c r="T2427" s="23">
        <v>46247.764999999999</v>
      </c>
      <c r="U2427" s="55">
        <f t="shared" si="111"/>
        <v>1.1666666666666667</v>
      </c>
      <c r="V2427" s="55">
        <f t="shared" si="112"/>
        <v>0</v>
      </c>
      <c r="W2427" s="56">
        <f t="shared" si="113"/>
        <v>1670</v>
      </c>
    </row>
    <row r="2428" spans="1:23" x14ac:dyDescent="0.3">
      <c r="A2428" s="13" t="str" cm="1">
        <f t="array" ref="A2428:B2428">INDEX(BenchmarkResults!$B$1:$D$35,SUMPRODUCT((T2428&gt;=BenchmarkResults!$F$3:$F$35)*(mongodb_hardware_log!T2428&lt;BenchmarkResults!$G$3:$G$35)*ROW(BenchmarkResults!$F$3:$F$35)),{1,3})</f>
        <v>q6_inactive_customers</v>
      </c>
      <c r="B2428">
        <v>1</v>
      </c>
      <c r="C2428" s="13">
        <v>1</v>
      </c>
      <c r="D2428" s="13">
        <v>0</v>
      </c>
      <c r="E2428" s="13">
        <v>201984</v>
      </c>
      <c r="F2428" s="13">
        <v>380464</v>
      </c>
      <c r="G2428" s="13">
        <v>3732</v>
      </c>
      <c r="H2428" s="13">
        <v>2012660</v>
      </c>
      <c r="I2428" s="13">
        <v>0</v>
      </c>
      <c r="J2428" s="13">
        <v>0</v>
      </c>
      <c r="K2428" s="13">
        <v>1815</v>
      </c>
      <c r="L2428" s="13">
        <v>26</v>
      </c>
      <c r="M2428" s="13">
        <v>743</v>
      </c>
      <c r="N2428" s="13">
        <v>233</v>
      </c>
      <c r="O2428" s="13">
        <v>33</v>
      </c>
      <c r="P2428" s="13">
        <v>1</v>
      </c>
      <c r="Q2428" s="13">
        <v>65</v>
      </c>
      <c r="R2428" s="13">
        <v>0</v>
      </c>
      <c r="S2428" s="13">
        <v>0</v>
      </c>
      <c r="T2428" s="23">
        <v>46247.765115740738</v>
      </c>
      <c r="U2428" s="55">
        <f t="shared" si="111"/>
        <v>1</v>
      </c>
      <c r="V2428" s="55">
        <f t="shared" si="112"/>
        <v>0</v>
      </c>
      <c r="W2428" s="56">
        <f t="shared" si="113"/>
        <v>1736.8333333333333</v>
      </c>
    </row>
    <row r="2429" spans="1:23" x14ac:dyDescent="0.3">
      <c r="A2429" s="13" t="str" cm="1">
        <f t="array" ref="A2429:B2429">INDEX(BenchmarkResults!$B$1:$D$35,SUMPRODUCT((T2429&gt;=BenchmarkResults!$F$3:$F$35)*(mongodb_hardware_log!T2429&lt;BenchmarkResults!$G$3:$G$35)*ROW(BenchmarkResults!$F$3:$F$35)),{1,3})</f>
        <v>q6_inactive_customers</v>
      </c>
      <c r="B2429">
        <v>1</v>
      </c>
      <c r="C2429" s="13">
        <v>1</v>
      </c>
      <c r="D2429" s="13">
        <v>0</v>
      </c>
      <c r="E2429" s="13">
        <v>201984</v>
      </c>
      <c r="F2429" s="13">
        <v>348712</v>
      </c>
      <c r="G2429" s="13">
        <v>3748</v>
      </c>
      <c r="H2429" s="13">
        <v>2042904</v>
      </c>
      <c r="I2429" s="13">
        <v>0</v>
      </c>
      <c r="J2429" s="13">
        <v>0</v>
      </c>
      <c r="K2429" s="13">
        <v>1419</v>
      </c>
      <c r="L2429" s="13">
        <v>16</v>
      </c>
      <c r="M2429" s="13">
        <v>683</v>
      </c>
      <c r="N2429" s="13">
        <v>178</v>
      </c>
      <c r="O2429" s="13">
        <v>32</v>
      </c>
      <c r="P2429" s="13">
        <v>2</v>
      </c>
      <c r="Q2429" s="13">
        <v>65</v>
      </c>
      <c r="R2429" s="13">
        <v>0</v>
      </c>
      <c r="S2429" s="13">
        <v>0</v>
      </c>
      <c r="T2429" s="23">
        <v>46247.765231481484</v>
      </c>
      <c r="U2429" s="55">
        <f t="shared" si="111"/>
        <v>1</v>
      </c>
      <c r="V2429" s="55">
        <f t="shared" si="112"/>
        <v>0</v>
      </c>
      <c r="W2429" s="56">
        <f t="shared" si="113"/>
        <v>1780.3333333333333</v>
      </c>
    </row>
    <row r="2430" spans="1:23" x14ac:dyDescent="0.3">
      <c r="A2430" s="13" t="str" cm="1">
        <f t="array" ref="A2430:B2430">INDEX(BenchmarkResults!$B$1:$D$35,SUMPRODUCT((T2430&gt;=BenchmarkResults!$F$3:$F$35)*(mongodb_hardware_log!T2430&lt;BenchmarkResults!$G$3:$G$35)*ROW(BenchmarkResults!$F$3:$F$35)),{1,3})</f>
        <v>q6_inactive_customers</v>
      </c>
      <c r="B2430">
        <v>1</v>
      </c>
      <c r="C2430" s="13">
        <v>1</v>
      </c>
      <c r="D2430" s="13">
        <v>0</v>
      </c>
      <c r="E2430" s="13">
        <v>201984</v>
      </c>
      <c r="F2430" s="13">
        <v>332584</v>
      </c>
      <c r="G2430" s="13">
        <v>3756</v>
      </c>
      <c r="H2430" s="13">
        <v>2058772</v>
      </c>
      <c r="I2430" s="13">
        <v>0</v>
      </c>
      <c r="J2430" s="13">
        <v>0</v>
      </c>
      <c r="K2430" s="13">
        <v>1584</v>
      </c>
      <c r="L2430" s="13">
        <v>6</v>
      </c>
      <c r="M2430" s="13">
        <v>723</v>
      </c>
      <c r="N2430" s="13">
        <v>205</v>
      </c>
      <c r="O2430" s="13">
        <v>33</v>
      </c>
      <c r="P2430" s="13">
        <v>1</v>
      </c>
      <c r="Q2430" s="13">
        <v>65</v>
      </c>
      <c r="R2430" s="13">
        <v>0</v>
      </c>
      <c r="S2430" s="13">
        <v>1</v>
      </c>
      <c r="T2430" s="23">
        <v>46247.765347222223</v>
      </c>
      <c r="U2430" s="55">
        <f t="shared" si="111"/>
        <v>1</v>
      </c>
      <c r="V2430" s="55">
        <f t="shared" si="112"/>
        <v>0</v>
      </c>
      <c r="W2430" s="56">
        <f t="shared" si="113"/>
        <v>1779.6666666666667</v>
      </c>
    </row>
    <row r="2431" spans="1:23" x14ac:dyDescent="0.3">
      <c r="A2431" s="13" t="str" cm="1">
        <f t="array" ref="A2431:B2431">INDEX(BenchmarkResults!$B$1:$D$35,SUMPRODUCT((T2431&gt;=BenchmarkResults!$F$3:$F$35)*(mongodb_hardware_log!T2431&lt;BenchmarkResults!$G$3:$G$35)*ROW(BenchmarkResults!$F$3:$F$35)),{1,3})</f>
        <v>q6_inactive_customers</v>
      </c>
      <c r="B2431">
        <v>1</v>
      </c>
      <c r="C2431" s="13">
        <v>1</v>
      </c>
      <c r="D2431" s="13">
        <v>0</v>
      </c>
      <c r="E2431" s="13">
        <v>201984</v>
      </c>
      <c r="F2431" s="13">
        <v>315952</v>
      </c>
      <c r="G2431" s="13">
        <v>3788</v>
      </c>
      <c r="H2431" s="13">
        <v>2077764</v>
      </c>
      <c r="I2431" s="13">
        <v>0</v>
      </c>
      <c r="J2431" s="13">
        <v>0</v>
      </c>
      <c r="K2431" s="13">
        <v>1899</v>
      </c>
      <c r="L2431" s="13">
        <v>31</v>
      </c>
      <c r="M2431" s="13">
        <v>722</v>
      </c>
      <c r="N2431" s="13">
        <v>213</v>
      </c>
      <c r="O2431" s="13">
        <v>33</v>
      </c>
      <c r="P2431" s="13">
        <v>1</v>
      </c>
      <c r="Q2431" s="13">
        <v>64</v>
      </c>
      <c r="R2431" s="13">
        <v>0</v>
      </c>
      <c r="S2431" s="13">
        <v>1</v>
      </c>
      <c r="T2431" s="23">
        <v>46247.765462962961</v>
      </c>
      <c r="U2431" s="55">
        <f t="shared" si="111"/>
        <v>1</v>
      </c>
      <c r="V2431" s="55">
        <f t="shared" si="112"/>
        <v>0</v>
      </c>
      <c r="W2431" s="56">
        <f t="shared" si="113"/>
        <v>1792.8333333333333</v>
      </c>
    </row>
    <row r="2432" spans="1:23" x14ac:dyDescent="0.3">
      <c r="A2432" s="13" t="str" cm="1">
        <f t="array" ref="A2432:B2432">INDEX(BenchmarkResults!$B$1:$D$35,SUMPRODUCT((T2432&gt;=BenchmarkResults!$F$3:$F$35)*(mongodb_hardware_log!T2432&lt;BenchmarkResults!$G$3:$G$35)*ROW(BenchmarkResults!$F$3:$F$35)),{1,3})</f>
        <v>q6_inactive_customers</v>
      </c>
      <c r="B2432">
        <v>1</v>
      </c>
      <c r="C2432" s="13">
        <v>1</v>
      </c>
      <c r="D2432" s="13">
        <v>0</v>
      </c>
      <c r="E2432" s="13">
        <v>201984</v>
      </c>
      <c r="F2432" s="13">
        <v>297808</v>
      </c>
      <c r="G2432" s="13">
        <v>3804</v>
      </c>
      <c r="H2432" s="13">
        <v>2096424</v>
      </c>
      <c r="I2432" s="13">
        <v>0</v>
      </c>
      <c r="J2432" s="13">
        <v>0</v>
      </c>
      <c r="K2432" s="13">
        <v>1861</v>
      </c>
      <c r="L2432" s="13">
        <v>1576</v>
      </c>
      <c r="M2432" s="13">
        <v>753</v>
      </c>
      <c r="N2432" s="13">
        <v>243</v>
      </c>
      <c r="O2432" s="13">
        <v>34</v>
      </c>
      <c r="P2432" s="13">
        <v>1</v>
      </c>
      <c r="Q2432" s="13">
        <v>62</v>
      </c>
      <c r="R2432" s="13">
        <v>3</v>
      </c>
      <c r="S2432" s="13">
        <v>1</v>
      </c>
      <c r="T2432" s="23">
        <v>46247.7655787037</v>
      </c>
      <c r="U2432" s="55">
        <f t="shared" si="111"/>
        <v>1</v>
      </c>
      <c r="V2432" s="55">
        <f t="shared" si="112"/>
        <v>0</v>
      </c>
      <c r="W2432" s="56">
        <f t="shared" si="113"/>
        <v>1792.6666666666667</v>
      </c>
    </row>
    <row r="2433" spans="1:23" x14ac:dyDescent="0.3">
      <c r="A2433" s="13" t="str" cm="1">
        <f t="array" ref="A2433:B2433">INDEX(BenchmarkResults!$B$1:$D$35,SUMPRODUCT((T2433&gt;=BenchmarkResults!$F$3:$F$35)*(mongodb_hardware_log!T2433&lt;BenchmarkResults!$G$3:$G$35)*ROW(BenchmarkResults!$F$3:$F$35)),{1,3})</f>
        <v>q6_inactive_customers</v>
      </c>
      <c r="B2433">
        <v>1</v>
      </c>
      <c r="C2433" s="13">
        <v>1</v>
      </c>
      <c r="D2433" s="13">
        <v>0</v>
      </c>
      <c r="E2433" s="13">
        <v>201984</v>
      </c>
      <c r="F2433" s="13">
        <v>275384</v>
      </c>
      <c r="G2433" s="13">
        <v>3812</v>
      </c>
      <c r="H2433" s="13">
        <v>2115976</v>
      </c>
      <c r="I2433" s="13">
        <v>0</v>
      </c>
      <c r="J2433" s="13">
        <v>0</v>
      </c>
      <c r="K2433" s="13">
        <v>1961</v>
      </c>
      <c r="L2433" s="13">
        <v>6</v>
      </c>
      <c r="M2433" s="13">
        <v>720</v>
      </c>
      <c r="N2433" s="13">
        <v>210</v>
      </c>
      <c r="O2433" s="13">
        <v>33</v>
      </c>
      <c r="P2433" s="13">
        <v>1</v>
      </c>
      <c r="Q2433" s="13">
        <v>65</v>
      </c>
      <c r="R2433" s="13">
        <v>0</v>
      </c>
      <c r="S2433" s="13">
        <v>0</v>
      </c>
      <c r="T2433" s="23">
        <v>46247.765694444446</v>
      </c>
      <c r="U2433" s="55">
        <f t="shared" si="111"/>
        <v>1</v>
      </c>
      <c r="V2433" s="55">
        <f t="shared" si="112"/>
        <v>0</v>
      </c>
      <c r="W2433" s="56">
        <f t="shared" si="113"/>
        <v>1756.5</v>
      </c>
    </row>
    <row r="2434" spans="1:23" x14ac:dyDescent="0.3">
      <c r="A2434" s="13" t="str" cm="1">
        <f t="array" ref="A2434:B2434">INDEX(BenchmarkResults!$B$1:$D$35,SUMPRODUCT((T2434&gt;=BenchmarkResults!$F$3:$F$35)*(mongodb_hardware_log!T2434&lt;BenchmarkResults!$G$3:$G$35)*ROW(BenchmarkResults!$F$3:$F$35)),{1,3})</f>
        <v>q6_inactive_customers</v>
      </c>
      <c r="B2434">
        <v>1</v>
      </c>
      <c r="C2434" s="13">
        <v>1</v>
      </c>
      <c r="D2434" s="13">
        <v>0</v>
      </c>
      <c r="E2434" s="13">
        <v>201984</v>
      </c>
      <c r="F2434" s="13">
        <v>250440</v>
      </c>
      <c r="G2434" s="13">
        <v>3820</v>
      </c>
      <c r="H2434" s="13">
        <v>2144092</v>
      </c>
      <c r="I2434" s="13">
        <v>0</v>
      </c>
      <c r="J2434" s="13">
        <v>0</v>
      </c>
      <c r="K2434" s="13">
        <v>1389</v>
      </c>
      <c r="L2434" s="13">
        <v>15</v>
      </c>
      <c r="M2434" s="13">
        <v>696</v>
      </c>
      <c r="N2434" s="13">
        <v>184</v>
      </c>
      <c r="O2434" s="13">
        <v>33</v>
      </c>
      <c r="P2434" s="13">
        <v>2</v>
      </c>
      <c r="Q2434" s="13">
        <v>65</v>
      </c>
      <c r="R2434" s="13">
        <v>0</v>
      </c>
      <c r="S2434" s="13">
        <v>0</v>
      </c>
      <c r="T2434" s="23">
        <v>46247.765810185185</v>
      </c>
      <c r="U2434" s="55">
        <f t="shared" si="111"/>
        <v>1</v>
      </c>
      <c r="V2434" s="55">
        <f t="shared" si="112"/>
        <v>0</v>
      </c>
      <c r="W2434" s="56">
        <f t="shared" si="113"/>
        <v>1685.5</v>
      </c>
    </row>
    <row r="2435" spans="1:23" x14ac:dyDescent="0.3">
      <c r="A2435" s="13" t="str" cm="1">
        <f t="array" ref="A2435:B2435">INDEX(BenchmarkResults!$B$1:$D$35,SUMPRODUCT((T2435&gt;=BenchmarkResults!$F$3:$F$35)*(mongodb_hardware_log!T2435&lt;BenchmarkResults!$G$3:$G$35)*ROW(BenchmarkResults!$F$3:$F$35)),{1,3})</f>
        <v>q6_inactive_customers</v>
      </c>
      <c r="B2435">
        <v>1</v>
      </c>
      <c r="C2435" s="13">
        <v>1</v>
      </c>
      <c r="D2435" s="13">
        <v>0</v>
      </c>
      <c r="E2435" s="13">
        <v>201984</v>
      </c>
      <c r="F2435" s="13">
        <v>227508</v>
      </c>
      <c r="G2435" s="13">
        <v>3828</v>
      </c>
      <c r="H2435" s="13">
        <v>2165896</v>
      </c>
      <c r="I2435" s="13">
        <v>0</v>
      </c>
      <c r="J2435" s="13">
        <v>0</v>
      </c>
      <c r="K2435" s="13">
        <v>1996</v>
      </c>
      <c r="L2435" s="13">
        <v>12</v>
      </c>
      <c r="M2435" s="13">
        <v>717</v>
      </c>
      <c r="N2435" s="13">
        <v>203</v>
      </c>
      <c r="O2435" s="13">
        <v>33</v>
      </c>
      <c r="P2435" s="13">
        <v>1</v>
      </c>
      <c r="Q2435" s="13">
        <v>65</v>
      </c>
      <c r="R2435" s="13">
        <v>0</v>
      </c>
      <c r="S2435" s="13">
        <v>0</v>
      </c>
      <c r="T2435" s="23">
        <v>46247.765925925924</v>
      </c>
      <c r="U2435" s="55">
        <f t="shared" si="111"/>
        <v>1</v>
      </c>
      <c r="V2435" s="55">
        <f t="shared" si="112"/>
        <v>0</v>
      </c>
      <c r="W2435" s="56">
        <f t="shared" si="113"/>
        <v>1781.6666666666667</v>
      </c>
    </row>
    <row r="2436" spans="1:23" x14ac:dyDescent="0.3">
      <c r="A2436" s="13" t="str" cm="1">
        <f t="array" ref="A2436:B2436">INDEX(BenchmarkResults!$B$1:$D$35,SUMPRODUCT((T2436&gt;=BenchmarkResults!$F$3:$F$35)*(mongodb_hardware_log!T2436&lt;BenchmarkResults!$G$3:$G$35)*ROW(BenchmarkResults!$F$3:$F$35)),{1,3})</f>
        <v>q6_inactive_customers</v>
      </c>
      <c r="B2436">
        <v>1</v>
      </c>
      <c r="C2436" s="13">
        <v>1</v>
      </c>
      <c r="D2436" s="13">
        <v>0</v>
      </c>
      <c r="E2436" s="13">
        <v>201984</v>
      </c>
      <c r="F2436" s="13">
        <v>208356</v>
      </c>
      <c r="G2436" s="13">
        <v>3844</v>
      </c>
      <c r="H2436" s="13">
        <v>2183756</v>
      </c>
      <c r="I2436" s="13">
        <v>0</v>
      </c>
      <c r="J2436" s="13">
        <v>0</v>
      </c>
      <c r="K2436" s="13">
        <v>1779</v>
      </c>
      <c r="L2436" s="13">
        <v>1581</v>
      </c>
      <c r="M2436" s="13">
        <v>736</v>
      </c>
      <c r="N2436" s="13">
        <v>214</v>
      </c>
      <c r="O2436" s="13">
        <v>33</v>
      </c>
      <c r="P2436" s="13">
        <v>1</v>
      </c>
      <c r="Q2436" s="13">
        <v>63</v>
      </c>
      <c r="R2436" s="13">
        <v>2</v>
      </c>
      <c r="S2436" s="13">
        <v>0</v>
      </c>
      <c r="T2436" s="23">
        <v>46247.766041666669</v>
      </c>
      <c r="U2436" s="55">
        <f t="shared" si="111"/>
        <v>1</v>
      </c>
      <c r="V2436" s="55">
        <f t="shared" si="112"/>
        <v>0</v>
      </c>
      <c r="W2436" s="56">
        <f t="shared" si="113"/>
        <v>1814.1666666666667</v>
      </c>
    </row>
    <row r="2437" spans="1:23" x14ac:dyDescent="0.3">
      <c r="A2437" s="13" t="str" cm="1">
        <f t="array" ref="A2437:B2437">INDEX(BenchmarkResults!$B$1:$D$35,SUMPRODUCT((T2437&gt;=BenchmarkResults!$F$3:$F$35)*(mongodb_hardware_log!T2437&lt;BenchmarkResults!$G$3:$G$35)*ROW(BenchmarkResults!$F$3:$F$35)),{1,3})</f>
        <v>q6_inactive_customers</v>
      </c>
      <c r="B2437">
        <v>1</v>
      </c>
      <c r="C2437" s="13">
        <v>1</v>
      </c>
      <c r="D2437" s="13">
        <v>0</v>
      </c>
      <c r="E2437" s="13">
        <v>201984</v>
      </c>
      <c r="F2437" s="13">
        <v>188952</v>
      </c>
      <c r="G2437" s="13">
        <v>3876</v>
      </c>
      <c r="H2437" s="13">
        <v>2203572</v>
      </c>
      <c r="I2437" s="13">
        <v>0</v>
      </c>
      <c r="J2437" s="13">
        <v>0</v>
      </c>
      <c r="K2437" s="13">
        <v>1982</v>
      </c>
      <c r="L2437" s="13">
        <v>28</v>
      </c>
      <c r="M2437" s="13">
        <v>801</v>
      </c>
      <c r="N2437" s="13">
        <v>299</v>
      </c>
      <c r="O2437" s="13">
        <v>34</v>
      </c>
      <c r="P2437" s="13">
        <v>1</v>
      </c>
      <c r="Q2437" s="13">
        <v>65</v>
      </c>
      <c r="R2437" s="13">
        <v>0</v>
      </c>
      <c r="S2437" s="13">
        <v>0</v>
      </c>
      <c r="T2437" s="23">
        <v>46247.766157407408</v>
      </c>
      <c r="U2437" s="55">
        <f t="shared" si="111"/>
        <v>1</v>
      </c>
      <c r="V2437" s="55">
        <f t="shared" si="112"/>
        <v>0</v>
      </c>
      <c r="W2437" s="56">
        <f t="shared" si="113"/>
        <v>1828</v>
      </c>
    </row>
    <row r="2438" spans="1:23" x14ac:dyDescent="0.3">
      <c r="A2438" s="13" t="str" cm="1">
        <f t="array" ref="A2438:B2438">INDEX(BenchmarkResults!$B$1:$D$35,SUMPRODUCT((T2438&gt;=BenchmarkResults!$F$3:$F$35)*(mongodb_hardware_log!T2438&lt;BenchmarkResults!$G$3:$G$35)*ROW(BenchmarkResults!$F$3:$F$35)),{1,3})</f>
        <v>q6_inactive_customers</v>
      </c>
      <c r="B2438">
        <v>1</v>
      </c>
      <c r="C2438" s="13">
        <v>1</v>
      </c>
      <c r="D2438" s="13">
        <v>0</v>
      </c>
      <c r="E2438" s="13">
        <v>201984</v>
      </c>
      <c r="F2438" s="13">
        <v>168792</v>
      </c>
      <c r="G2438" s="13">
        <v>3884</v>
      </c>
      <c r="H2438" s="13">
        <v>2223172</v>
      </c>
      <c r="I2438" s="13">
        <v>0</v>
      </c>
      <c r="J2438" s="13">
        <v>0</v>
      </c>
      <c r="K2438" s="13">
        <v>1964</v>
      </c>
      <c r="L2438" s="13">
        <v>8</v>
      </c>
      <c r="M2438" s="13">
        <v>720</v>
      </c>
      <c r="N2438" s="13">
        <v>215</v>
      </c>
      <c r="O2438" s="13">
        <v>34</v>
      </c>
      <c r="P2438" s="13">
        <v>1</v>
      </c>
      <c r="Q2438" s="13">
        <v>65</v>
      </c>
      <c r="R2438" s="13">
        <v>0</v>
      </c>
      <c r="S2438" s="13">
        <v>0</v>
      </c>
      <c r="T2438" s="23">
        <v>46247.766273148147</v>
      </c>
      <c r="U2438" s="55">
        <f t="shared" si="111"/>
        <v>1</v>
      </c>
      <c r="V2438" s="55">
        <f t="shared" si="112"/>
        <v>0</v>
      </c>
      <c r="W2438" s="56">
        <f t="shared" si="113"/>
        <v>1845.1666666666667</v>
      </c>
    </row>
    <row r="2439" spans="1:23" x14ac:dyDescent="0.3">
      <c r="A2439" s="13" t="str" cm="1">
        <f t="array" ref="A2439:B2439">INDEX(BenchmarkResults!$B$1:$D$35,SUMPRODUCT((T2439&gt;=BenchmarkResults!$F$3:$F$35)*(mongodb_hardware_log!T2439&lt;BenchmarkResults!$G$3:$G$35)*ROW(BenchmarkResults!$F$3:$F$35)),{1,3})</f>
        <v>q6_inactive_customers</v>
      </c>
      <c r="B2439">
        <v>1</v>
      </c>
      <c r="C2439" s="13">
        <v>1</v>
      </c>
      <c r="D2439" s="13">
        <v>0</v>
      </c>
      <c r="E2439" s="13">
        <v>201984</v>
      </c>
      <c r="F2439" s="13">
        <v>143340</v>
      </c>
      <c r="G2439" s="13">
        <v>3892</v>
      </c>
      <c r="H2439" s="13">
        <v>2244448</v>
      </c>
      <c r="I2439" s="13">
        <v>0</v>
      </c>
      <c r="J2439" s="13">
        <v>0</v>
      </c>
      <c r="K2439" s="13">
        <v>2126</v>
      </c>
      <c r="L2439" s="13">
        <v>12</v>
      </c>
      <c r="M2439" s="13">
        <v>733</v>
      </c>
      <c r="N2439" s="13">
        <v>228</v>
      </c>
      <c r="O2439" s="13">
        <v>33</v>
      </c>
      <c r="P2439" s="13">
        <v>1</v>
      </c>
      <c r="Q2439" s="13">
        <v>65</v>
      </c>
      <c r="R2439" s="13">
        <v>1</v>
      </c>
      <c r="S2439" s="13">
        <v>0</v>
      </c>
      <c r="T2439" s="23">
        <v>46247.766388888886</v>
      </c>
      <c r="U2439" s="55">
        <f t="shared" si="111"/>
        <v>1</v>
      </c>
      <c r="V2439" s="55">
        <f t="shared" si="112"/>
        <v>0</v>
      </c>
      <c r="W2439" s="56">
        <f t="shared" si="113"/>
        <v>1872.6666666666667</v>
      </c>
    </row>
    <row r="2440" spans="1:23" x14ac:dyDescent="0.3">
      <c r="A2440" s="13" t="str" cm="1">
        <f t="array" ref="A2440:B2440">INDEX(BenchmarkResults!$B$1:$D$35,SUMPRODUCT((T2440&gt;=BenchmarkResults!$F$3:$F$35)*(mongodb_hardware_log!T2440&lt;BenchmarkResults!$G$3:$G$35)*ROW(BenchmarkResults!$F$3:$F$35)),{1,3})</f>
        <v>q6_inactive_customers</v>
      </c>
      <c r="B2440">
        <v>1</v>
      </c>
      <c r="C2440" s="13">
        <v>1</v>
      </c>
      <c r="D2440" s="13">
        <v>0</v>
      </c>
      <c r="E2440" s="13">
        <v>201984</v>
      </c>
      <c r="F2440" s="13">
        <v>116380</v>
      </c>
      <c r="G2440" s="13">
        <v>3908</v>
      </c>
      <c r="H2440" s="13">
        <v>2274308</v>
      </c>
      <c r="I2440" s="13">
        <v>1</v>
      </c>
      <c r="J2440" s="13">
        <v>0</v>
      </c>
      <c r="K2440" s="13">
        <v>1376</v>
      </c>
      <c r="L2440" s="13">
        <v>21</v>
      </c>
      <c r="M2440" s="13">
        <v>677</v>
      </c>
      <c r="N2440" s="13">
        <v>169</v>
      </c>
      <c r="O2440" s="13">
        <v>33</v>
      </c>
      <c r="P2440" s="13">
        <v>1</v>
      </c>
      <c r="Q2440" s="13">
        <v>65</v>
      </c>
      <c r="R2440" s="13">
        <v>0</v>
      </c>
      <c r="S2440" s="13">
        <v>0</v>
      </c>
      <c r="T2440" s="23">
        <v>46247.766504629632</v>
      </c>
      <c r="U2440" s="55">
        <f t="shared" si="111"/>
        <v>1</v>
      </c>
      <c r="V2440" s="55">
        <f t="shared" si="112"/>
        <v>0</v>
      </c>
      <c r="W2440" s="56">
        <f t="shared" si="113"/>
        <v>1870.5</v>
      </c>
    </row>
    <row r="2441" spans="1:23" x14ac:dyDescent="0.3">
      <c r="A2441" s="13" t="str" cm="1">
        <f t="array" ref="A2441:B2441">INDEX(BenchmarkResults!$B$1:$D$35,SUMPRODUCT((T2441&gt;=BenchmarkResults!$F$3:$F$35)*(mongodb_hardware_log!T2441&lt;BenchmarkResults!$G$3:$G$35)*ROW(BenchmarkResults!$F$3:$F$35)),{1,3})</f>
        <v>q6_inactive_customers</v>
      </c>
      <c r="B2441">
        <v>1</v>
      </c>
      <c r="C2441" s="13">
        <v>2</v>
      </c>
      <c r="D2441" s="13">
        <v>0</v>
      </c>
      <c r="E2441" s="13">
        <v>201984</v>
      </c>
      <c r="F2441" s="13">
        <v>160036</v>
      </c>
      <c r="G2441" s="13">
        <v>3916</v>
      </c>
      <c r="H2441" s="13">
        <v>2240192</v>
      </c>
      <c r="I2441" s="13">
        <v>0</v>
      </c>
      <c r="J2441" s="13">
        <v>0</v>
      </c>
      <c r="K2441" s="13">
        <v>2074</v>
      </c>
      <c r="L2441" s="13">
        <v>1575</v>
      </c>
      <c r="M2441" s="13">
        <v>738</v>
      </c>
      <c r="N2441" s="13">
        <v>214</v>
      </c>
      <c r="O2441" s="13">
        <v>34</v>
      </c>
      <c r="P2441" s="13">
        <v>1</v>
      </c>
      <c r="Q2441" s="13">
        <v>64</v>
      </c>
      <c r="R2441" s="13">
        <v>1</v>
      </c>
      <c r="S2441" s="13">
        <v>0</v>
      </c>
      <c r="T2441" s="23">
        <v>46247.76662037037</v>
      </c>
      <c r="U2441" s="55">
        <f t="shared" ref="U2441:U2504" si="114">AVERAGE(C2436:C2441)</f>
        <v>1.1666666666666667</v>
      </c>
      <c r="V2441" s="55">
        <f t="shared" ref="V2441:V2504" si="115">AVERAGE(D2436:D2441)</f>
        <v>0</v>
      </c>
      <c r="W2441" s="56">
        <f t="shared" ref="W2441:W2504" si="116">AVERAGE(K2436:K2441)</f>
        <v>1883.5</v>
      </c>
    </row>
    <row r="2442" spans="1:23" x14ac:dyDescent="0.3">
      <c r="A2442" s="13" t="str" cm="1">
        <f t="array" ref="A2442:B2442">INDEX(BenchmarkResults!$B$1:$D$35,SUMPRODUCT((T2442&gt;=BenchmarkResults!$F$3:$F$35)*(mongodb_hardware_log!T2442&lt;BenchmarkResults!$G$3:$G$35)*ROW(BenchmarkResults!$F$3:$F$35)),{1,3})</f>
        <v>q6_inactive_customers</v>
      </c>
      <c r="B2442">
        <v>1</v>
      </c>
      <c r="C2442" s="13">
        <v>1</v>
      </c>
      <c r="D2442" s="13">
        <v>0</v>
      </c>
      <c r="E2442" s="13">
        <v>201984</v>
      </c>
      <c r="F2442" s="13">
        <v>138288</v>
      </c>
      <c r="G2442" s="13">
        <v>3932</v>
      </c>
      <c r="H2442" s="13">
        <v>2260928</v>
      </c>
      <c r="I2442" s="13">
        <v>0</v>
      </c>
      <c r="J2442" s="13">
        <v>0</v>
      </c>
      <c r="K2442" s="13">
        <v>2074</v>
      </c>
      <c r="L2442" s="13">
        <v>13</v>
      </c>
      <c r="M2442" s="13">
        <v>728</v>
      </c>
      <c r="N2442" s="13">
        <v>207</v>
      </c>
      <c r="O2442" s="13">
        <v>33</v>
      </c>
      <c r="P2442" s="13">
        <v>1</v>
      </c>
      <c r="Q2442" s="13">
        <v>65</v>
      </c>
      <c r="R2442" s="13">
        <v>0</v>
      </c>
      <c r="S2442" s="13">
        <v>0</v>
      </c>
      <c r="T2442" s="23">
        <v>46247.766736111109</v>
      </c>
      <c r="U2442" s="55">
        <f t="shared" si="114"/>
        <v>1.1666666666666667</v>
      </c>
      <c r="V2442" s="55">
        <f t="shared" si="115"/>
        <v>0</v>
      </c>
      <c r="W2442" s="56">
        <f t="shared" si="116"/>
        <v>1932.6666666666667</v>
      </c>
    </row>
    <row r="2443" spans="1:23" x14ac:dyDescent="0.3">
      <c r="A2443" s="13" t="str" cm="1">
        <f t="array" ref="A2443:B2443">INDEX(BenchmarkResults!$B$1:$D$35,SUMPRODUCT((T2443&gt;=BenchmarkResults!$F$3:$F$35)*(mongodb_hardware_log!T2443&lt;BenchmarkResults!$G$3:$G$35)*ROW(BenchmarkResults!$F$3:$F$35)),{1,3})</f>
        <v>q6_inactive_customers</v>
      </c>
      <c r="B2443">
        <v>1</v>
      </c>
      <c r="C2443" s="13">
        <v>1</v>
      </c>
      <c r="D2443" s="13">
        <v>0</v>
      </c>
      <c r="E2443" s="13">
        <v>201984</v>
      </c>
      <c r="F2443" s="13">
        <v>107292</v>
      </c>
      <c r="G2443" s="13">
        <v>3964</v>
      </c>
      <c r="H2443" s="13">
        <v>2281700</v>
      </c>
      <c r="I2443" s="13">
        <v>1</v>
      </c>
      <c r="J2443" s="13">
        <v>0</v>
      </c>
      <c r="K2443" s="13">
        <v>2068</v>
      </c>
      <c r="L2443" s="13">
        <v>24</v>
      </c>
      <c r="M2443" s="13">
        <v>719</v>
      </c>
      <c r="N2443" s="13">
        <v>216</v>
      </c>
      <c r="O2443" s="13">
        <v>33</v>
      </c>
      <c r="P2443" s="13">
        <v>1</v>
      </c>
      <c r="Q2443" s="13">
        <v>65</v>
      </c>
      <c r="R2443" s="13">
        <v>0</v>
      </c>
      <c r="S2443" s="13">
        <v>0</v>
      </c>
      <c r="T2443" s="23">
        <v>46247.766851851855</v>
      </c>
      <c r="U2443" s="55">
        <f t="shared" si="114"/>
        <v>1.1666666666666667</v>
      </c>
      <c r="V2443" s="55">
        <f t="shared" si="115"/>
        <v>0</v>
      </c>
      <c r="W2443" s="56">
        <f t="shared" si="116"/>
        <v>1947</v>
      </c>
    </row>
    <row r="2444" spans="1:23" x14ac:dyDescent="0.3">
      <c r="A2444" s="13" t="str" cm="1">
        <f t="array" ref="A2444:B2444">INDEX(BenchmarkResults!$B$1:$D$35,SUMPRODUCT((T2444&gt;=BenchmarkResults!$F$3:$F$35)*(mongodb_hardware_log!T2444&lt;BenchmarkResults!$G$3:$G$35)*ROW(BenchmarkResults!$F$3:$F$35)),{1,3})</f>
        <v>q6_inactive_customers</v>
      </c>
      <c r="B2444">
        <v>1</v>
      </c>
      <c r="C2444" s="13">
        <v>1</v>
      </c>
      <c r="D2444" s="13">
        <v>0</v>
      </c>
      <c r="E2444" s="13">
        <v>201984</v>
      </c>
      <c r="F2444" s="13">
        <v>150892</v>
      </c>
      <c r="G2444" s="13">
        <v>3972</v>
      </c>
      <c r="H2444" s="13">
        <v>2247828</v>
      </c>
      <c r="I2444" s="13">
        <v>0</v>
      </c>
      <c r="J2444" s="13">
        <v>0</v>
      </c>
      <c r="K2444" s="13">
        <v>2123</v>
      </c>
      <c r="L2444" s="13">
        <v>8</v>
      </c>
      <c r="M2444" s="13">
        <v>725</v>
      </c>
      <c r="N2444" s="13">
        <v>217</v>
      </c>
      <c r="O2444" s="13">
        <v>34</v>
      </c>
      <c r="P2444" s="13">
        <v>1</v>
      </c>
      <c r="Q2444" s="13">
        <v>65</v>
      </c>
      <c r="R2444" s="13">
        <v>0</v>
      </c>
      <c r="S2444" s="13">
        <v>0</v>
      </c>
      <c r="T2444" s="23">
        <v>46247.766967592594</v>
      </c>
      <c r="U2444" s="55">
        <f t="shared" si="114"/>
        <v>1.1666666666666667</v>
      </c>
      <c r="V2444" s="55">
        <f t="shared" si="115"/>
        <v>0</v>
      </c>
      <c r="W2444" s="56">
        <f t="shared" si="116"/>
        <v>1973.5</v>
      </c>
    </row>
    <row r="2445" spans="1:23" x14ac:dyDescent="0.3">
      <c r="A2445" s="13" t="str" cm="1">
        <f t="array" ref="A2445:B2445">INDEX(BenchmarkResults!$B$1:$D$35,SUMPRODUCT((T2445&gt;=BenchmarkResults!$F$3:$F$35)*(mongodb_hardware_log!T2445&lt;BenchmarkResults!$G$3:$G$35)*ROW(BenchmarkResults!$F$3:$F$35)),{1,3})</f>
        <v>q6_inactive_customers</v>
      </c>
      <c r="B2445">
        <v>1</v>
      </c>
      <c r="C2445" s="13">
        <v>1</v>
      </c>
      <c r="D2445" s="13">
        <v>0</v>
      </c>
      <c r="E2445" s="13">
        <v>201984</v>
      </c>
      <c r="F2445" s="13">
        <v>121300</v>
      </c>
      <c r="G2445" s="13">
        <v>3988</v>
      </c>
      <c r="H2445" s="13">
        <v>2277916</v>
      </c>
      <c r="I2445" s="13">
        <v>0</v>
      </c>
      <c r="J2445" s="13">
        <v>0</v>
      </c>
      <c r="K2445" s="13">
        <v>1437</v>
      </c>
      <c r="L2445" s="13">
        <v>22</v>
      </c>
      <c r="M2445" s="13">
        <v>703</v>
      </c>
      <c r="N2445" s="13">
        <v>211</v>
      </c>
      <c r="O2445" s="13">
        <v>34</v>
      </c>
      <c r="P2445" s="13">
        <v>1</v>
      </c>
      <c r="Q2445" s="13">
        <v>65</v>
      </c>
      <c r="R2445" s="13">
        <v>0</v>
      </c>
      <c r="S2445" s="13">
        <v>0</v>
      </c>
      <c r="T2445" s="23">
        <v>46247.767083333332</v>
      </c>
      <c r="U2445" s="55">
        <f t="shared" si="114"/>
        <v>1.1666666666666667</v>
      </c>
      <c r="V2445" s="55">
        <f t="shared" si="115"/>
        <v>0</v>
      </c>
      <c r="W2445" s="56">
        <f t="shared" si="116"/>
        <v>1858.6666666666667</v>
      </c>
    </row>
    <row r="2446" spans="1:23" x14ac:dyDescent="0.3">
      <c r="A2446" s="13" t="str" cm="1">
        <f t="array" ref="A2446:B2446">INDEX(BenchmarkResults!$B$1:$D$35,SUMPRODUCT((T2446&gt;=BenchmarkResults!$F$3:$F$35)*(mongodb_hardware_log!T2446&lt;BenchmarkResults!$G$3:$G$35)*ROW(BenchmarkResults!$F$3:$F$35)),{1,3})</f>
        <v>q6_inactive_customers</v>
      </c>
      <c r="B2446">
        <v>1</v>
      </c>
      <c r="C2446" s="13">
        <v>1</v>
      </c>
      <c r="D2446" s="13">
        <v>0</v>
      </c>
      <c r="E2446" s="13">
        <v>201984</v>
      </c>
      <c r="F2446" s="13">
        <v>154632</v>
      </c>
      <c r="G2446" s="13">
        <v>4004</v>
      </c>
      <c r="H2446" s="13">
        <v>2245760</v>
      </c>
      <c r="I2446" s="13">
        <v>0</v>
      </c>
      <c r="J2446" s="13">
        <v>0</v>
      </c>
      <c r="K2446" s="13">
        <v>2054</v>
      </c>
      <c r="L2446" s="13">
        <v>1599</v>
      </c>
      <c r="M2446" s="13">
        <v>734</v>
      </c>
      <c r="N2446" s="13">
        <v>228</v>
      </c>
      <c r="O2446" s="13">
        <v>34</v>
      </c>
      <c r="P2446" s="13">
        <v>1</v>
      </c>
      <c r="Q2446" s="13">
        <v>63</v>
      </c>
      <c r="R2446" s="13">
        <v>1</v>
      </c>
      <c r="S2446" s="13">
        <v>0</v>
      </c>
      <c r="T2446" s="23">
        <v>46247.767199074071</v>
      </c>
      <c r="U2446" s="55">
        <f t="shared" si="114"/>
        <v>1.1666666666666667</v>
      </c>
      <c r="V2446" s="55">
        <f t="shared" si="115"/>
        <v>0</v>
      </c>
      <c r="W2446" s="56">
        <f t="shared" si="116"/>
        <v>1971.6666666666667</v>
      </c>
    </row>
    <row r="2447" spans="1:23" x14ac:dyDescent="0.3">
      <c r="A2447" s="13" t="str" cm="1">
        <f t="array" ref="A2447:B2447">INDEX(BenchmarkResults!$B$1:$D$35,SUMPRODUCT((T2447&gt;=BenchmarkResults!$F$3:$F$35)*(mongodb_hardware_log!T2447&lt;BenchmarkResults!$G$3:$G$35)*ROW(BenchmarkResults!$F$3:$F$35)),{1,3})</f>
        <v>q6_inactive_customers</v>
      </c>
      <c r="B2447">
        <v>1</v>
      </c>
      <c r="C2447" s="13">
        <v>1</v>
      </c>
      <c r="D2447" s="13">
        <v>0</v>
      </c>
      <c r="E2447" s="13">
        <v>201984</v>
      </c>
      <c r="F2447" s="13">
        <v>130692</v>
      </c>
      <c r="G2447" s="13">
        <v>4020</v>
      </c>
      <c r="H2447" s="13">
        <v>2267864</v>
      </c>
      <c r="I2447" s="13">
        <v>0</v>
      </c>
      <c r="J2447" s="13">
        <v>0</v>
      </c>
      <c r="K2447" s="13">
        <v>2211</v>
      </c>
      <c r="L2447" s="13">
        <v>8</v>
      </c>
      <c r="M2447" s="13">
        <v>759</v>
      </c>
      <c r="N2447" s="13">
        <v>252</v>
      </c>
      <c r="O2447" s="13">
        <v>33</v>
      </c>
      <c r="P2447" s="13">
        <v>1</v>
      </c>
      <c r="Q2447" s="13">
        <v>65</v>
      </c>
      <c r="R2447" s="13">
        <v>0</v>
      </c>
      <c r="S2447" s="13">
        <v>0</v>
      </c>
      <c r="T2447" s="23">
        <v>46247.767314814817</v>
      </c>
      <c r="U2447" s="55">
        <f t="shared" si="114"/>
        <v>1</v>
      </c>
      <c r="V2447" s="55">
        <f t="shared" si="115"/>
        <v>0</v>
      </c>
      <c r="W2447" s="56">
        <f t="shared" si="116"/>
        <v>1994.5</v>
      </c>
    </row>
    <row r="2448" spans="1:23" x14ac:dyDescent="0.3">
      <c r="A2448" s="13" t="str" cm="1">
        <f t="array" ref="A2448:B2448">INDEX(BenchmarkResults!$B$1:$D$35,SUMPRODUCT((T2448&gt;=BenchmarkResults!$F$3:$F$35)*(mongodb_hardware_log!T2448&lt;BenchmarkResults!$G$3:$G$35)*ROW(BenchmarkResults!$F$3:$F$35)),{1,3})</f>
        <v>q6_inactive_customers</v>
      </c>
      <c r="B2448">
        <v>1</v>
      </c>
      <c r="C2448" s="13">
        <v>1</v>
      </c>
      <c r="D2448" s="13">
        <v>0</v>
      </c>
      <c r="E2448" s="13">
        <v>201984</v>
      </c>
      <c r="F2448" s="13">
        <v>113056</v>
      </c>
      <c r="G2448" s="13">
        <v>4028</v>
      </c>
      <c r="H2448" s="13">
        <v>2287244</v>
      </c>
      <c r="I2448" s="13">
        <v>0</v>
      </c>
      <c r="J2448" s="13">
        <v>0</v>
      </c>
      <c r="K2448" s="13">
        <v>1932</v>
      </c>
      <c r="L2448" s="13">
        <v>8</v>
      </c>
      <c r="M2448" s="13">
        <v>777</v>
      </c>
      <c r="N2448" s="13">
        <v>254</v>
      </c>
      <c r="O2448" s="13">
        <v>34</v>
      </c>
      <c r="P2448" s="13">
        <v>1</v>
      </c>
      <c r="Q2448" s="13">
        <v>65</v>
      </c>
      <c r="R2448" s="13">
        <v>0</v>
      </c>
      <c r="S2448" s="13">
        <v>0</v>
      </c>
      <c r="T2448" s="23">
        <v>46247.767430555556</v>
      </c>
      <c r="U2448" s="55">
        <f t="shared" si="114"/>
        <v>1</v>
      </c>
      <c r="V2448" s="55">
        <f t="shared" si="115"/>
        <v>0</v>
      </c>
      <c r="W2448" s="56">
        <f t="shared" si="116"/>
        <v>1970.8333333333333</v>
      </c>
    </row>
    <row r="2449" spans="1:23" x14ac:dyDescent="0.3">
      <c r="A2449" s="13" t="str" cm="1">
        <f t="array" ref="A2449:B2449">INDEX(BenchmarkResults!$B$1:$D$35,SUMPRODUCT((T2449&gt;=BenchmarkResults!$F$3:$F$35)*(mongodb_hardware_log!T2449&lt;BenchmarkResults!$G$3:$G$35)*ROW(BenchmarkResults!$F$3:$F$35)),{1,3})</f>
        <v>q6_inactive_customers</v>
      </c>
      <c r="B2449">
        <v>1</v>
      </c>
      <c r="C2449" s="13">
        <v>1</v>
      </c>
      <c r="D2449" s="13">
        <v>0</v>
      </c>
      <c r="E2449" s="13">
        <v>201984</v>
      </c>
      <c r="F2449" s="13">
        <v>155612</v>
      </c>
      <c r="G2449" s="13">
        <v>4052</v>
      </c>
      <c r="H2449" s="13">
        <v>2251744</v>
      </c>
      <c r="I2449" s="13">
        <v>0</v>
      </c>
      <c r="J2449" s="13">
        <v>0</v>
      </c>
      <c r="K2449" s="13">
        <v>2020</v>
      </c>
      <c r="L2449" s="13">
        <v>35</v>
      </c>
      <c r="M2449" s="13">
        <v>747</v>
      </c>
      <c r="N2449" s="13">
        <v>237</v>
      </c>
      <c r="O2449" s="13">
        <v>33</v>
      </c>
      <c r="P2449" s="13">
        <v>1</v>
      </c>
      <c r="Q2449" s="13">
        <v>65</v>
      </c>
      <c r="R2449" s="13">
        <v>1</v>
      </c>
      <c r="S2449" s="13">
        <v>0</v>
      </c>
      <c r="T2449" s="23">
        <v>46247.767546296294</v>
      </c>
      <c r="U2449" s="55">
        <f t="shared" si="114"/>
        <v>1</v>
      </c>
      <c r="V2449" s="55">
        <f t="shared" si="115"/>
        <v>0</v>
      </c>
      <c r="W2449" s="56">
        <f t="shared" si="116"/>
        <v>1962.8333333333333</v>
      </c>
    </row>
    <row r="2450" spans="1:23" x14ac:dyDescent="0.3">
      <c r="A2450" s="13" t="str" cm="1">
        <f t="array" ref="A2450:B2450">INDEX(BenchmarkResults!$B$1:$D$35,SUMPRODUCT((T2450&gt;=BenchmarkResults!$F$3:$F$35)*(mongodb_hardware_log!T2450&lt;BenchmarkResults!$G$3:$G$35)*ROW(BenchmarkResults!$F$3:$F$35)),{1,3})</f>
        <v>q6_inactive_customers</v>
      </c>
      <c r="B2450">
        <v>1</v>
      </c>
      <c r="C2450" s="13">
        <v>1</v>
      </c>
      <c r="D2450" s="13">
        <v>0</v>
      </c>
      <c r="E2450" s="13">
        <v>201984</v>
      </c>
      <c r="F2450" s="13">
        <v>126380</v>
      </c>
      <c r="G2450" s="13">
        <v>4060</v>
      </c>
      <c r="H2450" s="13">
        <v>2280368</v>
      </c>
      <c r="I2450" s="13">
        <v>0</v>
      </c>
      <c r="J2450" s="13">
        <v>0</v>
      </c>
      <c r="K2450" s="13">
        <v>1268</v>
      </c>
      <c r="L2450" s="13">
        <v>5</v>
      </c>
      <c r="M2450" s="13">
        <v>690</v>
      </c>
      <c r="N2450" s="13">
        <v>194</v>
      </c>
      <c r="O2450" s="13">
        <v>34</v>
      </c>
      <c r="P2450" s="13">
        <v>1</v>
      </c>
      <c r="Q2450" s="13">
        <v>65</v>
      </c>
      <c r="R2450" s="13">
        <v>0</v>
      </c>
      <c r="S2450" s="13">
        <v>0</v>
      </c>
      <c r="T2450" s="23">
        <v>46247.76766203704</v>
      </c>
      <c r="U2450" s="55">
        <f t="shared" si="114"/>
        <v>1</v>
      </c>
      <c r="V2450" s="55">
        <f t="shared" si="115"/>
        <v>0</v>
      </c>
      <c r="W2450" s="56">
        <f t="shared" si="116"/>
        <v>1820.3333333333333</v>
      </c>
    </row>
    <row r="2451" spans="1:23" x14ac:dyDescent="0.3">
      <c r="A2451" s="13" t="str" cm="1">
        <f t="array" ref="A2451:B2451">INDEX(BenchmarkResults!$B$1:$D$35,SUMPRODUCT((T2451&gt;=BenchmarkResults!$F$3:$F$35)*(mongodb_hardware_log!T2451&lt;BenchmarkResults!$G$3:$G$35)*ROW(BenchmarkResults!$F$3:$F$35)),{1,3})</f>
        <v>q6_inactive_customers</v>
      </c>
      <c r="B2451">
        <v>1</v>
      </c>
      <c r="C2451" s="13">
        <v>1</v>
      </c>
      <c r="D2451" s="13">
        <v>0</v>
      </c>
      <c r="E2451" s="13">
        <v>201984</v>
      </c>
      <c r="F2451" s="13">
        <v>158116</v>
      </c>
      <c r="G2451" s="13">
        <v>4068</v>
      </c>
      <c r="H2451" s="13">
        <v>2245940</v>
      </c>
      <c r="I2451" s="13">
        <v>0</v>
      </c>
      <c r="J2451" s="13">
        <v>0</v>
      </c>
      <c r="K2451" s="13">
        <v>2142</v>
      </c>
      <c r="L2451" s="13">
        <v>1586</v>
      </c>
      <c r="M2451" s="13">
        <v>715</v>
      </c>
      <c r="N2451" s="13">
        <v>202</v>
      </c>
      <c r="O2451" s="13">
        <v>34</v>
      </c>
      <c r="P2451" s="13">
        <v>1</v>
      </c>
      <c r="Q2451" s="13">
        <v>63</v>
      </c>
      <c r="R2451" s="13">
        <v>2</v>
      </c>
      <c r="S2451" s="13">
        <v>0</v>
      </c>
      <c r="T2451" s="23">
        <v>46247.767777777779</v>
      </c>
      <c r="U2451" s="55">
        <f t="shared" si="114"/>
        <v>1</v>
      </c>
      <c r="V2451" s="55">
        <f t="shared" si="115"/>
        <v>0</v>
      </c>
      <c r="W2451" s="56">
        <f t="shared" si="116"/>
        <v>1937.8333333333333</v>
      </c>
    </row>
    <row r="2452" spans="1:23" x14ac:dyDescent="0.3">
      <c r="A2452" s="13" t="str" cm="1">
        <f t="array" ref="A2452:B2452">INDEX(BenchmarkResults!$B$1:$D$35,SUMPRODUCT((T2452&gt;=BenchmarkResults!$F$3:$F$35)*(mongodb_hardware_log!T2452&lt;BenchmarkResults!$G$3:$G$35)*ROW(BenchmarkResults!$F$3:$F$35)),{1,3})</f>
        <v>q6_inactive_customers</v>
      </c>
      <c r="B2452">
        <v>1</v>
      </c>
      <c r="C2452" s="13">
        <v>1</v>
      </c>
      <c r="D2452" s="13">
        <v>0</v>
      </c>
      <c r="E2452" s="13">
        <v>201984</v>
      </c>
      <c r="F2452" s="13">
        <v>134680</v>
      </c>
      <c r="G2452" s="13">
        <v>4076</v>
      </c>
      <c r="H2452" s="13">
        <v>2265116</v>
      </c>
      <c r="I2452" s="13">
        <v>0</v>
      </c>
      <c r="J2452" s="13">
        <v>0</v>
      </c>
      <c r="K2452" s="13">
        <v>1908</v>
      </c>
      <c r="L2452" s="13">
        <v>11</v>
      </c>
      <c r="M2452" s="13">
        <v>715</v>
      </c>
      <c r="N2452" s="13">
        <v>206</v>
      </c>
      <c r="O2452" s="13">
        <v>34</v>
      </c>
      <c r="P2452" s="13">
        <v>1</v>
      </c>
      <c r="Q2452" s="13">
        <v>65</v>
      </c>
      <c r="R2452" s="13">
        <v>0</v>
      </c>
      <c r="S2452" s="13">
        <v>0</v>
      </c>
      <c r="T2452" s="23">
        <v>46247.767893518518</v>
      </c>
      <c r="U2452" s="55">
        <f t="shared" si="114"/>
        <v>1</v>
      </c>
      <c r="V2452" s="55">
        <f t="shared" si="115"/>
        <v>0</v>
      </c>
      <c r="W2452" s="56">
        <f t="shared" si="116"/>
        <v>1913.5</v>
      </c>
    </row>
    <row r="2453" spans="1:23" x14ac:dyDescent="0.3">
      <c r="A2453" s="13" t="str" cm="1">
        <f t="array" ref="A2453:B2453">INDEX(BenchmarkResults!$B$1:$D$35,SUMPRODUCT((T2453&gt;=BenchmarkResults!$F$3:$F$35)*(mongodb_hardware_log!T2453&lt;BenchmarkResults!$G$3:$G$35)*ROW(BenchmarkResults!$F$3:$F$35)),{1,3})</f>
        <v>q6_inactive_customers</v>
      </c>
      <c r="B2453">
        <v>1</v>
      </c>
      <c r="C2453" s="13">
        <v>1</v>
      </c>
      <c r="D2453" s="13">
        <v>0</v>
      </c>
      <c r="E2453" s="13">
        <v>201984</v>
      </c>
      <c r="F2453" s="13">
        <v>118552</v>
      </c>
      <c r="G2453" s="13">
        <v>4084</v>
      </c>
      <c r="H2453" s="13">
        <v>2286056</v>
      </c>
      <c r="I2453" s="13">
        <v>0</v>
      </c>
      <c r="J2453" s="13">
        <v>0</v>
      </c>
      <c r="K2453" s="13">
        <v>2100</v>
      </c>
      <c r="L2453" s="13">
        <v>9</v>
      </c>
      <c r="M2453" s="13">
        <v>721</v>
      </c>
      <c r="N2453" s="13">
        <v>211</v>
      </c>
      <c r="O2453" s="13">
        <v>33</v>
      </c>
      <c r="P2453" s="13">
        <v>1</v>
      </c>
      <c r="Q2453" s="13">
        <v>65</v>
      </c>
      <c r="R2453" s="13">
        <v>0</v>
      </c>
      <c r="S2453" s="13">
        <v>0</v>
      </c>
      <c r="T2453" s="23">
        <v>46247.768009259256</v>
      </c>
      <c r="U2453" s="55">
        <f t="shared" si="114"/>
        <v>1</v>
      </c>
      <c r="V2453" s="55">
        <f t="shared" si="115"/>
        <v>0</v>
      </c>
      <c r="W2453" s="56">
        <f t="shared" si="116"/>
        <v>1895</v>
      </c>
    </row>
    <row r="2454" spans="1:23" x14ac:dyDescent="0.3">
      <c r="A2454" s="13" t="str" cm="1">
        <f t="array" ref="A2454:B2454">INDEX(BenchmarkResults!$B$1:$D$35,SUMPRODUCT((T2454&gt;=BenchmarkResults!$F$3:$F$35)*(mongodb_hardware_log!T2454&lt;BenchmarkResults!$G$3:$G$35)*ROW(BenchmarkResults!$F$3:$F$35)),{1,3})</f>
        <v>q6_inactive_customers</v>
      </c>
      <c r="B2454">
        <v>1</v>
      </c>
      <c r="C2454" s="13">
        <v>1</v>
      </c>
      <c r="D2454" s="13">
        <v>0</v>
      </c>
      <c r="E2454" s="13">
        <v>201984</v>
      </c>
      <c r="F2454" s="13">
        <v>140776</v>
      </c>
      <c r="G2454" s="13">
        <v>4092</v>
      </c>
      <c r="H2454" s="13">
        <v>2251356</v>
      </c>
      <c r="I2454" s="13">
        <v>0</v>
      </c>
      <c r="J2454" s="13">
        <v>0</v>
      </c>
      <c r="K2454" s="13">
        <v>2097</v>
      </c>
      <c r="L2454" s="13">
        <v>14</v>
      </c>
      <c r="M2454" s="13">
        <v>745</v>
      </c>
      <c r="N2454" s="13">
        <v>212</v>
      </c>
      <c r="O2454" s="13">
        <v>33</v>
      </c>
      <c r="P2454" s="13">
        <v>1</v>
      </c>
      <c r="Q2454" s="13">
        <v>65</v>
      </c>
      <c r="R2454" s="13">
        <v>1</v>
      </c>
      <c r="S2454" s="13">
        <v>0</v>
      </c>
      <c r="T2454" s="23">
        <v>46247.768125000002</v>
      </c>
      <c r="U2454" s="55">
        <f t="shared" si="114"/>
        <v>1</v>
      </c>
      <c r="V2454" s="55">
        <f t="shared" si="115"/>
        <v>0</v>
      </c>
      <c r="W2454" s="56">
        <f t="shared" si="116"/>
        <v>1922.5</v>
      </c>
    </row>
    <row r="2455" spans="1:23" x14ac:dyDescent="0.3">
      <c r="A2455" s="13" t="str" cm="1">
        <f t="array" ref="A2455:B2455">INDEX(BenchmarkResults!$B$1:$D$35,SUMPRODUCT((T2455&gt;=BenchmarkResults!$F$3:$F$35)*(mongodb_hardware_log!T2455&lt;BenchmarkResults!$G$3:$G$35)*ROW(BenchmarkResults!$F$3:$F$35)),{1,3})</f>
        <v>q6_inactive_customers</v>
      </c>
      <c r="B2455">
        <v>1</v>
      </c>
      <c r="C2455" s="13">
        <v>1</v>
      </c>
      <c r="D2455" s="13">
        <v>0</v>
      </c>
      <c r="E2455" s="13">
        <v>201984</v>
      </c>
      <c r="F2455" s="13">
        <v>109024</v>
      </c>
      <c r="G2455" s="13">
        <v>4140</v>
      </c>
      <c r="H2455" s="13">
        <v>2281944</v>
      </c>
      <c r="I2455" s="13">
        <v>0</v>
      </c>
      <c r="J2455" s="13">
        <v>0</v>
      </c>
      <c r="K2455" s="13">
        <v>1479</v>
      </c>
      <c r="L2455" s="13">
        <v>32</v>
      </c>
      <c r="M2455" s="13">
        <v>686</v>
      </c>
      <c r="N2455" s="13">
        <v>188</v>
      </c>
      <c r="O2455" s="13">
        <v>33</v>
      </c>
      <c r="P2455" s="13">
        <v>1</v>
      </c>
      <c r="Q2455" s="13">
        <v>65</v>
      </c>
      <c r="R2455" s="13">
        <v>0</v>
      </c>
      <c r="S2455" s="13">
        <v>0</v>
      </c>
      <c r="T2455" s="23">
        <v>46247.768240740741</v>
      </c>
      <c r="U2455" s="55">
        <f t="shared" si="114"/>
        <v>1</v>
      </c>
      <c r="V2455" s="55">
        <f t="shared" si="115"/>
        <v>0</v>
      </c>
      <c r="W2455" s="56">
        <f t="shared" si="116"/>
        <v>1832.3333333333333</v>
      </c>
    </row>
    <row r="2456" spans="1:23" x14ac:dyDescent="0.3">
      <c r="A2456" s="13" t="str" cm="1">
        <f t="array" ref="A2456:B2456">INDEX(BenchmarkResults!$B$1:$D$35,SUMPRODUCT((T2456&gt;=BenchmarkResults!$F$3:$F$35)*(mongodb_hardware_log!T2456&lt;BenchmarkResults!$G$3:$G$35)*ROW(BenchmarkResults!$F$3:$F$35)),{1,3})</f>
        <v>q6_inactive_customers</v>
      </c>
      <c r="B2456">
        <v>1</v>
      </c>
      <c r="C2456" s="13">
        <v>1</v>
      </c>
      <c r="D2456" s="13">
        <v>0</v>
      </c>
      <c r="E2456" s="13">
        <v>201984</v>
      </c>
      <c r="F2456" s="13">
        <v>144448</v>
      </c>
      <c r="G2456" s="13">
        <v>4148</v>
      </c>
      <c r="H2456" s="13">
        <v>2248156</v>
      </c>
      <c r="I2456" s="13">
        <v>0</v>
      </c>
      <c r="J2456" s="13">
        <v>0</v>
      </c>
      <c r="K2456" s="13">
        <v>2166</v>
      </c>
      <c r="L2456" s="13">
        <v>7</v>
      </c>
      <c r="M2456" s="13">
        <v>716</v>
      </c>
      <c r="N2456" s="13">
        <v>207</v>
      </c>
      <c r="O2456" s="13">
        <v>33</v>
      </c>
      <c r="P2456" s="13">
        <v>1</v>
      </c>
      <c r="Q2456" s="13">
        <v>65</v>
      </c>
      <c r="R2456" s="13">
        <v>0</v>
      </c>
      <c r="S2456" s="13">
        <v>0</v>
      </c>
      <c r="T2456" s="23">
        <v>46247.76835648148</v>
      </c>
      <c r="U2456" s="55">
        <f t="shared" si="114"/>
        <v>1</v>
      </c>
      <c r="V2456" s="55">
        <f t="shared" si="115"/>
        <v>0</v>
      </c>
      <c r="W2456" s="56">
        <f t="shared" si="116"/>
        <v>1982</v>
      </c>
    </row>
    <row r="2457" spans="1:23" x14ac:dyDescent="0.3">
      <c r="A2457" s="13" t="str" cm="1">
        <f t="array" ref="A2457:B2457">INDEX(BenchmarkResults!$B$1:$D$35,SUMPRODUCT((T2457&gt;=BenchmarkResults!$F$3:$F$35)*(mongodb_hardware_log!T2457&lt;BenchmarkResults!$G$3:$G$35)*ROW(BenchmarkResults!$F$3:$F$35)),{1,3})</f>
        <v>q6_inactive_customers</v>
      </c>
      <c r="B2457">
        <v>1</v>
      </c>
      <c r="C2457" s="13">
        <v>1</v>
      </c>
      <c r="D2457" s="13">
        <v>0</v>
      </c>
      <c r="E2457" s="13">
        <v>201984</v>
      </c>
      <c r="F2457" s="13">
        <v>128480</v>
      </c>
      <c r="G2457" s="13">
        <v>4164</v>
      </c>
      <c r="H2457" s="13">
        <v>2269440</v>
      </c>
      <c r="I2457" s="13">
        <v>0</v>
      </c>
      <c r="J2457" s="13">
        <v>0</v>
      </c>
      <c r="K2457" s="13">
        <v>2125</v>
      </c>
      <c r="L2457" s="13">
        <v>14</v>
      </c>
      <c r="M2457" s="13">
        <v>722</v>
      </c>
      <c r="N2457" s="13">
        <v>211</v>
      </c>
      <c r="O2457" s="13">
        <v>33</v>
      </c>
      <c r="P2457" s="13">
        <v>1</v>
      </c>
      <c r="Q2457" s="13">
        <v>65</v>
      </c>
      <c r="R2457" s="13">
        <v>0</v>
      </c>
      <c r="S2457" s="13">
        <v>0</v>
      </c>
      <c r="T2457" s="23">
        <v>46247.768472222226</v>
      </c>
      <c r="U2457" s="55">
        <f t="shared" si="114"/>
        <v>1</v>
      </c>
      <c r="V2457" s="55">
        <f t="shared" si="115"/>
        <v>0</v>
      </c>
      <c r="W2457" s="56">
        <f t="shared" si="116"/>
        <v>1979.1666666666667</v>
      </c>
    </row>
    <row r="2458" spans="1:23" x14ac:dyDescent="0.3">
      <c r="A2458" s="13" t="str" cm="1">
        <f t="array" ref="A2458:B2458">INDEX(BenchmarkResults!$B$1:$D$35,SUMPRODUCT((T2458&gt;=BenchmarkResults!$F$3:$F$35)*(mongodb_hardware_log!T2458&lt;BenchmarkResults!$G$3:$G$35)*ROW(BenchmarkResults!$F$3:$F$35)),{1,3})</f>
        <v>q6_inactive_customers</v>
      </c>
      <c r="B2458">
        <v>1</v>
      </c>
      <c r="C2458" s="13">
        <v>1</v>
      </c>
      <c r="D2458" s="13">
        <v>0</v>
      </c>
      <c r="E2458" s="13">
        <v>201984</v>
      </c>
      <c r="F2458" s="13">
        <v>110760</v>
      </c>
      <c r="G2458" s="13">
        <v>4172</v>
      </c>
      <c r="H2458" s="13">
        <v>2287904</v>
      </c>
      <c r="I2458" s="13">
        <v>0</v>
      </c>
      <c r="J2458" s="13">
        <v>0</v>
      </c>
      <c r="K2458" s="13">
        <v>1844</v>
      </c>
      <c r="L2458" s="13">
        <v>1576</v>
      </c>
      <c r="M2458" s="13">
        <v>718</v>
      </c>
      <c r="N2458" s="13">
        <v>208</v>
      </c>
      <c r="O2458" s="13">
        <v>34</v>
      </c>
      <c r="P2458" s="13">
        <v>1</v>
      </c>
      <c r="Q2458" s="13">
        <v>64</v>
      </c>
      <c r="R2458" s="13">
        <v>2</v>
      </c>
      <c r="S2458" s="13">
        <v>0</v>
      </c>
      <c r="T2458" s="23">
        <v>46247.768587962964</v>
      </c>
      <c r="U2458" s="55">
        <f t="shared" si="114"/>
        <v>1</v>
      </c>
      <c r="V2458" s="55">
        <f t="shared" si="115"/>
        <v>0</v>
      </c>
      <c r="W2458" s="56">
        <f t="shared" si="116"/>
        <v>1968.5</v>
      </c>
    </row>
    <row r="2459" spans="1:23" x14ac:dyDescent="0.3">
      <c r="A2459" s="13" t="str" cm="1">
        <f t="array" ref="A2459:B2459">INDEX(BenchmarkResults!$B$1:$D$35,SUMPRODUCT((T2459&gt;=BenchmarkResults!$F$3:$F$35)*(mongodb_hardware_log!T2459&lt;BenchmarkResults!$G$3:$G$35)*ROW(BenchmarkResults!$F$3:$F$35)),{1,3})</f>
        <v>q6_inactive_customers</v>
      </c>
      <c r="B2459">
        <v>1</v>
      </c>
      <c r="C2459" s="13">
        <v>1</v>
      </c>
      <c r="D2459" s="13">
        <v>0</v>
      </c>
      <c r="E2459" s="13">
        <v>201984</v>
      </c>
      <c r="F2459" s="13">
        <v>141728</v>
      </c>
      <c r="G2459" s="13">
        <v>4188</v>
      </c>
      <c r="H2459" s="13">
        <v>2251756</v>
      </c>
      <c r="I2459" s="13">
        <v>0</v>
      </c>
      <c r="J2459" s="13">
        <v>0</v>
      </c>
      <c r="K2459" s="13">
        <v>1950</v>
      </c>
      <c r="L2459" s="13">
        <v>20</v>
      </c>
      <c r="M2459" s="13">
        <v>748</v>
      </c>
      <c r="N2459" s="13">
        <v>227</v>
      </c>
      <c r="O2459" s="13">
        <v>34</v>
      </c>
      <c r="P2459" s="13">
        <v>1</v>
      </c>
      <c r="Q2459" s="13">
        <v>64</v>
      </c>
      <c r="R2459" s="13">
        <v>1</v>
      </c>
      <c r="S2459" s="13">
        <v>1</v>
      </c>
      <c r="T2459" s="23">
        <v>46247.768703703703</v>
      </c>
      <c r="U2459" s="55">
        <f t="shared" si="114"/>
        <v>1</v>
      </c>
      <c r="V2459" s="55">
        <f t="shared" si="115"/>
        <v>0</v>
      </c>
      <c r="W2459" s="56">
        <f t="shared" si="116"/>
        <v>1943.5</v>
      </c>
    </row>
    <row r="2460" spans="1:23" x14ac:dyDescent="0.3">
      <c r="A2460" s="13" t="str" cm="1">
        <f t="array" ref="A2460:B2460">INDEX(BenchmarkResults!$B$1:$D$35,SUMPRODUCT((T2460&gt;=BenchmarkResults!$F$3:$F$35)*(mongodb_hardware_log!T2460&lt;BenchmarkResults!$G$3:$G$35)*ROW(BenchmarkResults!$F$3:$F$35)),{1,3})</f>
        <v>q6_inactive_customers</v>
      </c>
      <c r="B2460">
        <v>1</v>
      </c>
      <c r="C2460" s="13">
        <v>2</v>
      </c>
      <c r="D2460" s="13">
        <v>0</v>
      </c>
      <c r="E2460" s="13">
        <v>201984</v>
      </c>
      <c r="F2460" s="13">
        <v>127628</v>
      </c>
      <c r="G2460" s="13">
        <v>4196</v>
      </c>
      <c r="H2460" s="13">
        <v>2268284</v>
      </c>
      <c r="I2460" s="13">
        <v>0</v>
      </c>
      <c r="J2460" s="13">
        <v>0</v>
      </c>
      <c r="K2460" s="13">
        <v>1648</v>
      </c>
      <c r="L2460" s="13">
        <v>6</v>
      </c>
      <c r="M2460" s="13">
        <v>742</v>
      </c>
      <c r="N2460" s="13">
        <v>211</v>
      </c>
      <c r="O2460" s="13">
        <v>33</v>
      </c>
      <c r="P2460" s="13">
        <v>1</v>
      </c>
      <c r="Q2460" s="13">
        <v>64</v>
      </c>
      <c r="R2460" s="13">
        <v>1</v>
      </c>
      <c r="S2460" s="13">
        <v>1</v>
      </c>
      <c r="T2460" s="23">
        <v>46247.768819444442</v>
      </c>
      <c r="U2460" s="55">
        <f t="shared" si="114"/>
        <v>1.1666666666666667</v>
      </c>
      <c r="V2460" s="55">
        <f t="shared" si="115"/>
        <v>0</v>
      </c>
      <c r="W2460" s="56">
        <f t="shared" si="116"/>
        <v>1868.6666666666667</v>
      </c>
    </row>
    <row r="2461" spans="1:23" x14ac:dyDescent="0.3">
      <c r="A2461" s="13" t="str" cm="1">
        <f t="array" ref="A2461:B2461">INDEX(BenchmarkResults!$B$1:$D$35,SUMPRODUCT((T2461&gt;=BenchmarkResults!$F$3:$F$35)*(mongodb_hardware_log!T2461&lt;BenchmarkResults!$G$3:$G$35)*ROW(BenchmarkResults!$F$3:$F$35)),{1,3})</f>
        <v>q6_inactive_customers</v>
      </c>
      <c r="B2461">
        <v>1</v>
      </c>
      <c r="C2461" s="13">
        <v>1</v>
      </c>
      <c r="D2461" s="13">
        <v>0</v>
      </c>
      <c r="E2461" s="13">
        <v>201984</v>
      </c>
      <c r="F2461" s="13">
        <v>148784</v>
      </c>
      <c r="G2461" s="13">
        <v>4220</v>
      </c>
      <c r="H2461" s="13">
        <v>2243592</v>
      </c>
      <c r="I2461" s="13">
        <v>0</v>
      </c>
      <c r="J2461" s="13">
        <v>0</v>
      </c>
      <c r="K2461" s="13">
        <v>1511</v>
      </c>
      <c r="L2461" s="13">
        <v>36</v>
      </c>
      <c r="M2461" s="13">
        <v>708</v>
      </c>
      <c r="N2461" s="13">
        <v>194</v>
      </c>
      <c r="O2461" s="13">
        <v>33</v>
      </c>
      <c r="P2461" s="13">
        <v>1</v>
      </c>
      <c r="Q2461" s="13">
        <v>64</v>
      </c>
      <c r="R2461" s="13">
        <v>1</v>
      </c>
      <c r="S2461" s="13">
        <v>1</v>
      </c>
      <c r="T2461" s="23">
        <v>46247.768935185188</v>
      </c>
      <c r="U2461" s="55">
        <f t="shared" si="114"/>
        <v>1.1666666666666667</v>
      </c>
      <c r="V2461" s="55">
        <f t="shared" si="115"/>
        <v>0</v>
      </c>
      <c r="W2461" s="56">
        <f t="shared" si="116"/>
        <v>1874</v>
      </c>
    </row>
    <row r="2462" spans="1:23" x14ac:dyDescent="0.3">
      <c r="A2462" s="13" t="str" cm="1">
        <f t="array" ref="A2462:B2462">INDEX(BenchmarkResults!$B$1:$D$35,SUMPRODUCT((T2462&gt;=BenchmarkResults!$F$3:$F$35)*(mongodb_hardware_log!T2462&lt;BenchmarkResults!$G$3:$G$35)*ROW(BenchmarkResults!$F$3:$F$35)),{1,3})</f>
        <v>q6_inactive_customers</v>
      </c>
      <c r="B2462">
        <v>1</v>
      </c>
      <c r="C2462" s="13">
        <v>1</v>
      </c>
      <c r="D2462" s="13">
        <v>0</v>
      </c>
      <c r="E2462" s="13">
        <v>201984</v>
      </c>
      <c r="F2462" s="13">
        <v>137988</v>
      </c>
      <c r="G2462" s="13">
        <v>4228</v>
      </c>
      <c r="H2462" s="13">
        <v>2258572</v>
      </c>
      <c r="I2462" s="13">
        <v>0</v>
      </c>
      <c r="J2462" s="13">
        <v>0</v>
      </c>
      <c r="K2462" s="13">
        <v>1504</v>
      </c>
      <c r="L2462" s="13">
        <v>7</v>
      </c>
      <c r="M2462" s="13">
        <v>705</v>
      </c>
      <c r="N2462" s="13">
        <v>197</v>
      </c>
      <c r="O2462" s="13">
        <v>33</v>
      </c>
      <c r="P2462" s="13">
        <v>1</v>
      </c>
      <c r="Q2462" s="13">
        <v>65</v>
      </c>
      <c r="R2462" s="13">
        <v>0</v>
      </c>
      <c r="S2462" s="13">
        <v>1</v>
      </c>
      <c r="T2462" s="23">
        <v>46247.769050925926</v>
      </c>
      <c r="U2462" s="55">
        <f t="shared" si="114"/>
        <v>1.1666666666666667</v>
      </c>
      <c r="V2462" s="55">
        <f t="shared" si="115"/>
        <v>0</v>
      </c>
      <c r="W2462" s="56">
        <f t="shared" si="116"/>
        <v>1763.6666666666667</v>
      </c>
    </row>
    <row r="2463" spans="1:23" x14ac:dyDescent="0.3">
      <c r="A2463" s="13" t="str" cm="1">
        <f t="array" ref="A2463:B2463">INDEX(BenchmarkResults!$B$1:$D$35,SUMPRODUCT((T2463&gt;=BenchmarkResults!$F$3:$F$35)*(mongodb_hardware_log!T2463&lt;BenchmarkResults!$G$3:$G$35)*ROW(BenchmarkResults!$F$3:$F$35)),{1,3})</f>
        <v>q6_inactive_customers</v>
      </c>
      <c r="B2463">
        <v>1</v>
      </c>
      <c r="C2463" s="13">
        <v>1</v>
      </c>
      <c r="D2463" s="13">
        <v>0</v>
      </c>
      <c r="E2463" s="13">
        <v>201984</v>
      </c>
      <c r="F2463" s="13">
        <v>122112</v>
      </c>
      <c r="G2463" s="13">
        <v>4236</v>
      </c>
      <c r="H2463" s="13">
        <v>2276768</v>
      </c>
      <c r="I2463" s="13">
        <v>0</v>
      </c>
      <c r="J2463" s="13">
        <v>0</v>
      </c>
      <c r="K2463" s="13">
        <v>1813</v>
      </c>
      <c r="L2463" s="13">
        <v>12</v>
      </c>
      <c r="M2463" s="13">
        <v>751</v>
      </c>
      <c r="N2463" s="13">
        <v>226</v>
      </c>
      <c r="O2463" s="13">
        <v>33</v>
      </c>
      <c r="P2463" s="13">
        <v>1</v>
      </c>
      <c r="Q2463" s="13">
        <v>63</v>
      </c>
      <c r="R2463" s="13">
        <v>2</v>
      </c>
      <c r="S2463" s="13">
        <v>2</v>
      </c>
      <c r="T2463" s="23">
        <v>46247.769166666665</v>
      </c>
      <c r="U2463" s="55">
        <f t="shared" si="114"/>
        <v>1.1666666666666667</v>
      </c>
      <c r="V2463" s="55">
        <f t="shared" si="115"/>
        <v>0</v>
      </c>
      <c r="W2463" s="56">
        <f t="shared" si="116"/>
        <v>1711.6666666666667</v>
      </c>
    </row>
    <row r="2464" spans="1:23" x14ac:dyDescent="0.3">
      <c r="A2464" s="13" t="str" cm="1">
        <f t="array" ref="A2464:B2464">INDEX(BenchmarkResults!$B$1:$D$35,SUMPRODUCT((T2464&gt;=BenchmarkResults!$F$3:$F$35)*(mongodb_hardware_log!T2464&lt;BenchmarkResults!$G$3:$G$35)*ROW(BenchmarkResults!$F$3:$F$35)),{1,3})</f>
        <v>q6_inactive_customers</v>
      </c>
      <c r="B2464">
        <v>1</v>
      </c>
      <c r="C2464" s="13">
        <v>1</v>
      </c>
      <c r="D2464" s="13">
        <v>0</v>
      </c>
      <c r="E2464" s="13">
        <v>201984</v>
      </c>
      <c r="F2464" s="13">
        <v>164384</v>
      </c>
      <c r="G2464" s="13">
        <v>4256</v>
      </c>
      <c r="H2464" s="13">
        <v>2240072</v>
      </c>
      <c r="I2464" s="13">
        <v>0</v>
      </c>
      <c r="J2464" s="13">
        <v>0</v>
      </c>
      <c r="K2464" s="13">
        <v>1887</v>
      </c>
      <c r="L2464" s="13">
        <v>1579</v>
      </c>
      <c r="M2464" s="13">
        <v>737</v>
      </c>
      <c r="N2464" s="13">
        <v>219</v>
      </c>
      <c r="O2464" s="13">
        <v>33</v>
      </c>
      <c r="P2464" s="13">
        <v>1</v>
      </c>
      <c r="Q2464" s="13">
        <v>63</v>
      </c>
      <c r="R2464" s="13">
        <v>2</v>
      </c>
      <c r="S2464" s="13">
        <v>0</v>
      </c>
      <c r="T2464" s="23">
        <v>46247.769282407404</v>
      </c>
      <c r="U2464" s="55">
        <f t="shared" si="114"/>
        <v>1.1666666666666667</v>
      </c>
      <c r="V2464" s="55">
        <f t="shared" si="115"/>
        <v>0</v>
      </c>
      <c r="W2464" s="56">
        <f t="shared" si="116"/>
        <v>1718.8333333333333</v>
      </c>
    </row>
    <row r="2465" spans="1:23" x14ac:dyDescent="0.3">
      <c r="A2465" s="13" t="str" cm="1">
        <f t="array" ref="A2465:B2465">INDEX(BenchmarkResults!$B$1:$D$35,SUMPRODUCT((T2465&gt;=BenchmarkResults!$F$3:$F$35)*(mongodb_hardware_log!T2465&lt;BenchmarkResults!$G$3:$G$35)*ROW(BenchmarkResults!$F$3:$F$35)),{1,3})</f>
        <v>q6_inactive_customers</v>
      </c>
      <c r="B2465">
        <v>1</v>
      </c>
      <c r="C2465" s="13">
        <v>1</v>
      </c>
      <c r="D2465" s="13">
        <v>0</v>
      </c>
      <c r="E2465" s="13">
        <v>201984</v>
      </c>
      <c r="F2465" s="13">
        <v>141660</v>
      </c>
      <c r="G2465" s="13">
        <v>4264</v>
      </c>
      <c r="H2465" s="13">
        <v>2262372</v>
      </c>
      <c r="I2465" s="13">
        <v>0</v>
      </c>
      <c r="J2465" s="13">
        <v>0</v>
      </c>
      <c r="K2465" s="13">
        <v>2227</v>
      </c>
      <c r="L2465" s="13">
        <v>11</v>
      </c>
      <c r="M2465" s="13">
        <v>724</v>
      </c>
      <c r="N2465" s="13">
        <v>210</v>
      </c>
      <c r="O2465" s="13">
        <v>33</v>
      </c>
      <c r="P2465" s="13">
        <v>1</v>
      </c>
      <c r="Q2465" s="13">
        <v>65</v>
      </c>
      <c r="R2465" s="13">
        <v>0</v>
      </c>
      <c r="S2465" s="13">
        <v>0</v>
      </c>
      <c r="T2465" s="23">
        <v>46247.76939814815</v>
      </c>
      <c r="U2465" s="55">
        <f t="shared" si="114"/>
        <v>1.1666666666666667</v>
      </c>
      <c r="V2465" s="55">
        <f t="shared" si="115"/>
        <v>0</v>
      </c>
      <c r="W2465" s="56">
        <f t="shared" si="116"/>
        <v>1765</v>
      </c>
    </row>
    <row r="2466" spans="1:23" x14ac:dyDescent="0.3">
      <c r="A2466" s="13" t="str" cm="1">
        <f t="array" ref="A2466:B2466">INDEX(BenchmarkResults!$B$1:$D$35,SUMPRODUCT((T2466&gt;=BenchmarkResults!$F$3:$F$35)*(mongodb_hardware_log!T2466&lt;BenchmarkResults!$G$3:$G$35)*ROW(BenchmarkResults!$F$3:$F$35)),{1,3})</f>
        <v>q6_inactive_customers</v>
      </c>
      <c r="B2466">
        <v>1</v>
      </c>
      <c r="C2466" s="13">
        <v>1</v>
      </c>
      <c r="D2466" s="13">
        <v>0</v>
      </c>
      <c r="E2466" s="13">
        <v>201984</v>
      </c>
      <c r="F2466" s="13">
        <v>110020</v>
      </c>
      <c r="G2466" s="13">
        <v>4272</v>
      </c>
      <c r="H2466" s="13">
        <v>2283684</v>
      </c>
      <c r="I2466" s="13">
        <v>0</v>
      </c>
      <c r="J2466" s="13">
        <v>0</v>
      </c>
      <c r="K2466" s="13">
        <v>1540</v>
      </c>
      <c r="L2466" s="13">
        <v>12</v>
      </c>
      <c r="M2466" s="13">
        <v>701</v>
      </c>
      <c r="N2466" s="13">
        <v>186</v>
      </c>
      <c r="O2466" s="13">
        <v>34</v>
      </c>
      <c r="P2466" s="13">
        <v>1</v>
      </c>
      <c r="Q2466" s="13">
        <v>65</v>
      </c>
      <c r="R2466" s="13">
        <v>0</v>
      </c>
      <c r="S2466" s="13">
        <v>0</v>
      </c>
      <c r="T2466" s="23">
        <v>46247.769513888888</v>
      </c>
      <c r="U2466" s="55">
        <f t="shared" si="114"/>
        <v>1</v>
      </c>
      <c r="V2466" s="55">
        <f t="shared" si="115"/>
        <v>0</v>
      </c>
      <c r="W2466" s="56">
        <f t="shared" si="116"/>
        <v>1747</v>
      </c>
    </row>
    <row r="2467" spans="1:23" x14ac:dyDescent="0.3">
      <c r="A2467" s="13" t="str" cm="1">
        <f t="array" ref="A2467:B2467">INDEX(BenchmarkResults!$B$1:$D$35,SUMPRODUCT((T2467&gt;=BenchmarkResults!$F$3:$F$35)*(mongodb_hardware_log!T2467&lt;BenchmarkResults!$G$3:$G$35)*ROW(BenchmarkResults!$F$3:$F$35)),{1,3})</f>
        <v>q6_inactive_customers</v>
      </c>
      <c r="B2467">
        <v>1</v>
      </c>
      <c r="C2467" s="13">
        <v>1</v>
      </c>
      <c r="D2467" s="13">
        <v>0</v>
      </c>
      <c r="E2467" s="13">
        <v>201984</v>
      </c>
      <c r="F2467" s="13">
        <v>142096</v>
      </c>
      <c r="G2467" s="13">
        <v>4304</v>
      </c>
      <c r="H2467" s="13">
        <v>2255936</v>
      </c>
      <c r="I2467" s="13">
        <v>0</v>
      </c>
      <c r="J2467" s="13">
        <v>0</v>
      </c>
      <c r="K2467" s="13">
        <v>1801</v>
      </c>
      <c r="L2467" s="13">
        <v>32</v>
      </c>
      <c r="M2467" s="13">
        <v>709</v>
      </c>
      <c r="N2467" s="13">
        <v>202</v>
      </c>
      <c r="O2467" s="13">
        <v>33</v>
      </c>
      <c r="P2467" s="13">
        <v>1</v>
      </c>
      <c r="Q2467" s="13">
        <v>65</v>
      </c>
      <c r="R2467" s="13">
        <v>0</v>
      </c>
      <c r="S2467" s="13">
        <v>0</v>
      </c>
      <c r="T2467" s="23">
        <v>46247.769629629627</v>
      </c>
      <c r="U2467" s="55">
        <f t="shared" si="114"/>
        <v>1</v>
      </c>
      <c r="V2467" s="55">
        <f t="shared" si="115"/>
        <v>0</v>
      </c>
      <c r="W2467" s="56">
        <f t="shared" si="116"/>
        <v>1795.3333333333333</v>
      </c>
    </row>
    <row r="2468" spans="1:23" x14ac:dyDescent="0.3">
      <c r="A2468" s="13" t="str" cm="1">
        <f t="array" ref="A2468:B2468">INDEX(BenchmarkResults!$B$1:$D$35,SUMPRODUCT((T2468&gt;=BenchmarkResults!$F$3:$F$35)*(mongodb_hardware_log!T2468&lt;BenchmarkResults!$G$3:$G$35)*ROW(BenchmarkResults!$F$3:$F$35)),{1,3})</f>
        <v>q6_inactive_customers</v>
      </c>
      <c r="B2468">
        <v>1</v>
      </c>
      <c r="C2468" s="13">
        <v>1</v>
      </c>
      <c r="D2468" s="13">
        <v>0</v>
      </c>
      <c r="E2468" s="13">
        <v>201984</v>
      </c>
      <c r="F2468" s="13">
        <v>710364</v>
      </c>
      <c r="G2468" s="13">
        <v>4308</v>
      </c>
      <c r="H2468" s="13">
        <v>1639516</v>
      </c>
      <c r="I2468" s="13">
        <v>0</v>
      </c>
      <c r="J2468" s="13">
        <v>0</v>
      </c>
      <c r="K2468" s="13">
        <v>1668</v>
      </c>
      <c r="L2468" s="13">
        <v>8</v>
      </c>
      <c r="M2468" s="13">
        <v>1038</v>
      </c>
      <c r="N2468" s="13">
        <v>466</v>
      </c>
      <c r="O2468" s="13">
        <v>37</v>
      </c>
      <c r="P2468" s="13">
        <v>12</v>
      </c>
      <c r="Q2468" s="13">
        <v>51</v>
      </c>
      <c r="R2468" s="13">
        <v>1</v>
      </c>
      <c r="S2468" s="13">
        <v>0</v>
      </c>
      <c r="T2468" s="23">
        <v>46247.769745370373</v>
      </c>
      <c r="U2468" s="55">
        <f t="shared" si="114"/>
        <v>1</v>
      </c>
      <c r="V2468" s="55">
        <f t="shared" si="115"/>
        <v>0</v>
      </c>
      <c r="W2468" s="56">
        <f t="shared" si="116"/>
        <v>1822.6666666666667</v>
      </c>
    </row>
    <row r="2469" spans="1:23" x14ac:dyDescent="0.3">
      <c r="A2469" s="13" t="str" cm="1">
        <f t="array" ref="A2469:B2469">INDEX(BenchmarkResults!$B$1:$D$35,SUMPRODUCT((T2469&gt;=BenchmarkResults!$F$3:$F$35)*(mongodb_hardware_log!T2469&lt;BenchmarkResults!$G$3:$G$35)*ROW(BenchmarkResults!$F$3:$F$35)),{1,3})</f>
        <v>q6_inactive_customers</v>
      </c>
      <c r="B2469">
        <v>1</v>
      </c>
      <c r="C2469" s="13">
        <v>1</v>
      </c>
      <c r="D2469" s="13">
        <v>0</v>
      </c>
      <c r="E2469" s="13">
        <v>201984</v>
      </c>
      <c r="F2469" s="13">
        <v>709008</v>
      </c>
      <c r="G2469" s="13">
        <v>4332</v>
      </c>
      <c r="H2469" s="13">
        <v>1659600</v>
      </c>
      <c r="I2469" s="13">
        <v>0</v>
      </c>
      <c r="J2469" s="13">
        <v>0</v>
      </c>
      <c r="K2469" s="13">
        <v>2005</v>
      </c>
      <c r="L2469" s="13">
        <v>26</v>
      </c>
      <c r="M2469" s="13">
        <v>725</v>
      </c>
      <c r="N2469" s="13">
        <v>217</v>
      </c>
      <c r="O2469" s="13">
        <v>33</v>
      </c>
      <c r="P2469" s="13">
        <v>1</v>
      </c>
      <c r="Q2469" s="13">
        <v>65</v>
      </c>
      <c r="R2469" s="13">
        <v>0</v>
      </c>
      <c r="S2469" s="13">
        <v>0</v>
      </c>
      <c r="T2469" s="23">
        <v>46247.769861111112</v>
      </c>
      <c r="U2469" s="55">
        <f t="shared" si="114"/>
        <v>1</v>
      </c>
      <c r="V2469" s="55">
        <f t="shared" si="115"/>
        <v>0</v>
      </c>
      <c r="W2469" s="56">
        <f t="shared" si="116"/>
        <v>1854.6666666666667</v>
      </c>
    </row>
    <row r="2470" spans="1:23" x14ac:dyDescent="0.3">
      <c r="A2470" s="13" t="str" cm="1">
        <f t="array" ref="A2470:B2470">INDEX(BenchmarkResults!$B$1:$D$35,SUMPRODUCT((T2470&gt;=BenchmarkResults!$F$3:$F$35)*(mongodb_hardware_log!T2470&lt;BenchmarkResults!$G$3:$G$35)*ROW(BenchmarkResults!$F$3:$F$35)),{1,3})</f>
        <v>q6_inactive_customers</v>
      </c>
      <c r="B2470">
        <v>1</v>
      </c>
      <c r="C2470" s="13">
        <v>1</v>
      </c>
      <c r="D2470" s="13">
        <v>0</v>
      </c>
      <c r="E2470" s="13">
        <v>201984</v>
      </c>
      <c r="F2470" s="13">
        <v>685824</v>
      </c>
      <c r="G2470" s="13">
        <v>4340</v>
      </c>
      <c r="H2470" s="13">
        <v>1681108</v>
      </c>
      <c r="I2470" s="13">
        <v>0</v>
      </c>
      <c r="J2470" s="13">
        <v>0</v>
      </c>
      <c r="K2470" s="13">
        <v>2149</v>
      </c>
      <c r="L2470" s="13">
        <v>1571</v>
      </c>
      <c r="M2470" s="13">
        <v>723</v>
      </c>
      <c r="N2470" s="13">
        <v>208</v>
      </c>
      <c r="O2470" s="13">
        <v>34</v>
      </c>
      <c r="P2470" s="13">
        <v>1</v>
      </c>
      <c r="Q2470" s="13">
        <v>64</v>
      </c>
      <c r="R2470" s="13">
        <v>1</v>
      </c>
      <c r="S2470" s="13">
        <v>0</v>
      </c>
      <c r="T2470" s="23">
        <v>46247.769976851851</v>
      </c>
      <c r="U2470" s="55">
        <f t="shared" si="114"/>
        <v>1</v>
      </c>
      <c r="V2470" s="55">
        <f t="shared" si="115"/>
        <v>0</v>
      </c>
      <c r="W2470" s="56">
        <f t="shared" si="116"/>
        <v>1898.3333333333333</v>
      </c>
    </row>
    <row r="2471" spans="1:23" x14ac:dyDescent="0.3">
      <c r="A2471" s="13" t="str" cm="1">
        <f t="array" ref="A2471:B2471">INDEX(BenchmarkResults!$B$1:$D$35,SUMPRODUCT((T2471&gt;=BenchmarkResults!$F$3:$F$35)*(mongodb_hardware_log!T2471&lt;BenchmarkResults!$G$3:$G$35)*ROW(BenchmarkResults!$F$3:$F$35)),{1,3})</f>
        <v>q6_inactive_customers</v>
      </c>
      <c r="B2471">
        <v>1</v>
      </c>
      <c r="C2471" s="13">
        <v>1</v>
      </c>
      <c r="D2471" s="13">
        <v>0</v>
      </c>
      <c r="E2471" s="13">
        <v>201984</v>
      </c>
      <c r="F2471" s="13">
        <v>661884</v>
      </c>
      <c r="G2471" s="13">
        <v>4356</v>
      </c>
      <c r="H2471" s="13">
        <v>1701008</v>
      </c>
      <c r="I2471" s="13">
        <v>0</v>
      </c>
      <c r="J2471" s="13">
        <v>0</v>
      </c>
      <c r="K2471" s="13">
        <v>1984</v>
      </c>
      <c r="L2471" s="13">
        <v>17</v>
      </c>
      <c r="M2471" s="13">
        <v>731</v>
      </c>
      <c r="N2471" s="13">
        <v>216</v>
      </c>
      <c r="O2471" s="13">
        <v>33</v>
      </c>
      <c r="P2471" s="13">
        <v>1</v>
      </c>
      <c r="Q2471" s="13">
        <v>65</v>
      </c>
      <c r="R2471" s="13">
        <v>0</v>
      </c>
      <c r="S2471" s="13">
        <v>0</v>
      </c>
      <c r="T2471" s="23">
        <v>46247.770092592589</v>
      </c>
      <c r="U2471" s="55">
        <f t="shared" si="114"/>
        <v>1</v>
      </c>
      <c r="V2471" s="55">
        <f t="shared" si="115"/>
        <v>0</v>
      </c>
      <c r="W2471" s="56">
        <f t="shared" si="116"/>
        <v>1857.8333333333333</v>
      </c>
    </row>
    <row r="2472" spans="1:23" x14ac:dyDescent="0.3">
      <c r="A2472" s="13" t="str" cm="1">
        <f t="array" ref="A2472:B2472">INDEX(BenchmarkResults!$B$1:$D$35,SUMPRODUCT((T2472&gt;=BenchmarkResults!$F$3:$F$35)*(mongodb_hardware_log!T2472&lt;BenchmarkResults!$G$3:$G$35)*ROW(BenchmarkResults!$F$3:$F$35)),{1,3})</f>
        <v>q6_inactive_customers</v>
      </c>
      <c r="B2472">
        <v>1</v>
      </c>
      <c r="C2472" s="13">
        <v>1</v>
      </c>
      <c r="D2472" s="13">
        <v>0</v>
      </c>
      <c r="E2472" s="13">
        <v>201984</v>
      </c>
      <c r="F2472" s="13">
        <v>674348</v>
      </c>
      <c r="G2472" s="13">
        <v>4364</v>
      </c>
      <c r="H2472" s="13">
        <v>1732516</v>
      </c>
      <c r="I2472" s="13">
        <v>0</v>
      </c>
      <c r="J2472" s="13">
        <v>0</v>
      </c>
      <c r="K2472" s="13">
        <v>1561</v>
      </c>
      <c r="L2472" s="13">
        <v>20</v>
      </c>
      <c r="M2472" s="13">
        <v>695</v>
      </c>
      <c r="N2472" s="13">
        <v>184</v>
      </c>
      <c r="O2472" s="13">
        <v>33</v>
      </c>
      <c r="P2472" s="13">
        <v>1</v>
      </c>
      <c r="Q2472" s="13">
        <v>65</v>
      </c>
      <c r="R2472" s="13">
        <v>0</v>
      </c>
      <c r="S2472" s="13">
        <v>0</v>
      </c>
      <c r="T2472" s="23">
        <v>46247.770208333335</v>
      </c>
      <c r="U2472" s="55">
        <f t="shared" si="114"/>
        <v>1</v>
      </c>
      <c r="V2472" s="55">
        <f t="shared" si="115"/>
        <v>0</v>
      </c>
      <c r="W2472" s="56">
        <f t="shared" si="116"/>
        <v>1861.3333333333333</v>
      </c>
    </row>
    <row r="2473" spans="1:23" x14ac:dyDescent="0.3">
      <c r="A2473" s="13" t="str" cm="1">
        <f t="array" ref="A2473:B2473">INDEX(BenchmarkResults!$B$1:$D$35,SUMPRODUCT((T2473&gt;=BenchmarkResults!$F$3:$F$35)*(mongodb_hardware_log!T2473&lt;BenchmarkResults!$G$3:$G$35)*ROW(BenchmarkResults!$F$3:$F$35)),{1,3})</f>
        <v>q6_inactive_customers</v>
      </c>
      <c r="B2473">
        <v>1</v>
      </c>
      <c r="C2473" s="13">
        <v>1</v>
      </c>
      <c r="D2473" s="13">
        <v>0</v>
      </c>
      <c r="E2473" s="13">
        <v>201984</v>
      </c>
      <c r="F2473" s="13">
        <v>645144</v>
      </c>
      <c r="G2473" s="13">
        <v>4420</v>
      </c>
      <c r="H2473" s="13">
        <v>1752196</v>
      </c>
      <c r="I2473" s="13">
        <v>0</v>
      </c>
      <c r="J2473" s="13">
        <v>0</v>
      </c>
      <c r="K2473" s="13">
        <v>1953</v>
      </c>
      <c r="L2473" s="13">
        <v>38</v>
      </c>
      <c r="M2473" s="13">
        <v>751</v>
      </c>
      <c r="N2473" s="13">
        <v>252</v>
      </c>
      <c r="O2473" s="13">
        <v>33</v>
      </c>
      <c r="P2473" s="13">
        <v>2</v>
      </c>
      <c r="Q2473" s="13">
        <v>64</v>
      </c>
      <c r="R2473" s="13">
        <v>1</v>
      </c>
      <c r="S2473" s="13">
        <v>0</v>
      </c>
      <c r="T2473" s="23">
        <v>46247.770324074074</v>
      </c>
      <c r="U2473" s="55">
        <f t="shared" si="114"/>
        <v>1</v>
      </c>
      <c r="V2473" s="55">
        <f t="shared" si="115"/>
        <v>0</v>
      </c>
      <c r="W2473" s="56">
        <f t="shared" si="116"/>
        <v>1886.6666666666667</v>
      </c>
    </row>
    <row r="2474" spans="1:23" x14ac:dyDescent="0.3">
      <c r="A2474" s="13" t="str" cm="1">
        <f t="array" ref="A2474:B2474">INDEX(BenchmarkResults!$B$1:$D$35,SUMPRODUCT((T2474&gt;=BenchmarkResults!$F$3:$F$35)*(mongodb_hardware_log!T2474&lt;BenchmarkResults!$G$3:$G$35)*ROW(BenchmarkResults!$F$3:$F$35)),{1,3})</f>
        <v>q6_inactive_customers</v>
      </c>
      <c r="B2474">
        <v>1</v>
      </c>
      <c r="C2474" s="13">
        <v>1</v>
      </c>
      <c r="D2474" s="13">
        <v>0</v>
      </c>
      <c r="E2474" s="13">
        <v>201984</v>
      </c>
      <c r="F2474" s="13">
        <v>621456</v>
      </c>
      <c r="G2474" s="13">
        <v>4428</v>
      </c>
      <c r="H2474" s="13">
        <v>1772408</v>
      </c>
      <c r="I2474" s="13">
        <v>0</v>
      </c>
      <c r="J2474" s="13">
        <v>0</v>
      </c>
      <c r="K2474" s="13">
        <v>2023</v>
      </c>
      <c r="L2474" s="13">
        <v>5</v>
      </c>
      <c r="M2474" s="13">
        <v>820</v>
      </c>
      <c r="N2474" s="13">
        <v>327</v>
      </c>
      <c r="O2474" s="13">
        <v>33</v>
      </c>
      <c r="P2474" s="13">
        <v>1</v>
      </c>
      <c r="Q2474" s="13">
        <v>65</v>
      </c>
      <c r="R2474" s="13">
        <v>0</v>
      </c>
      <c r="S2474" s="13">
        <v>0</v>
      </c>
      <c r="T2474" s="23">
        <v>46247.770439814813</v>
      </c>
      <c r="U2474" s="55">
        <f t="shared" si="114"/>
        <v>1</v>
      </c>
      <c r="V2474" s="55">
        <f t="shared" si="115"/>
        <v>0</v>
      </c>
      <c r="W2474" s="56">
        <f t="shared" si="116"/>
        <v>1945.8333333333333</v>
      </c>
    </row>
    <row r="2475" spans="1:23" x14ac:dyDescent="0.3">
      <c r="A2475" s="13" t="str" cm="1">
        <f t="array" ref="A2475:B2475">INDEX(BenchmarkResults!$B$1:$D$35,SUMPRODUCT((T2475&gt;=BenchmarkResults!$F$3:$F$35)*(mongodb_hardware_log!T2475&lt;BenchmarkResults!$G$3:$G$35)*ROW(BenchmarkResults!$F$3:$F$35)),{1,3})</f>
        <v>q6_inactive_customers</v>
      </c>
      <c r="B2475">
        <v>1</v>
      </c>
      <c r="C2475" s="13">
        <v>1</v>
      </c>
      <c r="D2475" s="13">
        <v>0</v>
      </c>
      <c r="E2475" s="13">
        <v>199168</v>
      </c>
      <c r="F2475" s="13">
        <v>589452</v>
      </c>
      <c r="G2475" s="13">
        <v>4444</v>
      </c>
      <c r="H2475" s="13">
        <v>1802876</v>
      </c>
      <c r="I2475" s="13">
        <v>274</v>
      </c>
      <c r="J2475" s="13">
        <v>0</v>
      </c>
      <c r="K2475" s="13">
        <v>2321</v>
      </c>
      <c r="L2475" s="13">
        <v>2552</v>
      </c>
      <c r="M2475" s="13">
        <v>760</v>
      </c>
      <c r="N2475" s="13">
        <v>239</v>
      </c>
      <c r="O2475" s="13">
        <v>32</v>
      </c>
      <c r="P2475" s="13">
        <v>2</v>
      </c>
      <c r="Q2475" s="13">
        <v>63</v>
      </c>
      <c r="R2475" s="13">
        <v>3</v>
      </c>
      <c r="S2475" s="13">
        <v>0</v>
      </c>
      <c r="T2475" s="23">
        <v>46247.770555555559</v>
      </c>
      <c r="U2475" s="55">
        <f t="shared" si="114"/>
        <v>1</v>
      </c>
      <c r="V2475" s="55">
        <f t="shared" si="115"/>
        <v>0</v>
      </c>
      <c r="W2475" s="56">
        <f t="shared" si="116"/>
        <v>1998.5</v>
      </c>
    </row>
    <row r="2476" spans="1:23" x14ac:dyDescent="0.3">
      <c r="A2476" s="13" t="str" cm="1">
        <f t="array" ref="A2476:B2476">INDEX(BenchmarkResults!$B$1:$D$35,SUMPRODUCT((T2476&gt;=BenchmarkResults!$F$3:$F$35)*(mongodb_hardware_log!T2476&lt;BenchmarkResults!$G$3:$G$35)*ROW(BenchmarkResults!$F$3:$F$35)),{1,3})</f>
        <v>q6_inactive_customers</v>
      </c>
      <c r="B2476">
        <v>1</v>
      </c>
      <c r="C2476" s="13">
        <v>0</v>
      </c>
      <c r="D2476" s="13">
        <v>0</v>
      </c>
      <c r="E2476" s="13">
        <v>194816</v>
      </c>
      <c r="F2476" s="13">
        <v>562988</v>
      </c>
      <c r="G2476" s="13">
        <v>4468</v>
      </c>
      <c r="H2476" s="13">
        <v>1843152</v>
      </c>
      <c r="I2476" s="13">
        <v>458</v>
      </c>
      <c r="J2476" s="13">
        <v>0</v>
      </c>
      <c r="K2476" s="13">
        <v>4484</v>
      </c>
      <c r="L2476" s="13">
        <v>22</v>
      </c>
      <c r="M2476" s="13">
        <v>1685</v>
      </c>
      <c r="N2476" s="13">
        <v>565</v>
      </c>
      <c r="O2476" s="13">
        <v>15</v>
      </c>
      <c r="P2476" s="13">
        <v>4</v>
      </c>
      <c r="Q2476" s="13">
        <v>81</v>
      </c>
      <c r="R2476" s="13">
        <v>1</v>
      </c>
      <c r="S2476" s="13">
        <v>0</v>
      </c>
      <c r="T2476" s="23">
        <v>46247.770671296297</v>
      </c>
      <c r="U2476" s="55">
        <f t="shared" si="114"/>
        <v>0.83333333333333337</v>
      </c>
      <c r="V2476" s="55">
        <f t="shared" si="115"/>
        <v>0</v>
      </c>
      <c r="W2476" s="56">
        <f t="shared" si="116"/>
        <v>2387.6666666666665</v>
      </c>
    </row>
    <row r="2477" spans="1:23" x14ac:dyDescent="0.3">
      <c r="A2477" s="13" t="str" cm="1">
        <f t="array" ref="A2477:B2477">INDEX(BenchmarkResults!$B$1:$D$35,SUMPRODUCT((T2477&gt;=BenchmarkResults!$F$3:$F$35)*(mongodb_hardware_log!T2477&lt;BenchmarkResults!$G$3:$G$35)*ROW(BenchmarkResults!$F$3:$F$35)),{1,3})</f>
        <v>q6_inactive_customers</v>
      </c>
      <c r="B2477">
        <v>1</v>
      </c>
      <c r="C2477" s="13">
        <v>0</v>
      </c>
      <c r="D2477" s="13">
        <v>0</v>
      </c>
      <c r="E2477" s="13">
        <v>194816</v>
      </c>
      <c r="F2477" s="13">
        <v>527160</v>
      </c>
      <c r="G2477" s="13">
        <v>4484</v>
      </c>
      <c r="H2477" s="13">
        <v>1882260</v>
      </c>
      <c r="I2477" s="13">
        <v>0</v>
      </c>
      <c r="J2477" s="13">
        <v>0</v>
      </c>
      <c r="K2477" s="13">
        <v>3907</v>
      </c>
      <c r="L2477" s="13">
        <v>20</v>
      </c>
      <c r="M2477" s="13">
        <v>1521</v>
      </c>
      <c r="N2477" s="13">
        <v>479</v>
      </c>
      <c r="O2477" s="13">
        <v>14</v>
      </c>
      <c r="P2477" s="13">
        <v>3</v>
      </c>
      <c r="Q2477" s="13">
        <v>82</v>
      </c>
      <c r="R2477" s="13">
        <v>0</v>
      </c>
      <c r="S2477" s="13">
        <v>0</v>
      </c>
      <c r="T2477" s="23">
        <v>46247.770787037036</v>
      </c>
      <c r="U2477" s="55">
        <f t="shared" si="114"/>
        <v>0.66666666666666663</v>
      </c>
      <c r="V2477" s="55">
        <f t="shared" si="115"/>
        <v>0</v>
      </c>
      <c r="W2477" s="56">
        <f t="shared" si="116"/>
        <v>2708.1666666666665</v>
      </c>
    </row>
    <row r="2478" spans="1:23" x14ac:dyDescent="0.3">
      <c r="A2478" s="13" t="str" cm="1">
        <f t="array" ref="A2478:B2478">INDEX(BenchmarkResults!$B$1:$D$35,SUMPRODUCT((T2478&gt;=BenchmarkResults!$F$3:$F$35)*(mongodb_hardware_log!T2478&lt;BenchmarkResults!$G$3:$G$35)*ROW(BenchmarkResults!$F$3:$F$35)),{1,3})</f>
        <v>q6_inactive_customers</v>
      </c>
      <c r="B2478">
        <v>1</v>
      </c>
      <c r="C2478" s="13">
        <v>1</v>
      </c>
      <c r="D2478" s="13">
        <v>0</v>
      </c>
      <c r="E2478" s="13">
        <v>194816</v>
      </c>
      <c r="F2478" s="13">
        <v>483712</v>
      </c>
      <c r="G2478" s="13">
        <v>4508</v>
      </c>
      <c r="H2478" s="13">
        <v>1924508</v>
      </c>
      <c r="I2478" s="13">
        <v>0</v>
      </c>
      <c r="J2478" s="13">
        <v>0</v>
      </c>
      <c r="K2478" s="13">
        <v>4212</v>
      </c>
      <c r="L2478" s="13">
        <v>35</v>
      </c>
      <c r="M2478" s="13">
        <v>1629</v>
      </c>
      <c r="N2478" s="13">
        <v>503</v>
      </c>
      <c r="O2478" s="13">
        <v>15</v>
      </c>
      <c r="P2478" s="13">
        <v>4</v>
      </c>
      <c r="Q2478" s="13">
        <v>80</v>
      </c>
      <c r="R2478" s="13">
        <v>0</v>
      </c>
      <c r="S2478" s="13">
        <v>0</v>
      </c>
      <c r="T2478" s="23">
        <v>46247.770902777775</v>
      </c>
      <c r="U2478" s="55">
        <f t="shared" si="114"/>
        <v>0.66666666666666663</v>
      </c>
      <c r="V2478" s="55">
        <f t="shared" si="115"/>
        <v>0</v>
      </c>
      <c r="W2478" s="56">
        <f t="shared" si="116"/>
        <v>3150</v>
      </c>
    </row>
    <row r="2479" spans="1:23" x14ac:dyDescent="0.3">
      <c r="A2479" s="13" t="str" cm="1">
        <f t="array" ref="A2479:B2479">INDEX(BenchmarkResults!$B$1:$D$35,SUMPRODUCT((T2479&gt;=BenchmarkResults!$F$3:$F$35)*(mongodb_hardware_log!T2479&lt;BenchmarkResults!$G$3:$G$35)*ROW(BenchmarkResults!$F$3:$F$35)),{1,3})</f>
        <v>q6_inactive_customers</v>
      </c>
      <c r="B2479">
        <v>1</v>
      </c>
      <c r="C2479" s="13">
        <v>1</v>
      </c>
      <c r="D2479" s="13">
        <v>0</v>
      </c>
      <c r="E2479" s="13">
        <v>194560</v>
      </c>
      <c r="F2479" s="13">
        <v>438720</v>
      </c>
      <c r="G2479" s="13">
        <v>4564</v>
      </c>
      <c r="H2479" s="13">
        <v>1967644</v>
      </c>
      <c r="I2479" s="13">
        <v>51</v>
      </c>
      <c r="J2479" s="13">
        <v>0</v>
      </c>
      <c r="K2479" s="13">
        <v>4353</v>
      </c>
      <c r="L2479" s="13">
        <v>56</v>
      </c>
      <c r="M2479" s="13">
        <v>1761</v>
      </c>
      <c r="N2479" s="13">
        <v>564</v>
      </c>
      <c r="O2479" s="13">
        <v>15</v>
      </c>
      <c r="P2479" s="13">
        <v>4</v>
      </c>
      <c r="Q2479" s="13">
        <v>80</v>
      </c>
      <c r="R2479" s="13">
        <v>0</v>
      </c>
      <c r="S2479" s="13">
        <v>0</v>
      </c>
      <c r="T2479" s="23">
        <v>46247.771018518521</v>
      </c>
      <c r="U2479" s="55">
        <f t="shared" si="114"/>
        <v>0.66666666666666663</v>
      </c>
      <c r="V2479" s="55">
        <f t="shared" si="115"/>
        <v>0</v>
      </c>
      <c r="W2479" s="56">
        <f t="shared" si="116"/>
        <v>3550</v>
      </c>
    </row>
    <row r="2480" spans="1:23" x14ac:dyDescent="0.3">
      <c r="A2480" s="13" t="str" cm="1">
        <f t="array" ref="A2480:B2480">INDEX(BenchmarkResults!$B$1:$D$35,SUMPRODUCT((T2480&gt;=BenchmarkResults!$F$3:$F$35)*(mongodb_hardware_log!T2480&lt;BenchmarkResults!$G$3:$G$35)*ROW(BenchmarkResults!$F$3:$F$35)),{1,3})</f>
        <v>q6_inactive_customers</v>
      </c>
      <c r="B2480">
        <v>1</v>
      </c>
      <c r="C2480" s="13">
        <v>0</v>
      </c>
      <c r="D2480" s="13">
        <v>0</v>
      </c>
      <c r="E2480" s="13">
        <v>194560</v>
      </c>
      <c r="F2480" s="13">
        <v>400280</v>
      </c>
      <c r="G2480" s="13">
        <v>4588</v>
      </c>
      <c r="H2480" s="13">
        <v>2009016</v>
      </c>
      <c r="I2480" s="13">
        <v>0</v>
      </c>
      <c r="J2480" s="13">
        <v>0</v>
      </c>
      <c r="K2480" s="13">
        <v>4134</v>
      </c>
      <c r="L2480" s="13">
        <v>26</v>
      </c>
      <c r="M2480" s="13">
        <v>1673</v>
      </c>
      <c r="N2480" s="13">
        <v>524</v>
      </c>
      <c r="O2480" s="13">
        <v>15</v>
      </c>
      <c r="P2480" s="13">
        <v>4</v>
      </c>
      <c r="Q2480" s="13">
        <v>81</v>
      </c>
      <c r="R2480" s="13">
        <v>0</v>
      </c>
      <c r="S2480" s="13">
        <v>0</v>
      </c>
      <c r="T2480" s="23">
        <v>46247.771134259259</v>
      </c>
      <c r="U2480" s="55">
        <f t="shared" si="114"/>
        <v>0.5</v>
      </c>
      <c r="V2480" s="55">
        <f t="shared" si="115"/>
        <v>0</v>
      </c>
      <c r="W2480" s="56">
        <f t="shared" si="116"/>
        <v>3901.8333333333335</v>
      </c>
    </row>
    <row r="2481" spans="1:23" x14ac:dyDescent="0.3">
      <c r="A2481" s="13" t="str" cm="1">
        <f t="array" ref="A2481:B2481">INDEX(BenchmarkResults!$B$1:$D$35,SUMPRODUCT((T2481&gt;=BenchmarkResults!$F$3:$F$35)*(mongodb_hardware_log!T2481&lt;BenchmarkResults!$G$3:$G$35)*ROW(BenchmarkResults!$F$3:$F$35)),{1,3})</f>
        <v>q6_inactive_customers</v>
      </c>
      <c r="B2481">
        <v>1</v>
      </c>
      <c r="C2481" s="13">
        <v>1</v>
      </c>
      <c r="D2481" s="13">
        <v>0</v>
      </c>
      <c r="E2481" s="13">
        <v>194560</v>
      </c>
      <c r="F2481" s="13">
        <v>360064</v>
      </c>
      <c r="G2481" s="13">
        <v>4612</v>
      </c>
      <c r="H2481" s="13">
        <v>2049752</v>
      </c>
      <c r="I2481" s="13">
        <v>1</v>
      </c>
      <c r="J2481" s="13">
        <v>0</v>
      </c>
      <c r="K2481" s="13">
        <v>4071</v>
      </c>
      <c r="L2481" s="13">
        <v>21</v>
      </c>
      <c r="M2481" s="13">
        <v>1672</v>
      </c>
      <c r="N2481" s="13">
        <v>512</v>
      </c>
      <c r="O2481" s="13">
        <v>15</v>
      </c>
      <c r="P2481" s="13">
        <v>4</v>
      </c>
      <c r="Q2481" s="13">
        <v>81</v>
      </c>
      <c r="R2481" s="13">
        <v>0</v>
      </c>
      <c r="S2481" s="13">
        <v>0</v>
      </c>
      <c r="T2481" s="23">
        <v>46247.771249999998</v>
      </c>
      <c r="U2481" s="55">
        <f t="shared" si="114"/>
        <v>0.5</v>
      </c>
      <c r="V2481" s="55">
        <f t="shared" si="115"/>
        <v>0</v>
      </c>
      <c r="W2481" s="56">
        <f t="shared" si="116"/>
        <v>4193.5</v>
      </c>
    </row>
    <row r="2482" spans="1:23" x14ac:dyDescent="0.3">
      <c r="A2482" s="13" t="str" cm="1">
        <f t="array" ref="A2482:B2482">INDEX(BenchmarkResults!$B$1:$D$35,SUMPRODUCT((T2482&gt;=BenchmarkResults!$F$3:$F$35)*(mongodb_hardware_log!T2482&lt;BenchmarkResults!$G$3:$G$35)*ROW(BenchmarkResults!$F$3:$F$35)),{1,3})</f>
        <v>q6_inactive_customers</v>
      </c>
      <c r="B2482">
        <v>1</v>
      </c>
      <c r="C2482" s="13">
        <v>1</v>
      </c>
      <c r="D2482" s="13">
        <v>0</v>
      </c>
      <c r="E2482" s="13">
        <v>194560</v>
      </c>
      <c r="F2482" s="13">
        <v>315268</v>
      </c>
      <c r="G2482" s="13">
        <v>4636</v>
      </c>
      <c r="H2482" s="13">
        <v>2094296</v>
      </c>
      <c r="I2482" s="13">
        <v>0</v>
      </c>
      <c r="J2482" s="13">
        <v>0</v>
      </c>
      <c r="K2482" s="13">
        <v>4454</v>
      </c>
      <c r="L2482" s="13">
        <v>20</v>
      </c>
      <c r="M2482" s="13">
        <v>1710</v>
      </c>
      <c r="N2482" s="13">
        <v>511</v>
      </c>
      <c r="O2482" s="13">
        <v>16</v>
      </c>
      <c r="P2482" s="13">
        <v>4</v>
      </c>
      <c r="Q2482" s="13">
        <v>80</v>
      </c>
      <c r="R2482" s="13">
        <v>0</v>
      </c>
      <c r="S2482" s="13">
        <v>0</v>
      </c>
      <c r="T2482" s="23">
        <v>46247.771365740744</v>
      </c>
      <c r="U2482" s="55">
        <f t="shared" si="114"/>
        <v>0.66666666666666663</v>
      </c>
      <c r="V2482" s="55">
        <f t="shared" si="115"/>
        <v>0</v>
      </c>
      <c r="W2482" s="56">
        <f t="shared" si="116"/>
        <v>4188.5</v>
      </c>
    </row>
    <row r="2483" spans="1:23" x14ac:dyDescent="0.3">
      <c r="A2483" s="13" t="str" cm="1">
        <f t="array" ref="A2483:B2483">INDEX(BenchmarkResults!$B$1:$D$35,SUMPRODUCT((T2483&gt;=BenchmarkResults!$F$3:$F$35)*(mongodb_hardware_log!T2483&lt;BenchmarkResults!$G$3:$G$35)*ROW(BenchmarkResults!$F$3:$F$35)),{1,3})</f>
        <v>q6_inactive_customers</v>
      </c>
      <c r="B2483">
        <v>1</v>
      </c>
      <c r="C2483" s="13">
        <v>0</v>
      </c>
      <c r="D2483" s="13">
        <v>0</v>
      </c>
      <c r="E2483" s="13">
        <v>194560</v>
      </c>
      <c r="F2483" s="13">
        <v>274116</v>
      </c>
      <c r="G2483" s="13">
        <v>4660</v>
      </c>
      <c r="H2483" s="13">
        <v>2135700</v>
      </c>
      <c r="I2483" s="13">
        <v>0</v>
      </c>
      <c r="J2483" s="13">
        <v>0</v>
      </c>
      <c r="K2483" s="13">
        <v>4134</v>
      </c>
      <c r="L2483" s="13">
        <v>35</v>
      </c>
      <c r="M2483" s="13">
        <v>1745</v>
      </c>
      <c r="N2483" s="13">
        <v>539</v>
      </c>
      <c r="O2483" s="13">
        <v>15</v>
      </c>
      <c r="P2483" s="13">
        <v>4</v>
      </c>
      <c r="Q2483" s="13">
        <v>80</v>
      </c>
      <c r="R2483" s="13">
        <v>0</v>
      </c>
      <c r="S2483" s="13">
        <v>0</v>
      </c>
      <c r="T2483" s="23">
        <v>46247.771481481483</v>
      </c>
      <c r="U2483" s="55">
        <f t="shared" si="114"/>
        <v>0.66666666666666663</v>
      </c>
      <c r="V2483" s="55">
        <f t="shared" si="115"/>
        <v>0</v>
      </c>
      <c r="W2483" s="56">
        <f t="shared" si="116"/>
        <v>4226.333333333333</v>
      </c>
    </row>
    <row r="2484" spans="1:23" x14ac:dyDescent="0.3">
      <c r="A2484" s="13" t="str" cm="1">
        <f t="array" ref="A2484:B2484">INDEX(BenchmarkResults!$B$1:$D$35,SUMPRODUCT((T2484&gt;=BenchmarkResults!$F$3:$F$35)*(mongodb_hardware_log!T2484&lt;BenchmarkResults!$G$3:$G$35)*ROW(BenchmarkResults!$F$3:$F$35)),{1,3})</f>
        <v>q6_inactive_customers</v>
      </c>
      <c r="B2484">
        <v>1</v>
      </c>
      <c r="C2484" s="13">
        <v>1</v>
      </c>
      <c r="D2484" s="13">
        <v>0</v>
      </c>
      <c r="E2484" s="13">
        <v>194560</v>
      </c>
      <c r="F2484" s="13">
        <v>229528</v>
      </c>
      <c r="G2484" s="13">
        <v>4684</v>
      </c>
      <c r="H2484" s="13">
        <v>2176308</v>
      </c>
      <c r="I2484" s="13">
        <v>0</v>
      </c>
      <c r="J2484" s="13">
        <v>0</v>
      </c>
      <c r="K2484" s="13">
        <v>4058</v>
      </c>
      <c r="L2484" s="13">
        <v>21</v>
      </c>
      <c r="M2484" s="13">
        <v>1677</v>
      </c>
      <c r="N2484" s="13">
        <v>512</v>
      </c>
      <c r="O2484" s="13">
        <v>15</v>
      </c>
      <c r="P2484" s="13">
        <v>4</v>
      </c>
      <c r="Q2484" s="13">
        <v>81</v>
      </c>
      <c r="R2484" s="13">
        <v>0</v>
      </c>
      <c r="S2484" s="13">
        <v>0</v>
      </c>
      <c r="T2484" s="23">
        <v>46247.771597222221</v>
      </c>
      <c r="U2484" s="55">
        <f t="shared" si="114"/>
        <v>0.66666666666666663</v>
      </c>
      <c r="V2484" s="55">
        <f t="shared" si="115"/>
        <v>0</v>
      </c>
      <c r="W2484" s="56">
        <f t="shared" si="116"/>
        <v>4200.666666666667</v>
      </c>
    </row>
    <row r="2485" spans="1:23" x14ac:dyDescent="0.3">
      <c r="A2485" s="13" t="str" cm="1">
        <f t="array" ref="A2485:B2485">INDEX(BenchmarkResults!$B$1:$D$35,SUMPRODUCT((T2485&gt;=BenchmarkResults!$F$3:$F$35)*(mongodb_hardware_log!T2485&lt;BenchmarkResults!$G$3:$G$35)*ROW(BenchmarkResults!$F$3:$F$35)),{1,3})</f>
        <v>q6_inactive_customers</v>
      </c>
      <c r="B2485">
        <v>1</v>
      </c>
      <c r="C2485" s="13">
        <v>1</v>
      </c>
      <c r="D2485" s="13">
        <v>0</v>
      </c>
      <c r="E2485" s="13">
        <v>194560</v>
      </c>
      <c r="F2485" s="13">
        <v>189836</v>
      </c>
      <c r="G2485" s="13">
        <v>4740</v>
      </c>
      <c r="H2485" s="13">
        <v>2217944</v>
      </c>
      <c r="I2485" s="13">
        <v>10</v>
      </c>
      <c r="J2485" s="13">
        <v>0</v>
      </c>
      <c r="K2485" s="13">
        <v>4170</v>
      </c>
      <c r="L2485" s="13">
        <v>47</v>
      </c>
      <c r="M2485" s="13">
        <v>1694</v>
      </c>
      <c r="N2485" s="13">
        <v>531</v>
      </c>
      <c r="O2485" s="13">
        <v>15</v>
      </c>
      <c r="P2485" s="13">
        <v>3</v>
      </c>
      <c r="Q2485" s="13">
        <v>81</v>
      </c>
      <c r="R2485" s="13">
        <v>0</v>
      </c>
      <c r="S2485" s="13">
        <v>0</v>
      </c>
      <c r="T2485" s="23">
        <v>46247.77171296296</v>
      </c>
      <c r="U2485" s="55">
        <f t="shared" si="114"/>
        <v>0.66666666666666663</v>
      </c>
      <c r="V2485" s="55">
        <f t="shared" si="115"/>
        <v>0</v>
      </c>
      <c r="W2485" s="56">
        <f t="shared" si="116"/>
        <v>4170.166666666667</v>
      </c>
    </row>
    <row r="2486" spans="1:23" x14ac:dyDescent="0.3">
      <c r="A2486" s="13" t="str" cm="1">
        <f t="array" ref="A2486:B2486">INDEX(BenchmarkResults!$B$1:$D$35,SUMPRODUCT((T2486&gt;=BenchmarkResults!$F$3:$F$35)*(mongodb_hardware_log!T2486&lt;BenchmarkResults!$G$3:$G$35)*ROW(BenchmarkResults!$F$3:$F$35)),{1,3})</f>
        <v>q6_inactive_customers</v>
      </c>
      <c r="B2486">
        <v>1</v>
      </c>
      <c r="C2486" s="13">
        <v>1</v>
      </c>
      <c r="D2486" s="13">
        <v>0</v>
      </c>
      <c r="E2486" s="13">
        <v>194560</v>
      </c>
      <c r="F2486" s="13">
        <v>149272</v>
      </c>
      <c r="G2486" s="13">
        <v>4764</v>
      </c>
      <c r="H2486" s="13">
        <v>2259688</v>
      </c>
      <c r="I2486" s="13">
        <v>1</v>
      </c>
      <c r="J2486" s="13">
        <v>0</v>
      </c>
      <c r="K2486" s="13">
        <v>4172</v>
      </c>
      <c r="L2486" s="13">
        <v>30</v>
      </c>
      <c r="M2486" s="13">
        <v>1655</v>
      </c>
      <c r="N2486" s="13">
        <v>539</v>
      </c>
      <c r="O2486" s="13">
        <v>15</v>
      </c>
      <c r="P2486" s="13">
        <v>3</v>
      </c>
      <c r="Q2486" s="13">
        <v>81</v>
      </c>
      <c r="R2486" s="13">
        <v>0</v>
      </c>
      <c r="S2486" s="13">
        <v>0</v>
      </c>
      <c r="T2486" s="23">
        <v>46247.771828703706</v>
      </c>
      <c r="U2486" s="55">
        <f t="shared" si="114"/>
        <v>0.83333333333333337</v>
      </c>
      <c r="V2486" s="55">
        <f t="shared" si="115"/>
        <v>0</v>
      </c>
      <c r="W2486" s="56">
        <f t="shared" si="116"/>
        <v>4176.5</v>
      </c>
    </row>
    <row r="2487" spans="1:23" x14ac:dyDescent="0.3">
      <c r="A2487" s="13" t="str" cm="1">
        <f t="array" ref="A2487:B2487">INDEX(BenchmarkResults!$B$1:$D$35,SUMPRODUCT((T2487&gt;=BenchmarkResults!$F$3:$F$35)*(mongodb_hardware_log!T2487&lt;BenchmarkResults!$G$3:$G$35)*ROW(BenchmarkResults!$F$3:$F$35)),{1,3})</f>
        <v>q6_inactive_customers</v>
      </c>
      <c r="B2487">
        <v>2</v>
      </c>
      <c r="C2487" s="13">
        <v>2</v>
      </c>
      <c r="D2487" s="13">
        <v>0</v>
      </c>
      <c r="E2487" s="13">
        <v>194560</v>
      </c>
      <c r="F2487" s="13">
        <v>816080</v>
      </c>
      <c r="G2487" s="13">
        <v>4788</v>
      </c>
      <c r="H2487" s="13">
        <v>1592908</v>
      </c>
      <c r="I2487" s="13">
        <v>6</v>
      </c>
      <c r="J2487" s="13">
        <v>0</v>
      </c>
      <c r="K2487" s="13">
        <v>3513</v>
      </c>
      <c r="L2487" s="13">
        <v>19</v>
      </c>
      <c r="M2487" s="13">
        <v>1633</v>
      </c>
      <c r="N2487" s="13">
        <v>551</v>
      </c>
      <c r="O2487" s="13">
        <v>35</v>
      </c>
      <c r="P2487" s="13">
        <v>3</v>
      </c>
      <c r="Q2487" s="13">
        <v>62</v>
      </c>
      <c r="R2487" s="13">
        <v>0</v>
      </c>
      <c r="S2487" s="13">
        <v>0</v>
      </c>
      <c r="T2487" s="23">
        <v>46247.771944444445</v>
      </c>
      <c r="U2487" s="55">
        <f t="shared" si="114"/>
        <v>1</v>
      </c>
      <c r="V2487" s="55">
        <f t="shared" si="115"/>
        <v>0</v>
      </c>
      <c r="W2487" s="56">
        <f t="shared" si="116"/>
        <v>4083.5</v>
      </c>
    </row>
    <row r="2488" spans="1:23" x14ac:dyDescent="0.3">
      <c r="A2488" s="13" t="str" cm="1">
        <f t="array" ref="A2488:B2488">INDEX(BenchmarkResults!$B$1:$D$35,SUMPRODUCT((T2488&gt;=BenchmarkResults!$F$3:$F$35)*(mongodb_hardware_log!T2488&lt;BenchmarkResults!$G$3:$G$35)*ROW(BenchmarkResults!$F$3:$F$35)),{1,3})</f>
        <v>q6_inactive_customers</v>
      </c>
      <c r="B2488">
        <v>2</v>
      </c>
      <c r="C2488" s="13">
        <v>1</v>
      </c>
      <c r="D2488" s="13">
        <v>0</v>
      </c>
      <c r="E2488" s="13">
        <v>194560</v>
      </c>
      <c r="F2488" s="13">
        <v>776012</v>
      </c>
      <c r="G2488" s="13">
        <v>4796</v>
      </c>
      <c r="H2488" s="13">
        <v>1632068</v>
      </c>
      <c r="I2488" s="13">
        <v>0</v>
      </c>
      <c r="J2488" s="13">
        <v>0</v>
      </c>
      <c r="K2488" s="13">
        <v>3912</v>
      </c>
      <c r="L2488" s="13">
        <v>6</v>
      </c>
      <c r="M2488" s="13">
        <v>1400</v>
      </c>
      <c r="N2488" s="13">
        <v>353</v>
      </c>
      <c r="O2488" s="13">
        <v>49</v>
      </c>
      <c r="P2488" s="13">
        <v>1</v>
      </c>
      <c r="Q2488" s="13">
        <v>49</v>
      </c>
      <c r="R2488" s="13">
        <v>1</v>
      </c>
      <c r="S2488" s="13">
        <v>0</v>
      </c>
      <c r="T2488" s="23">
        <v>46247.772060185183</v>
      </c>
      <c r="U2488" s="55">
        <f t="shared" si="114"/>
        <v>1</v>
      </c>
      <c r="V2488" s="55">
        <f t="shared" si="115"/>
        <v>0</v>
      </c>
      <c r="W2488" s="56">
        <f t="shared" si="116"/>
        <v>3993.1666666666665</v>
      </c>
    </row>
    <row r="2489" spans="1:23" x14ac:dyDescent="0.3">
      <c r="A2489" s="13" t="str" cm="1">
        <f t="array" ref="A2489:B2489">INDEX(BenchmarkResults!$B$1:$D$35,SUMPRODUCT((T2489&gt;=BenchmarkResults!$F$3:$F$35)*(mongodb_hardware_log!T2489&lt;BenchmarkResults!$G$3:$G$35)*ROW(BenchmarkResults!$F$3:$F$35)),{1,3})</f>
        <v>q6_inactive_customers</v>
      </c>
      <c r="B2489">
        <v>2</v>
      </c>
      <c r="C2489" s="13">
        <v>1</v>
      </c>
      <c r="D2489" s="13">
        <v>0</v>
      </c>
      <c r="E2489" s="13">
        <v>194560</v>
      </c>
      <c r="F2489" s="13">
        <v>728384</v>
      </c>
      <c r="G2489" s="13">
        <v>4812</v>
      </c>
      <c r="H2489" s="13">
        <v>1672188</v>
      </c>
      <c r="I2489" s="13">
        <v>0</v>
      </c>
      <c r="J2489" s="13">
        <v>0</v>
      </c>
      <c r="K2489" s="13">
        <v>4007</v>
      </c>
      <c r="L2489" s="13">
        <v>28</v>
      </c>
      <c r="M2489" s="13">
        <v>1561</v>
      </c>
      <c r="N2489" s="13">
        <v>516</v>
      </c>
      <c r="O2489" s="13">
        <v>49</v>
      </c>
      <c r="P2489" s="13">
        <v>1</v>
      </c>
      <c r="Q2489" s="13">
        <v>48</v>
      </c>
      <c r="R2489" s="13">
        <v>1</v>
      </c>
      <c r="S2489" s="13">
        <v>1</v>
      </c>
      <c r="T2489" s="23">
        <v>46247.772175925929</v>
      </c>
      <c r="U2489" s="55">
        <f t="shared" si="114"/>
        <v>1.1666666666666667</v>
      </c>
      <c r="V2489" s="55">
        <f t="shared" si="115"/>
        <v>0</v>
      </c>
      <c r="W2489" s="56">
        <f t="shared" si="116"/>
        <v>3972</v>
      </c>
    </row>
    <row r="2490" spans="1:23" x14ac:dyDescent="0.3">
      <c r="A2490" s="13" t="str" cm="1">
        <f t="array" ref="A2490:B2490">INDEX(BenchmarkResults!$B$1:$D$35,SUMPRODUCT((T2490&gt;=BenchmarkResults!$F$3:$F$35)*(mongodb_hardware_log!T2490&lt;BenchmarkResults!$G$3:$G$35)*ROW(BenchmarkResults!$F$3:$F$35)),{1,3})</f>
        <v>q6_inactive_customers</v>
      </c>
      <c r="B2490">
        <v>2</v>
      </c>
      <c r="C2490" s="13">
        <v>1</v>
      </c>
      <c r="D2490" s="13">
        <v>0</v>
      </c>
      <c r="E2490" s="13">
        <v>194560</v>
      </c>
      <c r="F2490" s="13">
        <v>690836</v>
      </c>
      <c r="G2490" s="13">
        <v>4820</v>
      </c>
      <c r="H2490" s="13">
        <v>1719428</v>
      </c>
      <c r="I2490" s="13">
        <v>0</v>
      </c>
      <c r="J2490" s="13">
        <v>0</v>
      </c>
      <c r="K2490" s="13">
        <v>3152</v>
      </c>
      <c r="L2490" s="13">
        <v>8</v>
      </c>
      <c r="M2490" s="13">
        <v>1371</v>
      </c>
      <c r="N2490" s="13">
        <v>317</v>
      </c>
      <c r="O2490" s="13">
        <v>49</v>
      </c>
      <c r="P2490" s="13">
        <v>1</v>
      </c>
      <c r="Q2490" s="13">
        <v>49</v>
      </c>
      <c r="R2490" s="13">
        <v>1</v>
      </c>
      <c r="S2490" s="13">
        <v>1</v>
      </c>
      <c r="T2490" s="23">
        <v>46247.772291666668</v>
      </c>
      <c r="U2490" s="55">
        <f t="shared" si="114"/>
        <v>1.1666666666666667</v>
      </c>
      <c r="V2490" s="55">
        <f t="shared" si="115"/>
        <v>0</v>
      </c>
      <c r="W2490" s="56">
        <f t="shared" si="116"/>
        <v>3821</v>
      </c>
    </row>
    <row r="2491" spans="1:23" x14ac:dyDescent="0.3">
      <c r="A2491" s="13" t="str" cm="1">
        <f t="array" ref="A2491:B2491">INDEX(BenchmarkResults!$B$1:$D$35,SUMPRODUCT((T2491&gt;=BenchmarkResults!$F$3:$F$35)*(mongodb_hardware_log!T2491&lt;BenchmarkResults!$G$3:$G$35)*ROW(BenchmarkResults!$F$3:$F$35)),{1,3})</f>
        <v>q6_inactive_customers</v>
      </c>
      <c r="B2491">
        <v>2</v>
      </c>
      <c r="C2491" s="13">
        <v>1</v>
      </c>
      <c r="D2491" s="13">
        <v>0</v>
      </c>
      <c r="E2491" s="13">
        <v>194560</v>
      </c>
      <c r="F2491" s="13">
        <v>651524</v>
      </c>
      <c r="G2491" s="13">
        <v>4876</v>
      </c>
      <c r="H2491" s="13">
        <v>1759728</v>
      </c>
      <c r="I2491" s="13">
        <v>0</v>
      </c>
      <c r="J2491" s="13">
        <v>0</v>
      </c>
      <c r="K2491" s="13">
        <v>4031</v>
      </c>
      <c r="L2491" s="13">
        <v>45</v>
      </c>
      <c r="M2491" s="13">
        <v>1632</v>
      </c>
      <c r="N2491" s="13">
        <v>611</v>
      </c>
      <c r="O2491" s="13">
        <v>49</v>
      </c>
      <c r="P2491" s="13">
        <v>1</v>
      </c>
      <c r="Q2491" s="13">
        <v>48</v>
      </c>
      <c r="R2491" s="13">
        <v>1</v>
      </c>
      <c r="S2491" s="13">
        <v>0</v>
      </c>
      <c r="T2491" s="23">
        <v>46247.772407407407</v>
      </c>
      <c r="U2491" s="55">
        <f t="shared" si="114"/>
        <v>1.1666666666666667</v>
      </c>
      <c r="V2491" s="55">
        <f t="shared" si="115"/>
        <v>0</v>
      </c>
      <c r="W2491" s="56">
        <f t="shared" si="116"/>
        <v>3797.8333333333335</v>
      </c>
    </row>
    <row r="2492" spans="1:23" x14ac:dyDescent="0.3">
      <c r="A2492" s="13" t="str" cm="1">
        <f t="array" ref="A2492:B2492">INDEX(BenchmarkResults!$B$1:$D$35,SUMPRODUCT((T2492&gt;=BenchmarkResults!$F$3:$F$35)*(mongodb_hardware_log!T2492&lt;BenchmarkResults!$G$3:$G$35)*ROW(BenchmarkResults!$F$3:$F$35)),{1,3})</f>
        <v>q6_inactive_customers</v>
      </c>
      <c r="B2492">
        <v>2</v>
      </c>
      <c r="C2492" s="13">
        <v>1</v>
      </c>
      <c r="D2492" s="13">
        <v>0</v>
      </c>
      <c r="E2492" s="13">
        <v>194560</v>
      </c>
      <c r="F2492" s="13">
        <v>640436</v>
      </c>
      <c r="G2492" s="13">
        <v>4876</v>
      </c>
      <c r="H2492" s="13">
        <v>1767696</v>
      </c>
      <c r="I2492" s="13">
        <v>0</v>
      </c>
      <c r="J2492" s="13">
        <v>0</v>
      </c>
      <c r="K2492" s="13">
        <v>4195</v>
      </c>
      <c r="L2492" s="13">
        <v>40</v>
      </c>
      <c r="M2492" s="13">
        <v>1636</v>
      </c>
      <c r="N2492" s="13">
        <v>609</v>
      </c>
      <c r="O2492" s="13">
        <v>49</v>
      </c>
      <c r="P2492" s="13">
        <v>1</v>
      </c>
      <c r="Q2492" s="13">
        <v>48</v>
      </c>
      <c r="R2492" s="13">
        <v>1</v>
      </c>
      <c r="S2492" s="13">
        <v>0</v>
      </c>
      <c r="T2492" s="23">
        <v>46247.772430555553</v>
      </c>
      <c r="U2492" s="55">
        <f t="shared" si="114"/>
        <v>1.1666666666666667</v>
      </c>
      <c r="V2492" s="55">
        <f t="shared" si="115"/>
        <v>0</v>
      </c>
      <c r="W2492" s="56">
        <f t="shared" si="116"/>
        <v>3801.6666666666665</v>
      </c>
    </row>
    <row r="2493" spans="1:23" x14ac:dyDescent="0.3">
      <c r="A2493" s="13" t="str" cm="1">
        <f t="array" ref="A2493:B2493">INDEX(BenchmarkResults!$B$1:$D$35,SUMPRODUCT((T2493&gt;=BenchmarkResults!$F$3:$F$35)*(mongodb_hardware_log!T2493&lt;BenchmarkResults!$G$3:$G$35)*ROW(BenchmarkResults!$F$3:$F$35)),{1,3})</f>
        <v>q6_inactive_customers</v>
      </c>
      <c r="B2493">
        <v>2</v>
      </c>
      <c r="C2493" s="13">
        <v>1</v>
      </c>
      <c r="D2493" s="13">
        <v>0</v>
      </c>
      <c r="E2493" s="13">
        <v>194560</v>
      </c>
      <c r="F2493" s="13">
        <v>601124</v>
      </c>
      <c r="G2493" s="13">
        <v>4884</v>
      </c>
      <c r="H2493" s="13">
        <v>1807240</v>
      </c>
      <c r="I2493" s="13">
        <v>0</v>
      </c>
      <c r="J2493" s="13">
        <v>0</v>
      </c>
      <c r="K2493" s="13">
        <v>3178</v>
      </c>
      <c r="L2493" s="13">
        <v>7</v>
      </c>
      <c r="M2493" s="13">
        <v>1358</v>
      </c>
      <c r="N2493" s="13">
        <v>308</v>
      </c>
      <c r="O2493" s="13">
        <v>50</v>
      </c>
      <c r="P2493" s="13">
        <v>1</v>
      </c>
      <c r="Q2493" s="13">
        <v>49</v>
      </c>
      <c r="R2493" s="13">
        <v>0</v>
      </c>
      <c r="S2493" s="13">
        <v>0</v>
      </c>
      <c r="T2493" s="23">
        <v>46247.772523148145</v>
      </c>
      <c r="U2493" s="55">
        <f t="shared" si="114"/>
        <v>1</v>
      </c>
      <c r="V2493" s="55">
        <f t="shared" si="115"/>
        <v>0</v>
      </c>
      <c r="W2493" s="56">
        <f t="shared" si="116"/>
        <v>3745.8333333333335</v>
      </c>
    </row>
    <row r="2494" spans="1:23" x14ac:dyDescent="0.3">
      <c r="A2494" s="13" t="str" cm="1">
        <f t="array" ref="A2494:B2494">INDEX(BenchmarkResults!$B$1:$D$35,SUMPRODUCT((T2494&gt;=BenchmarkResults!$F$3:$F$35)*(mongodb_hardware_log!T2494&lt;BenchmarkResults!$G$3:$G$35)*ROW(BenchmarkResults!$F$3:$F$35)),{1,3})</f>
        <v>q6_inactive_customers</v>
      </c>
      <c r="B2494">
        <v>2</v>
      </c>
      <c r="C2494" s="13">
        <v>1</v>
      </c>
      <c r="D2494" s="13">
        <v>0</v>
      </c>
      <c r="E2494" s="13">
        <v>194560</v>
      </c>
      <c r="F2494" s="13">
        <v>593060</v>
      </c>
      <c r="G2494" s="13">
        <v>4884</v>
      </c>
      <c r="H2494" s="13">
        <v>1814012</v>
      </c>
      <c r="I2494" s="13">
        <v>0</v>
      </c>
      <c r="J2494" s="13">
        <v>0</v>
      </c>
      <c r="K2494" s="13">
        <v>3056</v>
      </c>
      <c r="L2494" s="13">
        <v>7</v>
      </c>
      <c r="M2494" s="13">
        <v>1356</v>
      </c>
      <c r="N2494" s="13">
        <v>310</v>
      </c>
      <c r="O2494" s="13">
        <v>50</v>
      </c>
      <c r="P2494" s="13">
        <v>1</v>
      </c>
      <c r="Q2494" s="13">
        <v>49</v>
      </c>
      <c r="R2494" s="13">
        <v>0</v>
      </c>
      <c r="S2494" s="13">
        <v>0</v>
      </c>
      <c r="T2494" s="23">
        <v>46247.772546296299</v>
      </c>
      <c r="U2494" s="55">
        <f t="shared" si="114"/>
        <v>1</v>
      </c>
      <c r="V2494" s="55">
        <f t="shared" si="115"/>
        <v>0</v>
      </c>
      <c r="W2494" s="56">
        <f t="shared" si="116"/>
        <v>3603.1666666666665</v>
      </c>
    </row>
    <row r="2495" spans="1:23" x14ac:dyDescent="0.3">
      <c r="A2495" s="13" t="str" cm="1">
        <f t="array" ref="A2495:B2495">INDEX(BenchmarkResults!$B$1:$D$35,SUMPRODUCT((T2495&gt;=BenchmarkResults!$F$3:$F$35)*(mongodb_hardware_log!T2495&lt;BenchmarkResults!$G$3:$G$35)*ROW(BenchmarkResults!$F$3:$F$35)),{1,3})</f>
        <v>q6_inactive_customers</v>
      </c>
      <c r="B2495">
        <v>2</v>
      </c>
      <c r="C2495" s="13">
        <v>1</v>
      </c>
      <c r="D2495" s="13">
        <v>0</v>
      </c>
      <c r="E2495" s="13">
        <v>194560</v>
      </c>
      <c r="F2495" s="13">
        <v>561560</v>
      </c>
      <c r="G2495" s="13">
        <v>4900</v>
      </c>
      <c r="H2495" s="13">
        <v>1842260</v>
      </c>
      <c r="I2495" s="13">
        <v>0</v>
      </c>
      <c r="J2495" s="13">
        <v>0</v>
      </c>
      <c r="K2495" s="13">
        <v>3507</v>
      </c>
      <c r="L2495" s="13">
        <v>3174</v>
      </c>
      <c r="M2495" s="13">
        <v>1512</v>
      </c>
      <c r="N2495" s="13">
        <v>459</v>
      </c>
      <c r="O2495" s="13">
        <v>50</v>
      </c>
      <c r="P2495" s="13">
        <v>1</v>
      </c>
      <c r="Q2495" s="13">
        <v>47</v>
      </c>
      <c r="R2495" s="13">
        <v>1</v>
      </c>
      <c r="S2495" s="13">
        <v>0</v>
      </c>
      <c r="T2495" s="23">
        <v>46247.772638888891</v>
      </c>
      <c r="U2495" s="55">
        <f t="shared" si="114"/>
        <v>1</v>
      </c>
      <c r="V2495" s="55">
        <f t="shared" si="115"/>
        <v>0</v>
      </c>
      <c r="W2495" s="56">
        <f t="shared" si="116"/>
        <v>3519.8333333333335</v>
      </c>
    </row>
    <row r="2496" spans="1:23" x14ac:dyDescent="0.3">
      <c r="A2496" s="13" t="str" cm="1">
        <f t="array" ref="A2496:B2496">INDEX(BenchmarkResults!$B$1:$D$35,SUMPRODUCT((T2496&gt;=BenchmarkResults!$F$3:$F$35)*(mongodb_hardware_log!T2496&lt;BenchmarkResults!$G$3:$G$35)*ROW(BenchmarkResults!$F$3:$F$35)),{1,3})</f>
        <v>q6_inactive_customers</v>
      </c>
      <c r="B2496">
        <v>2</v>
      </c>
      <c r="C2496" s="13">
        <v>1</v>
      </c>
      <c r="D2496" s="13">
        <v>0</v>
      </c>
      <c r="E2496" s="13">
        <v>194560</v>
      </c>
      <c r="F2496" s="13">
        <v>559796</v>
      </c>
      <c r="G2496" s="13">
        <v>4900</v>
      </c>
      <c r="H2496" s="13">
        <v>1849136</v>
      </c>
      <c r="I2496" s="13">
        <v>0</v>
      </c>
      <c r="J2496" s="13">
        <v>0</v>
      </c>
      <c r="K2496" s="13">
        <v>3515</v>
      </c>
      <c r="L2496" s="13">
        <v>3174</v>
      </c>
      <c r="M2496" s="13">
        <v>1510</v>
      </c>
      <c r="N2496" s="13">
        <v>456</v>
      </c>
      <c r="O2496" s="13">
        <v>50</v>
      </c>
      <c r="P2496" s="13">
        <v>1</v>
      </c>
      <c r="Q2496" s="13">
        <v>47</v>
      </c>
      <c r="R2496" s="13">
        <v>1</v>
      </c>
      <c r="S2496" s="13">
        <v>0</v>
      </c>
      <c r="T2496" s="23">
        <v>46247.772662037038</v>
      </c>
      <c r="U2496" s="55">
        <f t="shared" si="114"/>
        <v>1</v>
      </c>
      <c r="V2496" s="55">
        <f t="shared" si="115"/>
        <v>0</v>
      </c>
      <c r="W2496" s="56">
        <f t="shared" si="116"/>
        <v>3580.3333333333335</v>
      </c>
    </row>
    <row r="2497" spans="1:23" x14ac:dyDescent="0.3">
      <c r="A2497" s="13" t="str" cm="1">
        <f t="array" ref="A2497:B2497">INDEX(BenchmarkResults!$B$1:$D$35,SUMPRODUCT((T2497&gt;=BenchmarkResults!$F$3:$F$35)*(mongodb_hardware_log!T2497&lt;BenchmarkResults!$G$3:$G$35)*ROW(BenchmarkResults!$F$3:$F$35)),{1,3})</f>
        <v>q6_inactive_customers</v>
      </c>
      <c r="B2497">
        <v>2</v>
      </c>
      <c r="C2497" s="13">
        <v>1</v>
      </c>
      <c r="D2497" s="13">
        <v>0</v>
      </c>
      <c r="E2497" s="13">
        <v>194560</v>
      </c>
      <c r="F2497" s="13">
        <v>518720</v>
      </c>
      <c r="G2497" s="13">
        <v>4908</v>
      </c>
      <c r="H2497" s="13">
        <v>1883712</v>
      </c>
      <c r="I2497" s="13">
        <v>0</v>
      </c>
      <c r="J2497" s="13">
        <v>0</v>
      </c>
      <c r="K2497" s="13">
        <v>4136</v>
      </c>
      <c r="L2497" s="13">
        <v>7</v>
      </c>
      <c r="M2497" s="13">
        <v>1401</v>
      </c>
      <c r="N2497" s="13">
        <v>348</v>
      </c>
      <c r="O2497" s="13">
        <v>50</v>
      </c>
      <c r="P2497" s="13">
        <v>1</v>
      </c>
      <c r="Q2497" s="13">
        <v>49</v>
      </c>
      <c r="R2497" s="13">
        <v>0</v>
      </c>
      <c r="S2497" s="13">
        <v>0</v>
      </c>
      <c r="T2497" s="23">
        <v>46247.77275462963</v>
      </c>
      <c r="U2497" s="55">
        <f t="shared" si="114"/>
        <v>1</v>
      </c>
      <c r="V2497" s="55">
        <f t="shared" si="115"/>
        <v>0</v>
      </c>
      <c r="W2497" s="56">
        <f t="shared" si="116"/>
        <v>3597.8333333333335</v>
      </c>
    </row>
    <row r="2498" spans="1:23" x14ac:dyDescent="0.3">
      <c r="A2498" s="13" t="str" cm="1">
        <f t="array" ref="A2498:B2498">INDEX(BenchmarkResults!$B$1:$D$35,SUMPRODUCT((T2498&gt;=BenchmarkResults!$F$3:$F$35)*(mongodb_hardware_log!T2498&lt;BenchmarkResults!$G$3:$G$35)*ROW(BenchmarkResults!$F$3:$F$35)),{1,3})</f>
        <v>q6_inactive_customers</v>
      </c>
      <c r="B2498">
        <v>2</v>
      </c>
      <c r="C2498" s="13">
        <v>1</v>
      </c>
      <c r="D2498" s="13">
        <v>0</v>
      </c>
      <c r="E2498" s="13">
        <v>194560</v>
      </c>
      <c r="F2498" s="13">
        <v>518720</v>
      </c>
      <c r="G2498" s="13">
        <v>4908</v>
      </c>
      <c r="H2498" s="13">
        <v>1889680</v>
      </c>
      <c r="I2498" s="13">
        <v>0</v>
      </c>
      <c r="J2498" s="13">
        <v>0</v>
      </c>
      <c r="K2498" s="13">
        <v>4052</v>
      </c>
      <c r="L2498" s="13">
        <v>7</v>
      </c>
      <c r="M2498" s="13">
        <v>1410</v>
      </c>
      <c r="N2498" s="13">
        <v>356</v>
      </c>
      <c r="O2498" s="13">
        <v>49</v>
      </c>
      <c r="P2498" s="13">
        <v>1</v>
      </c>
      <c r="Q2498" s="13">
        <v>49</v>
      </c>
      <c r="R2498" s="13">
        <v>1</v>
      </c>
      <c r="S2498" s="13">
        <v>0</v>
      </c>
      <c r="T2498" s="23">
        <v>46247.772777777776</v>
      </c>
      <c r="U2498" s="55">
        <f t="shared" si="114"/>
        <v>1</v>
      </c>
      <c r="V2498" s="55">
        <f t="shared" si="115"/>
        <v>0</v>
      </c>
      <c r="W2498" s="56">
        <f t="shared" si="116"/>
        <v>3574</v>
      </c>
    </row>
    <row r="2499" spans="1:23" x14ac:dyDescent="0.3">
      <c r="A2499" s="13" t="str" cm="1">
        <f t="array" ref="A2499:B2499">INDEX(BenchmarkResults!$B$1:$D$35,SUMPRODUCT((T2499&gt;=BenchmarkResults!$F$3:$F$35)*(mongodb_hardware_log!T2499&lt;BenchmarkResults!$G$3:$G$35)*ROW(BenchmarkResults!$F$3:$F$35)),{1,3})</f>
        <v>q6_inactive_customers</v>
      </c>
      <c r="B2499">
        <v>2</v>
      </c>
      <c r="C2499" s="13">
        <v>1</v>
      </c>
      <c r="D2499" s="13">
        <v>0</v>
      </c>
      <c r="E2499" s="13">
        <v>194560</v>
      </c>
      <c r="F2499" s="13">
        <v>470588</v>
      </c>
      <c r="G2499" s="13">
        <v>4916</v>
      </c>
      <c r="H2499" s="13">
        <v>1931268</v>
      </c>
      <c r="I2499" s="13">
        <v>0</v>
      </c>
      <c r="J2499" s="13">
        <v>0</v>
      </c>
      <c r="K2499" s="13">
        <v>3184</v>
      </c>
      <c r="L2499" s="13">
        <v>10</v>
      </c>
      <c r="M2499" s="13">
        <v>1367</v>
      </c>
      <c r="N2499" s="13">
        <v>320</v>
      </c>
      <c r="O2499" s="13">
        <v>49</v>
      </c>
      <c r="P2499" s="13">
        <v>1</v>
      </c>
      <c r="Q2499" s="13">
        <v>49</v>
      </c>
      <c r="R2499" s="13">
        <v>1</v>
      </c>
      <c r="S2499" s="13">
        <v>1</v>
      </c>
      <c r="T2499" s="23">
        <v>46247.772870370369</v>
      </c>
      <c r="U2499" s="55">
        <f t="shared" si="114"/>
        <v>1</v>
      </c>
      <c r="V2499" s="55">
        <f t="shared" si="115"/>
        <v>0</v>
      </c>
      <c r="W2499" s="56">
        <f t="shared" si="116"/>
        <v>3575</v>
      </c>
    </row>
    <row r="2500" spans="1:23" x14ac:dyDescent="0.3">
      <c r="A2500" s="13" t="str" cm="1">
        <f t="array" ref="A2500:B2500">INDEX(BenchmarkResults!$B$1:$D$35,SUMPRODUCT((T2500&gt;=BenchmarkResults!$F$3:$F$35)*(mongodb_hardware_log!T2500&lt;BenchmarkResults!$G$3:$G$35)*ROW(BenchmarkResults!$F$3:$F$35)),{1,3})</f>
        <v>q6_inactive_customers</v>
      </c>
      <c r="B2500">
        <v>2</v>
      </c>
      <c r="C2500" s="13">
        <v>1</v>
      </c>
      <c r="D2500" s="13">
        <v>0</v>
      </c>
      <c r="E2500" s="13">
        <v>194560</v>
      </c>
      <c r="F2500" s="13">
        <v>462524</v>
      </c>
      <c r="G2500" s="13">
        <v>4916</v>
      </c>
      <c r="H2500" s="13">
        <v>1938688</v>
      </c>
      <c r="I2500" s="13">
        <v>0</v>
      </c>
      <c r="J2500" s="13">
        <v>0</v>
      </c>
      <c r="K2500" s="13">
        <v>3321</v>
      </c>
      <c r="L2500" s="13">
        <v>11</v>
      </c>
      <c r="M2500" s="13">
        <v>1365</v>
      </c>
      <c r="N2500" s="13">
        <v>318</v>
      </c>
      <c r="O2500" s="13">
        <v>49</v>
      </c>
      <c r="P2500" s="13">
        <v>1</v>
      </c>
      <c r="Q2500" s="13">
        <v>49</v>
      </c>
      <c r="R2500" s="13">
        <v>1</v>
      </c>
      <c r="S2500" s="13">
        <v>1</v>
      </c>
      <c r="T2500" s="23">
        <v>46247.772893518515</v>
      </c>
      <c r="U2500" s="55">
        <f t="shared" si="114"/>
        <v>1</v>
      </c>
      <c r="V2500" s="55">
        <f t="shared" si="115"/>
        <v>0</v>
      </c>
      <c r="W2500" s="56">
        <f t="shared" si="116"/>
        <v>3619.1666666666665</v>
      </c>
    </row>
    <row r="2501" spans="1:23" x14ac:dyDescent="0.3">
      <c r="A2501" s="13" t="str" cm="1">
        <f t="array" ref="A2501:B2501">INDEX(BenchmarkResults!$B$1:$D$35,SUMPRODUCT((T2501&gt;=BenchmarkResults!$F$3:$F$35)*(mongodb_hardware_log!T2501&lt;BenchmarkResults!$G$3:$G$35)*ROW(BenchmarkResults!$F$3:$F$35)),{1,3})</f>
        <v>q6_inactive_customers</v>
      </c>
      <c r="B2501">
        <v>2</v>
      </c>
      <c r="C2501" s="13">
        <v>1</v>
      </c>
      <c r="D2501" s="13">
        <v>0</v>
      </c>
      <c r="E2501" s="13">
        <v>194560</v>
      </c>
      <c r="F2501" s="13">
        <v>446648</v>
      </c>
      <c r="G2501" s="13">
        <v>4924</v>
      </c>
      <c r="H2501" s="13">
        <v>1955844</v>
      </c>
      <c r="I2501" s="13">
        <v>0</v>
      </c>
      <c r="J2501" s="13">
        <v>0</v>
      </c>
      <c r="K2501" s="13">
        <v>2458</v>
      </c>
      <c r="L2501" s="13">
        <v>14</v>
      </c>
      <c r="M2501" s="13">
        <v>881</v>
      </c>
      <c r="N2501" s="13">
        <v>241</v>
      </c>
      <c r="O2501" s="13">
        <v>40</v>
      </c>
      <c r="P2501" s="13">
        <v>1</v>
      </c>
      <c r="Q2501" s="13">
        <v>58</v>
      </c>
      <c r="R2501" s="13">
        <v>0</v>
      </c>
      <c r="S2501" s="13">
        <v>1</v>
      </c>
      <c r="T2501" s="23">
        <v>46247.772986111115</v>
      </c>
      <c r="U2501" s="55">
        <f t="shared" si="114"/>
        <v>1</v>
      </c>
      <c r="V2501" s="55">
        <f t="shared" si="115"/>
        <v>0</v>
      </c>
      <c r="W2501" s="56">
        <f t="shared" si="116"/>
        <v>3444.3333333333335</v>
      </c>
    </row>
    <row r="2502" spans="1:23" x14ac:dyDescent="0.3">
      <c r="A2502" s="13" t="str" cm="1">
        <f t="array" ref="A2502:B2502">INDEX(BenchmarkResults!$B$1:$D$35,SUMPRODUCT((T2502&gt;=BenchmarkResults!$F$3:$F$35)*(mongodb_hardware_log!T2502&lt;BenchmarkResults!$G$3:$G$35)*ROW(BenchmarkResults!$F$3:$F$35)),{1,3})</f>
        <v>q6_inactive_customers</v>
      </c>
      <c r="B2502">
        <v>2</v>
      </c>
      <c r="C2502" s="13">
        <v>5</v>
      </c>
      <c r="D2502" s="13">
        <v>0</v>
      </c>
      <c r="E2502" s="13">
        <v>194560</v>
      </c>
      <c r="F2502" s="13">
        <v>438584</v>
      </c>
      <c r="G2502" s="13">
        <v>4924</v>
      </c>
      <c r="H2502" s="13">
        <v>1958580</v>
      </c>
      <c r="I2502" s="13">
        <v>0</v>
      </c>
      <c r="J2502" s="13">
        <v>0</v>
      </c>
      <c r="K2502" s="13">
        <v>1989</v>
      </c>
      <c r="L2502" s="13">
        <v>14</v>
      </c>
      <c r="M2502" s="13">
        <v>753</v>
      </c>
      <c r="N2502" s="13">
        <v>211</v>
      </c>
      <c r="O2502" s="13">
        <v>37</v>
      </c>
      <c r="P2502" s="13">
        <v>1</v>
      </c>
      <c r="Q2502" s="13">
        <v>61</v>
      </c>
      <c r="R2502" s="13">
        <v>0</v>
      </c>
      <c r="S2502" s="13">
        <v>1</v>
      </c>
      <c r="T2502" s="23">
        <v>46247.773009259261</v>
      </c>
      <c r="U2502" s="55">
        <f t="shared" si="114"/>
        <v>1.6666666666666667</v>
      </c>
      <c r="V2502" s="55">
        <f t="shared" si="115"/>
        <v>0</v>
      </c>
      <c r="W2502" s="56">
        <f t="shared" si="116"/>
        <v>3190</v>
      </c>
    </row>
    <row r="2503" spans="1:23" x14ac:dyDescent="0.3">
      <c r="A2503" s="13" t="str" cm="1">
        <f t="array" ref="A2503:B2503">INDEX(BenchmarkResults!$B$1:$D$35,SUMPRODUCT((T2503&gt;=BenchmarkResults!$F$3:$F$35)*(mongodb_hardware_log!T2503&lt;BenchmarkResults!$G$3:$G$35)*ROW(BenchmarkResults!$F$3:$F$35)),{1,3})</f>
        <v>q6_inactive_customers</v>
      </c>
      <c r="B2503">
        <v>2</v>
      </c>
      <c r="C2503" s="13">
        <v>1</v>
      </c>
      <c r="D2503" s="13">
        <v>0</v>
      </c>
      <c r="E2503" s="13">
        <v>194560</v>
      </c>
      <c r="F2503" s="13">
        <v>422708</v>
      </c>
      <c r="G2503" s="13">
        <v>4948</v>
      </c>
      <c r="H2503" s="13">
        <v>1975732</v>
      </c>
      <c r="I2503" s="13">
        <v>0</v>
      </c>
      <c r="J2503" s="13">
        <v>0</v>
      </c>
      <c r="K2503" s="13">
        <v>1984</v>
      </c>
      <c r="L2503" s="13">
        <v>31</v>
      </c>
      <c r="M2503" s="13">
        <v>734</v>
      </c>
      <c r="N2503" s="13">
        <v>227</v>
      </c>
      <c r="O2503" s="13">
        <v>37</v>
      </c>
      <c r="P2503" s="13">
        <v>1</v>
      </c>
      <c r="Q2503" s="13">
        <v>62</v>
      </c>
      <c r="R2503" s="13">
        <v>0</v>
      </c>
      <c r="S2503" s="13">
        <v>0</v>
      </c>
      <c r="T2503" s="23">
        <v>46247.773101851853</v>
      </c>
      <c r="U2503" s="55">
        <f t="shared" si="114"/>
        <v>1.6666666666666667</v>
      </c>
      <c r="V2503" s="55">
        <f t="shared" si="115"/>
        <v>0</v>
      </c>
      <c r="W2503" s="56">
        <f t="shared" si="116"/>
        <v>2831.3333333333335</v>
      </c>
    </row>
    <row r="2504" spans="1:23" x14ac:dyDescent="0.3">
      <c r="A2504" s="13" t="str" cm="1">
        <f t="array" ref="A2504:B2504">INDEX(BenchmarkResults!$B$1:$D$35,SUMPRODUCT((T2504&gt;=BenchmarkResults!$F$3:$F$35)*(mongodb_hardware_log!T2504&lt;BenchmarkResults!$G$3:$G$35)*ROW(BenchmarkResults!$F$3:$F$35)),{1,3})</f>
        <v>q6_inactive_customers</v>
      </c>
      <c r="B2504">
        <v>2</v>
      </c>
      <c r="C2504" s="13">
        <v>1</v>
      </c>
      <c r="D2504" s="13">
        <v>0</v>
      </c>
      <c r="E2504" s="13">
        <v>194560</v>
      </c>
      <c r="F2504" s="13">
        <v>420944</v>
      </c>
      <c r="G2504" s="13">
        <v>4948</v>
      </c>
      <c r="H2504" s="13">
        <v>1980416</v>
      </c>
      <c r="I2504" s="13">
        <v>0</v>
      </c>
      <c r="J2504" s="13">
        <v>0</v>
      </c>
      <c r="K2504" s="13">
        <v>2182</v>
      </c>
      <c r="L2504" s="13">
        <v>31</v>
      </c>
      <c r="M2504" s="13">
        <v>770</v>
      </c>
      <c r="N2504" s="13">
        <v>261</v>
      </c>
      <c r="O2504" s="13">
        <v>36</v>
      </c>
      <c r="P2504" s="13">
        <v>1</v>
      </c>
      <c r="Q2504" s="13">
        <v>62</v>
      </c>
      <c r="R2504" s="13">
        <v>0</v>
      </c>
      <c r="S2504" s="13">
        <v>0</v>
      </c>
      <c r="T2504" s="23">
        <v>46247.773125</v>
      </c>
      <c r="U2504" s="55">
        <f t="shared" si="114"/>
        <v>1.6666666666666667</v>
      </c>
      <c r="V2504" s="55">
        <f t="shared" si="115"/>
        <v>0</v>
      </c>
      <c r="W2504" s="56">
        <f t="shared" si="116"/>
        <v>2519.6666666666665</v>
      </c>
    </row>
    <row r="2505" spans="1:23" x14ac:dyDescent="0.3">
      <c r="A2505" s="13" t="str" cm="1">
        <f t="array" ref="A2505:B2505">INDEX(BenchmarkResults!$B$1:$D$35,SUMPRODUCT((T2505&gt;=BenchmarkResults!$F$3:$F$35)*(mongodb_hardware_log!T2505&lt;BenchmarkResults!$G$3:$G$35)*ROW(BenchmarkResults!$F$3:$F$35)),{1,3})</f>
        <v>q6_inactive_customers</v>
      </c>
      <c r="B2505">
        <v>2</v>
      </c>
      <c r="C2505" s="13">
        <v>1</v>
      </c>
      <c r="D2505" s="13">
        <v>0</v>
      </c>
      <c r="E2505" s="13">
        <v>194560</v>
      </c>
      <c r="F2505" s="13">
        <v>405320</v>
      </c>
      <c r="G2505" s="13">
        <v>4956</v>
      </c>
      <c r="H2505" s="13">
        <v>1996080</v>
      </c>
      <c r="I2505" s="13">
        <v>0</v>
      </c>
      <c r="J2505" s="13">
        <v>0</v>
      </c>
      <c r="K2505" s="13">
        <v>2031</v>
      </c>
      <c r="L2505" s="13">
        <v>1569</v>
      </c>
      <c r="M2505" s="13">
        <v>813</v>
      </c>
      <c r="N2505" s="13">
        <v>314</v>
      </c>
      <c r="O2505" s="13">
        <v>37</v>
      </c>
      <c r="P2505" s="13">
        <v>1</v>
      </c>
      <c r="Q2505" s="13">
        <v>59</v>
      </c>
      <c r="R2505" s="13">
        <v>3</v>
      </c>
      <c r="S2505" s="13">
        <v>0</v>
      </c>
      <c r="T2505" s="23">
        <v>46247.773217592592</v>
      </c>
      <c r="U2505" s="55">
        <f t="shared" ref="U2505:U2568" si="117">AVERAGE(C2500:C2505)</f>
        <v>1.6666666666666667</v>
      </c>
      <c r="V2505" s="55">
        <f t="shared" ref="V2505:V2568" si="118">AVERAGE(D2500:D2505)</f>
        <v>0</v>
      </c>
      <c r="W2505" s="56">
        <f t="shared" ref="W2505:W2568" si="119">AVERAGE(K2500:K2505)</f>
        <v>2327.5</v>
      </c>
    </row>
    <row r="2506" spans="1:23" x14ac:dyDescent="0.3">
      <c r="A2506" s="13" t="str" cm="1">
        <f t="array" ref="A2506:B2506">INDEX(BenchmarkResults!$B$1:$D$35,SUMPRODUCT((T2506&gt;=BenchmarkResults!$F$3:$F$35)*(mongodb_hardware_log!T2506&lt;BenchmarkResults!$G$3:$G$35)*ROW(BenchmarkResults!$F$3:$F$35)),{1,3})</f>
        <v>q6_inactive_customers</v>
      </c>
      <c r="B2506">
        <v>2</v>
      </c>
      <c r="C2506" s="13">
        <v>1</v>
      </c>
      <c r="D2506" s="13">
        <v>0</v>
      </c>
      <c r="E2506" s="13">
        <v>194560</v>
      </c>
      <c r="F2506" s="13">
        <v>399272</v>
      </c>
      <c r="G2506" s="13">
        <v>4956</v>
      </c>
      <c r="H2506" s="13">
        <v>2000260</v>
      </c>
      <c r="I2506" s="13">
        <v>0</v>
      </c>
      <c r="J2506" s="13">
        <v>0</v>
      </c>
      <c r="K2506" s="13">
        <v>1982</v>
      </c>
      <c r="L2506" s="13">
        <v>1569</v>
      </c>
      <c r="M2506" s="13">
        <v>779</v>
      </c>
      <c r="N2506" s="13">
        <v>283</v>
      </c>
      <c r="O2506" s="13">
        <v>37</v>
      </c>
      <c r="P2506" s="13">
        <v>1</v>
      </c>
      <c r="Q2506" s="13">
        <v>59</v>
      </c>
      <c r="R2506" s="13">
        <v>2</v>
      </c>
      <c r="S2506" s="13">
        <v>0</v>
      </c>
      <c r="T2506" s="23">
        <v>46247.773240740738</v>
      </c>
      <c r="U2506" s="55">
        <f t="shared" si="117"/>
        <v>1.6666666666666667</v>
      </c>
      <c r="V2506" s="55">
        <f t="shared" si="118"/>
        <v>0</v>
      </c>
      <c r="W2506" s="56">
        <f t="shared" si="119"/>
        <v>2104.3333333333335</v>
      </c>
    </row>
    <row r="2507" spans="1:23" x14ac:dyDescent="0.3">
      <c r="A2507" s="13" t="str" cm="1">
        <f t="array" ref="A2507:B2507">INDEX(BenchmarkResults!$B$1:$D$35,SUMPRODUCT((T2507&gt;=BenchmarkResults!$F$3:$F$35)*(mongodb_hardware_log!T2507&lt;BenchmarkResults!$G$3:$G$35)*ROW(BenchmarkResults!$F$3:$F$35)),{1,3})</f>
        <v>q6_inactive_customers</v>
      </c>
      <c r="B2507">
        <v>2</v>
      </c>
      <c r="C2507" s="13">
        <v>1</v>
      </c>
      <c r="D2507" s="13">
        <v>0</v>
      </c>
      <c r="E2507" s="13">
        <v>194560</v>
      </c>
      <c r="F2507" s="13">
        <v>383144</v>
      </c>
      <c r="G2507" s="13">
        <v>4972</v>
      </c>
      <c r="H2507" s="13">
        <v>2016324</v>
      </c>
      <c r="I2507" s="13">
        <v>0</v>
      </c>
      <c r="J2507" s="13">
        <v>0</v>
      </c>
      <c r="K2507" s="13">
        <v>2032</v>
      </c>
      <c r="L2507" s="13">
        <v>16</v>
      </c>
      <c r="M2507" s="13">
        <v>727</v>
      </c>
      <c r="N2507" s="13">
        <v>215</v>
      </c>
      <c r="O2507" s="13">
        <v>36</v>
      </c>
      <c r="P2507" s="13">
        <v>1</v>
      </c>
      <c r="Q2507" s="13">
        <v>62</v>
      </c>
      <c r="R2507" s="13">
        <v>0</v>
      </c>
      <c r="S2507" s="13">
        <v>0</v>
      </c>
      <c r="T2507" s="23">
        <v>46247.773333333331</v>
      </c>
      <c r="U2507" s="55">
        <f t="shared" si="117"/>
        <v>1.6666666666666667</v>
      </c>
      <c r="V2507" s="55">
        <f t="shared" si="118"/>
        <v>0</v>
      </c>
      <c r="W2507" s="56">
        <f t="shared" si="119"/>
        <v>2033.3333333333333</v>
      </c>
    </row>
    <row r="2508" spans="1:23" x14ac:dyDescent="0.3">
      <c r="A2508" s="13" t="str" cm="1">
        <f t="array" ref="A2508:B2508">INDEX(BenchmarkResults!$B$1:$D$35,SUMPRODUCT((T2508&gt;=BenchmarkResults!$F$3:$F$35)*(mongodb_hardware_log!T2508&lt;BenchmarkResults!$G$3:$G$35)*ROW(BenchmarkResults!$F$3:$F$35)),{1,3})</f>
        <v>q6_inactive_customers</v>
      </c>
      <c r="B2508">
        <v>2</v>
      </c>
      <c r="C2508" s="13">
        <v>1</v>
      </c>
      <c r="D2508" s="13">
        <v>1</v>
      </c>
      <c r="E2508" s="13">
        <v>194560</v>
      </c>
      <c r="F2508" s="13">
        <v>379896</v>
      </c>
      <c r="G2508" s="13">
        <v>4980</v>
      </c>
      <c r="H2508" s="13">
        <v>2020952</v>
      </c>
      <c r="I2508" s="13">
        <v>0</v>
      </c>
      <c r="J2508" s="13">
        <v>0</v>
      </c>
      <c r="K2508" s="13">
        <v>2069</v>
      </c>
      <c r="L2508" s="13">
        <v>20</v>
      </c>
      <c r="M2508" s="13">
        <v>737</v>
      </c>
      <c r="N2508" s="13">
        <v>220</v>
      </c>
      <c r="O2508" s="13">
        <v>36</v>
      </c>
      <c r="P2508" s="13">
        <v>1</v>
      </c>
      <c r="Q2508" s="13">
        <v>62</v>
      </c>
      <c r="R2508" s="13">
        <v>1</v>
      </c>
      <c r="S2508" s="13">
        <v>0</v>
      </c>
      <c r="T2508" s="23">
        <v>46247.773356481484</v>
      </c>
      <c r="U2508" s="55">
        <f t="shared" si="117"/>
        <v>1</v>
      </c>
      <c r="V2508" s="55">
        <f t="shared" si="118"/>
        <v>0.16666666666666666</v>
      </c>
      <c r="W2508" s="56">
        <f t="shared" si="119"/>
        <v>2046.6666666666667</v>
      </c>
    </row>
    <row r="2509" spans="1:23" x14ac:dyDescent="0.3">
      <c r="A2509" s="13" t="str" cm="1">
        <f t="array" ref="A2509:B2509">INDEX(BenchmarkResults!$B$1:$D$35,SUMPRODUCT((T2509&gt;=BenchmarkResults!$F$3:$F$35)*(mongodb_hardware_log!T2509&lt;BenchmarkResults!$G$3:$G$35)*ROW(BenchmarkResults!$F$3:$F$35)),{1,3})</f>
        <v>q6_inactive_customers</v>
      </c>
      <c r="B2509">
        <v>2</v>
      </c>
      <c r="C2509" s="13">
        <v>1</v>
      </c>
      <c r="D2509" s="13">
        <v>0</v>
      </c>
      <c r="E2509" s="13">
        <v>194560</v>
      </c>
      <c r="F2509" s="13">
        <v>356940</v>
      </c>
      <c r="G2509" s="13">
        <v>4988</v>
      </c>
      <c r="H2509" s="13">
        <v>2045652</v>
      </c>
      <c r="I2509" s="13">
        <v>0</v>
      </c>
      <c r="J2509" s="13">
        <v>0</v>
      </c>
      <c r="K2509" s="13">
        <v>1333</v>
      </c>
      <c r="L2509" s="13">
        <v>24</v>
      </c>
      <c r="M2509" s="13">
        <v>695</v>
      </c>
      <c r="N2509" s="13">
        <v>183</v>
      </c>
      <c r="O2509" s="13">
        <v>36</v>
      </c>
      <c r="P2509" s="13">
        <v>1</v>
      </c>
      <c r="Q2509" s="13">
        <v>62</v>
      </c>
      <c r="R2509" s="13">
        <v>0</v>
      </c>
      <c r="S2509" s="13">
        <v>0</v>
      </c>
      <c r="T2509" s="23">
        <v>46247.773449074077</v>
      </c>
      <c r="U2509" s="55">
        <f t="shared" si="117"/>
        <v>1</v>
      </c>
      <c r="V2509" s="55">
        <f t="shared" si="118"/>
        <v>0.16666666666666666</v>
      </c>
      <c r="W2509" s="56">
        <f t="shared" si="119"/>
        <v>1938.1666666666667</v>
      </c>
    </row>
    <row r="2510" spans="1:23" x14ac:dyDescent="0.3">
      <c r="A2510" s="13" t="str" cm="1">
        <f t="array" ref="A2510:B2510">INDEX(BenchmarkResults!$B$1:$D$35,SUMPRODUCT((T2510&gt;=BenchmarkResults!$F$3:$F$35)*(mongodb_hardware_log!T2510&lt;BenchmarkResults!$G$3:$G$35)*ROW(BenchmarkResults!$F$3:$F$35)),{1,3})</f>
        <v>q6_inactive_customers</v>
      </c>
      <c r="B2510">
        <v>2</v>
      </c>
      <c r="C2510" s="13">
        <v>1</v>
      </c>
      <c r="D2510" s="13">
        <v>0</v>
      </c>
      <c r="E2510" s="13">
        <v>194560</v>
      </c>
      <c r="F2510" s="13">
        <v>355932</v>
      </c>
      <c r="G2510" s="13">
        <v>4988</v>
      </c>
      <c r="H2510" s="13">
        <v>2049288</v>
      </c>
      <c r="I2510" s="13">
        <v>0</v>
      </c>
      <c r="J2510" s="13">
        <v>0</v>
      </c>
      <c r="K2510" s="13">
        <v>1230</v>
      </c>
      <c r="L2510" s="13">
        <v>19</v>
      </c>
      <c r="M2510" s="13">
        <v>699</v>
      </c>
      <c r="N2510" s="13">
        <v>185</v>
      </c>
      <c r="O2510" s="13">
        <v>36</v>
      </c>
      <c r="P2510" s="13">
        <v>1</v>
      </c>
      <c r="Q2510" s="13">
        <v>62</v>
      </c>
      <c r="R2510" s="13">
        <v>0</v>
      </c>
      <c r="S2510" s="13">
        <v>0</v>
      </c>
      <c r="T2510" s="23">
        <v>46247.773472222223</v>
      </c>
      <c r="U2510" s="55">
        <f t="shared" si="117"/>
        <v>1</v>
      </c>
      <c r="V2510" s="55">
        <f t="shared" si="118"/>
        <v>0.16666666666666666</v>
      </c>
      <c r="W2510" s="56">
        <f t="shared" si="119"/>
        <v>1779.5</v>
      </c>
    </row>
    <row r="2511" spans="1:23" x14ac:dyDescent="0.3">
      <c r="A2511" s="13" t="str" cm="1">
        <f t="array" ref="A2511:B2511">INDEX(BenchmarkResults!$B$1:$D$35,SUMPRODUCT((T2511&gt;=BenchmarkResults!$F$3:$F$35)*(mongodb_hardware_log!T2511&lt;BenchmarkResults!$G$3:$G$35)*ROW(BenchmarkResults!$F$3:$F$35)),{1,3})</f>
        <v>q6_inactive_customers</v>
      </c>
      <c r="B2511">
        <v>2</v>
      </c>
      <c r="C2511" s="13">
        <v>1</v>
      </c>
      <c r="D2511" s="13">
        <v>0</v>
      </c>
      <c r="E2511" s="13">
        <v>194560</v>
      </c>
      <c r="F2511" s="13">
        <v>332748</v>
      </c>
      <c r="G2511" s="13">
        <v>4996</v>
      </c>
      <c r="H2511" s="13">
        <v>2067064</v>
      </c>
      <c r="I2511" s="13">
        <v>0</v>
      </c>
      <c r="J2511" s="13">
        <v>0</v>
      </c>
      <c r="K2511" s="13">
        <v>2132</v>
      </c>
      <c r="L2511" s="13">
        <v>8</v>
      </c>
      <c r="M2511" s="13">
        <v>743</v>
      </c>
      <c r="N2511" s="13">
        <v>219</v>
      </c>
      <c r="O2511" s="13">
        <v>36</v>
      </c>
      <c r="P2511" s="13">
        <v>1</v>
      </c>
      <c r="Q2511" s="13">
        <v>62</v>
      </c>
      <c r="R2511" s="13">
        <v>1</v>
      </c>
      <c r="S2511" s="13">
        <v>0</v>
      </c>
      <c r="T2511" s="23">
        <v>46247.773564814815</v>
      </c>
      <c r="U2511" s="55">
        <f t="shared" si="117"/>
        <v>1</v>
      </c>
      <c r="V2511" s="55">
        <f t="shared" si="118"/>
        <v>0.16666666666666666</v>
      </c>
      <c r="W2511" s="56">
        <f t="shared" si="119"/>
        <v>1796.3333333333333</v>
      </c>
    </row>
    <row r="2512" spans="1:23" x14ac:dyDescent="0.3">
      <c r="A2512" s="13" t="str" cm="1">
        <f t="array" ref="A2512:B2512">INDEX(BenchmarkResults!$B$1:$D$35,SUMPRODUCT((T2512&gt;=BenchmarkResults!$F$3:$F$35)*(mongodb_hardware_log!T2512&lt;BenchmarkResults!$G$3:$G$35)*ROW(BenchmarkResults!$F$3:$F$35)),{1,3})</f>
        <v>q6_inactive_customers</v>
      </c>
      <c r="B2512">
        <v>2</v>
      </c>
      <c r="C2512" s="13">
        <v>1</v>
      </c>
      <c r="D2512" s="13">
        <v>0</v>
      </c>
      <c r="E2512" s="13">
        <v>194560</v>
      </c>
      <c r="F2512" s="13">
        <v>332748</v>
      </c>
      <c r="G2512" s="13">
        <v>5004</v>
      </c>
      <c r="H2512" s="13">
        <v>2070392</v>
      </c>
      <c r="I2512" s="13">
        <v>0</v>
      </c>
      <c r="J2512" s="13">
        <v>0</v>
      </c>
      <c r="K2512" s="13">
        <v>2118</v>
      </c>
      <c r="L2512" s="13">
        <v>13</v>
      </c>
      <c r="M2512" s="13">
        <v>735</v>
      </c>
      <c r="N2512" s="13">
        <v>216</v>
      </c>
      <c r="O2512" s="13">
        <v>36</v>
      </c>
      <c r="P2512" s="13">
        <v>1</v>
      </c>
      <c r="Q2512" s="13">
        <v>62</v>
      </c>
      <c r="R2512" s="13">
        <v>1</v>
      </c>
      <c r="S2512" s="13">
        <v>0</v>
      </c>
      <c r="T2512" s="23">
        <v>46247.773587962962</v>
      </c>
      <c r="U2512" s="55">
        <f t="shared" si="117"/>
        <v>1</v>
      </c>
      <c r="V2512" s="55">
        <f t="shared" si="118"/>
        <v>0.16666666666666666</v>
      </c>
      <c r="W2512" s="56">
        <f t="shared" si="119"/>
        <v>1819</v>
      </c>
    </row>
    <row r="2513" spans="1:23" x14ac:dyDescent="0.3">
      <c r="A2513" s="13" t="str" cm="1">
        <f t="array" ref="A2513:B2513">INDEX(BenchmarkResults!$B$1:$D$35,SUMPRODUCT((T2513&gt;=BenchmarkResults!$F$3:$F$35)*(mongodb_hardware_log!T2513&lt;BenchmarkResults!$G$3:$G$35)*ROW(BenchmarkResults!$F$3:$F$35)),{1,3})</f>
        <v>q6_inactive_customers</v>
      </c>
      <c r="B2513">
        <v>2</v>
      </c>
      <c r="C2513" s="13">
        <v>1</v>
      </c>
      <c r="D2513" s="13">
        <v>0</v>
      </c>
      <c r="E2513" s="13">
        <v>194560</v>
      </c>
      <c r="F2513" s="13">
        <v>317124</v>
      </c>
      <c r="G2513" s="13">
        <v>5012</v>
      </c>
      <c r="H2513" s="13">
        <v>2084600</v>
      </c>
      <c r="I2513" s="13">
        <v>0</v>
      </c>
      <c r="J2513" s="13">
        <v>0</v>
      </c>
      <c r="K2513" s="13">
        <v>1760</v>
      </c>
      <c r="L2513" s="13">
        <v>10</v>
      </c>
      <c r="M2513" s="13">
        <v>723</v>
      </c>
      <c r="N2513" s="13">
        <v>204</v>
      </c>
      <c r="O2513" s="13">
        <v>37</v>
      </c>
      <c r="P2513" s="13">
        <v>1</v>
      </c>
      <c r="Q2513" s="13">
        <v>62</v>
      </c>
      <c r="R2513" s="13">
        <v>0</v>
      </c>
      <c r="S2513" s="13">
        <v>0</v>
      </c>
      <c r="T2513" s="23">
        <v>46247.773680555554</v>
      </c>
      <c r="U2513" s="55">
        <f t="shared" si="117"/>
        <v>1</v>
      </c>
      <c r="V2513" s="55">
        <f t="shared" si="118"/>
        <v>0.16666666666666666</v>
      </c>
      <c r="W2513" s="56">
        <f t="shared" si="119"/>
        <v>1773.6666666666667</v>
      </c>
    </row>
    <row r="2514" spans="1:23" x14ac:dyDescent="0.3">
      <c r="A2514" s="13" t="str" cm="1">
        <f t="array" ref="A2514:B2514">INDEX(BenchmarkResults!$B$1:$D$35,SUMPRODUCT((T2514&gt;=BenchmarkResults!$F$3:$F$35)*(mongodb_hardware_log!T2514&lt;BenchmarkResults!$G$3:$G$35)*ROW(BenchmarkResults!$F$3:$F$35)),{1,3})</f>
        <v>q6_inactive_customers</v>
      </c>
      <c r="B2514">
        <v>2</v>
      </c>
      <c r="C2514" s="13">
        <v>1</v>
      </c>
      <c r="D2514" s="13">
        <v>0</v>
      </c>
      <c r="E2514" s="13">
        <v>194560</v>
      </c>
      <c r="F2514" s="13">
        <v>317124</v>
      </c>
      <c r="G2514" s="13">
        <v>5012</v>
      </c>
      <c r="H2514" s="13">
        <v>2088248</v>
      </c>
      <c r="I2514" s="13">
        <v>0</v>
      </c>
      <c r="J2514" s="13">
        <v>0</v>
      </c>
      <c r="K2514" s="13">
        <v>1779</v>
      </c>
      <c r="L2514" s="13">
        <v>6</v>
      </c>
      <c r="M2514" s="13">
        <v>716</v>
      </c>
      <c r="N2514" s="13">
        <v>199</v>
      </c>
      <c r="O2514" s="13">
        <v>37</v>
      </c>
      <c r="P2514" s="13">
        <v>1</v>
      </c>
      <c r="Q2514" s="13">
        <v>62</v>
      </c>
      <c r="R2514" s="13">
        <v>0</v>
      </c>
      <c r="S2514" s="13">
        <v>0</v>
      </c>
      <c r="T2514" s="23">
        <v>46247.7737037037</v>
      </c>
      <c r="U2514" s="55">
        <f t="shared" si="117"/>
        <v>1</v>
      </c>
      <c r="V2514" s="55">
        <f t="shared" si="118"/>
        <v>0</v>
      </c>
      <c r="W2514" s="56">
        <f t="shared" si="119"/>
        <v>1725.3333333333333</v>
      </c>
    </row>
    <row r="2515" spans="1:23" x14ac:dyDescent="0.3">
      <c r="A2515" s="13" t="str" cm="1">
        <f t="array" ref="A2515:B2515">INDEX(BenchmarkResults!$B$1:$D$35,SUMPRODUCT((T2515&gt;=BenchmarkResults!$F$3:$F$35)*(mongodb_hardware_log!T2515&lt;BenchmarkResults!$G$3:$G$35)*ROW(BenchmarkResults!$F$3:$F$35)),{1,3})</f>
        <v>q6_inactive_customers</v>
      </c>
      <c r="B2515">
        <v>2</v>
      </c>
      <c r="C2515" s="13">
        <v>1</v>
      </c>
      <c r="D2515" s="13">
        <v>0</v>
      </c>
      <c r="E2515" s="13">
        <v>194560</v>
      </c>
      <c r="F2515" s="13">
        <v>294700</v>
      </c>
      <c r="G2515" s="13">
        <v>5048</v>
      </c>
      <c r="H2515" s="13">
        <v>2106676</v>
      </c>
      <c r="I2515" s="13">
        <v>0</v>
      </c>
      <c r="J2515" s="13">
        <v>0</v>
      </c>
      <c r="K2515" s="13">
        <v>2206</v>
      </c>
      <c r="L2515" s="13">
        <v>1588</v>
      </c>
      <c r="M2515" s="13">
        <v>765</v>
      </c>
      <c r="N2515" s="13">
        <v>254</v>
      </c>
      <c r="O2515" s="13">
        <v>37</v>
      </c>
      <c r="P2515" s="13">
        <v>1</v>
      </c>
      <c r="Q2515" s="13">
        <v>59</v>
      </c>
      <c r="R2515" s="13">
        <v>2</v>
      </c>
      <c r="S2515" s="13">
        <v>0</v>
      </c>
      <c r="T2515" s="23">
        <v>46247.773796296293</v>
      </c>
      <c r="U2515" s="55">
        <f t="shared" si="117"/>
        <v>1</v>
      </c>
      <c r="V2515" s="55">
        <f t="shared" si="118"/>
        <v>0</v>
      </c>
      <c r="W2515" s="56">
        <f t="shared" si="119"/>
        <v>1870.8333333333333</v>
      </c>
    </row>
    <row r="2516" spans="1:23" x14ac:dyDescent="0.3">
      <c r="A2516" s="13" t="str" cm="1">
        <f t="array" ref="A2516:B2516">INDEX(BenchmarkResults!$B$1:$D$35,SUMPRODUCT((T2516&gt;=BenchmarkResults!$F$3:$F$35)*(mongodb_hardware_log!T2516&lt;BenchmarkResults!$G$3:$G$35)*ROW(BenchmarkResults!$F$3:$F$35)),{1,3})</f>
        <v>q6_inactive_customers</v>
      </c>
      <c r="B2516">
        <v>2</v>
      </c>
      <c r="C2516" s="13">
        <v>1</v>
      </c>
      <c r="D2516" s="13">
        <v>0</v>
      </c>
      <c r="E2516" s="13">
        <v>194560</v>
      </c>
      <c r="F2516" s="13">
        <v>294700</v>
      </c>
      <c r="G2516" s="13">
        <v>5056</v>
      </c>
      <c r="H2516" s="13">
        <v>2108352</v>
      </c>
      <c r="I2516" s="13">
        <v>0</v>
      </c>
      <c r="J2516" s="13">
        <v>0</v>
      </c>
      <c r="K2516" s="13">
        <v>2005</v>
      </c>
      <c r="L2516" s="13">
        <v>1598</v>
      </c>
      <c r="M2516" s="13">
        <v>788</v>
      </c>
      <c r="N2516" s="13">
        <v>279</v>
      </c>
      <c r="O2516" s="13">
        <v>37</v>
      </c>
      <c r="P2516" s="13">
        <v>1</v>
      </c>
      <c r="Q2516" s="13">
        <v>59</v>
      </c>
      <c r="R2516" s="13">
        <v>2</v>
      </c>
      <c r="S2516" s="13">
        <v>0</v>
      </c>
      <c r="T2516" s="23">
        <v>46247.773819444446</v>
      </c>
      <c r="U2516" s="55">
        <f t="shared" si="117"/>
        <v>1</v>
      </c>
      <c r="V2516" s="55">
        <f t="shared" si="118"/>
        <v>0</v>
      </c>
      <c r="W2516" s="56">
        <f t="shared" si="119"/>
        <v>2000</v>
      </c>
    </row>
    <row r="2517" spans="1:23" x14ac:dyDescent="0.3">
      <c r="A2517" s="13" t="str" cm="1">
        <f t="array" ref="A2517:B2517">INDEX(BenchmarkResults!$B$1:$D$35,SUMPRODUCT((T2517&gt;=BenchmarkResults!$F$3:$F$35)*(mongodb_hardware_log!T2517&lt;BenchmarkResults!$G$3:$G$35)*ROW(BenchmarkResults!$F$3:$F$35)),{1,3})</f>
        <v>q6_inactive_customers</v>
      </c>
      <c r="B2517">
        <v>2</v>
      </c>
      <c r="C2517" s="13">
        <v>1</v>
      </c>
      <c r="D2517" s="13">
        <v>0</v>
      </c>
      <c r="E2517" s="13">
        <v>194560</v>
      </c>
      <c r="F2517" s="13">
        <v>274288</v>
      </c>
      <c r="G2517" s="13">
        <v>5064</v>
      </c>
      <c r="H2517" s="13">
        <v>2126092</v>
      </c>
      <c r="I2517" s="13">
        <v>0</v>
      </c>
      <c r="J2517" s="13">
        <v>0</v>
      </c>
      <c r="K2517" s="13">
        <v>1934</v>
      </c>
      <c r="L2517" s="13">
        <v>28</v>
      </c>
      <c r="M2517" s="13">
        <v>765</v>
      </c>
      <c r="N2517" s="13">
        <v>257</v>
      </c>
      <c r="O2517" s="13">
        <v>37</v>
      </c>
      <c r="P2517" s="13">
        <v>1</v>
      </c>
      <c r="Q2517" s="13">
        <v>62</v>
      </c>
      <c r="R2517" s="13">
        <v>0</v>
      </c>
      <c r="S2517" s="13">
        <v>0</v>
      </c>
      <c r="T2517" s="23">
        <v>46247.773912037039</v>
      </c>
      <c r="U2517" s="55">
        <f t="shared" si="117"/>
        <v>1</v>
      </c>
      <c r="V2517" s="55">
        <f t="shared" si="118"/>
        <v>0</v>
      </c>
      <c r="W2517" s="56">
        <f t="shared" si="119"/>
        <v>1967</v>
      </c>
    </row>
    <row r="2518" spans="1:23" x14ac:dyDescent="0.3">
      <c r="A2518" s="13" t="str" cm="1">
        <f t="array" ref="A2518:B2518">INDEX(BenchmarkResults!$B$1:$D$35,SUMPRODUCT((T2518&gt;=BenchmarkResults!$F$3:$F$35)*(mongodb_hardware_log!T2518&lt;BenchmarkResults!$G$3:$G$35)*ROW(BenchmarkResults!$F$3:$F$35)),{1,3})</f>
        <v>q6_inactive_customers</v>
      </c>
      <c r="B2518">
        <v>2</v>
      </c>
      <c r="C2518" s="13">
        <v>1</v>
      </c>
      <c r="D2518" s="13">
        <v>0</v>
      </c>
      <c r="E2518" s="13">
        <v>194560</v>
      </c>
      <c r="F2518" s="13">
        <v>270256</v>
      </c>
      <c r="G2518" s="13">
        <v>5064</v>
      </c>
      <c r="H2518" s="13">
        <v>2129468</v>
      </c>
      <c r="I2518" s="13">
        <v>0</v>
      </c>
      <c r="J2518" s="13">
        <v>0</v>
      </c>
      <c r="K2518" s="13">
        <v>2114</v>
      </c>
      <c r="L2518" s="13">
        <v>18</v>
      </c>
      <c r="M2518" s="13">
        <v>744</v>
      </c>
      <c r="N2518" s="13">
        <v>232</v>
      </c>
      <c r="O2518" s="13">
        <v>36</v>
      </c>
      <c r="P2518" s="13">
        <v>1</v>
      </c>
      <c r="Q2518" s="13">
        <v>62</v>
      </c>
      <c r="R2518" s="13">
        <v>0</v>
      </c>
      <c r="S2518" s="13">
        <v>0</v>
      </c>
      <c r="T2518" s="23">
        <v>46247.773935185185</v>
      </c>
      <c r="U2518" s="55">
        <f t="shared" si="117"/>
        <v>1</v>
      </c>
      <c r="V2518" s="55">
        <f t="shared" si="118"/>
        <v>0</v>
      </c>
      <c r="W2518" s="56">
        <f t="shared" si="119"/>
        <v>1966.3333333333333</v>
      </c>
    </row>
    <row r="2519" spans="1:23" x14ac:dyDescent="0.3">
      <c r="A2519" s="13" t="str" cm="1">
        <f t="array" ref="A2519:B2519">INDEX(BenchmarkResults!$B$1:$D$35,SUMPRODUCT((T2519&gt;=BenchmarkResults!$F$3:$F$35)*(mongodb_hardware_log!T2519&lt;BenchmarkResults!$G$3:$G$35)*ROW(BenchmarkResults!$F$3:$F$35)),{1,3})</f>
        <v>q6_inactive_customers</v>
      </c>
      <c r="B2519">
        <v>2</v>
      </c>
      <c r="C2519" s="13">
        <v>2</v>
      </c>
      <c r="D2519" s="13">
        <v>0</v>
      </c>
      <c r="E2519" s="13">
        <v>194560</v>
      </c>
      <c r="F2519" s="13">
        <v>244048</v>
      </c>
      <c r="G2519" s="13">
        <v>5072</v>
      </c>
      <c r="H2519" s="13">
        <v>2155724</v>
      </c>
      <c r="I2519" s="13">
        <v>0</v>
      </c>
      <c r="J2519" s="13">
        <v>0</v>
      </c>
      <c r="K2519" s="13">
        <v>1352</v>
      </c>
      <c r="L2519" s="13">
        <v>15</v>
      </c>
      <c r="M2519" s="13">
        <v>701</v>
      </c>
      <c r="N2519" s="13">
        <v>189</v>
      </c>
      <c r="O2519" s="13">
        <v>36</v>
      </c>
      <c r="P2519" s="13">
        <v>1</v>
      </c>
      <c r="Q2519" s="13">
        <v>62</v>
      </c>
      <c r="R2519" s="13">
        <v>0</v>
      </c>
      <c r="S2519" s="13">
        <v>0</v>
      </c>
      <c r="T2519" s="23">
        <v>46247.774027777778</v>
      </c>
      <c r="U2519" s="55">
        <f t="shared" si="117"/>
        <v>1.1666666666666667</v>
      </c>
      <c r="V2519" s="55">
        <f t="shared" si="118"/>
        <v>0</v>
      </c>
      <c r="W2519" s="56">
        <f t="shared" si="119"/>
        <v>1898.3333333333333</v>
      </c>
    </row>
    <row r="2520" spans="1:23" x14ac:dyDescent="0.3">
      <c r="A2520" s="13" t="str" cm="1">
        <f t="array" ref="A2520:B2520">INDEX(BenchmarkResults!$B$1:$D$35,SUMPRODUCT((T2520&gt;=BenchmarkResults!$F$3:$F$35)*(mongodb_hardware_log!T2520&lt;BenchmarkResults!$G$3:$G$35)*ROW(BenchmarkResults!$F$3:$F$35)),{1,3})</f>
        <v>q6_inactive_customers</v>
      </c>
      <c r="B2520">
        <v>2</v>
      </c>
      <c r="C2520" s="13">
        <v>1</v>
      </c>
      <c r="D2520" s="13">
        <v>0</v>
      </c>
      <c r="E2520" s="13">
        <v>194560</v>
      </c>
      <c r="F2520" s="13">
        <v>240016</v>
      </c>
      <c r="G2520" s="13">
        <v>5080</v>
      </c>
      <c r="H2520" s="13">
        <v>2159412</v>
      </c>
      <c r="I2520" s="13">
        <v>0</v>
      </c>
      <c r="J2520" s="13">
        <v>0</v>
      </c>
      <c r="K2520" s="13">
        <v>1379</v>
      </c>
      <c r="L2520" s="13">
        <v>22</v>
      </c>
      <c r="M2520" s="13">
        <v>710</v>
      </c>
      <c r="N2520" s="13">
        <v>194</v>
      </c>
      <c r="O2520" s="13">
        <v>36</v>
      </c>
      <c r="P2520" s="13">
        <v>1</v>
      </c>
      <c r="Q2520" s="13">
        <v>62</v>
      </c>
      <c r="R2520" s="13">
        <v>1</v>
      </c>
      <c r="S2520" s="13">
        <v>0</v>
      </c>
      <c r="T2520" s="23">
        <v>46247.774050925924</v>
      </c>
      <c r="U2520" s="55">
        <f t="shared" si="117"/>
        <v>1.1666666666666667</v>
      </c>
      <c r="V2520" s="55">
        <f t="shared" si="118"/>
        <v>0</v>
      </c>
      <c r="W2520" s="56">
        <f t="shared" si="119"/>
        <v>1831.6666666666667</v>
      </c>
    </row>
    <row r="2521" spans="1:23" x14ac:dyDescent="0.3">
      <c r="A2521" s="13" t="str" cm="1">
        <f t="array" ref="A2521:B2521">INDEX(BenchmarkResults!$B$1:$D$35,SUMPRODUCT((T2521&gt;=BenchmarkResults!$F$3:$F$35)*(mongodb_hardware_log!T2521&lt;BenchmarkResults!$G$3:$G$35)*ROW(BenchmarkResults!$F$3:$F$35)),{1,3})</f>
        <v>q6_inactive_customers</v>
      </c>
      <c r="B2521">
        <v>2</v>
      </c>
      <c r="C2521" s="13">
        <v>1</v>
      </c>
      <c r="D2521" s="13">
        <v>0</v>
      </c>
      <c r="E2521" s="13">
        <v>194560</v>
      </c>
      <c r="F2521" s="13">
        <v>228576</v>
      </c>
      <c r="G2521" s="13">
        <v>5092</v>
      </c>
      <c r="H2521" s="13">
        <v>2173664</v>
      </c>
      <c r="I2521" s="13">
        <v>0</v>
      </c>
      <c r="J2521" s="13">
        <v>0</v>
      </c>
      <c r="K2521" s="13">
        <v>1796</v>
      </c>
      <c r="L2521" s="13">
        <v>1590</v>
      </c>
      <c r="M2521" s="13">
        <v>756</v>
      </c>
      <c r="N2521" s="13">
        <v>246</v>
      </c>
      <c r="O2521" s="13">
        <v>36</v>
      </c>
      <c r="P2521" s="13">
        <v>1</v>
      </c>
      <c r="Q2521" s="13">
        <v>59</v>
      </c>
      <c r="R2521" s="13">
        <v>3</v>
      </c>
      <c r="S2521" s="13">
        <v>0</v>
      </c>
      <c r="T2521" s="23">
        <v>46247.774143518516</v>
      </c>
      <c r="U2521" s="55">
        <f t="shared" si="117"/>
        <v>1.1666666666666667</v>
      </c>
      <c r="V2521" s="55">
        <f t="shared" si="118"/>
        <v>0</v>
      </c>
      <c r="W2521" s="56">
        <f t="shared" si="119"/>
        <v>1763.3333333333333</v>
      </c>
    </row>
    <row r="2522" spans="1:23" x14ac:dyDescent="0.3">
      <c r="A2522" s="13" t="str" cm="1">
        <f t="array" ref="A2522:B2522">INDEX(BenchmarkResults!$B$1:$D$35,SUMPRODUCT((T2522&gt;=BenchmarkResults!$F$3:$F$35)*(mongodb_hardware_log!T2522&lt;BenchmarkResults!$G$3:$G$35)*ROW(BenchmarkResults!$F$3:$F$35)),{1,3})</f>
        <v>q6_inactive_customers</v>
      </c>
      <c r="B2522">
        <v>2</v>
      </c>
      <c r="C2522" s="13">
        <v>1</v>
      </c>
      <c r="D2522" s="13">
        <v>0</v>
      </c>
      <c r="E2522" s="13">
        <v>194560</v>
      </c>
      <c r="F2522" s="13">
        <v>226588</v>
      </c>
      <c r="G2522" s="13">
        <v>5092</v>
      </c>
      <c r="H2522" s="13">
        <v>2176872</v>
      </c>
      <c r="I2522" s="13">
        <v>0</v>
      </c>
      <c r="J2522" s="13">
        <v>0</v>
      </c>
      <c r="K2522" s="13">
        <v>1751</v>
      </c>
      <c r="L2522" s="13">
        <v>1583</v>
      </c>
      <c r="M2522" s="13">
        <v>745</v>
      </c>
      <c r="N2522" s="13">
        <v>240</v>
      </c>
      <c r="O2522" s="13">
        <v>36</v>
      </c>
      <c r="P2522" s="13">
        <v>1</v>
      </c>
      <c r="Q2522" s="13">
        <v>59</v>
      </c>
      <c r="R2522" s="13">
        <v>3</v>
      </c>
      <c r="S2522" s="13">
        <v>0</v>
      </c>
      <c r="T2522" s="23">
        <v>46247.77416666667</v>
      </c>
      <c r="U2522" s="55">
        <f t="shared" si="117"/>
        <v>1.1666666666666667</v>
      </c>
      <c r="V2522" s="55">
        <f t="shared" si="118"/>
        <v>0</v>
      </c>
      <c r="W2522" s="56">
        <f t="shared" si="119"/>
        <v>1721</v>
      </c>
    </row>
    <row r="2523" spans="1:23" x14ac:dyDescent="0.3">
      <c r="A2523" s="13" t="str" cm="1">
        <f t="array" ref="A2523:B2523">INDEX(BenchmarkResults!$B$1:$D$35,SUMPRODUCT((T2523&gt;=BenchmarkResults!$F$3:$F$35)*(mongodb_hardware_log!T2523&lt;BenchmarkResults!$G$3:$G$35)*ROW(BenchmarkResults!$F$3:$F$35)),{1,3})</f>
        <v>q6_inactive_customers</v>
      </c>
      <c r="B2523">
        <v>2</v>
      </c>
      <c r="C2523" s="13">
        <v>1</v>
      </c>
      <c r="D2523" s="13">
        <v>0</v>
      </c>
      <c r="E2523" s="13">
        <v>194560</v>
      </c>
      <c r="F2523" s="13">
        <v>206932</v>
      </c>
      <c r="G2523" s="13">
        <v>5104</v>
      </c>
      <c r="H2523" s="13">
        <v>2193596</v>
      </c>
      <c r="I2523" s="13">
        <v>0</v>
      </c>
      <c r="J2523" s="13">
        <v>0</v>
      </c>
      <c r="K2523" s="13">
        <v>1993</v>
      </c>
      <c r="L2523" s="13">
        <v>34</v>
      </c>
      <c r="M2523" s="13">
        <v>716</v>
      </c>
      <c r="N2523" s="13">
        <v>205</v>
      </c>
      <c r="O2523" s="13">
        <v>37</v>
      </c>
      <c r="P2523" s="13">
        <v>1</v>
      </c>
      <c r="Q2523" s="13">
        <v>61</v>
      </c>
      <c r="R2523" s="13">
        <v>0</v>
      </c>
      <c r="S2523" s="13">
        <v>0</v>
      </c>
      <c r="T2523" s="23">
        <v>46247.774259259262</v>
      </c>
      <c r="U2523" s="55">
        <f t="shared" si="117"/>
        <v>1.1666666666666667</v>
      </c>
      <c r="V2523" s="55">
        <f t="shared" si="118"/>
        <v>0</v>
      </c>
      <c r="W2523" s="56">
        <f t="shared" si="119"/>
        <v>1730.8333333333333</v>
      </c>
    </row>
    <row r="2524" spans="1:23" x14ac:dyDescent="0.3">
      <c r="A2524" s="13" t="str" cm="1">
        <f t="array" ref="A2524:B2524">INDEX(BenchmarkResults!$B$1:$D$35,SUMPRODUCT((T2524&gt;=BenchmarkResults!$F$3:$F$35)*(mongodb_hardware_log!T2524&lt;BenchmarkResults!$G$3:$G$35)*ROW(BenchmarkResults!$F$3:$F$35)),{1,3})</f>
        <v>q6_inactive_customers</v>
      </c>
      <c r="B2524">
        <v>2</v>
      </c>
      <c r="C2524" s="13">
        <v>2</v>
      </c>
      <c r="D2524" s="13">
        <v>0</v>
      </c>
      <c r="E2524" s="13">
        <v>194560</v>
      </c>
      <c r="F2524" s="13">
        <v>202904</v>
      </c>
      <c r="G2524" s="13">
        <v>5112</v>
      </c>
      <c r="H2524" s="13">
        <v>2196376</v>
      </c>
      <c r="I2524" s="13">
        <v>0</v>
      </c>
      <c r="J2524" s="13">
        <v>0</v>
      </c>
      <c r="K2524" s="13">
        <v>1944</v>
      </c>
      <c r="L2524" s="13">
        <v>39</v>
      </c>
      <c r="M2524" s="13">
        <v>720</v>
      </c>
      <c r="N2524" s="13">
        <v>208</v>
      </c>
      <c r="O2524" s="13">
        <v>37</v>
      </c>
      <c r="P2524" s="13">
        <v>1</v>
      </c>
      <c r="Q2524" s="13">
        <v>61</v>
      </c>
      <c r="R2524" s="13">
        <v>0</v>
      </c>
      <c r="S2524" s="13">
        <v>1</v>
      </c>
      <c r="T2524" s="23">
        <v>46247.774282407408</v>
      </c>
      <c r="U2524" s="55">
        <f t="shared" si="117"/>
        <v>1.3333333333333333</v>
      </c>
      <c r="V2524" s="55">
        <f t="shared" si="118"/>
        <v>0</v>
      </c>
      <c r="W2524" s="56">
        <f t="shared" si="119"/>
        <v>1702.5</v>
      </c>
    </row>
    <row r="2525" spans="1:23" x14ac:dyDescent="0.3">
      <c r="A2525" s="13" t="str" cm="1">
        <f t="array" ref="A2525:B2525">INDEX(BenchmarkResults!$B$1:$D$35,SUMPRODUCT((T2525&gt;=BenchmarkResults!$F$3:$F$35)*(mongodb_hardware_log!T2525&lt;BenchmarkResults!$G$3:$G$35)*ROW(BenchmarkResults!$F$3:$F$35)),{1,3})</f>
        <v>q6_inactive_customers</v>
      </c>
      <c r="B2525">
        <v>2</v>
      </c>
      <c r="C2525" s="13">
        <v>1</v>
      </c>
      <c r="D2525" s="13">
        <v>0</v>
      </c>
      <c r="E2525" s="13">
        <v>194560</v>
      </c>
      <c r="F2525" s="13">
        <v>187784</v>
      </c>
      <c r="G2525" s="13">
        <v>5120</v>
      </c>
      <c r="H2525" s="13">
        <v>2211144</v>
      </c>
      <c r="I2525" s="13">
        <v>0</v>
      </c>
      <c r="J2525" s="13">
        <v>0</v>
      </c>
      <c r="K2525" s="13">
        <v>1753</v>
      </c>
      <c r="L2525" s="13">
        <v>16</v>
      </c>
      <c r="M2525" s="13">
        <v>743</v>
      </c>
      <c r="N2525" s="13">
        <v>214</v>
      </c>
      <c r="O2525" s="13">
        <v>36</v>
      </c>
      <c r="P2525" s="13">
        <v>1</v>
      </c>
      <c r="Q2525" s="13">
        <v>61</v>
      </c>
      <c r="R2525" s="13">
        <v>0</v>
      </c>
      <c r="S2525" s="13">
        <v>1</v>
      </c>
      <c r="T2525" s="23">
        <v>46247.774375000001</v>
      </c>
      <c r="U2525" s="55">
        <f t="shared" si="117"/>
        <v>1.1666666666666667</v>
      </c>
      <c r="V2525" s="55">
        <f t="shared" si="118"/>
        <v>0</v>
      </c>
      <c r="W2525" s="56">
        <f t="shared" si="119"/>
        <v>1769.3333333333333</v>
      </c>
    </row>
    <row r="2526" spans="1:23" x14ac:dyDescent="0.3">
      <c r="A2526" s="13" t="str" cm="1">
        <f t="array" ref="A2526:B2526">INDEX(BenchmarkResults!$B$1:$D$35,SUMPRODUCT((T2526&gt;=BenchmarkResults!$F$3:$F$35)*(mongodb_hardware_log!T2526&lt;BenchmarkResults!$G$3:$G$35)*ROW(BenchmarkResults!$F$3:$F$35)),{1,3})</f>
        <v>q6_inactive_customers</v>
      </c>
      <c r="B2526">
        <v>2</v>
      </c>
      <c r="C2526" s="13">
        <v>1</v>
      </c>
      <c r="D2526" s="13">
        <v>0</v>
      </c>
      <c r="E2526" s="13">
        <v>194560</v>
      </c>
      <c r="F2526" s="13">
        <v>181736</v>
      </c>
      <c r="G2526" s="13">
        <v>5120</v>
      </c>
      <c r="H2526" s="13">
        <v>2214024</v>
      </c>
      <c r="I2526" s="13">
        <v>0</v>
      </c>
      <c r="J2526" s="13">
        <v>0</v>
      </c>
      <c r="K2526" s="13">
        <v>1770</v>
      </c>
      <c r="L2526" s="13">
        <v>10</v>
      </c>
      <c r="M2526" s="13">
        <v>740</v>
      </c>
      <c r="N2526" s="13">
        <v>212</v>
      </c>
      <c r="O2526" s="13">
        <v>36</v>
      </c>
      <c r="P2526" s="13">
        <v>1</v>
      </c>
      <c r="Q2526" s="13">
        <v>61</v>
      </c>
      <c r="R2526" s="13">
        <v>1</v>
      </c>
      <c r="S2526" s="13">
        <v>1</v>
      </c>
      <c r="T2526" s="23">
        <v>46247.774398148147</v>
      </c>
      <c r="U2526" s="55">
        <f t="shared" si="117"/>
        <v>1.1666666666666667</v>
      </c>
      <c r="V2526" s="55">
        <f t="shared" si="118"/>
        <v>0</v>
      </c>
      <c r="W2526" s="56">
        <f t="shared" si="119"/>
        <v>1834.5</v>
      </c>
    </row>
    <row r="2527" spans="1:23" x14ac:dyDescent="0.3">
      <c r="A2527" s="13" t="str" cm="1">
        <f t="array" ref="A2527:B2527">INDEX(BenchmarkResults!$B$1:$D$35,SUMPRODUCT((T2527&gt;=BenchmarkResults!$F$3:$F$35)*(mongodb_hardware_log!T2527&lt;BenchmarkResults!$G$3:$G$35)*ROW(BenchmarkResults!$F$3:$F$35)),{1,3})</f>
        <v>q6_inactive_customers</v>
      </c>
      <c r="B2527">
        <v>2</v>
      </c>
      <c r="C2527" s="13">
        <v>1</v>
      </c>
      <c r="D2527" s="13">
        <v>0</v>
      </c>
      <c r="E2527" s="13">
        <v>194560</v>
      </c>
      <c r="F2527" s="13">
        <v>166616</v>
      </c>
      <c r="G2527" s="13">
        <v>5144</v>
      </c>
      <c r="H2527" s="13">
        <v>2229616</v>
      </c>
      <c r="I2527" s="13">
        <v>0</v>
      </c>
      <c r="J2527" s="13">
        <v>0</v>
      </c>
      <c r="K2527" s="13">
        <v>1849</v>
      </c>
      <c r="L2527" s="13">
        <v>20</v>
      </c>
      <c r="M2527" s="13">
        <v>738</v>
      </c>
      <c r="N2527" s="13">
        <v>222</v>
      </c>
      <c r="O2527" s="13">
        <v>36</v>
      </c>
      <c r="P2527" s="13">
        <v>1</v>
      </c>
      <c r="Q2527" s="13">
        <v>61</v>
      </c>
      <c r="R2527" s="13">
        <v>1</v>
      </c>
      <c r="S2527" s="13">
        <v>1</v>
      </c>
      <c r="T2527" s="23">
        <v>46247.77449074074</v>
      </c>
      <c r="U2527" s="55">
        <f t="shared" si="117"/>
        <v>1.1666666666666667</v>
      </c>
      <c r="V2527" s="55">
        <f t="shared" si="118"/>
        <v>0</v>
      </c>
      <c r="W2527" s="56">
        <f t="shared" si="119"/>
        <v>1843.3333333333333</v>
      </c>
    </row>
    <row r="2528" spans="1:23" x14ac:dyDescent="0.3">
      <c r="A2528" s="13" t="str" cm="1">
        <f t="array" ref="A2528:B2528">INDEX(BenchmarkResults!$B$1:$D$35,SUMPRODUCT((T2528&gt;=BenchmarkResults!$F$3:$F$35)*(mongodb_hardware_log!T2528&lt;BenchmarkResults!$G$3:$G$35)*ROW(BenchmarkResults!$F$3:$F$35)),{1,3})</f>
        <v>q6_inactive_customers</v>
      </c>
      <c r="B2528">
        <v>2</v>
      </c>
      <c r="C2528" s="13">
        <v>1</v>
      </c>
      <c r="D2528" s="13">
        <v>0</v>
      </c>
      <c r="E2528" s="13">
        <v>194560</v>
      </c>
      <c r="F2528" s="13">
        <v>165608</v>
      </c>
      <c r="G2528" s="13">
        <v>5144</v>
      </c>
      <c r="H2528" s="13">
        <v>2233620</v>
      </c>
      <c r="I2528" s="13">
        <v>0</v>
      </c>
      <c r="J2528" s="13">
        <v>0</v>
      </c>
      <c r="K2528" s="13">
        <v>1956</v>
      </c>
      <c r="L2528" s="13">
        <v>21</v>
      </c>
      <c r="M2528" s="13">
        <v>749</v>
      </c>
      <c r="N2528" s="13">
        <v>229</v>
      </c>
      <c r="O2528" s="13">
        <v>36</v>
      </c>
      <c r="P2528" s="13">
        <v>1</v>
      </c>
      <c r="Q2528" s="13">
        <v>61</v>
      </c>
      <c r="R2528" s="13">
        <v>1</v>
      </c>
      <c r="S2528" s="13">
        <v>1</v>
      </c>
      <c r="T2528" s="23">
        <v>46247.774513888886</v>
      </c>
      <c r="U2528" s="55">
        <f t="shared" si="117"/>
        <v>1.1666666666666667</v>
      </c>
      <c r="V2528" s="55">
        <f t="shared" si="118"/>
        <v>0</v>
      </c>
      <c r="W2528" s="56">
        <f t="shared" si="119"/>
        <v>1877.5</v>
      </c>
    </row>
    <row r="2529" spans="1:23" x14ac:dyDescent="0.3">
      <c r="A2529" s="13" t="str" cm="1">
        <f t="array" ref="A2529:B2529">INDEX(BenchmarkResults!$B$1:$D$35,SUMPRODUCT((T2529&gt;=BenchmarkResults!$F$3:$F$35)*(mongodb_hardware_log!T2529&lt;BenchmarkResults!$G$3:$G$35)*ROW(BenchmarkResults!$F$3:$F$35)),{1,3})</f>
        <v>q6_inactive_customers</v>
      </c>
      <c r="B2529">
        <v>2</v>
      </c>
      <c r="C2529" s="13">
        <v>1</v>
      </c>
      <c r="D2529" s="13">
        <v>0</v>
      </c>
      <c r="E2529" s="13">
        <v>194560</v>
      </c>
      <c r="F2529" s="13">
        <v>151748</v>
      </c>
      <c r="G2529" s="13">
        <v>5152</v>
      </c>
      <c r="H2529" s="13">
        <v>2246824</v>
      </c>
      <c r="I2529" s="13">
        <v>0</v>
      </c>
      <c r="J2529" s="13">
        <v>0</v>
      </c>
      <c r="K2529" s="13">
        <v>1723</v>
      </c>
      <c r="L2529" s="13">
        <v>6</v>
      </c>
      <c r="M2529" s="13">
        <v>739</v>
      </c>
      <c r="N2529" s="13">
        <v>222</v>
      </c>
      <c r="O2529" s="13">
        <v>35</v>
      </c>
      <c r="P2529" s="13">
        <v>1</v>
      </c>
      <c r="Q2529" s="13">
        <v>62</v>
      </c>
      <c r="R2529" s="13">
        <v>0</v>
      </c>
      <c r="S2529" s="13">
        <v>1</v>
      </c>
      <c r="T2529" s="23">
        <v>46247.774606481478</v>
      </c>
      <c r="U2529" s="55">
        <f t="shared" si="117"/>
        <v>1.1666666666666667</v>
      </c>
      <c r="V2529" s="55">
        <f t="shared" si="118"/>
        <v>0</v>
      </c>
      <c r="W2529" s="56">
        <f t="shared" si="119"/>
        <v>1832.5</v>
      </c>
    </row>
    <row r="2530" spans="1:23" x14ac:dyDescent="0.3">
      <c r="A2530" s="13" t="str" cm="1">
        <f t="array" ref="A2530:B2530">INDEX(BenchmarkResults!$B$1:$D$35,SUMPRODUCT((T2530&gt;=BenchmarkResults!$F$3:$F$35)*(mongodb_hardware_log!T2530&lt;BenchmarkResults!$G$3:$G$35)*ROW(BenchmarkResults!$F$3:$F$35)),{1,3})</f>
        <v>q6_inactive_customers</v>
      </c>
      <c r="B2530">
        <v>2</v>
      </c>
      <c r="C2530" s="13">
        <v>1</v>
      </c>
      <c r="D2530" s="13">
        <v>1</v>
      </c>
      <c r="E2530" s="13">
        <v>194560</v>
      </c>
      <c r="F2530" s="13">
        <v>146456</v>
      </c>
      <c r="G2530" s="13">
        <v>5160</v>
      </c>
      <c r="H2530" s="13">
        <v>2250072</v>
      </c>
      <c r="I2530" s="13">
        <v>0</v>
      </c>
      <c r="J2530" s="13">
        <v>0</v>
      </c>
      <c r="K2530" s="13">
        <v>1652</v>
      </c>
      <c r="L2530" s="13">
        <v>10</v>
      </c>
      <c r="M2530" s="13">
        <v>732</v>
      </c>
      <c r="N2530" s="13">
        <v>217</v>
      </c>
      <c r="O2530" s="13">
        <v>36</v>
      </c>
      <c r="P2530" s="13">
        <v>1</v>
      </c>
      <c r="Q2530" s="13">
        <v>62</v>
      </c>
      <c r="R2530" s="13">
        <v>0</v>
      </c>
      <c r="S2530" s="13">
        <v>1</v>
      </c>
      <c r="T2530" s="23">
        <v>46247.774629629632</v>
      </c>
      <c r="U2530" s="55">
        <f t="shared" si="117"/>
        <v>1</v>
      </c>
      <c r="V2530" s="55">
        <f t="shared" si="118"/>
        <v>0.16666666666666666</v>
      </c>
      <c r="W2530" s="56">
        <f t="shared" si="119"/>
        <v>1783.8333333333333</v>
      </c>
    </row>
    <row r="2531" spans="1:23" x14ac:dyDescent="0.3">
      <c r="A2531" s="13" t="str" cm="1">
        <f t="array" ref="A2531:B2531">INDEX(BenchmarkResults!$B$1:$D$35,SUMPRODUCT((T2531&gt;=BenchmarkResults!$F$3:$F$35)*(mongodb_hardware_log!T2531&lt;BenchmarkResults!$G$3:$G$35)*ROW(BenchmarkResults!$F$3:$F$35)),{1,3})</f>
        <v>q6_inactive_customers</v>
      </c>
      <c r="B2531">
        <v>2</v>
      </c>
      <c r="C2531" s="13">
        <v>1</v>
      </c>
      <c r="D2531" s="13">
        <v>0</v>
      </c>
      <c r="E2531" s="13">
        <v>194560</v>
      </c>
      <c r="F2531" s="13">
        <v>118232</v>
      </c>
      <c r="G2531" s="13">
        <v>5168</v>
      </c>
      <c r="H2531" s="13">
        <v>2276556</v>
      </c>
      <c r="I2531" s="13">
        <v>0</v>
      </c>
      <c r="J2531" s="13">
        <v>0</v>
      </c>
      <c r="K2531" s="13">
        <v>1369</v>
      </c>
      <c r="L2531" s="13">
        <v>32</v>
      </c>
      <c r="M2531" s="13">
        <v>688</v>
      </c>
      <c r="N2531" s="13">
        <v>177</v>
      </c>
      <c r="O2531" s="13">
        <v>36</v>
      </c>
      <c r="P2531" s="13">
        <v>1</v>
      </c>
      <c r="Q2531" s="13">
        <v>62</v>
      </c>
      <c r="R2531" s="13">
        <v>0</v>
      </c>
      <c r="S2531" s="13">
        <v>0</v>
      </c>
      <c r="T2531" s="23">
        <v>46247.774722222224</v>
      </c>
      <c r="U2531" s="55">
        <f t="shared" si="117"/>
        <v>1</v>
      </c>
      <c r="V2531" s="55">
        <f t="shared" si="118"/>
        <v>0.16666666666666666</v>
      </c>
      <c r="W2531" s="56">
        <f t="shared" si="119"/>
        <v>1719.8333333333333</v>
      </c>
    </row>
    <row r="2532" spans="1:23" x14ac:dyDescent="0.3">
      <c r="A2532" s="13" t="str" cm="1">
        <f t="array" ref="A2532:B2532">INDEX(BenchmarkResults!$B$1:$D$35,SUMPRODUCT((T2532&gt;=BenchmarkResults!$F$3:$F$35)*(mongodb_hardware_log!T2532&lt;BenchmarkResults!$G$3:$G$35)*ROW(BenchmarkResults!$F$3:$F$35)),{1,3})</f>
        <v>q6_inactive_customers</v>
      </c>
      <c r="B2532">
        <v>2</v>
      </c>
      <c r="C2532" s="13">
        <v>1</v>
      </c>
      <c r="D2532" s="13">
        <v>0</v>
      </c>
      <c r="E2532" s="13">
        <v>194560</v>
      </c>
      <c r="F2532" s="13">
        <v>114452</v>
      </c>
      <c r="G2532" s="13">
        <v>5168</v>
      </c>
      <c r="H2532" s="13">
        <v>2280984</v>
      </c>
      <c r="I2532" s="13">
        <v>0</v>
      </c>
      <c r="J2532" s="13">
        <v>0</v>
      </c>
      <c r="K2532" s="13">
        <v>1487</v>
      </c>
      <c r="L2532" s="13">
        <v>28</v>
      </c>
      <c r="M2532" s="13">
        <v>697</v>
      </c>
      <c r="N2532" s="13">
        <v>180</v>
      </c>
      <c r="O2532" s="13">
        <v>36</v>
      </c>
      <c r="P2532" s="13">
        <v>1</v>
      </c>
      <c r="Q2532" s="13">
        <v>62</v>
      </c>
      <c r="R2532" s="13">
        <v>0</v>
      </c>
      <c r="S2532" s="13">
        <v>1</v>
      </c>
      <c r="T2532" s="23">
        <v>46247.774745370371</v>
      </c>
      <c r="U2532" s="55">
        <f t="shared" si="117"/>
        <v>1</v>
      </c>
      <c r="V2532" s="55">
        <f t="shared" si="118"/>
        <v>0.16666666666666666</v>
      </c>
      <c r="W2532" s="56">
        <f t="shared" si="119"/>
        <v>1672.6666666666667</v>
      </c>
    </row>
    <row r="2533" spans="1:23" x14ac:dyDescent="0.3">
      <c r="A2533" s="13" t="str" cm="1">
        <f t="array" ref="A2533:B2533">INDEX(BenchmarkResults!$B$1:$D$35,SUMPRODUCT((T2533&gt;=BenchmarkResults!$F$3:$F$35)*(mongodb_hardware_log!T2533&lt;BenchmarkResults!$G$3:$G$35)*ROW(BenchmarkResults!$F$3:$F$35)),{1,3})</f>
        <v>q6_inactive_customers</v>
      </c>
      <c r="B2533">
        <v>2</v>
      </c>
      <c r="C2533" s="13">
        <v>1</v>
      </c>
      <c r="D2533" s="13">
        <v>0</v>
      </c>
      <c r="E2533" s="13">
        <v>194560</v>
      </c>
      <c r="F2533" s="13">
        <v>164832</v>
      </c>
      <c r="G2533" s="13">
        <v>5176</v>
      </c>
      <c r="H2533" s="13">
        <v>2234292</v>
      </c>
      <c r="I2533" s="13">
        <v>0</v>
      </c>
      <c r="J2533" s="13">
        <v>0</v>
      </c>
      <c r="K2533" s="13">
        <v>1356</v>
      </c>
      <c r="L2533" s="13">
        <v>6</v>
      </c>
      <c r="M2533" s="13">
        <v>748</v>
      </c>
      <c r="N2533" s="13">
        <v>214</v>
      </c>
      <c r="O2533" s="13">
        <v>35</v>
      </c>
      <c r="P2533" s="13">
        <v>1</v>
      </c>
      <c r="Q2533" s="13">
        <v>61</v>
      </c>
      <c r="R2533" s="13">
        <v>1</v>
      </c>
      <c r="S2533" s="13">
        <v>2</v>
      </c>
      <c r="T2533" s="23">
        <v>46247.774837962963</v>
      </c>
      <c r="U2533" s="55">
        <f t="shared" si="117"/>
        <v>1</v>
      </c>
      <c r="V2533" s="55">
        <f t="shared" si="118"/>
        <v>0.16666666666666666</v>
      </c>
      <c r="W2533" s="56">
        <f t="shared" si="119"/>
        <v>1590.5</v>
      </c>
    </row>
    <row r="2534" spans="1:23" x14ac:dyDescent="0.3">
      <c r="A2534" s="13" t="str" cm="1">
        <f t="array" ref="A2534:B2534">INDEX(BenchmarkResults!$B$1:$D$35,SUMPRODUCT((T2534&gt;=BenchmarkResults!$F$3:$F$35)*(mongodb_hardware_log!T2534&lt;BenchmarkResults!$G$3:$G$35)*ROW(BenchmarkResults!$F$3:$F$35)),{1,3})</f>
        <v>q6_inactive_customers</v>
      </c>
      <c r="B2534">
        <v>2</v>
      </c>
      <c r="C2534" s="13">
        <v>1</v>
      </c>
      <c r="D2534" s="13">
        <v>1</v>
      </c>
      <c r="E2534" s="13">
        <v>194560</v>
      </c>
      <c r="F2534" s="13">
        <v>160828</v>
      </c>
      <c r="G2534" s="13">
        <v>5184</v>
      </c>
      <c r="H2534" s="13">
        <v>2237412</v>
      </c>
      <c r="I2534" s="13">
        <v>0</v>
      </c>
      <c r="J2534" s="13">
        <v>0</v>
      </c>
      <c r="K2534" s="13">
        <v>1228</v>
      </c>
      <c r="L2534" s="13">
        <v>11</v>
      </c>
      <c r="M2534" s="13">
        <v>746</v>
      </c>
      <c r="N2534" s="13">
        <v>214</v>
      </c>
      <c r="O2534" s="13">
        <v>35</v>
      </c>
      <c r="P2534" s="13">
        <v>1</v>
      </c>
      <c r="Q2534" s="13">
        <v>61</v>
      </c>
      <c r="R2534" s="13">
        <v>0</v>
      </c>
      <c r="S2534" s="13">
        <v>2</v>
      </c>
      <c r="T2534" s="23">
        <v>46247.774861111109</v>
      </c>
      <c r="U2534" s="55">
        <f t="shared" si="117"/>
        <v>1</v>
      </c>
      <c r="V2534" s="55">
        <f t="shared" si="118"/>
        <v>0.33333333333333331</v>
      </c>
      <c r="W2534" s="56">
        <f t="shared" si="119"/>
        <v>1469.1666666666667</v>
      </c>
    </row>
    <row r="2535" spans="1:23" x14ac:dyDescent="0.3">
      <c r="A2535" s="13" t="str" cm="1">
        <f t="array" ref="A2535:B2535">INDEX(BenchmarkResults!$B$1:$D$35,SUMPRODUCT((T2535&gt;=BenchmarkResults!$F$3:$F$35)*(mongodb_hardware_log!T2535&lt;BenchmarkResults!$G$3:$G$35)*ROW(BenchmarkResults!$F$3:$F$35)),{1,3})</f>
        <v>q6_inactive_customers</v>
      </c>
      <c r="B2535">
        <v>2</v>
      </c>
      <c r="C2535" s="13">
        <v>1</v>
      </c>
      <c r="D2535" s="13">
        <v>0</v>
      </c>
      <c r="E2535" s="13">
        <v>194560</v>
      </c>
      <c r="F2535" s="13">
        <v>149488</v>
      </c>
      <c r="G2535" s="13">
        <v>5192</v>
      </c>
      <c r="H2535" s="13">
        <v>2248524</v>
      </c>
      <c r="I2535" s="13">
        <v>0</v>
      </c>
      <c r="J2535" s="13">
        <v>0</v>
      </c>
      <c r="K2535" s="13">
        <v>1430</v>
      </c>
      <c r="L2535" s="13">
        <v>15</v>
      </c>
      <c r="M2535" s="13">
        <v>765</v>
      </c>
      <c r="N2535" s="13">
        <v>222</v>
      </c>
      <c r="O2535" s="13">
        <v>34</v>
      </c>
      <c r="P2535" s="13">
        <v>1</v>
      </c>
      <c r="Q2535" s="13">
        <v>61</v>
      </c>
      <c r="R2535" s="13">
        <v>1</v>
      </c>
      <c r="S2535" s="13">
        <v>3</v>
      </c>
      <c r="T2535" s="23">
        <v>46247.774953703702</v>
      </c>
      <c r="U2535" s="55">
        <f t="shared" si="117"/>
        <v>1</v>
      </c>
      <c r="V2535" s="55">
        <f t="shared" si="118"/>
        <v>0.33333333333333331</v>
      </c>
      <c r="W2535" s="56">
        <f t="shared" si="119"/>
        <v>1420.3333333333333</v>
      </c>
    </row>
    <row r="2536" spans="1:23" x14ac:dyDescent="0.3">
      <c r="A2536" s="13" t="str" cm="1">
        <f t="array" ref="A2536:B2536">INDEX(BenchmarkResults!$B$1:$D$35,SUMPRODUCT((T2536&gt;=BenchmarkResults!$F$3:$F$35)*(mongodb_hardware_log!T2536&lt;BenchmarkResults!$G$3:$G$35)*ROW(BenchmarkResults!$F$3:$F$35)),{1,3})</f>
        <v>q6_inactive_customers</v>
      </c>
      <c r="B2536">
        <v>2</v>
      </c>
      <c r="C2536" s="13">
        <v>1</v>
      </c>
      <c r="D2536" s="13">
        <v>0</v>
      </c>
      <c r="E2536" s="13">
        <v>194560</v>
      </c>
      <c r="F2536" s="13">
        <v>143440</v>
      </c>
      <c r="G2536" s="13">
        <v>5192</v>
      </c>
      <c r="H2536" s="13">
        <v>2251232</v>
      </c>
      <c r="I2536" s="13">
        <v>0</v>
      </c>
      <c r="J2536" s="13">
        <v>0</v>
      </c>
      <c r="K2536" s="13">
        <v>1376</v>
      </c>
      <c r="L2536" s="13">
        <v>10</v>
      </c>
      <c r="M2536" s="13">
        <v>754</v>
      </c>
      <c r="N2536" s="13">
        <v>217</v>
      </c>
      <c r="O2536" s="13">
        <v>34</v>
      </c>
      <c r="P2536" s="13">
        <v>1</v>
      </c>
      <c r="Q2536" s="13">
        <v>61</v>
      </c>
      <c r="R2536" s="13">
        <v>1</v>
      </c>
      <c r="S2536" s="13">
        <v>3</v>
      </c>
      <c r="T2536" s="23">
        <v>46247.774976851855</v>
      </c>
      <c r="U2536" s="55">
        <f t="shared" si="117"/>
        <v>1</v>
      </c>
      <c r="V2536" s="55">
        <f t="shared" si="118"/>
        <v>0.16666666666666666</v>
      </c>
      <c r="W2536" s="56">
        <f t="shared" si="119"/>
        <v>1374.3333333333333</v>
      </c>
    </row>
    <row r="2537" spans="1:23" x14ac:dyDescent="0.3">
      <c r="A2537" s="13" t="str" cm="1">
        <f t="array" ref="A2537:B2537">INDEX(BenchmarkResults!$B$1:$D$35,SUMPRODUCT((T2537&gt;=BenchmarkResults!$F$3:$F$35)*(mongodb_hardware_log!T2537&lt;BenchmarkResults!$G$3:$G$35)*ROW(BenchmarkResults!$F$3:$F$35)),{1,3})</f>
        <v>q6_inactive_customers</v>
      </c>
      <c r="B2537">
        <v>2</v>
      </c>
      <c r="C2537" s="13">
        <v>0</v>
      </c>
      <c r="D2537" s="13">
        <v>1</v>
      </c>
      <c r="E2537" s="13">
        <v>194560</v>
      </c>
      <c r="F2537" s="13">
        <v>132352</v>
      </c>
      <c r="G2537" s="13">
        <v>5200</v>
      </c>
      <c r="H2537" s="13">
        <v>2265036</v>
      </c>
      <c r="I2537" s="13">
        <v>0</v>
      </c>
      <c r="J2537" s="13">
        <v>0</v>
      </c>
      <c r="K2537" s="13">
        <v>1642</v>
      </c>
      <c r="L2537" s="13">
        <v>1566</v>
      </c>
      <c r="M2537" s="13">
        <v>742</v>
      </c>
      <c r="N2537" s="13">
        <v>208</v>
      </c>
      <c r="O2537" s="13">
        <v>35</v>
      </c>
      <c r="P2537" s="13">
        <v>1</v>
      </c>
      <c r="Q2537" s="13">
        <v>60</v>
      </c>
      <c r="R2537" s="13">
        <v>2</v>
      </c>
      <c r="S2537" s="13">
        <v>2</v>
      </c>
      <c r="T2537" s="23">
        <v>46247.775069444448</v>
      </c>
      <c r="U2537" s="55">
        <f t="shared" si="117"/>
        <v>0.83333333333333337</v>
      </c>
      <c r="V2537" s="55">
        <f t="shared" si="118"/>
        <v>0.33333333333333331</v>
      </c>
      <c r="W2537" s="56">
        <f t="shared" si="119"/>
        <v>1419.8333333333333</v>
      </c>
    </row>
    <row r="2538" spans="1:23" x14ac:dyDescent="0.3">
      <c r="A2538" s="13" t="str" cm="1">
        <f t="array" ref="A2538:B2538">INDEX(BenchmarkResults!$B$1:$D$35,SUMPRODUCT((T2538&gt;=BenchmarkResults!$F$3:$F$35)*(mongodb_hardware_log!T2538&lt;BenchmarkResults!$G$3:$G$35)*ROW(BenchmarkResults!$F$3:$F$35)),{1,3})</f>
        <v>q6_inactive_customers</v>
      </c>
      <c r="B2538">
        <v>2</v>
      </c>
      <c r="C2538" s="13">
        <v>1</v>
      </c>
      <c r="D2538" s="13">
        <v>0</v>
      </c>
      <c r="E2538" s="13">
        <v>194560</v>
      </c>
      <c r="F2538" s="13">
        <v>126304</v>
      </c>
      <c r="G2538" s="13">
        <v>5212</v>
      </c>
      <c r="H2538" s="13">
        <v>2269172</v>
      </c>
      <c r="I2538" s="13">
        <v>0</v>
      </c>
      <c r="J2538" s="13">
        <v>0</v>
      </c>
      <c r="K2538" s="13">
        <v>1804</v>
      </c>
      <c r="L2538" s="13">
        <v>1573</v>
      </c>
      <c r="M2538" s="13">
        <v>756</v>
      </c>
      <c r="N2538" s="13">
        <v>218</v>
      </c>
      <c r="O2538" s="13">
        <v>34</v>
      </c>
      <c r="P2538" s="13">
        <v>1</v>
      </c>
      <c r="Q2538" s="13">
        <v>61</v>
      </c>
      <c r="R2538" s="13">
        <v>2</v>
      </c>
      <c r="S2538" s="13">
        <v>2</v>
      </c>
      <c r="T2538" s="23">
        <v>46247.775092592594</v>
      </c>
      <c r="U2538" s="55">
        <f t="shared" si="117"/>
        <v>0.83333333333333337</v>
      </c>
      <c r="V2538" s="55">
        <f t="shared" si="118"/>
        <v>0.33333333333333331</v>
      </c>
      <c r="W2538" s="56">
        <f t="shared" si="119"/>
        <v>1472.6666666666667</v>
      </c>
    </row>
    <row r="2539" spans="1:23" x14ac:dyDescent="0.3">
      <c r="A2539" s="13" t="str" cm="1">
        <f t="array" ref="A2539:B2539">INDEX(BenchmarkResults!$B$1:$D$35,SUMPRODUCT((T2539&gt;=BenchmarkResults!$F$3:$F$35)*(mongodb_hardware_log!T2539&lt;BenchmarkResults!$G$3:$G$35)*ROW(BenchmarkResults!$F$3:$F$35)),{1,3})</f>
        <v>q6_inactive_customers</v>
      </c>
      <c r="B2539">
        <v>2</v>
      </c>
      <c r="C2539" s="13">
        <v>1</v>
      </c>
      <c r="D2539" s="13">
        <v>0</v>
      </c>
      <c r="E2539" s="13">
        <v>194560</v>
      </c>
      <c r="F2539" s="13">
        <v>110680</v>
      </c>
      <c r="G2539" s="13">
        <v>5236</v>
      </c>
      <c r="H2539" s="13">
        <v>2282756</v>
      </c>
      <c r="I2539" s="13">
        <v>0</v>
      </c>
      <c r="J2539" s="13">
        <v>0</v>
      </c>
      <c r="K2539" s="13">
        <v>1777</v>
      </c>
      <c r="L2539" s="13">
        <v>30</v>
      </c>
      <c r="M2539" s="13">
        <v>730</v>
      </c>
      <c r="N2539" s="13">
        <v>214</v>
      </c>
      <c r="O2539" s="13">
        <v>35</v>
      </c>
      <c r="P2539" s="13">
        <v>1</v>
      </c>
      <c r="Q2539" s="13">
        <v>62</v>
      </c>
      <c r="R2539" s="13">
        <v>0</v>
      </c>
      <c r="S2539" s="13">
        <v>1</v>
      </c>
      <c r="T2539" s="23">
        <v>46247.775185185186</v>
      </c>
      <c r="U2539" s="55">
        <f t="shared" si="117"/>
        <v>0.83333333333333337</v>
      </c>
      <c r="V2539" s="55">
        <f t="shared" si="118"/>
        <v>0.33333333333333331</v>
      </c>
      <c r="W2539" s="56">
        <f t="shared" si="119"/>
        <v>1542.8333333333333</v>
      </c>
    </row>
    <row r="2540" spans="1:23" x14ac:dyDescent="0.3">
      <c r="A2540" s="13" t="str" cm="1">
        <f t="array" ref="A2540:B2540">INDEX(BenchmarkResults!$B$1:$D$35,SUMPRODUCT((T2540&gt;=BenchmarkResults!$F$3:$F$35)*(mongodb_hardware_log!T2540&lt;BenchmarkResults!$G$3:$G$35)*ROW(BenchmarkResults!$F$3:$F$35)),{1,3})</f>
        <v>q6_inactive_customers</v>
      </c>
      <c r="B2540">
        <v>2</v>
      </c>
      <c r="C2540" s="13">
        <v>2</v>
      </c>
      <c r="D2540" s="13">
        <v>0</v>
      </c>
      <c r="E2540" s="13">
        <v>194560</v>
      </c>
      <c r="F2540" s="13">
        <v>110680</v>
      </c>
      <c r="G2540" s="13">
        <v>5236</v>
      </c>
      <c r="H2540" s="13">
        <v>2285988</v>
      </c>
      <c r="I2540" s="13">
        <v>0</v>
      </c>
      <c r="J2540" s="13">
        <v>0</v>
      </c>
      <c r="K2540" s="13">
        <v>1671</v>
      </c>
      <c r="L2540" s="13">
        <v>23</v>
      </c>
      <c r="M2540" s="13">
        <v>723</v>
      </c>
      <c r="N2540" s="13">
        <v>204</v>
      </c>
      <c r="O2540" s="13">
        <v>36</v>
      </c>
      <c r="P2540" s="13">
        <v>1</v>
      </c>
      <c r="Q2540" s="13">
        <v>61</v>
      </c>
      <c r="R2540" s="13">
        <v>0</v>
      </c>
      <c r="S2540" s="13">
        <v>1</v>
      </c>
      <c r="T2540" s="23">
        <v>46247.775208333333</v>
      </c>
      <c r="U2540" s="55">
        <f t="shared" si="117"/>
        <v>1</v>
      </c>
      <c r="V2540" s="55">
        <f t="shared" si="118"/>
        <v>0.16666666666666666</v>
      </c>
      <c r="W2540" s="56">
        <f t="shared" si="119"/>
        <v>1616.6666666666667</v>
      </c>
    </row>
    <row r="2541" spans="1:23" x14ac:dyDescent="0.3">
      <c r="A2541" s="13" t="str" cm="1">
        <f t="array" ref="A2541:B2541">INDEX(BenchmarkResults!$B$1:$D$35,SUMPRODUCT((T2541&gt;=BenchmarkResults!$F$3:$F$35)*(mongodb_hardware_log!T2541&lt;BenchmarkResults!$G$3:$G$35)*ROW(BenchmarkResults!$F$3:$F$35)),{1,3})</f>
        <v>q6_inactive_customers</v>
      </c>
      <c r="B2541">
        <v>2</v>
      </c>
      <c r="C2541" s="13">
        <v>1</v>
      </c>
      <c r="D2541" s="13">
        <v>0</v>
      </c>
      <c r="E2541" s="13">
        <v>194560</v>
      </c>
      <c r="F2541" s="13">
        <v>155348</v>
      </c>
      <c r="G2541" s="13">
        <v>5244</v>
      </c>
      <c r="H2541" s="13">
        <v>2243800</v>
      </c>
      <c r="I2541" s="13">
        <v>0</v>
      </c>
      <c r="J2541" s="13">
        <v>0</v>
      </c>
      <c r="K2541" s="13">
        <v>1682</v>
      </c>
      <c r="L2541" s="13">
        <v>6</v>
      </c>
      <c r="M2541" s="13">
        <v>742</v>
      </c>
      <c r="N2541" s="13">
        <v>222</v>
      </c>
      <c r="O2541" s="13">
        <v>36</v>
      </c>
      <c r="P2541" s="13">
        <v>1</v>
      </c>
      <c r="Q2541" s="13">
        <v>61</v>
      </c>
      <c r="R2541" s="13">
        <v>0</v>
      </c>
      <c r="S2541" s="13">
        <v>2</v>
      </c>
      <c r="T2541" s="23">
        <v>46247.775300925925</v>
      </c>
      <c r="U2541" s="55">
        <f t="shared" si="117"/>
        <v>1</v>
      </c>
      <c r="V2541" s="55">
        <f t="shared" si="118"/>
        <v>0.16666666666666666</v>
      </c>
      <c r="W2541" s="56">
        <f t="shared" si="119"/>
        <v>1658.6666666666667</v>
      </c>
    </row>
    <row r="2542" spans="1:23" x14ac:dyDescent="0.3">
      <c r="A2542" s="13" t="str" cm="1">
        <f t="array" ref="A2542:B2542">INDEX(BenchmarkResults!$B$1:$D$35,SUMPRODUCT((T2542&gt;=BenchmarkResults!$F$3:$F$35)*(mongodb_hardware_log!T2542&lt;BenchmarkResults!$G$3:$G$35)*ROW(BenchmarkResults!$F$3:$F$35)),{1,3})</f>
        <v>q6_inactive_customers</v>
      </c>
      <c r="B2542">
        <v>2</v>
      </c>
      <c r="C2542" s="13">
        <v>1</v>
      </c>
      <c r="D2542" s="13">
        <v>0</v>
      </c>
      <c r="E2542" s="13">
        <v>194560</v>
      </c>
      <c r="F2542" s="13">
        <v>148292</v>
      </c>
      <c r="G2542" s="13">
        <v>5252</v>
      </c>
      <c r="H2542" s="13">
        <v>2247836</v>
      </c>
      <c r="I2542" s="13">
        <v>0</v>
      </c>
      <c r="J2542" s="13">
        <v>0</v>
      </c>
      <c r="K2542" s="13">
        <v>1766</v>
      </c>
      <c r="L2542" s="13">
        <v>12</v>
      </c>
      <c r="M2542" s="13">
        <v>744</v>
      </c>
      <c r="N2542" s="13">
        <v>229</v>
      </c>
      <c r="O2542" s="13">
        <v>35</v>
      </c>
      <c r="P2542" s="13">
        <v>1</v>
      </c>
      <c r="Q2542" s="13">
        <v>61</v>
      </c>
      <c r="R2542" s="13">
        <v>1</v>
      </c>
      <c r="S2542" s="13">
        <v>1</v>
      </c>
      <c r="T2542" s="23">
        <v>46247.775324074071</v>
      </c>
      <c r="U2542" s="55">
        <f t="shared" si="117"/>
        <v>1</v>
      </c>
      <c r="V2542" s="55">
        <f t="shared" si="118"/>
        <v>0.16666666666666666</v>
      </c>
      <c r="W2542" s="56">
        <f t="shared" si="119"/>
        <v>1723.6666666666667</v>
      </c>
    </row>
    <row r="2543" spans="1:23" x14ac:dyDescent="0.3">
      <c r="A2543" s="13" t="str" cm="1">
        <f t="array" ref="A2543:B2543">INDEX(BenchmarkResults!$B$1:$D$35,SUMPRODUCT((T2543&gt;=BenchmarkResults!$F$3:$F$35)*(mongodb_hardware_log!T2543&lt;BenchmarkResults!$G$3:$G$35)*ROW(BenchmarkResults!$F$3:$F$35)),{1,3})</f>
        <v>q6_inactive_customers</v>
      </c>
      <c r="B2543">
        <v>2</v>
      </c>
      <c r="C2543" s="13">
        <v>1</v>
      </c>
      <c r="D2543" s="13">
        <v>0</v>
      </c>
      <c r="E2543" s="13">
        <v>194560</v>
      </c>
      <c r="F2543" s="13">
        <v>119564</v>
      </c>
      <c r="G2543" s="13">
        <v>5260</v>
      </c>
      <c r="H2543" s="13">
        <v>2272064</v>
      </c>
      <c r="I2543" s="13">
        <v>0</v>
      </c>
      <c r="J2543" s="13">
        <v>0</v>
      </c>
      <c r="K2543" s="13">
        <v>1231</v>
      </c>
      <c r="L2543" s="13">
        <v>18</v>
      </c>
      <c r="M2543" s="13">
        <v>690</v>
      </c>
      <c r="N2543" s="13">
        <v>184</v>
      </c>
      <c r="O2543" s="13">
        <v>36</v>
      </c>
      <c r="P2543" s="13">
        <v>1</v>
      </c>
      <c r="Q2543" s="13">
        <v>61</v>
      </c>
      <c r="R2543" s="13">
        <v>1</v>
      </c>
      <c r="S2543" s="13">
        <v>0</v>
      </c>
      <c r="T2543" s="23">
        <v>46247.775416666664</v>
      </c>
      <c r="U2543" s="55">
        <f t="shared" si="117"/>
        <v>1.1666666666666667</v>
      </c>
      <c r="V2543" s="55">
        <f t="shared" si="118"/>
        <v>0</v>
      </c>
      <c r="W2543" s="56">
        <f t="shared" si="119"/>
        <v>1655.1666666666667</v>
      </c>
    </row>
    <row r="2544" spans="1:23" x14ac:dyDescent="0.3">
      <c r="A2544" s="13" t="str" cm="1">
        <f t="array" ref="A2544:B2544">INDEX(BenchmarkResults!$B$1:$D$35,SUMPRODUCT((T2544&gt;=BenchmarkResults!$F$3:$F$35)*(mongodb_hardware_log!T2544&lt;BenchmarkResults!$G$3:$G$35)*ROW(BenchmarkResults!$F$3:$F$35)),{1,3})</f>
        <v>q6_inactive_customers</v>
      </c>
      <c r="B2544">
        <v>2</v>
      </c>
      <c r="C2544" s="13">
        <v>1</v>
      </c>
      <c r="D2544" s="13">
        <v>0</v>
      </c>
      <c r="E2544" s="13">
        <v>194560</v>
      </c>
      <c r="F2544" s="13">
        <v>119564</v>
      </c>
      <c r="G2544" s="13">
        <v>5260</v>
      </c>
      <c r="H2544" s="13">
        <v>2275772</v>
      </c>
      <c r="I2544" s="13">
        <v>0</v>
      </c>
      <c r="J2544" s="13">
        <v>0</v>
      </c>
      <c r="K2544" s="13">
        <v>1194</v>
      </c>
      <c r="L2544" s="13">
        <v>12</v>
      </c>
      <c r="M2544" s="13">
        <v>687</v>
      </c>
      <c r="N2544" s="13">
        <v>181</v>
      </c>
      <c r="O2544" s="13">
        <v>36</v>
      </c>
      <c r="P2544" s="13">
        <v>1</v>
      </c>
      <c r="Q2544" s="13">
        <v>62</v>
      </c>
      <c r="R2544" s="13">
        <v>0</v>
      </c>
      <c r="S2544" s="13">
        <v>0</v>
      </c>
      <c r="T2544" s="23">
        <v>46247.775439814817</v>
      </c>
      <c r="U2544" s="55">
        <f t="shared" si="117"/>
        <v>1.1666666666666667</v>
      </c>
      <c r="V2544" s="55">
        <f t="shared" si="118"/>
        <v>0</v>
      </c>
      <c r="W2544" s="56">
        <f t="shared" si="119"/>
        <v>1553.5</v>
      </c>
    </row>
    <row r="2545" spans="1:23" x14ac:dyDescent="0.3">
      <c r="A2545" s="13" t="str" cm="1">
        <f t="array" ref="A2545:B2545">INDEX(BenchmarkResults!$B$1:$D$35,SUMPRODUCT((T2545&gt;=BenchmarkResults!$F$3:$F$35)*(mongodb_hardware_log!T2545&lt;BenchmarkResults!$G$3:$G$35)*ROW(BenchmarkResults!$F$3:$F$35)),{1,3})</f>
        <v>q6_inactive_customers</v>
      </c>
      <c r="B2545">
        <v>2</v>
      </c>
      <c r="C2545" s="13">
        <v>1</v>
      </c>
      <c r="D2545" s="13">
        <v>0</v>
      </c>
      <c r="E2545" s="13">
        <v>194560</v>
      </c>
      <c r="F2545" s="13">
        <v>160892</v>
      </c>
      <c r="G2545" s="13">
        <v>5268</v>
      </c>
      <c r="H2545" s="13">
        <v>2237004</v>
      </c>
      <c r="I2545" s="13">
        <v>0</v>
      </c>
      <c r="J2545" s="13">
        <v>0</v>
      </c>
      <c r="K2545" s="13">
        <v>2044</v>
      </c>
      <c r="L2545" s="13">
        <v>426</v>
      </c>
      <c r="M2545" s="13">
        <v>719</v>
      </c>
      <c r="N2545" s="13">
        <v>208</v>
      </c>
      <c r="O2545" s="13">
        <v>37</v>
      </c>
      <c r="P2545" s="13">
        <v>1</v>
      </c>
      <c r="Q2545" s="13">
        <v>62</v>
      </c>
      <c r="R2545" s="13">
        <v>0</v>
      </c>
      <c r="S2545" s="13">
        <v>0</v>
      </c>
      <c r="T2545" s="23">
        <v>46247.77553240741</v>
      </c>
      <c r="U2545" s="55">
        <f t="shared" si="117"/>
        <v>1.1666666666666667</v>
      </c>
      <c r="V2545" s="55">
        <f t="shared" si="118"/>
        <v>0</v>
      </c>
      <c r="W2545" s="56">
        <f t="shared" si="119"/>
        <v>1598</v>
      </c>
    </row>
    <row r="2546" spans="1:23" x14ac:dyDescent="0.3">
      <c r="A2546" s="13" t="str" cm="1">
        <f t="array" ref="A2546:B2546">INDEX(BenchmarkResults!$B$1:$D$35,SUMPRODUCT((T2546&gt;=BenchmarkResults!$F$3:$F$35)*(mongodb_hardware_log!T2546&lt;BenchmarkResults!$G$3:$G$35)*ROW(BenchmarkResults!$F$3:$F$35)),{1,3})</f>
        <v>q6_inactive_customers</v>
      </c>
      <c r="B2546">
        <v>2</v>
      </c>
      <c r="C2546" s="13">
        <v>1</v>
      </c>
      <c r="D2546" s="13">
        <v>0</v>
      </c>
      <c r="E2546" s="13">
        <v>194560</v>
      </c>
      <c r="F2546" s="13">
        <v>157116</v>
      </c>
      <c r="G2546" s="13">
        <v>5276</v>
      </c>
      <c r="H2546" s="13">
        <v>2239612</v>
      </c>
      <c r="I2546" s="13">
        <v>0</v>
      </c>
      <c r="J2546" s="13">
        <v>0</v>
      </c>
      <c r="K2546" s="13">
        <v>1948</v>
      </c>
      <c r="L2546" s="13">
        <v>1584</v>
      </c>
      <c r="M2546" s="13">
        <v>720</v>
      </c>
      <c r="N2546" s="13">
        <v>209</v>
      </c>
      <c r="O2546" s="13">
        <v>37</v>
      </c>
      <c r="P2546" s="13">
        <v>1</v>
      </c>
      <c r="Q2546" s="13">
        <v>60</v>
      </c>
      <c r="R2546" s="13">
        <v>2</v>
      </c>
      <c r="S2546" s="13">
        <v>0</v>
      </c>
      <c r="T2546" s="23">
        <v>46247.775555555556</v>
      </c>
      <c r="U2546" s="55">
        <f t="shared" si="117"/>
        <v>1</v>
      </c>
      <c r="V2546" s="55">
        <f t="shared" si="118"/>
        <v>0</v>
      </c>
      <c r="W2546" s="56">
        <f t="shared" si="119"/>
        <v>1644.1666666666667</v>
      </c>
    </row>
    <row r="2547" spans="1:23" x14ac:dyDescent="0.3">
      <c r="A2547" s="13" t="str" cm="1">
        <f t="array" ref="A2547:B2547">INDEX(BenchmarkResults!$B$1:$D$35,SUMPRODUCT((T2547&gt;=BenchmarkResults!$F$3:$F$35)*(mongodb_hardware_log!T2547&lt;BenchmarkResults!$G$3:$G$35)*ROW(BenchmarkResults!$F$3:$F$35)),{1,3})</f>
        <v>q6_inactive_customers</v>
      </c>
      <c r="B2547">
        <v>2</v>
      </c>
      <c r="C2547" s="13">
        <v>1</v>
      </c>
      <c r="D2547" s="13">
        <v>0</v>
      </c>
      <c r="E2547" s="13">
        <v>194560</v>
      </c>
      <c r="F2547" s="13">
        <v>143888</v>
      </c>
      <c r="G2547" s="13">
        <v>5288</v>
      </c>
      <c r="H2547" s="13">
        <v>2256780</v>
      </c>
      <c r="I2547" s="13">
        <v>0</v>
      </c>
      <c r="J2547" s="13">
        <v>0</v>
      </c>
      <c r="K2547" s="13">
        <v>1978</v>
      </c>
      <c r="L2547" s="13">
        <v>1171</v>
      </c>
      <c r="M2547" s="13">
        <v>740</v>
      </c>
      <c r="N2547" s="13">
        <v>223</v>
      </c>
      <c r="O2547" s="13">
        <v>35</v>
      </c>
      <c r="P2547" s="13">
        <v>1</v>
      </c>
      <c r="Q2547" s="13">
        <v>61</v>
      </c>
      <c r="R2547" s="13">
        <v>2</v>
      </c>
      <c r="S2547" s="13">
        <v>1</v>
      </c>
      <c r="T2547" s="23">
        <v>46247.775648148148</v>
      </c>
      <c r="U2547" s="55">
        <f t="shared" si="117"/>
        <v>1</v>
      </c>
      <c r="V2547" s="55">
        <f t="shared" si="118"/>
        <v>0</v>
      </c>
      <c r="W2547" s="56">
        <f t="shared" si="119"/>
        <v>1693.5</v>
      </c>
    </row>
    <row r="2548" spans="1:23" x14ac:dyDescent="0.3">
      <c r="A2548" s="13" t="str" cm="1">
        <f t="array" ref="A2548:B2548">INDEX(BenchmarkResults!$B$1:$D$35,SUMPRODUCT((T2548&gt;=BenchmarkResults!$F$3:$F$35)*(mongodb_hardware_log!T2548&lt;BenchmarkResults!$G$3:$G$35)*ROW(BenchmarkResults!$F$3:$F$35)),{1,3})</f>
        <v>q6_inactive_customers</v>
      </c>
      <c r="B2548">
        <v>2</v>
      </c>
      <c r="C2548" s="13">
        <v>1</v>
      </c>
      <c r="D2548" s="13">
        <v>0</v>
      </c>
      <c r="E2548" s="13">
        <v>194560</v>
      </c>
      <c r="F2548" s="13">
        <v>140864</v>
      </c>
      <c r="G2548" s="13">
        <v>5288</v>
      </c>
      <c r="H2548" s="13">
        <v>2259280</v>
      </c>
      <c r="I2548" s="13">
        <v>0</v>
      </c>
      <c r="J2548" s="13">
        <v>0</v>
      </c>
      <c r="K2548" s="13">
        <v>1964</v>
      </c>
      <c r="L2548" s="13">
        <v>13</v>
      </c>
      <c r="M2548" s="13">
        <v>739</v>
      </c>
      <c r="N2548" s="13">
        <v>219</v>
      </c>
      <c r="O2548" s="13">
        <v>35</v>
      </c>
      <c r="P2548" s="13">
        <v>1</v>
      </c>
      <c r="Q2548" s="13">
        <v>62</v>
      </c>
      <c r="R2548" s="13">
        <v>1</v>
      </c>
      <c r="S2548" s="13">
        <v>1</v>
      </c>
      <c r="T2548" s="23">
        <v>46247.775671296295</v>
      </c>
      <c r="U2548" s="55">
        <f t="shared" si="117"/>
        <v>1</v>
      </c>
      <c r="V2548" s="55">
        <f t="shared" si="118"/>
        <v>0</v>
      </c>
      <c r="W2548" s="56">
        <f t="shared" si="119"/>
        <v>1726.5</v>
      </c>
    </row>
    <row r="2549" spans="1:23" x14ac:dyDescent="0.3">
      <c r="A2549" s="13" t="str" cm="1">
        <f t="array" ref="A2549:B2549">INDEX(BenchmarkResults!$B$1:$D$35,SUMPRODUCT((T2549&gt;=BenchmarkResults!$F$3:$F$35)*(mongodb_hardware_log!T2549&lt;BenchmarkResults!$G$3:$G$35)*ROW(BenchmarkResults!$F$3:$F$35)),{1,3})</f>
        <v>q6_inactive_customers</v>
      </c>
      <c r="B2549">
        <v>2</v>
      </c>
      <c r="C2549" s="13">
        <v>1</v>
      </c>
      <c r="D2549" s="13">
        <v>0</v>
      </c>
      <c r="E2549" s="13">
        <v>194560</v>
      </c>
      <c r="F2549" s="13">
        <v>125240</v>
      </c>
      <c r="G2549" s="13">
        <v>5296</v>
      </c>
      <c r="H2549" s="13">
        <v>2275116</v>
      </c>
      <c r="I2549" s="13">
        <v>0</v>
      </c>
      <c r="J2549" s="13">
        <v>0</v>
      </c>
      <c r="K2549" s="13">
        <v>1834</v>
      </c>
      <c r="L2549" s="13">
        <v>8</v>
      </c>
      <c r="M2549" s="13">
        <v>733</v>
      </c>
      <c r="N2549" s="13">
        <v>206</v>
      </c>
      <c r="O2549" s="13">
        <v>36</v>
      </c>
      <c r="P2549" s="13">
        <v>1</v>
      </c>
      <c r="Q2549" s="13">
        <v>62</v>
      </c>
      <c r="R2549" s="13">
        <v>0</v>
      </c>
      <c r="S2549" s="13">
        <v>1</v>
      </c>
      <c r="T2549" s="23">
        <v>46247.775763888887</v>
      </c>
      <c r="U2549" s="55">
        <f t="shared" si="117"/>
        <v>1</v>
      </c>
      <c r="V2549" s="55">
        <f t="shared" si="118"/>
        <v>0</v>
      </c>
      <c r="W2549" s="56">
        <f t="shared" si="119"/>
        <v>1827</v>
      </c>
    </row>
    <row r="2550" spans="1:23" x14ac:dyDescent="0.3">
      <c r="A2550" s="13" t="str" cm="1">
        <f t="array" ref="A2550:B2550">INDEX(BenchmarkResults!$B$1:$D$35,SUMPRODUCT((T2550&gt;=BenchmarkResults!$F$3:$F$35)*(mongodb_hardware_log!T2550&lt;BenchmarkResults!$G$3:$G$35)*ROW(BenchmarkResults!$F$3:$F$35)),{1,3})</f>
        <v>q6_inactive_customers</v>
      </c>
      <c r="B2550">
        <v>2</v>
      </c>
      <c r="C2550" s="13">
        <v>1</v>
      </c>
      <c r="D2550" s="13">
        <v>0</v>
      </c>
      <c r="E2550" s="13">
        <v>194560</v>
      </c>
      <c r="F2550" s="13">
        <v>120956</v>
      </c>
      <c r="G2550" s="13">
        <v>5304</v>
      </c>
      <c r="H2550" s="13">
        <v>2276988</v>
      </c>
      <c r="I2550" s="13">
        <v>0</v>
      </c>
      <c r="J2550" s="13">
        <v>0</v>
      </c>
      <c r="K2550" s="13">
        <v>1766</v>
      </c>
      <c r="L2550" s="13">
        <v>13</v>
      </c>
      <c r="M2550" s="13">
        <v>731</v>
      </c>
      <c r="N2550" s="13">
        <v>206</v>
      </c>
      <c r="O2550" s="13">
        <v>36</v>
      </c>
      <c r="P2550" s="13">
        <v>1</v>
      </c>
      <c r="Q2550" s="13">
        <v>62</v>
      </c>
      <c r="R2550" s="13">
        <v>0</v>
      </c>
      <c r="S2550" s="13">
        <v>1</v>
      </c>
      <c r="T2550" s="23">
        <v>46247.775787037041</v>
      </c>
      <c r="U2550" s="55">
        <f t="shared" si="117"/>
        <v>1</v>
      </c>
      <c r="V2550" s="55">
        <f t="shared" si="118"/>
        <v>0</v>
      </c>
      <c r="W2550" s="56">
        <f t="shared" si="119"/>
        <v>1922.3333333333333</v>
      </c>
    </row>
    <row r="2551" spans="1:23" x14ac:dyDescent="0.3">
      <c r="A2551" s="13" t="str" cm="1">
        <f t="array" ref="A2551:B2551">INDEX(BenchmarkResults!$B$1:$D$35,SUMPRODUCT((T2551&gt;=BenchmarkResults!$F$3:$F$35)*(mongodb_hardware_log!T2551&lt;BenchmarkResults!$G$3:$G$35)*ROW(BenchmarkResults!$F$3:$F$35)),{1,3})</f>
        <v>q6_inactive_customers</v>
      </c>
      <c r="B2551">
        <v>2</v>
      </c>
      <c r="C2551" s="13">
        <v>1</v>
      </c>
      <c r="D2551" s="13">
        <v>0</v>
      </c>
      <c r="E2551" s="13">
        <v>194560</v>
      </c>
      <c r="F2551" s="13">
        <v>159900</v>
      </c>
      <c r="G2551" s="13">
        <v>5336</v>
      </c>
      <c r="H2551" s="13">
        <v>2237524</v>
      </c>
      <c r="I2551" s="13">
        <v>0</v>
      </c>
      <c r="J2551" s="13">
        <v>0</v>
      </c>
      <c r="K2551" s="13">
        <v>1814</v>
      </c>
      <c r="L2551" s="13">
        <v>33</v>
      </c>
      <c r="M2551" s="13">
        <v>727</v>
      </c>
      <c r="N2551" s="13">
        <v>215</v>
      </c>
      <c r="O2551" s="13">
        <v>37</v>
      </c>
      <c r="P2551" s="13">
        <v>1</v>
      </c>
      <c r="Q2551" s="13">
        <v>61</v>
      </c>
      <c r="R2551" s="13">
        <v>0</v>
      </c>
      <c r="S2551" s="13">
        <v>1</v>
      </c>
      <c r="T2551" s="23">
        <v>46247.775879629633</v>
      </c>
      <c r="U2551" s="55">
        <f t="shared" si="117"/>
        <v>1</v>
      </c>
      <c r="V2551" s="55">
        <f t="shared" si="118"/>
        <v>0</v>
      </c>
      <c r="W2551" s="56">
        <f t="shared" si="119"/>
        <v>1884</v>
      </c>
    </row>
    <row r="2552" spans="1:23" x14ac:dyDescent="0.3">
      <c r="A2552" s="13" t="str" cm="1">
        <f t="array" ref="A2552:B2552">INDEX(BenchmarkResults!$B$1:$D$35,SUMPRODUCT((T2552&gt;=BenchmarkResults!$F$3:$F$35)*(mongodb_hardware_log!T2552&lt;BenchmarkResults!$G$3:$G$35)*ROW(BenchmarkResults!$F$3:$F$35)),{1,3})</f>
        <v>q6_inactive_customers</v>
      </c>
      <c r="B2552">
        <v>2</v>
      </c>
      <c r="C2552" s="13">
        <v>1</v>
      </c>
      <c r="D2552" s="13">
        <v>0</v>
      </c>
      <c r="E2552" s="13">
        <v>194560</v>
      </c>
      <c r="F2552" s="13">
        <v>156120</v>
      </c>
      <c r="G2552" s="13">
        <v>5336</v>
      </c>
      <c r="H2552" s="13">
        <v>2241736</v>
      </c>
      <c r="I2552" s="13">
        <v>0</v>
      </c>
      <c r="J2552" s="13">
        <v>0</v>
      </c>
      <c r="K2552" s="13">
        <v>2048</v>
      </c>
      <c r="L2552" s="13">
        <v>28</v>
      </c>
      <c r="M2552" s="13">
        <v>723</v>
      </c>
      <c r="N2552" s="13">
        <v>215</v>
      </c>
      <c r="O2552" s="13">
        <v>37</v>
      </c>
      <c r="P2552" s="13">
        <v>1</v>
      </c>
      <c r="Q2552" s="13">
        <v>61</v>
      </c>
      <c r="R2552" s="13">
        <v>0</v>
      </c>
      <c r="S2552" s="13">
        <v>0</v>
      </c>
      <c r="T2552" s="23">
        <v>46247.775902777779</v>
      </c>
      <c r="U2552" s="55">
        <f t="shared" si="117"/>
        <v>1</v>
      </c>
      <c r="V2552" s="55">
        <f t="shared" si="118"/>
        <v>0</v>
      </c>
      <c r="W2552" s="56">
        <f t="shared" si="119"/>
        <v>1900.6666666666667</v>
      </c>
    </row>
    <row r="2553" spans="1:23" x14ac:dyDescent="0.3">
      <c r="A2553" s="13" t="str" cm="1">
        <f t="array" ref="A2553:B2553">INDEX(BenchmarkResults!$B$1:$D$35,SUMPRODUCT((T2553&gt;=BenchmarkResults!$F$3:$F$35)*(mongodb_hardware_log!T2553&lt;BenchmarkResults!$G$3:$G$35)*ROW(BenchmarkResults!$F$3:$F$35)),{1,3})</f>
        <v>q6_inactive_customers</v>
      </c>
      <c r="B2553">
        <v>2</v>
      </c>
      <c r="C2553" s="13">
        <v>1</v>
      </c>
      <c r="D2553" s="13">
        <v>0</v>
      </c>
      <c r="E2553" s="13">
        <v>194560</v>
      </c>
      <c r="F2553" s="13">
        <v>142260</v>
      </c>
      <c r="G2553" s="13">
        <v>5344</v>
      </c>
      <c r="H2553" s="13">
        <v>2257308</v>
      </c>
      <c r="I2553" s="13">
        <v>0</v>
      </c>
      <c r="J2553" s="13">
        <v>0</v>
      </c>
      <c r="K2553" s="13">
        <v>1981</v>
      </c>
      <c r="L2553" s="13">
        <v>15</v>
      </c>
      <c r="M2553" s="13">
        <v>732</v>
      </c>
      <c r="N2553" s="13">
        <v>218</v>
      </c>
      <c r="O2553" s="13">
        <v>36</v>
      </c>
      <c r="P2553" s="13">
        <v>1</v>
      </c>
      <c r="Q2553" s="13">
        <v>61</v>
      </c>
      <c r="R2553" s="13">
        <v>1</v>
      </c>
      <c r="S2553" s="13">
        <v>0</v>
      </c>
      <c r="T2553" s="23">
        <v>46247.775995370372</v>
      </c>
      <c r="U2553" s="55">
        <f t="shared" si="117"/>
        <v>1</v>
      </c>
      <c r="V2553" s="55">
        <f t="shared" si="118"/>
        <v>0</v>
      </c>
      <c r="W2553" s="56">
        <f t="shared" si="119"/>
        <v>1901.1666666666667</v>
      </c>
    </row>
    <row r="2554" spans="1:23" x14ac:dyDescent="0.3">
      <c r="A2554" s="13" t="str" cm="1">
        <f t="array" ref="A2554:B2554">INDEX(BenchmarkResults!$B$1:$D$35,SUMPRODUCT((T2554&gt;=BenchmarkResults!$F$3:$F$35)*(mongodb_hardware_log!T2554&lt;BenchmarkResults!$G$3:$G$35)*ROW(BenchmarkResults!$F$3:$F$35)),{1,3})</f>
        <v>q6_inactive_customers</v>
      </c>
      <c r="B2554">
        <v>2</v>
      </c>
      <c r="C2554" s="13">
        <v>1</v>
      </c>
      <c r="D2554" s="13">
        <v>0</v>
      </c>
      <c r="E2554" s="13">
        <v>194560</v>
      </c>
      <c r="F2554" s="13">
        <v>136212</v>
      </c>
      <c r="G2554" s="13">
        <v>5352</v>
      </c>
      <c r="H2554" s="13">
        <v>2260504</v>
      </c>
      <c r="I2554" s="13">
        <v>0</v>
      </c>
      <c r="J2554" s="13">
        <v>0</v>
      </c>
      <c r="K2554" s="13">
        <v>1879</v>
      </c>
      <c r="L2554" s="13">
        <v>20</v>
      </c>
      <c r="M2554" s="13">
        <v>730</v>
      </c>
      <c r="N2554" s="13">
        <v>218</v>
      </c>
      <c r="O2554" s="13">
        <v>36</v>
      </c>
      <c r="P2554" s="13">
        <v>1</v>
      </c>
      <c r="Q2554" s="13">
        <v>62</v>
      </c>
      <c r="R2554" s="13">
        <v>1</v>
      </c>
      <c r="S2554" s="13">
        <v>0</v>
      </c>
      <c r="T2554" s="23">
        <v>46247.776018518518</v>
      </c>
      <c r="U2554" s="55">
        <f t="shared" si="117"/>
        <v>1</v>
      </c>
      <c r="V2554" s="55">
        <f t="shared" si="118"/>
        <v>0</v>
      </c>
      <c r="W2554" s="56">
        <f t="shared" si="119"/>
        <v>1887</v>
      </c>
    </row>
    <row r="2555" spans="1:23" x14ac:dyDescent="0.3">
      <c r="A2555" s="13" t="str" cm="1">
        <f t="array" ref="A2555:B2555">INDEX(BenchmarkResults!$B$1:$D$35,SUMPRODUCT((T2555&gt;=BenchmarkResults!$F$3:$F$35)*(mongodb_hardware_log!T2555&lt;BenchmarkResults!$G$3:$G$35)*ROW(BenchmarkResults!$F$3:$F$35)),{1,3})</f>
        <v>q6_inactive_customers</v>
      </c>
      <c r="B2555">
        <v>2</v>
      </c>
      <c r="C2555" s="13">
        <v>2</v>
      </c>
      <c r="D2555" s="13">
        <v>0</v>
      </c>
      <c r="E2555" s="13">
        <v>194560</v>
      </c>
      <c r="F2555" s="13">
        <v>111768</v>
      </c>
      <c r="G2555" s="13">
        <v>5360</v>
      </c>
      <c r="H2555" s="13">
        <v>2287452</v>
      </c>
      <c r="I2555" s="13">
        <v>0</v>
      </c>
      <c r="J2555" s="13">
        <v>0</v>
      </c>
      <c r="K2555" s="13">
        <v>1417</v>
      </c>
      <c r="L2555" s="13">
        <v>16</v>
      </c>
      <c r="M2555" s="13">
        <v>674</v>
      </c>
      <c r="N2555" s="13">
        <v>171</v>
      </c>
      <c r="O2555" s="13">
        <v>36</v>
      </c>
      <c r="P2555" s="13">
        <v>1</v>
      </c>
      <c r="Q2555" s="13">
        <v>62</v>
      </c>
      <c r="R2555" s="13">
        <v>0</v>
      </c>
      <c r="S2555" s="13">
        <v>0</v>
      </c>
      <c r="T2555" s="23">
        <v>46247.77611111111</v>
      </c>
      <c r="U2555" s="55">
        <f t="shared" si="117"/>
        <v>1.1666666666666667</v>
      </c>
      <c r="V2555" s="55">
        <f t="shared" si="118"/>
        <v>0</v>
      </c>
      <c r="W2555" s="56">
        <f t="shared" si="119"/>
        <v>1817.5</v>
      </c>
    </row>
    <row r="2556" spans="1:23" x14ac:dyDescent="0.3">
      <c r="A2556" s="13" t="str" cm="1">
        <f t="array" ref="A2556:B2556">INDEX(BenchmarkResults!$B$1:$D$35,SUMPRODUCT((T2556&gt;=BenchmarkResults!$F$3:$F$35)*(mongodb_hardware_log!T2556&lt;BenchmarkResults!$G$3:$G$35)*ROW(BenchmarkResults!$F$3:$F$35)),{1,3})</f>
        <v>q6_inactive_customers</v>
      </c>
      <c r="B2556">
        <v>2</v>
      </c>
      <c r="C2556" s="13">
        <v>2</v>
      </c>
      <c r="D2556" s="13">
        <v>0</v>
      </c>
      <c r="E2556" s="13">
        <v>194560</v>
      </c>
      <c r="F2556" s="13">
        <v>149064</v>
      </c>
      <c r="G2556" s="13">
        <v>5360</v>
      </c>
      <c r="H2556" s="13">
        <v>2247052</v>
      </c>
      <c r="I2556" s="13">
        <v>0</v>
      </c>
      <c r="J2556" s="13">
        <v>0</v>
      </c>
      <c r="K2556" s="13">
        <v>1539</v>
      </c>
      <c r="L2556" s="13">
        <v>11</v>
      </c>
      <c r="M2556" s="13">
        <v>677</v>
      </c>
      <c r="N2556" s="13">
        <v>169</v>
      </c>
      <c r="O2556" s="13">
        <v>36</v>
      </c>
      <c r="P2556" s="13">
        <v>1</v>
      </c>
      <c r="Q2556" s="13">
        <v>62</v>
      </c>
      <c r="R2556" s="13">
        <v>0</v>
      </c>
      <c r="S2556" s="13">
        <v>0</v>
      </c>
      <c r="T2556" s="23">
        <v>46247.776134259257</v>
      </c>
      <c r="U2556" s="55">
        <f t="shared" si="117"/>
        <v>1.3333333333333333</v>
      </c>
      <c r="V2556" s="55">
        <f t="shared" si="118"/>
        <v>0</v>
      </c>
      <c r="W2556" s="56">
        <f t="shared" si="119"/>
        <v>1779.6666666666667</v>
      </c>
    </row>
    <row r="2557" spans="1:23" x14ac:dyDescent="0.3">
      <c r="A2557" s="13" t="str" cm="1">
        <f t="array" ref="A2557:B2557">INDEX(BenchmarkResults!$B$1:$D$35,SUMPRODUCT((T2557&gt;=BenchmarkResults!$F$3:$F$35)*(mongodb_hardware_log!T2557&lt;BenchmarkResults!$G$3:$G$35)*ROW(BenchmarkResults!$F$3:$F$35)),{1,3})</f>
        <v>q6_inactive_customers</v>
      </c>
      <c r="B2557">
        <v>2</v>
      </c>
      <c r="C2557" s="13">
        <v>1</v>
      </c>
      <c r="D2557" s="13">
        <v>0</v>
      </c>
      <c r="E2557" s="13">
        <v>194560</v>
      </c>
      <c r="F2557" s="13">
        <v>143556</v>
      </c>
      <c r="G2557" s="13">
        <v>5368</v>
      </c>
      <c r="H2557" s="13">
        <v>2251992</v>
      </c>
      <c r="I2557" s="13">
        <v>0</v>
      </c>
      <c r="J2557" s="13">
        <v>0</v>
      </c>
      <c r="K2557" s="13">
        <v>2012</v>
      </c>
      <c r="L2557" s="13">
        <v>7</v>
      </c>
      <c r="M2557" s="13">
        <v>723</v>
      </c>
      <c r="N2557" s="13">
        <v>218</v>
      </c>
      <c r="O2557" s="13">
        <v>37</v>
      </c>
      <c r="P2557" s="13">
        <v>1</v>
      </c>
      <c r="Q2557" s="13">
        <v>61</v>
      </c>
      <c r="R2557" s="13">
        <v>0</v>
      </c>
      <c r="S2557" s="13">
        <v>0</v>
      </c>
      <c r="T2557" s="23">
        <v>46247.776226851849</v>
      </c>
      <c r="U2557" s="55">
        <f t="shared" si="117"/>
        <v>1.3333333333333333</v>
      </c>
      <c r="V2557" s="55">
        <f t="shared" si="118"/>
        <v>0</v>
      </c>
      <c r="W2557" s="56">
        <f t="shared" si="119"/>
        <v>1812.6666666666667</v>
      </c>
    </row>
    <row r="2558" spans="1:23" x14ac:dyDescent="0.3">
      <c r="A2558" s="13" t="str" cm="1">
        <f t="array" ref="A2558:B2558">INDEX(BenchmarkResults!$B$1:$D$35,SUMPRODUCT((T2558&gt;=BenchmarkResults!$F$3:$F$35)*(mongodb_hardware_log!T2558&lt;BenchmarkResults!$G$3:$G$35)*ROW(BenchmarkResults!$F$3:$F$35)),{1,3})</f>
        <v>q6_inactive_customers</v>
      </c>
      <c r="B2558">
        <v>2</v>
      </c>
      <c r="C2558" s="13">
        <v>1</v>
      </c>
      <c r="D2558" s="13">
        <v>0</v>
      </c>
      <c r="E2558" s="13">
        <v>194560</v>
      </c>
      <c r="F2558" s="13">
        <v>142800</v>
      </c>
      <c r="G2558" s="13">
        <v>5368</v>
      </c>
      <c r="H2558" s="13">
        <v>2257084</v>
      </c>
      <c r="I2558" s="13">
        <v>0</v>
      </c>
      <c r="J2558" s="13">
        <v>0</v>
      </c>
      <c r="K2558" s="13">
        <v>2078</v>
      </c>
      <c r="L2558" s="13">
        <v>7</v>
      </c>
      <c r="M2558" s="13">
        <v>725</v>
      </c>
      <c r="N2558" s="13">
        <v>219</v>
      </c>
      <c r="O2558" s="13">
        <v>37</v>
      </c>
      <c r="P2558" s="13">
        <v>1</v>
      </c>
      <c r="Q2558" s="13">
        <v>61</v>
      </c>
      <c r="R2558" s="13">
        <v>0</v>
      </c>
      <c r="S2558" s="13">
        <v>0</v>
      </c>
      <c r="T2558" s="23">
        <v>46247.776250000003</v>
      </c>
      <c r="U2558" s="55">
        <f t="shared" si="117"/>
        <v>1.3333333333333333</v>
      </c>
      <c r="V2558" s="55">
        <f t="shared" si="118"/>
        <v>0</v>
      </c>
      <c r="W2558" s="56">
        <f t="shared" si="119"/>
        <v>1817.6666666666667</v>
      </c>
    </row>
    <row r="2559" spans="1:23" x14ac:dyDescent="0.3">
      <c r="A2559" s="13" t="str" cm="1">
        <f t="array" ref="A2559:B2559">INDEX(BenchmarkResults!$B$1:$D$35,SUMPRODUCT((T2559&gt;=BenchmarkResults!$F$3:$F$35)*(mongodb_hardware_log!T2559&lt;BenchmarkResults!$G$3:$G$35)*ROW(BenchmarkResults!$F$3:$F$35)),{1,3})</f>
        <v>q6_inactive_customers</v>
      </c>
      <c r="B2559">
        <v>2</v>
      </c>
      <c r="C2559" s="13">
        <v>1</v>
      </c>
      <c r="D2559" s="13">
        <v>0</v>
      </c>
      <c r="E2559" s="13">
        <v>194560</v>
      </c>
      <c r="F2559" s="13">
        <v>118356</v>
      </c>
      <c r="G2559" s="13">
        <v>5376</v>
      </c>
      <c r="H2559" s="13">
        <v>2273136</v>
      </c>
      <c r="I2559" s="13">
        <v>0</v>
      </c>
      <c r="J2559" s="13">
        <v>0</v>
      </c>
      <c r="K2559" s="13">
        <v>2117</v>
      </c>
      <c r="L2559" s="13">
        <v>12</v>
      </c>
      <c r="M2559" s="13">
        <v>733</v>
      </c>
      <c r="N2559" s="13">
        <v>220</v>
      </c>
      <c r="O2559" s="13">
        <v>36</v>
      </c>
      <c r="P2559" s="13">
        <v>1</v>
      </c>
      <c r="Q2559" s="13">
        <v>62</v>
      </c>
      <c r="R2559" s="13">
        <v>1</v>
      </c>
      <c r="S2559" s="13">
        <v>0</v>
      </c>
      <c r="T2559" s="23">
        <v>46247.776342592595</v>
      </c>
      <c r="U2559" s="55">
        <f t="shared" si="117"/>
        <v>1.3333333333333333</v>
      </c>
      <c r="V2559" s="55">
        <f t="shared" si="118"/>
        <v>0</v>
      </c>
      <c r="W2559" s="56">
        <f t="shared" si="119"/>
        <v>1840.3333333333333</v>
      </c>
    </row>
    <row r="2560" spans="1:23" x14ac:dyDescent="0.3">
      <c r="A2560" s="13" t="str" cm="1">
        <f t="array" ref="A2560:B2560">INDEX(BenchmarkResults!$B$1:$D$35,SUMPRODUCT((T2560&gt;=BenchmarkResults!$F$3:$F$35)*(mongodb_hardware_log!T2560&lt;BenchmarkResults!$G$3:$G$35)*ROW(BenchmarkResults!$F$3:$F$35)),{1,3})</f>
        <v>q6_inactive_customers</v>
      </c>
      <c r="B2560">
        <v>2</v>
      </c>
      <c r="C2560" s="13">
        <v>1</v>
      </c>
      <c r="D2560" s="13">
        <v>0</v>
      </c>
      <c r="E2560" s="13">
        <v>194560</v>
      </c>
      <c r="F2560" s="13">
        <v>116844</v>
      </c>
      <c r="G2560" s="13">
        <v>5384</v>
      </c>
      <c r="H2560" s="13">
        <v>2276016</v>
      </c>
      <c r="I2560" s="13">
        <v>0</v>
      </c>
      <c r="J2560" s="13">
        <v>0</v>
      </c>
      <c r="K2560" s="13">
        <v>1894</v>
      </c>
      <c r="L2560" s="13">
        <v>19</v>
      </c>
      <c r="M2560" s="13">
        <v>730</v>
      </c>
      <c r="N2560" s="13">
        <v>222</v>
      </c>
      <c r="O2560" s="13">
        <v>36</v>
      </c>
      <c r="P2560" s="13">
        <v>1</v>
      </c>
      <c r="Q2560" s="13">
        <v>62</v>
      </c>
      <c r="R2560" s="13">
        <v>1</v>
      </c>
      <c r="S2560" s="13">
        <v>0</v>
      </c>
      <c r="T2560" s="23">
        <v>46247.776365740741</v>
      </c>
      <c r="U2560" s="55">
        <f t="shared" si="117"/>
        <v>1.3333333333333333</v>
      </c>
      <c r="V2560" s="55">
        <f t="shared" si="118"/>
        <v>0</v>
      </c>
      <c r="W2560" s="56">
        <f t="shared" si="119"/>
        <v>1842.8333333333333</v>
      </c>
    </row>
    <row r="2561" spans="1:23" x14ac:dyDescent="0.3">
      <c r="A2561" s="13" t="str" cm="1">
        <f t="array" ref="A2561:B2561">INDEX(BenchmarkResults!$B$1:$D$35,SUMPRODUCT((T2561&gt;=BenchmarkResults!$F$3:$F$35)*(mongodb_hardware_log!T2561&lt;BenchmarkResults!$G$3:$G$35)*ROW(BenchmarkResults!$F$3:$F$35)),{1,3})</f>
        <v>q6_inactive_customers</v>
      </c>
      <c r="B2561">
        <v>2</v>
      </c>
      <c r="C2561" s="13">
        <v>1</v>
      </c>
      <c r="D2561" s="13">
        <v>0</v>
      </c>
      <c r="E2561" s="13">
        <v>194560</v>
      </c>
      <c r="F2561" s="13">
        <v>157300</v>
      </c>
      <c r="G2561" s="13">
        <v>5396</v>
      </c>
      <c r="H2561" s="13">
        <v>2239020</v>
      </c>
      <c r="I2561" s="13">
        <v>0</v>
      </c>
      <c r="J2561" s="13">
        <v>0</v>
      </c>
      <c r="K2561" s="13">
        <v>2125</v>
      </c>
      <c r="L2561" s="13">
        <v>1574</v>
      </c>
      <c r="M2561" s="13">
        <v>746</v>
      </c>
      <c r="N2561" s="13">
        <v>218</v>
      </c>
      <c r="O2561" s="13">
        <v>36</v>
      </c>
      <c r="P2561" s="13">
        <v>1</v>
      </c>
      <c r="Q2561" s="13">
        <v>61</v>
      </c>
      <c r="R2561" s="13">
        <v>2</v>
      </c>
      <c r="S2561" s="13">
        <v>0</v>
      </c>
      <c r="T2561" s="23">
        <v>46247.776458333334</v>
      </c>
      <c r="U2561" s="55">
        <f t="shared" si="117"/>
        <v>1.1666666666666667</v>
      </c>
      <c r="V2561" s="55">
        <f t="shared" si="118"/>
        <v>0</v>
      </c>
      <c r="W2561" s="56">
        <f t="shared" si="119"/>
        <v>1960.8333333333333</v>
      </c>
    </row>
    <row r="2562" spans="1:23" x14ac:dyDescent="0.3">
      <c r="A2562" s="13" t="str" cm="1">
        <f t="array" ref="A2562:B2562">INDEX(BenchmarkResults!$B$1:$D$35,SUMPRODUCT((T2562&gt;=BenchmarkResults!$F$3:$F$35)*(mongodb_hardware_log!T2562&lt;BenchmarkResults!$G$3:$G$35)*ROW(BenchmarkResults!$F$3:$F$35)),{1,3})</f>
        <v>q6_inactive_customers</v>
      </c>
      <c r="B2562">
        <v>2</v>
      </c>
      <c r="C2562" s="13">
        <v>1</v>
      </c>
      <c r="D2562" s="13">
        <v>0</v>
      </c>
      <c r="E2562" s="13">
        <v>194560</v>
      </c>
      <c r="F2562" s="13">
        <v>157048</v>
      </c>
      <c r="G2562" s="13">
        <v>5396</v>
      </c>
      <c r="H2562" s="13">
        <v>2242172</v>
      </c>
      <c r="I2562" s="13">
        <v>0</v>
      </c>
      <c r="J2562" s="13">
        <v>0</v>
      </c>
      <c r="K2562" s="13">
        <v>2150</v>
      </c>
      <c r="L2562" s="13">
        <v>1568</v>
      </c>
      <c r="M2562" s="13">
        <v>747</v>
      </c>
      <c r="N2562" s="13">
        <v>217</v>
      </c>
      <c r="O2562" s="13">
        <v>36</v>
      </c>
      <c r="P2562" s="13">
        <v>1</v>
      </c>
      <c r="Q2562" s="13">
        <v>61</v>
      </c>
      <c r="R2562" s="13">
        <v>2</v>
      </c>
      <c r="S2562" s="13">
        <v>0</v>
      </c>
      <c r="T2562" s="23">
        <v>46247.77648148148</v>
      </c>
      <c r="U2562" s="55">
        <f t="shared" si="117"/>
        <v>1</v>
      </c>
      <c r="V2562" s="55">
        <f t="shared" si="118"/>
        <v>0</v>
      </c>
      <c r="W2562" s="56">
        <f t="shared" si="119"/>
        <v>2062.6666666666665</v>
      </c>
    </row>
    <row r="2563" spans="1:23" x14ac:dyDescent="0.3">
      <c r="A2563" s="13" t="str" cm="1">
        <f t="array" ref="A2563:B2563">INDEX(BenchmarkResults!$B$1:$D$35,SUMPRODUCT((T2563&gt;=BenchmarkResults!$F$3:$F$35)*(mongodb_hardware_log!T2563&lt;BenchmarkResults!$G$3:$G$35)*ROW(BenchmarkResults!$F$3:$F$35)),{1,3})</f>
        <v>q6_inactive_customers</v>
      </c>
      <c r="B2563">
        <v>2</v>
      </c>
      <c r="C2563" s="13">
        <v>1</v>
      </c>
      <c r="D2563" s="13">
        <v>0</v>
      </c>
      <c r="E2563" s="13">
        <v>194560</v>
      </c>
      <c r="F2563" s="13">
        <v>142432</v>
      </c>
      <c r="G2563" s="13">
        <v>5420</v>
      </c>
      <c r="H2563" s="13">
        <v>2256744</v>
      </c>
      <c r="I2563" s="13">
        <v>0</v>
      </c>
      <c r="J2563" s="13">
        <v>0</v>
      </c>
      <c r="K2563" s="13">
        <v>1767</v>
      </c>
      <c r="L2563" s="13">
        <v>23</v>
      </c>
      <c r="M2563" s="13">
        <v>744</v>
      </c>
      <c r="N2563" s="13">
        <v>226</v>
      </c>
      <c r="O2563" s="13">
        <v>36</v>
      </c>
      <c r="P2563" s="13">
        <v>1</v>
      </c>
      <c r="Q2563" s="13">
        <v>62</v>
      </c>
      <c r="R2563" s="13">
        <v>1</v>
      </c>
      <c r="S2563" s="13">
        <v>0</v>
      </c>
      <c r="T2563" s="23">
        <v>46247.776574074072</v>
      </c>
      <c r="U2563" s="55">
        <f t="shared" si="117"/>
        <v>1</v>
      </c>
      <c r="V2563" s="55">
        <f t="shared" si="118"/>
        <v>0</v>
      </c>
      <c r="W2563" s="56">
        <f t="shared" si="119"/>
        <v>2021.8333333333333</v>
      </c>
    </row>
    <row r="2564" spans="1:23" x14ac:dyDescent="0.3">
      <c r="A2564" s="13" t="str" cm="1">
        <f t="array" ref="A2564:B2564">INDEX(BenchmarkResults!$B$1:$D$35,SUMPRODUCT((T2564&gt;=BenchmarkResults!$F$3:$F$35)*(mongodb_hardware_log!T2564&lt;BenchmarkResults!$G$3:$G$35)*ROW(BenchmarkResults!$F$3:$F$35)),{1,3})</f>
        <v>q6_inactive_customers</v>
      </c>
      <c r="B2564">
        <v>2</v>
      </c>
      <c r="C2564" s="13">
        <v>1</v>
      </c>
      <c r="D2564" s="13">
        <v>0</v>
      </c>
      <c r="E2564" s="13">
        <v>194560</v>
      </c>
      <c r="F2564" s="13">
        <v>138904</v>
      </c>
      <c r="G2564" s="13">
        <v>5420</v>
      </c>
      <c r="H2564" s="13">
        <v>2260312</v>
      </c>
      <c r="I2564" s="13">
        <v>0</v>
      </c>
      <c r="J2564" s="13">
        <v>0</v>
      </c>
      <c r="K2564" s="13">
        <v>1815</v>
      </c>
      <c r="L2564" s="13">
        <v>23</v>
      </c>
      <c r="M2564" s="13">
        <v>747</v>
      </c>
      <c r="N2564" s="13">
        <v>229</v>
      </c>
      <c r="O2564" s="13">
        <v>36</v>
      </c>
      <c r="P2564" s="13">
        <v>1</v>
      </c>
      <c r="Q2564" s="13">
        <v>62</v>
      </c>
      <c r="R2564" s="13">
        <v>1</v>
      </c>
      <c r="S2564" s="13">
        <v>0</v>
      </c>
      <c r="T2564" s="23">
        <v>46247.776597222219</v>
      </c>
      <c r="U2564" s="55">
        <f t="shared" si="117"/>
        <v>1</v>
      </c>
      <c r="V2564" s="55">
        <f t="shared" si="118"/>
        <v>0</v>
      </c>
      <c r="W2564" s="56">
        <f t="shared" si="119"/>
        <v>1978</v>
      </c>
    </row>
    <row r="2565" spans="1:23" x14ac:dyDescent="0.3">
      <c r="A2565" s="13" t="str" cm="1">
        <f t="array" ref="A2565:B2565">INDEX(BenchmarkResults!$B$1:$D$35,SUMPRODUCT((T2565&gt;=BenchmarkResults!$F$3:$F$35)*(mongodb_hardware_log!T2565&lt;BenchmarkResults!$G$3:$G$35)*ROW(BenchmarkResults!$F$3:$F$35)),{1,3})</f>
        <v>q6_inactive_customers</v>
      </c>
      <c r="B2565">
        <v>2</v>
      </c>
      <c r="C2565" s="13">
        <v>1</v>
      </c>
      <c r="D2565" s="13">
        <v>0</v>
      </c>
      <c r="E2565" s="13">
        <v>194560</v>
      </c>
      <c r="F2565" s="13">
        <v>155044</v>
      </c>
      <c r="G2565" s="13">
        <v>5428</v>
      </c>
      <c r="H2565" s="13">
        <v>2232820</v>
      </c>
      <c r="I2565" s="13">
        <v>0</v>
      </c>
      <c r="J2565" s="13">
        <v>0</v>
      </c>
      <c r="K2565" s="13">
        <v>1496</v>
      </c>
      <c r="L2565" s="13">
        <v>8</v>
      </c>
      <c r="M2565" s="13">
        <v>680</v>
      </c>
      <c r="N2565" s="13">
        <v>175</v>
      </c>
      <c r="O2565" s="13">
        <v>36</v>
      </c>
      <c r="P2565" s="13">
        <v>1</v>
      </c>
      <c r="Q2565" s="13">
        <v>62</v>
      </c>
      <c r="R2565" s="13">
        <v>0</v>
      </c>
      <c r="S2565" s="13">
        <v>0</v>
      </c>
      <c r="T2565" s="23">
        <v>46247.776689814818</v>
      </c>
      <c r="U2565" s="55">
        <f t="shared" si="117"/>
        <v>1</v>
      </c>
      <c r="V2565" s="55">
        <f t="shared" si="118"/>
        <v>0</v>
      </c>
      <c r="W2565" s="56">
        <f t="shared" si="119"/>
        <v>1874.5</v>
      </c>
    </row>
    <row r="2566" spans="1:23" x14ac:dyDescent="0.3">
      <c r="A2566" s="13" t="str" cm="1">
        <f t="array" ref="A2566:B2566">INDEX(BenchmarkResults!$B$1:$D$35,SUMPRODUCT((T2566&gt;=BenchmarkResults!$F$3:$F$35)*(mongodb_hardware_log!T2566&lt;BenchmarkResults!$G$3:$G$35)*ROW(BenchmarkResults!$F$3:$F$35)),{1,3})</f>
        <v>q6_inactive_customers</v>
      </c>
      <c r="B2566">
        <v>2</v>
      </c>
      <c r="C2566" s="13">
        <v>1</v>
      </c>
      <c r="D2566" s="13">
        <v>0</v>
      </c>
      <c r="E2566" s="13">
        <v>194560</v>
      </c>
      <c r="F2566" s="13">
        <v>154820</v>
      </c>
      <c r="G2566" s="13">
        <v>5428</v>
      </c>
      <c r="H2566" s="13">
        <v>2235984</v>
      </c>
      <c r="I2566" s="13">
        <v>0</v>
      </c>
      <c r="J2566" s="13">
        <v>0</v>
      </c>
      <c r="K2566" s="13">
        <v>1452</v>
      </c>
      <c r="L2566" s="13">
        <v>8</v>
      </c>
      <c r="M2566" s="13">
        <v>678</v>
      </c>
      <c r="N2566" s="13">
        <v>173</v>
      </c>
      <c r="O2566" s="13">
        <v>36</v>
      </c>
      <c r="P2566" s="13">
        <v>1</v>
      </c>
      <c r="Q2566" s="13">
        <v>62</v>
      </c>
      <c r="R2566" s="13">
        <v>0</v>
      </c>
      <c r="S2566" s="13">
        <v>0</v>
      </c>
      <c r="T2566" s="23">
        <v>46247.776712962965</v>
      </c>
      <c r="U2566" s="55">
        <f t="shared" si="117"/>
        <v>1</v>
      </c>
      <c r="V2566" s="55">
        <f t="shared" si="118"/>
        <v>0</v>
      </c>
      <c r="W2566" s="56">
        <f t="shared" si="119"/>
        <v>1800.8333333333333</v>
      </c>
    </row>
    <row r="2567" spans="1:23" x14ac:dyDescent="0.3">
      <c r="A2567" s="13" t="str" cm="1">
        <f t="array" ref="A2567:B2567">INDEX(BenchmarkResults!$B$1:$D$35,SUMPRODUCT((T2567&gt;=BenchmarkResults!$F$3:$F$35)*(mongodb_hardware_log!T2567&lt;BenchmarkResults!$G$3:$G$35)*ROW(BenchmarkResults!$F$3:$F$35)),{1,3})</f>
        <v>q6_inactive_customers</v>
      </c>
      <c r="B2567">
        <v>2</v>
      </c>
      <c r="C2567" s="13">
        <v>2</v>
      </c>
      <c r="D2567" s="13">
        <v>0</v>
      </c>
      <c r="E2567" s="13">
        <v>194560</v>
      </c>
      <c r="F2567" s="13">
        <v>720668</v>
      </c>
      <c r="G2567" s="13">
        <v>5448</v>
      </c>
      <c r="H2567" s="13">
        <v>1616340</v>
      </c>
      <c r="I2567" s="13">
        <v>0</v>
      </c>
      <c r="J2567" s="13">
        <v>0</v>
      </c>
      <c r="K2567" s="13">
        <v>1256</v>
      </c>
      <c r="L2567" s="13">
        <v>1586</v>
      </c>
      <c r="M2567" s="13">
        <v>1038</v>
      </c>
      <c r="N2567" s="13">
        <v>462</v>
      </c>
      <c r="O2567" s="13">
        <v>40</v>
      </c>
      <c r="P2567" s="13">
        <v>11</v>
      </c>
      <c r="Q2567" s="13">
        <v>48</v>
      </c>
      <c r="R2567" s="13">
        <v>1</v>
      </c>
      <c r="S2567" s="13">
        <v>0</v>
      </c>
      <c r="T2567" s="23">
        <v>46247.776805555557</v>
      </c>
      <c r="U2567" s="55">
        <f t="shared" si="117"/>
        <v>1.1666666666666667</v>
      </c>
      <c r="V2567" s="55">
        <f t="shared" si="118"/>
        <v>0</v>
      </c>
      <c r="W2567" s="56">
        <f t="shared" si="119"/>
        <v>1656</v>
      </c>
    </row>
    <row r="2568" spans="1:23" x14ac:dyDescent="0.3">
      <c r="A2568" s="13" t="str" cm="1">
        <f t="array" ref="A2568:B2568">INDEX(BenchmarkResults!$B$1:$D$35,SUMPRODUCT((T2568&gt;=BenchmarkResults!$F$3:$F$35)*(mongodb_hardware_log!T2568&lt;BenchmarkResults!$G$3:$G$35)*ROW(BenchmarkResults!$F$3:$F$35)),{1,3})</f>
        <v>q6_inactive_customers</v>
      </c>
      <c r="B2568">
        <v>2</v>
      </c>
      <c r="C2568" s="13">
        <v>1</v>
      </c>
      <c r="D2568" s="13">
        <v>0</v>
      </c>
      <c r="E2568" s="13">
        <v>194560</v>
      </c>
      <c r="F2568" s="13">
        <v>725396</v>
      </c>
      <c r="G2568" s="13">
        <v>5448</v>
      </c>
      <c r="H2568" s="13">
        <v>1619576</v>
      </c>
      <c r="I2568" s="13">
        <v>0</v>
      </c>
      <c r="J2568" s="13">
        <v>0</v>
      </c>
      <c r="K2568" s="13">
        <v>1267</v>
      </c>
      <c r="L2568" s="13">
        <v>1586</v>
      </c>
      <c r="M2568" s="13">
        <v>1069</v>
      </c>
      <c r="N2568" s="13">
        <v>462</v>
      </c>
      <c r="O2568" s="13">
        <v>40</v>
      </c>
      <c r="P2568" s="13">
        <v>14</v>
      </c>
      <c r="Q2568" s="13">
        <v>44</v>
      </c>
      <c r="R2568" s="13">
        <v>1</v>
      </c>
      <c r="S2568" s="13">
        <v>0</v>
      </c>
      <c r="T2568" s="23">
        <v>46247.776828703703</v>
      </c>
      <c r="U2568" s="55">
        <f t="shared" si="117"/>
        <v>1.1666666666666667</v>
      </c>
      <c r="V2568" s="55">
        <f t="shared" si="118"/>
        <v>0</v>
      </c>
      <c r="W2568" s="56">
        <f t="shared" si="119"/>
        <v>1508.8333333333333</v>
      </c>
    </row>
    <row r="2569" spans="1:23" x14ac:dyDescent="0.3">
      <c r="A2569" s="13" t="str" cm="1">
        <f t="array" ref="A2569:B2569">INDEX(BenchmarkResults!$B$1:$D$35,SUMPRODUCT((T2569&gt;=BenchmarkResults!$F$3:$F$35)*(mongodb_hardware_log!T2569&lt;BenchmarkResults!$G$3:$G$35)*ROW(BenchmarkResults!$F$3:$F$35)),{1,3})</f>
        <v>q6_inactive_customers</v>
      </c>
      <c r="B2569">
        <v>2</v>
      </c>
      <c r="C2569" s="13">
        <v>1</v>
      </c>
      <c r="D2569" s="13">
        <v>0</v>
      </c>
      <c r="E2569" s="13">
        <v>194560</v>
      </c>
      <c r="F2569" s="13">
        <v>720352</v>
      </c>
      <c r="G2569" s="13">
        <v>5456</v>
      </c>
      <c r="H2569" s="13">
        <v>1635628</v>
      </c>
      <c r="I2569" s="13">
        <v>0</v>
      </c>
      <c r="J2569" s="13">
        <v>0</v>
      </c>
      <c r="K2569" s="13">
        <v>1926</v>
      </c>
      <c r="L2569" s="13">
        <v>8</v>
      </c>
      <c r="M2569" s="13">
        <v>752</v>
      </c>
      <c r="N2569" s="13">
        <v>210</v>
      </c>
      <c r="O2569" s="13">
        <v>37</v>
      </c>
      <c r="P2569" s="13">
        <v>4</v>
      </c>
      <c r="Q2569" s="13">
        <v>59</v>
      </c>
      <c r="R2569" s="13">
        <v>0</v>
      </c>
      <c r="S2569" s="13">
        <v>0</v>
      </c>
      <c r="T2569" s="23">
        <v>46247.776921296296</v>
      </c>
      <c r="U2569" s="55">
        <f t="shared" ref="U2569:U2632" si="120">AVERAGE(C2564:C2569)</f>
        <v>1.1666666666666667</v>
      </c>
      <c r="V2569" s="55">
        <f t="shared" ref="V2569:V2632" si="121">AVERAGE(D2564:D2569)</f>
        <v>0</v>
      </c>
      <c r="W2569" s="56">
        <f t="shared" ref="W2569:W2632" si="122">AVERAGE(K2564:K2569)</f>
        <v>1535.3333333333333</v>
      </c>
    </row>
    <row r="2570" spans="1:23" x14ac:dyDescent="0.3">
      <c r="A2570" s="13" t="str" cm="1">
        <f t="array" ref="A2570:B2570">INDEX(BenchmarkResults!$B$1:$D$35,SUMPRODUCT((T2570&gt;=BenchmarkResults!$F$3:$F$35)*(mongodb_hardware_log!T2570&lt;BenchmarkResults!$G$3:$G$35)*ROW(BenchmarkResults!$F$3:$F$35)),{1,3})</f>
        <v>q6_inactive_customers</v>
      </c>
      <c r="B2570">
        <v>2</v>
      </c>
      <c r="C2570" s="13">
        <v>1</v>
      </c>
      <c r="D2570" s="13">
        <v>0</v>
      </c>
      <c r="E2570" s="13">
        <v>194560</v>
      </c>
      <c r="F2570" s="13">
        <v>712036</v>
      </c>
      <c r="G2570" s="13">
        <v>5456</v>
      </c>
      <c r="H2570" s="13">
        <v>1639580</v>
      </c>
      <c r="I2570" s="13">
        <v>0</v>
      </c>
      <c r="J2570" s="13">
        <v>0</v>
      </c>
      <c r="K2570" s="13">
        <v>1995</v>
      </c>
      <c r="L2570" s="13">
        <v>8</v>
      </c>
      <c r="M2570" s="13">
        <v>721</v>
      </c>
      <c r="N2570" s="13">
        <v>210</v>
      </c>
      <c r="O2570" s="13">
        <v>36</v>
      </c>
      <c r="P2570" s="13">
        <v>1</v>
      </c>
      <c r="Q2570" s="13">
        <v>62</v>
      </c>
      <c r="R2570" s="13">
        <v>0</v>
      </c>
      <c r="S2570" s="13">
        <v>0</v>
      </c>
      <c r="T2570" s="23">
        <v>46247.776944444442</v>
      </c>
      <c r="U2570" s="55">
        <f t="shared" si="120"/>
        <v>1.1666666666666667</v>
      </c>
      <c r="V2570" s="55">
        <f t="shared" si="121"/>
        <v>0</v>
      </c>
      <c r="W2570" s="56">
        <f t="shared" si="122"/>
        <v>1565.3333333333333</v>
      </c>
    </row>
    <row r="2571" spans="1:23" x14ac:dyDescent="0.3">
      <c r="A2571" s="13" t="str" cm="1">
        <f t="array" ref="A2571:B2571">INDEX(BenchmarkResults!$B$1:$D$35,SUMPRODUCT((T2571&gt;=BenchmarkResults!$F$3:$F$35)*(mongodb_hardware_log!T2571&lt;BenchmarkResults!$G$3:$G$35)*ROW(BenchmarkResults!$F$3:$F$35)),{1,3})</f>
        <v>q6_inactive_customers</v>
      </c>
      <c r="B2571">
        <v>2</v>
      </c>
      <c r="C2571" s="13">
        <v>1</v>
      </c>
      <c r="D2571" s="13">
        <v>0</v>
      </c>
      <c r="E2571" s="13">
        <v>194560</v>
      </c>
      <c r="F2571" s="13">
        <v>695152</v>
      </c>
      <c r="G2571" s="13">
        <v>5472</v>
      </c>
      <c r="H2571" s="13">
        <v>1656136</v>
      </c>
      <c r="I2571" s="13">
        <v>0</v>
      </c>
      <c r="J2571" s="13">
        <v>0</v>
      </c>
      <c r="K2571" s="13">
        <v>2056</v>
      </c>
      <c r="L2571" s="13">
        <v>18</v>
      </c>
      <c r="M2571" s="13">
        <v>733</v>
      </c>
      <c r="N2571" s="13">
        <v>222</v>
      </c>
      <c r="O2571" s="13">
        <v>35</v>
      </c>
      <c r="P2571" s="13">
        <v>1</v>
      </c>
      <c r="Q2571" s="13">
        <v>63</v>
      </c>
      <c r="R2571" s="13">
        <v>0</v>
      </c>
      <c r="S2571" s="13">
        <v>0</v>
      </c>
      <c r="T2571" s="23">
        <v>46247.777037037034</v>
      </c>
      <c r="U2571" s="55">
        <f t="shared" si="120"/>
        <v>1.1666666666666667</v>
      </c>
      <c r="V2571" s="55">
        <f t="shared" si="121"/>
        <v>0</v>
      </c>
      <c r="W2571" s="56">
        <f t="shared" si="122"/>
        <v>1658.6666666666667</v>
      </c>
    </row>
    <row r="2572" spans="1:23" x14ac:dyDescent="0.3">
      <c r="A2572" s="13" t="str" cm="1">
        <f t="array" ref="A2572:B2572">INDEX(BenchmarkResults!$B$1:$D$35,SUMPRODUCT((T2572&gt;=BenchmarkResults!$F$3:$F$35)*(mongodb_hardware_log!T2572&lt;BenchmarkResults!$G$3:$G$35)*ROW(BenchmarkResults!$F$3:$F$35)),{1,3})</f>
        <v>q6_inactive_customers</v>
      </c>
      <c r="B2572">
        <v>2</v>
      </c>
      <c r="C2572" s="13">
        <v>1</v>
      </c>
      <c r="D2572" s="13">
        <v>0</v>
      </c>
      <c r="E2572" s="13">
        <v>194560</v>
      </c>
      <c r="F2572" s="13">
        <v>689104</v>
      </c>
      <c r="G2572" s="13">
        <v>5472</v>
      </c>
      <c r="H2572" s="13">
        <v>1658792</v>
      </c>
      <c r="I2572" s="13">
        <v>0</v>
      </c>
      <c r="J2572" s="13">
        <v>0</v>
      </c>
      <c r="K2572" s="13">
        <v>1924</v>
      </c>
      <c r="L2572" s="13">
        <v>18</v>
      </c>
      <c r="M2572" s="13">
        <v>731</v>
      </c>
      <c r="N2572" s="13">
        <v>220</v>
      </c>
      <c r="O2572" s="13">
        <v>36</v>
      </c>
      <c r="P2572" s="13">
        <v>1</v>
      </c>
      <c r="Q2572" s="13">
        <v>62</v>
      </c>
      <c r="R2572" s="13">
        <v>0</v>
      </c>
      <c r="S2572" s="13">
        <v>0</v>
      </c>
      <c r="T2572" s="23">
        <v>46247.777060185188</v>
      </c>
      <c r="U2572" s="55">
        <f t="shared" si="120"/>
        <v>1.1666666666666667</v>
      </c>
      <c r="V2572" s="55">
        <f t="shared" si="121"/>
        <v>0</v>
      </c>
      <c r="W2572" s="56">
        <f t="shared" si="122"/>
        <v>1737.3333333333333</v>
      </c>
    </row>
    <row r="2573" spans="1:23" x14ac:dyDescent="0.3">
      <c r="A2573" s="13" t="str" cm="1">
        <f t="array" ref="A2573:B2573">INDEX(BenchmarkResults!$B$1:$D$35,SUMPRODUCT((T2573&gt;=BenchmarkResults!$F$3:$F$35)*(mongodb_hardware_log!T2573&lt;BenchmarkResults!$G$3:$G$35)*ROW(BenchmarkResults!$F$3:$F$35)),{1,3})</f>
        <v>q6_inactive_customers</v>
      </c>
      <c r="B2573">
        <v>2</v>
      </c>
      <c r="C2573" s="13">
        <v>1</v>
      </c>
      <c r="D2573" s="13">
        <v>0</v>
      </c>
      <c r="E2573" s="13">
        <v>194560</v>
      </c>
      <c r="F2573" s="13">
        <v>681576</v>
      </c>
      <c r="G2573" s="13">
        <v>5480</v>
      </c>
      <c r="H2573" s="13">
        <v>1674616</v>
      </c>
      <c r="I2573" s="13">
        <v>0</v>
      </c>
      <c r="J2573" s="13">
        <v>0</v>
      </c>
      <c r="K2573" s="13">
        <v>1841</v>
      </c>
      <c r="L2573" s="13">
        <v>5</v>
      </c>
      <c r="M2573" s="13">
        <v>741</v>
      </c>
      <c r="N2573" s="13">
        <v>221</v>
      </c>
      <c r="O2573" s="13">
        <v>37</v>
      </c>
      <c r="P2573" s="13">
        <v>2</v>
      </c>
      <c r="Q2573" s="13">
        <v>61</v>
      </c>
      <c r="R2573" s="13">
        <v>1</v>
      </c>
      <c r="S2573" s="13">
        <v>0</v>
      </c>
      <c r="T2573" s="23">
        <v>46247.77715277778</v>
      </c>
      <c r="U2573" s="55">
        <f t="shared" si="120"/>
        <v>1</v>
      </c>
      <c r="V2573" s="55">
        <f t="shared" si="121"/>
        <v>0</v>
      </c>
      <c r="W2573" s="56">
        <f t="shared" si="122"/>
        <v>1834.8333333333333</v>
      </c>
    </row>
    <row r="2574" spans="1:23" x14ac:dyDescent="0.3">
      <c r="A2574" s="13" t="str" cm="1">
        <f t="array" ref="A2574:B2574">INDEX(BenchmarkResults!$B$1:$D$35,SUMPRODUCT((T2574&gt;=BenchmarkResults!$F$3:$F$35)*(mongodb_hardware_log!T2574&lt;BenchmarkResults!$G$3:$G$35)*ROW(BenchmarkResults!$F$3:$F$35)),{1,3})</f>
        <v>q6_inactive_customers</v>
      </c>
      <c r="B2574">
        <v>2</v>
      </c>
      <c r="C2574" s="13">
        <v>1</v>
      </c>
      <c r="D2574" s="13">
        <v>0</v>
      </c>
      <c r="E2574" s="13">
        <v>194560</v>
      </c>
      <c r="F2574" s="13">
        <v>676788</v>
      </c>
      <c r="G2574" s="13">
        <v>5488</v>
      </c>
      <c r="H2574" s="13">
        <v>1677840</v>
      </c>
      <c r="I2574" s="13">
        <v>0</v>
      </c>
      <c r="J2574" s="13">
        <v>0</v>
      </c>
      <c r="K2574" s="13">
        <v>1902</v>
      </c>
      <c r="L2574" s="13">
        <v>8</v>
      </c>
      <c r="M2574" s="13">
        <v>744</v>
      </c>
      <c r="N2574" s="13">
        <v>224</v>
      </c>
      <c r="O2574" s="13">
        <v>36</v>
      </c>
      <c r="P2574" s="13">
        <v>2</v>
      </c>
      <c r="Q2574" s="13">
        <v>61</v>
      </c>
      <c r="R2574" s="13">
        <v>1</v>
      </c>
      <c r="S2574" s="13">
        <v>0</v>
      </c>
      <c r="T2574" s="23">
        <v>46247.777175925927</v>
      </c>
      <c r="U2574" s="55">
        <f t="shared" si="120"/>
        <v>1</v>
      </c>
      <c r="V2574" s="55">
        <f t="shared" si="121"/>
        <v>0</v>
      </c>
      <c r="W2574" s="56">
        <f t="shared" si="122"/>
        <v>1940.6666666666667</v>
      </c>
    </row>
    <row r="2575" spans="1:23" x14ac:dyDescent="0.3">
      <c r="A2575" s="13" t="str" cm="1">
        <f t="array" ref="A2575:B2575">INDEX(BenchmarkResults!$B$1:$D$35,SUMPRODUCT((T2575&gt;=BenchmarkResults!$F$3:$F$35)*(mongodb_hardware_log!T2575&lt;BenchmarkResults!$G$3:$G$35)*ROW(BenchmarkResults!$F$3:$F$35)),{1,3})</f>
        <v>q6_inactive_customers</v>
      </c>
      <c r="B2575">
        <v>2</v>
      </c>
      <c r="C2575" s="13">
        <v>1</v>
      </c>
      <c r="D2575" s="13">
        <v>0</v>
      </c>
      <c r="E2575" s="13">
        <v>194560</v>
      </c>
      <c r="F2575" s="13">
        <v>661920</v>
      </c>
      <c r="G2575" s="13">
        <v>5544</v>
      </c>
      <c r="H2575" s="13">
        <v>1694844</v>
      </c>
      <c r="I2575" s="13">
        <v>0</v>
      </c>
      <c r="J2575" s="13">
        <v>0</v>
      </c>
      <c r="K2575" s="13">
        <v>2018</v>
      </c>
      <c r="L2575" s="13">
        <v>58</v>
      </c>
      <c r="M2575" s="13">
        <v>773</v>
      </c>
      <c r="N2575" s="13">
        <v>271</v>
      </c>
      <c r="O2575" s="13">
        <v>36</v>
      </c>
      <c r="P2575" s="13">
        <v>2</v>
      </c>
      <c r="Q2575" s="13">
        <v>62</v>
      </c>
      <c r="R2575" s="13">
        <v>0</v>
      </c>
      <c r="S2575" s="13">
        <v>0</v>
      </c>
      <c r="T2575" s="23">
        <v>46247.777268518519</v>
      </c>
      <c r="U2575" s="55">
        <f t="shared" si="120"/>
        <v>1</v>
      </c>
      <c r="V2575" s="55">
        <f t="shared" si="121"/>
        <v>0</v>
      </c>
      <c r="W2575" s="56">
        <f t="shared" si="122"/>
        <v>1956</v>
      </c>
    </row>
    <row r="2576" spans="1:23" x14ac:dyDescent="0.3">
      <c r="A2576" s="13" t="str" cm="1">
        <f t="array" ref="A2576:B2576">INDEX(BenchmarkResults!$B$1:$D$35,SUMPRODUCT((T2576&gt;=BenchmarkResults!$F$3:$F$35)*(mongodb_hardware_log!T2576&lt;BenchmarkResults!$G$3:$G$35)*ROW(BenchmarkResults!$F$3:$F$35)),{1,3})</f>
        <v>q6_inactive_customers</v>
      </c>
      <c r="B2576">
        <v>2</v>
      </c>
      <c r="C2576" s="13">
        <v>1</v>
      </c>
      <c r="D2576" s="13">
        <v>0</v>
      </c>
      <c r="E2576" s="13">
        <v>194560</v>
      </c>
      <c r="F2576" s="13">
        <v>669536</v>
      </c>
      <c r="G2576" s="13">
        <v>5552</v>
      </c>
      <c r="H2576" s="13">
        <v>1700952</v>
      </c>
      <c r="I2576" s="13">
        <v>0</v>
      </c>
      <c r="J2576" s="13">
        <v>0</v>
      </c>
      <c r="K2576" s="13">
        <v>2306</v>
      </c>
      <c r="L2576" s="13">
        <v>57</v>
      </c>
      <c r="M2576" s="13">
        <v>821</v>
      </c>
      <c r="N2576" s="13">
        <v>319</v>
      </c>
      <c r="O2576" s="13">
        <v>36</v>
      </c>
      <c r="P2576" s="13">
        <v>2</v>
      </c>
      <c r="Q2576" s="13">
        <v>61</v>
      </c>
      <c r="R2576" s="13">
        <v>1</v>
      </c>
      <c r="S2576" s="13">
        <v>0</v>
      </c>
      <c r="T2576" s="23">
        <v>46247.777291666665</v>
      </c>
      <c r="U2576" s="55">
        <f t="shared" si="120"/>
        <v>1</v>
      </c>
      <c r="V2576" s="55">
        <f t="shared" si="121"/>
        <v>0</v>
      </c>
      <c r="W2576" s="56">
        <f t="shared" si="122"/>
        <v>2007.8333333333333</v>
      </c>
    </row>
    <row r="2577" spans="1:23" x14ac:dyDescent="0.3">
      <c r="A2577" s="13" t="str" cm="1">
        <f t="array" ref="A2577:B2577">INDEX(BenchmarkResults!$B$1:$D$35,SUMPRODUCT((T2577&gt;=BenchmarkResults!$F$3:$F$35)*(mongodb_hardware_log!T2577&lt;BenchmarkResults!$G$3:$G$35)*ROW(BenchmarkResults!$F$3:$F$35)),{1,3})</f>
        <v>q6_inactive_customers</v>
      </c>
      <c r="B2577">
        <v>2</v>
      </c>
      <c r="C2577" s="13">
        <v>7</v>
      </c>
      <c r="D2577" s="13">
        <v>0</v>
      </c>
      <c r="E2577" s="13">
        <v>194560</v>
      </c>
      <c r="F2577" s="13">
        <v>659232</v>
      </c>
      <c r="G2577" s="13">
        <v>5560</v>
      </c>
      <c r="H2577" s="13">
        <v>1725696</v>
      </c>
      <c r="I2577" s="13">
        <v>0</v>
      </c>
      <c r="J2577" s="13">
        <v>0</v>
      </c>
      <c r="K2577" s="13">
        <v>1486</v>
      </c>
      <c r="L2577" s="13">
        <v>10</v>
      </c>
      <c r="M2577" s="13">
        <v>749</v>
      </c>
      <c r="N2577" s="13">
        <v>241</v>
      </c>
      <c r="O2577" s="13">
        <v>35</v>
      </c>
      <c r="P2577" s="13">
        <v>1</v>
      </c>
      <c r="Q2577" s="13">
        <v>62</v>
      </c>
      <c r="R2577" s="13">
        <v>1</v>
      </c>
      <c r="S2577" s="13">
        <v>0</v>
      </c>
      <c r="T2577" s="23">
        <v>46247.777384259258</v>
      </c>
      <c r="U2577" s="55">
        <f t="shared" si="120"/>
        <v>2</v>
      </c>
      <c r="V2577" s="55">
        <f t="shared" si="121"/>
        <v>0</v>
      </c>
      <c r="W2577" s="56">
        <f t="shared" si="122"/>
        <v>1912.8333333333333</v>
      </c>
    </row>
    <row r="2578" spans="1:23" x14ac:dyDescent="0.3">
      <c r="A2578" s="13" t="str" cm="1">
        <f t="array" ref="A2578:B2578">INDEX(BenchmarkResults!$B$1:$D$35,SUMPRODUCT((T2578&gt;=BenchmarkResults!$F$3:$F$35)*(mongodb_hardware_log!T2578&lt;BenchmarkResults!$G$3:$G$35)*ROW(BenchmarkResults!$F$3:$F$35)),{1,3})</f>
        <v>q6_inactive_customers</v>
      </c>
      <c r="B2578">
        <v>2</v>
      </c>
      <c r="C2578" s="13">
        <v>1</v>
      </c>
      <c r="D2578" s="13">
        <v>0</v>
      </c>
      <c r="E2578" s="13">
        <v>194560</v>
      </c>
      <c r="F2578" s="13">
        <v>657720</v>
      </c>
      <c r="G2578" s="13">
        <v>5560</v>
      </c>
      <c r="H2578" s="13">
        <v>1727908</v>
      </c>
      <c r="I2578" s="13">
        <v>0</v>
      </c>
      <c r="J2578" s="13">
        <v>0</v>
      </c>
      <c r="K2578" s="13">
        <v>1104</v>
      </c>
      <c r="L2578" s="13">
        <v>8</v>
      </c>
      <c r="M2578" s="13">
        <v>699</v>
      </c>
      <c r="N2578" s="13">
        <v>192</v>
      </c>
      <c r="O2578" s="13">
        <v>36</v>
      </c>
      <c r="P2578" s="13">
        <v>1</v>
      </c>
      <c r="Q2578" s="13">
        <v>62</v>
      </c>
      <c r="R2578" s="13">
        <v>0</v>
      </c>
      <c r="S2578" s="13">
        <v>0</v>
      </c>
      <c r="T2578" s="23">
        <v>46247.777407407404</v>
      </c>
      <c r="U2578" s="55">
        <f t="shared" si="120"/>
        <v>2</v>
      </c>
      <c r="V2578" s="55">
        <f t="shared" si="121"/>
        <v>0</v>
      </c>
      <c r="W2578" s="56">
        <f t="shared" si="122"/>
        <v>1776.1666666666667</v>
      </c>
    </row>
    <row r="2579" spans="1:23" x14ac:dyDescent="0.3">
      <c r="A2579" s="13" t="str" cm="1">
        <f t="array" ref="A2579:B2579">INDEX(BenchmarkResults!$B$1:$D$35,SUMPRODUCT((T2579&gt;=BenchmarkResults!$F$3:$F$35)*(mongodb_hardware_log!T2579&lt;BenchmarkResults!$G$3:$G$35)*ROW(BenchmarkResults!$F$3:$F$35)),{1,3})</f>
        <v>q6_inactive_customers</v>
      </c>
      <c r="B2579">
        <v>2</v>
      </c>
      <c r="C2579" s="13">
        <v>2</v>
      </c>
      <c r="D2579" s="13">
        <v>0</v>
      </c>
      <c r="E2579" s="13">
        <v>194560</v>
      </c>
      <c r="F2579" s="13">
        <v>635544</v>
      </c>
      <c r="G2579" s="13">
        <v>5568</v>
      </c>
      <c r="H2579" s="13">
        <v>1744956</v>
      </c>
      <c r="I2579" s="13">
        <v>0</v>
      </c>
      <c r="J2579" s="13">
        <v>0</v>
      </c>
      <c r="K2579" s="13">
        <v>1935</v>
      </c>
      <c r="L2579" s="13">
        <v>11</v>
      </c>
      <c r="M2579" s="13">
        <v>721</v>
      </c>
      <c r="N2579" s="13">
        <v>208</v>
      </c>
      <c r="O2579" s="13">
        <v>36</v>
      </c>
      <c r="P2579" s="13">
        <v>2</v>
      </c>
      <c r="Q2579" s="13">
        <v>62</v>
      </c>
      <c r="R2579" s="13">
        <v>0</v>
      </c>
      <c r="S2579" s="13">
        <v>0</v>
      </c>
      <c r="T2579" s="23">
        <v>46247.777499999997</v>
      </c>
      <c r="U2579" s="55">
        <f t="shared" si="120"/>
        <v>2.1666666666666665</v>
      </c>
      <c r="V2579" s="55">
        <f t="shared" si="121"/>
        <v>0</v>
      </c>
      <c r="W2579" s="56">
        <f t="shared" si="122"/>
        <v>1791.8333333333333</v>
      </c>
    </row>
    <row r="2580" spans="1:23" x14ac:dyDescent="0.3">
      <c r="A2580" s="13" t="str" cm="1">
        <f t="array" ref="A2580:B2580">INDEX(BenchmarkResults!$B$1:$D$35,SUMPRODUCT((T2580&gt;=BenchmarkResults!$F$3:$F$35)*(mongodb_hardware_log!T2580&lt;BenchmarkResults!$G$3:$G$35)*ROW(BenchmarkResults!$F$3:$F$35)),{1,3})</f>
        <v>q6_inactive_customers</v>
      </c>
      <c r="B2580">
        <v>2</v>
      </c>
      <c r="C2580" s="13">
        <v>1</v>
      </c>
      <c r="D2580" s="13">
        <v>0</v>
      </c>
      <c r="E2580" s="13">
        <v>194560</v>
      </c>
      <c r="F2580" s="13">
        <v>635292</v>
      </c>
      <c r="G2580" s="13">
        <v>5576</v>
      </c>
      <c r="H2580" s="13">
        <v>1748996</v>
      </c>
      <c r="I2580" s="13">
        <v>0</v>
      </c>
      <c r="J2580" s="13">
        <v>0</v>
      </c>
      <c r="K2580" s="13">
        <v>2102</v>
      </c>
      <c r="L2580" s="13">
        <v>17</v>
      </c>
      <c r="M2580" s="13">
        <v>721</v>
      </c>
      <c r="N2580" s="13">
        <v>209</v>
      </c>
      <c r="O2580" s="13">
        <v>37</v>
      </c>
      <c r="P2580" s="13">
        <v>2</v>
      </c>
      <c r="Q2580" s="13">
        <v>62</v>
      </c>
      <c r="R2580" s="13">
        <v>0</v>
      </c>
      <c r="S2580" s="13">
        <v>0</v>
      </c>
      <c r="T2580" s="23">
        <v>46247.77752314815</v>
      </c>
      <c r="U2580" s="55">
        <f t="shared" si="120"/>
        <v>2.1666666666666665</v>
      </c>
      <c r="V2580" s="55">
        <f t="shared" si="121"/>
        <v>0</v>
      </c>
      <c r="W2580" s="56">
        <f t="shared" si="122"/>
        <v>1825.1666666666667</v>
      </c>
    </row>
    <row r="2581" spans="1:23" x14ac:dyDescent="0.3">
      <c r="A2581" s="13" t="str" cm="1">
        <f t="array" ref="A2581:B2581">INDEX(BenchmarkResults!$B$1:$D$35,SUMPRODUCT((T2581&gt;=BenchmarkResults!$F$3:$F$35)*(mongodb_hardware_log!T2581&lt;BenchmarkResults!$G$3:$G$35)*ROW(BenchmarkResults!$F$3:$F$35)),{1,3})</f>
        <v>q6_inactive_customers</v>
      </c>
      <c r="B2581">
        <v>2</v>
      </c>
      <c r="C2581" s="13">
        <v>1</v>
      </c>
      <c r="D2581" s="13">
        <v>0</v>
      </c>
      <c r="E2581" s="13">
        <v>194560</v>
      </c>
      <c r="F2581" s="13">
        <v>620928</v>
      </c>
      <c r="G2581" s="13">
        <v>5584</v>
      </c>
      <c r="H2581" s="13">
        <v>1764948</v>
      </c>
      <c r="I2581" s="13">
        <v>0</v>
      </c>
      <c r="J2581" s="13">
        <v>0</v>
      </c>
      <c r="K2581" s="13">
        <v>1999</v>
      </c>
      <c r="L2581" s="13">
        <v>25</v>
      </c>
      <c r="M2581" s="13">
        <v>801</v>
      </c>
      <c r="N2581" s="13">
        <v>298</v>
      </c>
      <c r="O2581" s="13">
        <v>36</v>
      </c>
      <c r="P2581" s="13">
        <v>2</v>
      </c>
      <c r="Q2581" s="13">
        <v>61</v>
      </c>
      <c r="R2581" s="13">
        <v>0</v>
      </c>
      <c r="S2581" s="13">
        <v>0</v>
      </c>
      <c r="T2581" s="23">
        <v>46247.777615740742</v>
      </c>
      <c r="U2581" s="55">
        <f t="shared" si="120"/>
        <v>2.1666666666666665</v>
      </c>
      <c r="V2581" s="55">
        <f t="shared" si="121"/>
        <v>0</v>
      </c>
      <c r="W2581" s="56">
        <f t="shared" si="122"/>
        <v>1822</v>
      </c>
    </row>
    <row r="2582" spans="1:23" x14ac:dyDescent="0.3">
      <c r="A2582" s="13" t="str" cm="1">
        <f t="array" ref="A2582:B2582">INDEX(BenchmarkResults!$B$1:$D$35,SUMPRODUCT((T2582&gt;=BenchmarkResults!$F$3:$F$35)*(mongodb_hardware_log!T2582&lt;BenchmarkResults!$G$3:$G$35)*ROW(BenchmarkResults!$F$3:$F$35)),{1,3})</f>
        <v>q6_inactive_customers</v>
      </c>
      <c r="B2582">
        <v>2</v>
      </c>
      <c r="C2582" s="13">
        <v>1</v>
      </c>
      <c r="D2582" s="13">
        <v>0</v>
      </c>
      <c r="E2582" s="13">
        <v>194560</v>
      </c>
      <c r="F2582" s="13">
        <v>616896</v>
      </c>
      <c r="G2582" s="13">
        <v>5584</v>
      </c>
      <c r="H2582" s="13">
        <v>1767752</v>
      </c>
      <c r="I2582" s="13">
        <v>0</v>
      </c>
      <c r="J2582" s="13">
        <v>0</v>
      </c>
      <c r="K2582" s="13">
        <v>1878</v>
      </c>
      <c r="L2582" s="13">
        <v>20</v>
      </c>
      <c r="M2582" s="13">
        <v>796</v>
      </c>
      <c r="N2582" s="13">
        <v>293</v>
      </c>
      <c r="O2582" s="13">
        <v>36</v>
      </c>
      <c r="P2582" s="13">
        <v>2</v>
      </c>
      <c r="Q2582" s="13">
        <v>62</v>
      </c>
      <c r="R2582" s="13">
        <v>0</v>
      </c>
      <c r="S2582" s="13">
        <v>0</v>
      </c>
      <c r="T2582" s="23">
        <v>46247.777638888889</v>
      </c>
      <c r="U2582" s="55">
        <f t="shared" si="120"/>
        <v>2.1666666666666665</v>
      </c>
      <c r="V2582" s="55">
        <f t="shared" si="121"/>
        <v>0</v>
      </c>
      <c r="W2582" s="56">
        <f t="shared" si="122"/>
        <v>1750.6666666666667</v>
      </c>
    </row>
    <row r="2583" spans="1:23" x14ac:dyDescent="0.3">
      <c r="A2583" s="13" t="str" cm="1">
        <f t="array" ref="A2583:B2583">INDEX(BenchmarkResults!$B$1:$D$35,SUMPRODUCT((T2583&gt;=BenchmarkResults!$F$3:$F$35)*(mongodb_hardware_log!T2583&lt;BenchmarkResults!$G$3:$G$35)*ROW(BenchmarkResults!$F$3:$F$35)),{1,3})</f>
        <v>q6_inactive_customers</v>
      </c>
      <c r="B2583">
        <v>2</v>
      </c>
      <c r="C2583" s="13">
        <v>1</v>
      </c>
      <c r="D2583" s="13">
        <v>0</v>
      </c>
      <c r="E2583" s="13">
        <v>194560</v>
      </c>
      <c r="F2583" s="13">
        <v>603036</v>
      </c>
      <c r="G2583" s="13">
        <v>5604</v>
      </c>
      <c r="H2583" s="13">
        <v>1785168</v>
      </c>
      <c r="I2583" s="13">
        <v>0</v>
      </c>
      <c r="J2583" s="13">
        <v>0</v>
      </c>
      <c r="K2583" s="13">
        <v>2014</v>
      </c>
      <c r="L2583" s="13">
        <v>1575</v>
      </c>
      <c r="M2583" s="13">
        <v>732</v>
      </c>
      <c r="N2583" s="13">
        <v>216</v>
      </c>
      <c r="O2583" s="13">
        <v>36</v>
      </c>
      <c r="P2583" s="13">
        <v>2</v>
      </c>
      <c r="Q2583" s="13">
        <v>60</v>
      </c>
      <c r="R2583" s="13">
        <v>2</v>
      </c>
      <c r="S2583" s="13">
        <v>0</v>
      </c>
      <c r="T2583" s="23">
        <v>46247.777731481481</v>
      </c>
      <c r="U2583" s="55">
        <f t="shared" si="120"/>
        <v>1.1666666666666667</v>
      </c>
      <c r="V2583" s="55">
        <f t="shared" si="121"/>
        <v>0</v>
      </c>
      <c r="W2583" s="56">
        <f t="shared" si="122"/>
        <v>1838.6666666666667</v>
      </c>
    </row>
    <row r="2584" spans="1:23" x14ac:dyDescent="0.3">
      <c r="A2584" s="13" t="str" cm="1">
        <f t="array" ref="A2584:B2584">INDEX(BenchmarkResults!$B$1:$D$35,SUMPRODUCT((T2584&gt;=BenchmarkResults!$F$3:$F$35)*(mongodb_hardware_log!T2584&lt;BenchmarkResults!$G$3:$G$35)*ROW(BenchmarkResults!$F$3:$F$35)),{1,3})</f>
        <v>q6_inactive_customers</v>
      </c>
      <c r="B2584">
        <v>2</v>
      </c>
      <c r="C2584" s="13">
        <v>1</v>
      </c>
      <c r="D2584" s="13">
        <v>0</v>
      </c>
      <c r="E2584" s="13">
        <v>194560</v>
      </c>
      <c r="F2584" s="13">
        <v>595476</v>
      </c>
      <c r="G2584" s="13">
        <v>5604</v>
      </c>
      <c r="H2584" s="13">
        <v>1789744</v>
      </c>
      <c r="I2584" s="13">
        <v>0</v>
      </c>
      <c r="J2584" s="13">
        <v>0</v>
      </c>
      <c r="K2584" s="13">
        <v>2196</v>
      </c>
      <c r="L2584" s="13">
        <v>1574</v>
      </c>
      <c r="M2584" s="13">
        <v>735</v>
      </c>
      <c r="N2584" s="13">
        <v>217</v>
      </c>
      <c r="O2584" s="13">
        <v>36</v>
      </c>
      <c r="P2584" s="13">
        <v>2</v>
      </c>
      <c r="Q2584" s="13">
        <v>60</v>
      </c>
      <c r="R2584" s="13">
        <v>2</v>
      </c>
      <c r="S2584" s="13">
        <v>0</v>
      </c>
      <c r="T2584" s="23">
        <v>46247.777754629627</v>
      </c>
      <c r="U2584" s="55">
        <f t="shared" si="120"/>
        <v>1.1666666666666667</v>
      </c>
      <c r="V2584" s="55">
        <f t="shared" si="121"/>
        <v>0</v>
      </c>
      <c r="W2584" s="56">
        <f t="shared" si="122"/>
        <v>2020.6666666666667</v>
      </c>
    </row>
    <row r="2585" spans="1:23" x14ac:dyDescent="0.3">
      <c r="A2585" s="13" t="str" cm="1">
        <f t="array" ref="A2585:B2585">INDEX(BenchmarkResults!$B$1:$D$35,SUMPRODUCT((T2585&gt;=BenchmarkResults!$F$3:$F$35)*(mongodb_hardware_log!T2585&lt;BenchmarkResults!$G$3:$G$35)*ROW(BenchmarkResults!$F$3:$F$35)),{1,3})</f>
        <v>q6_inactive_customers</v>
      </c>
      <c r="B2585">
        <v>2</v>
      </c>
      <c r="C2585" s="13">
        <v>3</v>
      </c>
      <c r="D2585" s="13">
        <v>0</v>
      </c>
      <c r="E2585" s="13">
        <v>194560</v>
      </c>
      <c r="F2585" s="13">
        <v>583884</v>
      </c>
      <c r="G2585" s="13">
        <v>5612</v>
      </c>
      <c r="H2585" s="13">
        <v>1804224</v>
      </c>
      <c r="I2585" s="13">
        <v>0</v>
      </c>
      <c r="J2585" s="13">
        <v>0</v>
      </c>
      <c r="K2585" s="13">
        <v>1906</v>
      </c>
      <c r="L2585" s="13">
        <v>4</v>
      </c>
      <c r="M2585" s="13">
        <v>726</v>
      </c>
      <c r="N2585" s="13">
        <v>206</v>
      </c>
      <c r="O2585" s="13">
        <v>36</v>
      </c>
      <c r="P2585" s="13">
        <v>2</v>
      </c>
      <c r="Q2585" s="13">
        <v>61</v>
      </c>
      <c r="R2585" s="13">
        <v>0</v>
      </c>
      <c r="S2585" s="13">
        <v>1</v>
      </c>
      <c r="T2585" s="23">
        <v>46247.77784722222</v>
      </c>
      <c r="U2585" s="55">
        <f t="shared" si="120"/>
        <v>1.3333333333333333</v>
      </c>
      <c r="V2585" s="55">
        <f t="shared" si="121"/>
        <v>0</v>
      </c>
      <c r="W2585" s="56">
        <f t="shared" si="122"/>
        <v>2015.8333333333333</v>
      </c>
    </row>
    <row r="2586" spans="1:23" x14ac:dyDescent="0.3">
      <c r="A2586" s="13" t="str" cm="1">
        <f t="array" ref="A2586:B2586">INDEX(BenchmarkResults!$B$1:$D$35,SUMPRODUCT((T2586&gt;=BenchmarkResults!$F$3:$F$35)*(mongodb_hardware_log!T2586&lt;BenchmarkResults!$G$3:$G$35)*ROW(BenchmarkResults!$F$3:$F$35)),{1,3})</f>
        <v>q6_inactive_customers</v>
      </c>
      <c r="B2586">
        <v>2</v>
      </c>
      <c r="C2586" s="13">
        <v>1</v>
      </c>
      <c r="D2586" s="13">
        <v>0</v>
      </c>
      <c r="E2586" s="13">
        <v>194560</v>
      </c>
      <c r="F2586" s="13">
        <v>580356</v>
      </c>
      <c r="G2586" s="13">
        <v>5612</v>
      </c>
      <c r="H2586" s="13">
        <v>1807592</v>
      </c>
      <c r="I2586" s="13">
        <v>0</v>
      </c>
      <c r="J2586" s="13">
        <v>0</v>
      </c>
      <c r="K2586" s="13">
        <v>1786</v>
      </c>
      <c r="L2586" s="13">
        <v>4</v>
      </c>
      <c r="M2586" s="13">
        <v>732</v>
      </c>
      <c r="N2586" s="13">
        <v>210</v>
      </c>
      <c r="O2586" s="13">
        <v>36</v>
      </c>
      <c r="P2586" s="13">
        <v>2</v>
      </c>
      <c r="Q2586" s="13">
        <v>61</v>
      </c>
      <c r="R2586" s="13">
        <v>0</v>
      </c>
      <c r="S2586" s="13">
        <v>1</v>
      </c>
      <c r="T2586" s="23">
        <v>46247.777870370373</v>
      </c>
      <c r="U2586" s="55">
        <f t="shared" si="120"/>
        <v>1.3333333333333333</v>
      </c>
      <c r="V2586" s="55">
        <f t="shared" si="121"/>
        <v>0</v>
      </c>
      <c r="W2586" s="56">
        <f t="shared" si="122"/>
        <v>1963.1666666666667</v>
      </c>
    </row>
    <row r="2587" spans="1:23" x14ac:dyDescent="0.3">
      <c r="A2587" s="13" t="str" cm="1">
        <f t="array" ref="A2587:B2587">INDEX(BenchmarkResults!$B$1:$D$35,SUMPRODUCT((T2587&gt;=BenchmarkResults!$F$3:$F$35)*(mongodb_hardware_log!T2587&lt;BenchmarkResults!$G$3:$G$35)*ROW(BenchmarkResults!$F$3:$F$35)),{1,3})</f>
        <v>q6_inactive_customers</v>
      </c>
      <c r="B2587">
        <v>2</v>
      </c>
      <c r="C2587" s="13">
        <v>0</v>
      </c>
      <c r="D2587" s="13">
        <v>1</v>
      </c>
      <c r="E2587" s="13">
        <v>194560</v>
      </c>
      <c r="F2587" s="13">
        <v>545076</v>
      </c>
      <c r="G2587" s="13">
        <v>5636</v>
      </c>
      <c r="H2587" s="13">
        <v>1834628</v>
      </c>
      <c r="I2587" s="13">
        <v>0</v>
      </c>
      <c r="J2587" s="13">
        <v>0</v>
      </c>
      <c r="K2587" s="13">
        <v>1438</v>
      </c>
      <c r="L2587" s="13">
        <v>25</v>
      </c>
      <c r="M2587" s="13">
        <v>713</v>
      </c>
      <c r="N2587" s="13">
        <v>198</v>
      </c>
      <c r="O2587" s="13">
        <v>35</v>
      </c>
      <c r="P2587" s="13">
        <v>2</v>
      </c>
      <c r="Q2587" s="13">
        <v>62</v>
      </c>
      <c r="R2587" s="13">
        <v>1</v>
      </c>
      <c r="S2587" s="13">
        <v>0</v>
      </c>
      <c r="T2587" s="23">
        <v>46247.777962962966</v>
      </c>
      <c r="U2587" s="55">
        <f t="shared" si="120"/>
        <v>1.1666666666666667</v>
      </c>
      <c r="V2587" s="55">
        <f t="shared" si="121"/>
        <v>0.16666666666666666</v>
      </c>
      <c r="W2587" s="56">
        <f t="shared" si="122"/>
        <v>1869.6666666666667</v>
      </c>
    </row>
    <row r="2588" spans="1:23" x14ac:dyDescent="0.3">
      <c r="A2588" s="13" t="str" cm="1">
        <f t="array" ref="A2588:B2588">INDEX(BenchmarkResults!$B$1:$D$35,SUMPRODUCT((T2588&gt;=BenchmarkResults!$F$3:$F$35)*(mongodb_hardware_log!T2588&lt;BenchmarkResults!$G$3:$G$35)*ROW(BenchmarkResults!$F$3:$F$35)),{1,3})</f>
        <v>q6_inactive_customers</v>
      </c>
      <c r="B2588">
        <v>2</v>
      </c>
      <c r="C2588" s="13">
        <v>1</v>
      </c>
      <c r="D2588" s="13">
        <v>0</v>
      </c>
      <c r="E2588" s="13">
        <v>194560</v>
      </c>
      <c r="F2588" s="13">
        <v>545076</v>
      </c>
      <c r="G2588" s="13">
        <v>5636</v>
      </c>
      <c r="H2588" s="13">
        <v>1837956</v>
      </c>
      <c r="I2588" s="13">
        <v>0</v>
      </c>
      <c r="J2588" s="13">
        <v>0</v>
      </c>
      <c r="K2588" s="13">
        <v>1434</v>
      </c>
      <c r="L2588" s="13">
        <v>25</v>
      </c>
      <c r="M2588" s="13">
        <v>709</v>
      </c>
      <c r="N2588" s="13">
        <v>196</v>
      </c>
      <c r="O2588" s="13">
        <v>35</v>
      </c>
      <c r="P2588" s="13">
        <v>2</v>
      </c>
      <c r="Q2588" s="13">
        <v>62</v>
      </c>
      <c r="R2588" s="13">
        <v>1</v>
      </c>
      <c r="S2588" s="13">
        <v>0</v>
      </c>
      <c r="T2588" s="23">
        <v>46247.777986111112</v>
      </c>
      <c r="U2588" s="55">
        <f t="shared" si="120"/>
        <v>1.1666666666666667</v>
      </c>
      <c r="V2588" s="55">
        <f t="shared" si="121"/>
        <v>0.16666666666666666</v>
      </c>
      <c r="W2588" s="56">
        <f t="shared" si="122"/>
        <v>1795.6666666666667</v>
      </c>
    </row>
    <row r="2589" spans="1:23" x14ac:dyDescent="0.3">
      <c r="A2589" s="13" t="str" cm="1">
        <f t="array" ref="A2589:B2589">INDEX(BenchmarkResults!$B$1:$D$35,SUMPRODUCT((T2589&gt;=BenchmarkResults!$F$3:$F$35)*(mongodb_hardware_log!T2589&lt;BenchmarkResults!$G$3:$G$35)*ROW(BenchmarkResults!$F$3:$F$35)),{1,3})</f>
        <v>q6_inactive_customers</v>
      </c>
      <c r="B2589">
        <v>2</v>
      </c>
      <c r="C2589" s="13">
        <v>1</v>
      </c>
      <c r="D2589" s="13">
        <v>0</v>
      </c>
      <c r="E2589" s="13">
        <v>194560</v>
      </c>
      <c r="F2589" s="13">
        <v>529200</v>
      </c>
      <c r="G2589" s="13">
        <v>5644</v>
      </c>
      <c r="H2589" s="13">
        <v>1850456</v>
      </c>
      <c r="I2589" s="13">
        <v>0</v>
      </c>
      <c r="J2589" s="13">
        <v>0</v>
      </c>
      <c r="K2589" s="13">
        <v>1591</v>
      </c>
      <c r="L2589" s="13">
        <v>1573</v>
      </c>
      <c r="M2589" s="13">
        <v>779</v>
      </c>
      <c r="N2589" s="13">
        <v>233</v>
      </c>
      <c r="O2589" s="13">
        <v>34</v>
      </c>
      <c r="P2589" s="13">
        <v>2</v>
      </c>
      <c r="Q2589" s="13">
        <v>58</v>
      </c>
      <c r="R2589" s="13">
        <v>2</v>
      </c>
      <c r="S2589" s="13">
        <v>4</v>
      </c>
      <c r="T2589" s="23">
        <v>46247.778078703705</v>
      </c>
      <c r="U2589" s="55">
        <f t="shared" si="120"/>
        <v>1.1666666666666667</v>
      </c>
      <c r="V2589" s="55">
        <f t="shared" si="121"/>
        <v>0.16666666666666666</v>
      </c>
      <c r="W2589" s="56">
        <f t="shared" si="122"/>
        <v>1725.1666666666667</v>
      </c>
    </row>
    <row r="2590" spans="1:23" x14ac:dyDescent="0.3">
      <c r="A2590" s="13" t="str" cm="1">
        <f t="array" ref="A2590:B2590">INDEX(BenchmarkResults!$B$1:$D$35,SUMPRODUCT((T2590&gt;=BenchmarkResults!$F$3:$F$35)*(mongodb_hardware_log!T2590&lt;BenchmarkResults!$G$3:$G$35)*ROW(BenchmarkResults!$F$3:$F$35)),{1,3})</f>
        <v>q6_inactive_customers</v>
      </c>
      <c r="B2590">
        <v>2</v>
      </c>
      <c r="C2590" s="13">
        <v>1</v>
      </c>
      <c r="D2590" s="13">
        <v>0</v>
      </c>
      <c r="E2590" s="13">
        <v>194560</v>
      </c>
      <c r="F2590" s="13">
        <v>529200</v>
      </c>
      <c r="G2590" s="13">
        <v>5656</v>
      </c>
      <c r="H2590" s="13">
        <v>1854544</v>
      </c>
      <c r="I2590" s="13">
        <v>0</v>
      </c>
      <c r="J2590" s="13">
        <v>0</v>
      </c>
      <c r="K2590" s="13">
        <v>1658</v>
      </c>
      <c r="L2590" s="13">
        <v>1579</v>
      </c>
      <c r="M2590" s="13">
        <v>776</v>
      </c>
      <c r="N2590" s="13">
        <v>232</v>
      </c>
      <c r="O2590" s="13">
        <v>34</v>
      </c>
      <c r="P2590" s="13">
        <v>1</v>
      </c>
      <c r="Q2590" s="13">
        <v>58</v>
      </c>
      <c r="R2590" s="13">
        <v>2</v>
      </c>
      <c r="S2590" s="13">
        <v>4</v>
      </c>
      <c r="T2590" s="23">
        <v>46247.778101851851</v>
      </c>
      <c r="U2590" s="55">
        <f t="shared" si="120"/>
        <v>1.1666666666666667</v>
      </c>
      <c r="V2590" s="55">
        <f t="shared" si="121"/>
        <v>0.16666666666666666</v>
      </c>
      <c r="W2590" s="56">
        <f t="shared" si="122"/>
        <v>1635.5</v>
      </c>
    </row>
    <row r="2591" spans="1:23" x14ac:dyDescent="0.3">
      <c r="A2591" s="13" t="str" cm="1">
        <f t="array" ref="A2591:B2591">INDEX(BenchmarkResults!$B$1:$D$35,SUMPRODUCT((T2591&gt;=BenchmarkResults!$F$3:$F$35)*(mongodb_hardware_log!T2591&lt;BenchmarkResults!$G$3:$G$35)*ROW(BenchmarkResults!$F$3:$F$35)),{1,3})</f>
        <v>q6_inactive_customers</v>
      </c>
      <c r="B2591">
        <v>2</v>
      </c>
      <c r="C2591" s="13">
        <v>1</v>
      </c>
      <c r="D2591" s="13">
        <v>0</v>
      </c>
      <c r="E2591" s="13">
        <v>194560</v>
      </c>
      <c r="F2591" s="13">
        <v>514332</v>
      </c>
      <c r="G2591" s="13">
        <v>5664</v>
      </c>
      <c r="H2591" s="13">
        <v>1870704</v>
      </c>
      <c r="I2591" s="13">
        <v>0</v>
      </c>
      <c r="J2591" s="13">
        <v>0</v>
      </c>
      <c r="K2591" s="13">
        <v>2017</v>
      </c>
      <c r="L2591" s="13">
        <v>15</v>
      </c>
      <c r="M2591" s="13">
        <v>744</v>
      </c>
      <c r="N2591" s="13">
        <v>224</v>
      </c>
      <c r="O2591" s="13">
        <v>35</v>
      </c>
      <c r="P2591" s="13">
        <v>2</v>
      </c>
      <c r="Q2591" s="13">
        <v>62</v>
      </c>
      <c r="R2591" s="13">
        <v>1</v>
      </c>
      <c r="S2591" s="13">
        <v>0</v>
      </c>
      <c r="T2591" s="23">
        <v>46247.778194444443</v>
      </c>
      <c r="U2591" s="55">
        <f t="shared" si="120"/>
        <v>0.83333333333333337</v>
      </c>
      <c r="V2591" s="55">
        <f t="shared" si="121"/>
        <v>0.16666666666666666</v>
      </c>
      <c r="W2591" s="56">
        <f t="shared" si="122"/>
        <v>1654</v>
      </c>
    </row>
    <row r="2592" spans="1:23" x14ac:dyDescent="0.3">
      <c r="A2592" s="13" t="str" cm="1">
        <f t="array" ref="A2592:B2592">INDEX(BenchmarkResults!$B$1:$D$35,SUMPRODUCT((T2592&gt;=BenchmarkResults!$F$3:$F$35)*(mongodb_hardware_log!T2592&lt;BenchmarkResults!$G$3:$G$35)*ROW(BenchmarkResults!$F$3:$F$35)),{1,3})</f>
        <v>q6_inactive_customers</v>
      </c>
      <c r="B2592">
        <v>2</v>
      </c>
      <c r="C2592" s="13">
        <v>1</v>
      </c>
      <c r="D2592" s="13">
        <v>0</v>
      </c>
      <c r="E2592" s="13">
        <v>194560</v>
      </c>
      <c r="F2592" s="13">
        <v>510804</v>
      </c>
      <c r="G2592" s="13">
        <v>5664</v>
      </c>
      <c r="H2592" s="13">
        <v>1873972</v>
      </c>
      <c r="I2592" s="13">
        <v>0</v>
      </c>
      <c r="J2592" s="13">
        <v>0</v>
      </c>
      <c r="K2592" s="13">
        <v>1946</v>
      </c>
      <c r="L2592" s="13">
        <v>8</v>
      </c>
      <c r="M2592" s="13">
        <v>743</v>
      </c>
      <c r="N2592" s="13">
        <v>222</v>
      </c>
      <c r="O2592" s="13">
        <v>35</v>
      </c>
      <c r="P2592" s="13">
        <v>2</v>
      </c>
      <c r="Q2592" s="13">
        <v>62</v>
      </c>
      <c r="R2592" s="13">
        <v>1</v>
      </c>
      <c r="S2592" s="13">
        <v>0</v>
      </c>
      <c r="T2592" s="23">
        <v>46247.778217592589</v>
      </c>
      <c r="U2592" s="55">
        <f t="shared" si="120"/>
        <v>0.83333333333333337</v>
      </c>
      <c r="V2592" s="55">
        <f t="shared" si="121"/>
        <v>0.16666666666666666</v>
      </c>
      <c r="W2592" s="56">
        <f t="shared" si="122"/>
        <v>1680.6666666666667</v>
      </c>
    </row>
    <row r="2593" spans="1:23" x14ac:dyDescent="0.3">
      <c r="A2593" s="13" t="str" cm="1">
        <f t="array" ref="A2593:B2593">INDEX(BenchmarkResults!$B$1:$D$35,SUMPRODUCT((T2593&gt;=BenchmarkResults!$F$3:$F$35)*(mongodb_hardware_log!T2593&lt;BenchmarkResults!$G$3:$G$35)*ROW(BenchmarkResults!$F$3:$F$35)),{1,3})</f>
        <v>q6_inactive_customers</v>
      </c>
      <c r="B2593">
        <v>2</v>
      </c>
      <c r="C2593" s="13">
        <v>1</v>
      </c>
      <c r="D2593" s="13">
        <v>0</v>
      </c>
      <c r="E2593" s="13">
        <v>194560</v>
      </c>
      <c r="F2593" s="13">
        <v>495180</v>
      </c>
      <c r="G2593" s="13">
        <v>5672</v>
      </c>
      <c r="H2593" s="13">
        <v>1889228</v>
      </c>
      <c r="I2593" s="13">
        <v>0</v>
      </c>
      <c r="J2593" s="13">
        <v>0</v>
      </c>
      <c r="K2593" s="13">
        <v>1852</v>
      </c>
      <c r="L2593" s="13">
        <v>5</v>
      </c>
      <c r="M2593" s="13">
        <v>713</v>
      </c>
      <c r="N2593" s="13">
        <v>204</v>
      </c>
      <c r="O2593" s="13">
        <v>36</v>
      </c>
      <c r="P2593" s="13">
        <v>1</v>
      </c>
      <c r="Q2593" s="13">
        <v>62</v>
      </c>
      <c r="R2593" s="13">
        <v>0</v>
      </c>
      <c r="S2593" s="13">
        <v>0</v>
      </c>
      <c r="T2593" s="23">
        <v>46247.778310185182</v>
      </c>
      <c r="U2593" s="55">
        <f t="shared" si="120"/>
        <v>1</v>
      </c>
      <c r="V2593" s="55">
        <f t="shared" si="121"/>
        <v>0</v>
      </c>
      <c r="W2593" s="56">
        <f t="shared" si="122"/>
        <v>1749.6666666666667</v>
      </c>
    </row>
    <row r="2594" spans="1:23" x14ac:dyDescent="0.3">
      <c r="A2594" s="13" t="str" cm="1">
        <f t="array" ref="A2594:B2594">INDEX(BenchmarkResults!$B$1:$D$35,SUMPRODUCT((T2594&gt;=BenchmarkResults!$F$3:$F$35)*(mongodb_hardware_log!T2594&lt;BenchmarkResults!$G$3:$G$35)*ROW(BenchmarkResults!$F$3:$F$35)),{1,3})</f>
        <v>q6_inactive_customers</v>
      </c>
      <c r="B2594">
        <v>2</v>
      </c>
      <c r="C2594" s="13">
        <v>1</v>
      </c>
      <c r="D2594" s="13">
        <v>0</v>
      </c>
      <c r="E2594" s="13">
        <v>194560</v>
      </c>
      <c r="F2594" s="13">
        <v>489132</v>
      </c>
      <c r="G2594" s="13">
        <v>5680</v>
      </c>
      <c r="H2594" s="13">
        <v>1893412</v>
      </c>
      <c r="I2594" s="13">
        <v>0</v>
      </c>
      <c r="J2594" s="13">
        <v>0</v>
      </c>
      <c r="K2594" s="13">
        <v>1950</v>
      </c>
      <c r="L2594" s="13">
        <v>11</v>
      </c>
      <c r="M2594" s="13">
        <v>720</v>
      </c>
      <c r="N2594" s="13">
        <v>210</v>
      </c>
      <c r="O2594" s="13">
        <v>36</v>
      </c>
      <c r="P2594" s="13">
        <v>2</v>
      </c>
      <c r="Q2594" s="13">
        <v>62</v>
      </c>
      <c r="R2594" s="13">
        <v>0</v>
      </c>
      <c r="S2594" s="13">
        <v>0</v>
      </c>
      <c r="T2594" s="23">
        <v>46247.778333333335</v>
      </c>
      <c r="U2594" s="55">
        <f t="shared" si="120"/>
        <v>1</v>
      </c>
      <c r="V2594" s="55">
        <f t="shared" si="121"/>
        <v>0</v>
      </c>
      <c r="W2594" s="56">
        <f t="shared" si="122"/>
        <v>1835.6666666666667</v>
      </c>
    </row>
    <row r="2595" spans="1:23" x14ac:dyDescent="0.3">
      <c r="A2595" s="13" t="str" cm="1">
        <f t="array" ref="A2595:B2595">INDEX(BenchmarkResults!$B$1:$D$35,SUMPRODUCT((T2595&gt;=BenchmarkResults!$F$3:$F$35)*(mongodb_hardware_log!T2595&lt;BenchmarkResults!$G$3:$G$35)*ROW(BenchmarkResults!$F$3:$F$35)),{1,3})</f>
        <v>q6_inactive_customers</v>
      </c>
      <c r="B2595">
        <v>2</v>
      </c>
      <c r="C2595" s="13">
        <v>1</v>
      </c>
      <c r="D2595" s="13">
        <v>0</v>
      </c>
      <c r="E2595" s="13">
        <v>194560</v>
      </c>
      <c r="F2595" s="13">
        <v>474516</v>
      </c>
      <c r="G2595" s="13">
        <v>5688</v>
      </c>
      <c r="H2595" s="13">
        <v>1909668</v>
      </c>
      <c r="I2595" s="13">
        <v>0</v>
      </c>
      <c r="J2595" s="13">
        <v>0</v>
      </c>
      <c r="K2595" s="13">
        <v>2053</v>
      </c>
      <c r="L2595" s="13">
        <v>21</v>
      </c>
      <c r="M2595" s="13">
        <v>727</v>
      </c>
      <c r="N2595" s="13">
        <v>212</v>
      </c>
      <c r="O2595" s="13">
        <v>35</v>
      </c>
      <c r="P2595" s="13">
        <v>2</v>
      </c>
      <c r="Q2595" s="13">
        <v>63</v>
      </c>
      <c r="R2595" s="13">
        <v>0</v>
      </c>
      <c r="S2595" s="13">
        <v>0</v>
      </c>
      <c r="T2595" s="23">
        <v>46247.778425925928</v>
      </c>
      <c r="U2595" s="55">
        <f t="shared" si="120"/>
        <v>1</v>
      </c>
      <c r="V2595" s="55">
        <f t="shared" si="121"/>
        <v>0</v>
      </c>
      <c r="W2595" s="56">
        <f t="shared" si="122"/>
        <v>1912.6666666666667</v>
      </c>
    </row>
    <row r="2596" spans="1:23" x14ac:dyDescent="0.3">
      <c r="A2596" s="13" t="str" cm="1">
        <f t="array" ref="A2596:B2596">INDEX(BenchmarkResults!$B$1:$D$35,SUMPRODUCT((T2596&gt;=BenchmarkResults!$F$3:$F$35)*(mongodb_hardware_log!T2596&lt;BenchmarkResults!$G$3:$G$35)*ROW(BenchmarkResults!$F$3:$F$35)),{1,3})</f>
        <v>q6_inactive_customers</v>
      </c>
      <c r="B2596">
        <v>2</v>
      </c>
      <c r="C2596" s="13">
        <v>1</v>
      </c>
      <c r="D2596" s="13">
        <v>0</v>
      </c>
      <c r="E2596" s="13">
        <v>194560</v>
      </c>
      <c r="F2596" s="13">
        <v>468468</v>
      </c>
      <c r="G2596" s="13">
        <v>5688</v>
      </c>
      <c r="H2596" s="13">
        <v>1913544</v>
      </c>
      <c r="I2596" s="13">
        <v>0</v>
      </c>
      <c r="J2596" s="13">
        <v>0</v>
      </c>
      <c r="K2596" s="13">
        <v>2012</v>
      </c>
      <c r="L2596" s="13">
        <v>20</v>
      </c>
      <c r="M2596" s="13">
        <v>721</v>
      </c>
      <c r="N2596" s="13">
        <v>206</v>
      </c>
      <c r="O2596" s="13">
        <v>35</v>
      </c>
      <c r="P2596" s="13">
        <v>1</v>
      </c>
      <c r="Q2596" s="13">
        <v>63</v>
      </c>
      <c r="R2596" s="13">
        <v>0</v>
      </c>
      <c r="S2596" s="13">
        <v>0</v>
      </c>
      <c r="T2596" s="23">
        <v>46247.778449074074</v>
      </c>
      <c r="U2596" s="55">
        <f t="shared" si="120"/>
        <v>1</v>
      </c>
      <c r="V2596" s="55">
        <f t="shared" si="121"/>
        <v>0</v>
      </c>
      <c r="W2596" s="56">
        <f t="shared" si="122"/>
        <v>1971.6666666666667</v>
      </c>
    </row>
    <row r="2597" spans="1:23" x14ac:dyDescent="0.3">
      <c r="A2597" s="13" t="str" cm="1">
        <f t="array" ref="A2597:B2597">INDEX(BenchmarkResults!$B$1:$D$35,SUMPRODUCT((T2597&gt;=BenchmarkResults!$F$3:$F$35)*(mongodb_hardware_log!T2597&lt;BenchmarkResults!$G$3:$G$35)*ROW(BenchmarkResults!$F$3:$F$35)),{1,3})</f>
        <v>q6_inactive_customers</v>
      </c>
      <c r="B2597">
        <v>2</v>
      </c>
      <c r="C2597" s="13">
        <v>1</v>
      </c>
      <c r="D2597" s="13">
        <v>0</v>
      </c>
      <c r="E2597" s="13">
        <v>194560</v>
      </c>
      <c r="F2597" s="13">
        <v>454104</v>
      </c>
      <c r="G2597" s="13">
        <v>5696</v>
      </c>
      <c r="H2597" s="13">
        <v>1930340</v>
      </c>
      <c r="I2597" s="13">
        <v>1</v>
      </c>
      <c r="J2597" s="13">
        <v>0</v>
      </c>
      <c r="K2597" s="13">
        <v>2066</v>
      </c>
      <c r="L2597" s="13">
        <v>10</v>
      </c>
      <c r="M2597" s="13">
        <v>732</v>
      </c>
      <c r="N2597" s="13">
        <v>205</v>
      </c>
      <c r="O2597" s="13">
        <v>36</v>
      </c>
      <c r="P2597" s="13">
        <v>2</v>
      </c>
      <c r="Q2597" s="13">
        <v>62</v>
      </c>
      <c r="R2597" s="13">
        <v>0</v>
      </c>
      <c r="S2597" s="13">
        <v>0</v>
      </c>
      <c r="T2597" s="23">
        <v>46247.778541666667</v>
      </c>
      <c r="U2597" s="55">
        <f t="shared" si="120"/>
        <v>1</v>
      </c>
      <c r="V2597" s="55">
        <f t="shared" si="121"/>
        <v>0</v>
      </c>
      <c r="W2597" s="56">
        <f t="shared" si="122"/>
        <v>1979.8333333333333</v>
      </c>
    </row>
    <row r="2598" spans="1:23" x14ac:dyDescent="0.3">
      <c r="A2598" s="13" t="str" cm="1">
        <f t="array" ref="A2598:B2598">INDEX(BenchmarkResults!$B$1:$D$35,SUMPRODUCT((T2598&gt;=BenchmarkResults!$F$3:$F$35)*(mongodb_hardware_log!T2598&lt;BenchmarkResults!$G$3:$G$35)*ROW(BenchmarkResults!$F$3:$F$35)),{1,3})</f>
        <v>q6_inactive_customers</v>
      </c>
      <c r="B2598">
        <v>2</v>
      </c>
      <c r="C2598" s="13">
        <v>1</v>
      </c>
      <c r="D2598" s="13">
        <v>0</v>
      </c>
      <c r="E2598" s="13">
        <v>194560</v>
      </c>
      <c r="F2598" s="13">
        <v>451080</v>
      </c>
      <c r="G2598" s="13">
        <v>5704</v>
      </c>
      <c r="H2598" s="13">
        <v>1932964</v>
      </c>
      <c r="I2598" s="13">
        <v>1</v>
      </c>
      <c r="J2598" s="13">
        <v>0</v>
      </c>
      <c r="K2598" s="13">
        <v>1940</v>
      </c>
      <c r="L2598" s="13">
        <v>11</v>
      </c>
      <c r="M2598" s="13">
        <v>735</v>
      </c>
      <c r="N2598" s="13">
        <v>211</v>
      </c>
      <c r="O2598" s="13">
        <v>36</v>
      </c>
      <c r="P2598" s="13">
        <v>2</v>
      </c>
      <c r="Q2598" s="13">
        <v>62</v>
      </c>
      <c r="R2598" s="13">
        <v>0</v>
      </c>
      <c r="S2598" s="13">
        <v>0</v>
      </c>
      <c r="T2598" s="23">
        <v>46247.778564814813</v>
      </c>
      <c r="U2598" s="55">
        <f t="shared" si="120"/>
        <v>1</v>
      </c>
      <c r="V2598" s="55">
        <f t="shared" si="121"/>
        <v>0</v>
      </c>
      <c r="W2598" s="56">
        <f t="shared" si="122"/>
        <v>1978.8333333333333</v>
      </c>
    </row>
    <row r="2599" spans="1:23" x14ac:dyDescent="0.3">
      <c r="A2599" s="13" t="str" cm="1">
        <f t="array" ref="A2599:B2599">INDEX(BenchmarkResults!$B$1:$D$35,SUMPRODUCT((T2599&gt;=BenchmarkResults!$F$3:$F$35)*(mongodb_hardware_log!T2599&lt;BenchmarkResults!$G$3:$G$35)*ROW(BenchmarkResults!$F$3:$F$35)),{1,3})</f>
        <v>q6_inactive_customers</v>
      </c>
      <c r="B2599">
        <v>2</v>
      </c>
      <c r="C2599" s="13">
        <v>1</v>
      </c>
      <c r="D2599" s="13">
        <v>0</v>
      </c>
      <c r="E2599" s="13">
        <v>194560</v>
      </c>
      <c r="F2599" s="13">
        <v>413784</v>
      </c>
      <c r="G2599" s="13">
        <v>5740</v>
      </c>
      <c r="H2599" s="13">
        <v>1959356</v>
      </c>
      <c r="I2599" s="13">
        <v>0</v>
      </c>
      <c r="J2599" s="13">
        <v>0</v>
      </c>
      <c r="K2599" s="13">
        <v>1300</v>
      </c>
      <c r="L2599" s="13">
        <v>445</v>
      </c>
      <c r="M2599" s="13">
        <v>706</v>
      </c>
      <c r="N2599" s="13">
        <v>200</v>
      </c>
      <c r="O2599" s="13">
        <v>36</v>
      </c>
      <c r="P2599" s="13">
        <v>2</v>
      </c>
      <c r="Q2599" s="13">
        <v>61</v>
      </c>
      <c r="R2599" s="13">
        <v>1</v>
      </c>
      <c r="S2599" s="13">
        <v>0</v>
      </c>
      <c r="T2599" s="23">
        <v>46247.778657407405</v>
      </c>
      <c r="U2599" s="55">
        <f t="shared" si="120"/>
        <v>1</v>
      </c>
      <c r="V2599" s="55">
        <f t="shared" si="121"/>
        <v>0</v>
      </c>
      <c r="W2599" s="56">
        <f t="shared" si="122"/>
        <v>1886.8333333333333</v>
      </c>
    </row>
    <row r="2600" spans="1:23" x14ac:dyDescent="0.3">
      <c r="A2600" s="13" t="str" cm="1">
        <f t="array" ref="A2600:B2600">INDEX(BenchmarkResults!$B$1:$D$35,SUMPRODUCT((T2600&gt;=BenchmarkResults!$F$3:$F$35)*(mongodb_hardware_log!T2600&lt;BenchmarkResults!$G$3:$G$35)*ROW(BenchmarkResults!$F$3:$F$35)),{1,3})</f>
        <v>q6_inactive_customers</v>
      </c>
      <c r="B2600">
        <v>2</v>
      </c>
      <c r="C2600" s="13">
        <v>1</v>
      </c>
      <c r="D2600" s="13">
        <v>0</v>
      </c>
      <c r="E2600" s="13">
        <v>194560</v>
      </c>
      <c r="F2600" s="13">
        <v>407736</v>
      </c>
      <c r="G2600" s="13">
        <v>5740</v>
      </c>
      <c r="H2600" s="13">
        <v>1962048</v>
      </c>
      <c r="I2600" s="13">
        <v>0</v>
      </c>
      <c r="J2600" s="13">
        <v>0</v>
      </c>
      <c r="K2600" s="13">
        <v>1311</v>
      </c>
      <c r="L2600" s="13">
        <v>440</v>
      </c>
      <c r="M2600" s="13">
        <v>701</v>
      </c>
      <c r="N2600" s="13">
        <v>195</v>
      </c>
      <c r="O2600" s="13">
        <v>36</v>
      </c>
      <c r="P2600" s="13">
        <v>2</v>
      </c>
      <c r="Q2600" s="13">
        <v>61</v>
      </c>
      <c r="R2600" s="13">
        <v>1</v>
      </c>
      <c r="S2600" s="13">
        <v>0</v>
      </c>
      <c r="T2600" s="23">
        <v>46247.778680555559</v>
      </c>
      <c r="U2600" s="55">
        <f t="shared" si="120"/>
        <v>1</v>
      </c>
      <c r="V2600" s="55">
        <f t="shared" si="121"/>
        <v>0</v>
      </c>
      <c r="W2600" s="56">
        <f t="shared" si="122"/>
        <v>1780.3333333333333</v>
      </c>
    </row>
    <row r="2601" spans="1:23" x14ac:dyDescent="0.3">
      <c r="A2601" s="13" t="str" cm="1">
        <f t="array" ref="A2601:B2601">INDEX(BenchmarkResults!$B$1:$D$35,SUMPRODUCT((T2601&gt;=BenchmarkResults!$F$3:$F$35)*(mongodb_hardware_log!T2601&lt;BenchmarkResults!$G$3:$G$35)*ROW(BenchmarkResults!$F$3:$F$35)),{1,3})</f>
        <v>q6_inactive_customers</v>
      </c>
      <c r="B2601">
        <v>2</v>
      </c>
      <c r="C2601" s="13">
        <v>1</v>
      </c>
      <c r="D2601" s="13">
        <v>0</v>
      </c>
      <c r="E2601" s="13">
        <v>194560</v>
      </c>
      <c r="F2601" s="13">
        <v>391860</v>
      </c>
      <c r="G2601" s="13">
        <v>5752</v>
      </c>
      <c r="H2601" s="13">
        <v>1978872</v>
      </c>
      <c r="I2601" s="13">
        <v>3</v>
      </c>
      <c r="J2601" s="13">
        <v>0</v>
      </c>
      <c r="K2601" s="13">
        <v>1958</v>
      </c>
      <c r="L2601" s="13">
        <v>1158</v>
      </c>
      <c r="M2601" s="13">
        <v>751</v>
      </c>
      <c r="N2601" s="13">
        <v>227</v>
      </c>
      <c r="O2601" s="13">
        <v>36</v>
      </c>
      <c r="P2601" s="13">
        <v>1</v>
      </c>
      <c r="Q2601" s="13">
        <v>61</v>
      </c>
      <c r="R2601" s="13">
        <v>2</v>
      </c>
      <c r="S2601" s="13">
        <v>0</v>
      </c>
      <c r="T2601" s="23">
        <v>46247.778773148151</v>
      </c>
      <c r="U2601" s="55">
        <f t="shared" si="120"/>
        <v>1</v>
      </c>
      <c r="V2601" s="55">
        <f t="shared" si="121"/>
        <v>0</v>
      </c>
      <c r="W2601" s="56">
        <f t="shared" si="122"/>
        <v>1764.5</v>
      </c>
    </row>
    <row r="2602" spans="1:23" x14ac:dyDescent="0.3">
      <c r="A2602" s="13" t="str" cm="1">
        <f t="array" ref="A2602:B2602">INDEX(BenchmarkResults!$B$1:$D$35,SUMPRODUCT((T2602&gt;=BenchmarkResults!$F$3:$F$35)*(mongodb_hardware_log!T2602&lt;BenchmarkResults!$G$3:$G$35)*ROW(BenchmarkResults!$F$3:$F$35)),{1,3})</f>
        <v>q6_inactive_customers</v>
      </c>
      <c r="B2602">
        <v>2</v>
      </c>
      <c r="C2602" s="13">
        <v>1</v>
      </c>
      <c r="D2602" s="13">
        <v>0</v>
      </c>
      <c r="E2602" s="13">
        <v>194560</v>
      </c>
      <c r="F2602" s="13">
        <v>388080</v>
      </c>
      <c r="G2602" s="13">
        <v>5760</v>
      </c>
      <c r="H2602" s="13">
        <v>1980952</v>
      </c>
      <c r="I2602" s="13">
        <v>3</v>
      </c>
      <c r="J2602" s="13">
        <v>0</v>
      </c>
      <c r="K2602" s="13">
        <v>1886</v>
      </c>
      <c r="L2602" s="13">
        <v>1162</v>
      </c>
      <c r="M2602" s="13">
        <v>754</v>
      </c>
      <c r="N2602" s="13">
        <v>232</v>
      </c>
      <c r="O2602" s="13">
        <v>36</v>
      </c>
      <c r="P2602" s="13">
        <v>1</v>
      </c>
      <c r="Q2602" s="13">
        <v>61</v>
      </c>
      <c r="R2602" s="13">
        <v>1</v>
      </c>
      <c r="S2602" s="13">
        <v>0</v>
      </c>
      <c r="T2602" s="23">
        <v>46247.778796296298</v>
      </c>
      <c r="U2602" s="55">
        <f t="shared" si="120"/>
        <v>1</v>
      </c>
      <c r="V2602" s="55">
        <f t="shared" si="121"/>
        <v>0</v>
      </c>
      <c r="W2602" s="56">
        <f t="shared" si="122"/>
        <v>1743.5</v>
      </c>
    </row>
    <row r="2603" spans="1:23" x14ac:dyDescent="0.3">
      <c r="A2603" s="13" t="str" cm="1">
        <f t="array" ref="A2603:B2603">INDEX(BenchmarkResults!$B$1:$D$35,SUMPRODUCT((T2603&gt;=BenchmarkResults!$F$3:$F$35)*(mongodb_hardware_log!T2603&lt;BenchmarkResults!$G$3:$G$35)*ROW(BenchmarkResults!$F$3:$F$35)),{1,3})</f>
        <v>q6_inactive_customers</v>
      </c>
      <c r="B2603">
        <v>2</v>
      </c>
      <c r="C2603" s="13">
        <v>1</v>
      </c>
      <c r="D2603" s="13">
        <v>0</v>
      </c>
      <c r="E2603" s="13">
        <v>194560</v>
      </c>
      <c r="F2603" s="13">
        <v>375984</v>
      </c>
      <c r="G2603" s="13">
        <v>5768</v>
      </c>
      <c r="H2603" s="13">
        <v>1998532</v>
      </c>
      <c r="I2603" s="13">
        <v>0</v>
      </c>
      <c r="J2603" s="13">
        <v>0</v>
      </c>
      <c r="K2603" s="13">
        <v>1962</v>
      </c>
      <c r="L2603" s="13">
        <v>15</v>
      </c>
      <c r="M2603" s="13">
        <v>749</v>
      </c>
      <c r="N2603" s="13">
        <v>229</v>
      </c>
      <c r="O2603" s="13">
        <v>36</v>
      </c>
      <c r="P2603" s="13">
        <v>2</v>
      </c>
      <c r="Q2603" s="13">
        <v>61</v>
      </c>
      <c r="R2603" s="13">
        <v>1</v>
      </c>
      <c r="S2603" s="13">
        <v>0</v>
      </c>
      <c r="T2603" s="23">
        <v>46247.77888888889</v>
      </c>
      <c r="U2603" s="55">
        <f t="shared" si="120"/>
        <v>1</v>
      </c>
      <c r="V2603" s="55">
        <f t="shared" si="121"/>
        <v>0</v>
      </c>
      <c r="W2603" s="56">
        <f t="shared" si="122"/>
        <v>1726.1666666666667</v>
      </c>
    </row>
    <row r="2604" spans="1:23" x14ac:dyDescent="0.3">
      <c r="A2604" s="13" t="str" cm="1">
        <f t="array" ref="A2604:B2604">INDEX(BenchmarkResults!$B$1:$D$35,SUMPRODUCT((T2604&gt;=BenchmarkResults!$F$3:$F$35)*(mongodb_hardware_log!T2604&lt;BenchmarkResults!$G$3:$G$35)*ROW(BenchmarkResults!$F$3:$F$35)),{1,3})</f>
        <v>q6_inactive_customers</v>
      </c>
      <c r="B2604">
        <v>2</v>
      </c>
      <c r="C2604" s="13">
        <v>1</v>
      </c>
      <c r="D2604" s="13">
        <v>0</v>
      </c>
      <c r="E2604" s="13">
        <v>194560</v>
      </c>
      <c r="F2604" s="13">
        <v>372960</v>
      </c>
      <c r="G2604" s="13">
        <v>5768</v>
      </c>
      <c r="H2604" s="13">
        <v>2001572</v>
      </c>
      <c r="I2604" s="13">
        <v>0</v>
      </c>
      <c r="J2604" s="13">
        <v>0</v>
      </c>
      <c r="K2604" s="13">
        <v>2071</v>
      </c>
      <c r="L2604" s="13">
        <v>10</v>
      </c>
      <c r="M2604" s="13">
        <v>745</v>
      </c>
      <c r="N2604" s="13">
        <v>222</v>
      </c>
      <c r="O2604" s="13">
        <v>36</v>
      </c>
      <c r="P2604" s="13">
        <v>2</v>
      </c>
      <c r="Q2604" s="13">
        <v>62</v>
      </c>
      <c r="R2604" s="13">
        <v>1</v>
      </c>
      <c r="S2604" s="13">
        <v>0</v>
      </c>
      <c r="T2604" s="23">
        <v>46247.778912037036</v>
      </c>
      <c r="U2604" s="55">
        <f t="shared" si="120"/>
        <v>1</v>
      </c>
      <c r="V2604" s="55">
        <f t="shared" si="121"/>
        <v>0</v>
      </c>
      <c r="W2604" s="56">
        <f t="shared" si="122"/>
        <v>1748</v>
      </c>
    </row>
    <row r="2605" spans="1:23" x14ac:dyDescent="0.3">
      <c r="A2605" s="13" t="str" cm="1">
        <f t="array" ref="A2605:B2605">INDEX(BenchmarkResults!$B$1:$D$35,SUMPRODUCT((T2605&gt;=BenchmarkResults!$F$3:$F$35)*(mongodb_hardware_log!T2605&lt;BenchmarkResults!$G$3:$G$35)*ROW(BenchmarkResults!$F$3:$F$35)),{1,3})</f>
        <v>q6_inactive_customers</v>
      </c>
      <c r="B2605">
        <v>2</v>
      </c>
      <c r="C2605" s="13">
        <v>1</v>
      </c>
      <c r="D2605" s="13">
        <v>0</v>
      </c>
      <c r="E2605" s="13">
        <v>194560</v>
      </c>
      <c r="F2605" s="13">
        <v>353052</v>
      </c>
      <c r="G2605" s="13">
        <v>5776</v>
      </c>
      <c r="H2605" s="13">
        <v>2017336</v>
      </c>
      <c r="I2605" s="13">
        <v>0</v>
      </c>
      <c r="J2605" s="13">
        <v>0</v>
      </c>
      <c r="K2605" s="13">
        <v>1886</v>
      </c>
      <c r="L2605" s="13">
        <v>11</v>
      </c>
      <c r="M2605" s="13">
        <v>711</v>
      </c>
      <c r="N2605" s="13">
        <v>203</v>
      </c>
      <c r="O2605" s="13">
        <v>36</v>
      </c>
      <c r="P2605" s="13">
        <v>1</v>
      </c>
      <c r="Q2605" s="13">
        <v>62</v>
      </c>
      <c r="R2605" s="13">
        <v>0</v>
      </c>
      <c r="S2605" s="13">
        <v>0</v>
      </c>
      <c r="T2605" s="23">
        <v>46247.779004629629</v>
      </c>
      <c r="U2605" s="55">
        <f t="shared" si="120"/>
        <v>1</v>
      </c>
      <c r="V2605" s="55">
        <f t="shared" si="121"/>
        <v>0</v>
      </c>
      <c r="W2605" s="56">
        <f t="shared" si="122"/>
        <v>1845.6666666666667</v>
      </c>
    </row>
    <row r="2606" spans="1:23" x14ac:dyDescent="0.3">
      <c r="A2606" s="13" t="str" cm="1">
        <f t="array" ref="A2606:B2606">INDEX(BenchmarkResults!$B$1:$D$35,SUMPRODUCT((T2606&gt;=BenchmarkResults!$F$3:$F$35)*(mongodb_hardware_log!T2606&lt;BenchmarkResults!$G$3:$G$35)*ROW(BenchmarkResults!$F$3:$F$35)),{1,3})</f>
        <v>q6_inactive_customers</v>
      </c>
      <c r="B2606">
        <v>2</v>
      </c>
      <c r="C2606" s="13">
        <v>1</v>
      </c>
      <c r="D2606" s="13">
        <v>0</v>
      </c>
      <c r="E2606" s="13">
        <v>194560</v>
      </c>
      <c r="F2606" s="13">
        <v>349524</v>
      </c>
      <c r="G2606" s="13">
        <v>5784</v>
      </c>
      <c r="H2606" s="13">
        <v>2020916</v>
      </c>
      <c r="I2606" s="13">
        <v>0</v>
      </c>
      <c r="J2606" s="13">
        <v>0</v>
      </c>
      <c r="K2606" s="13">
        <v>1927</v>
      </c>
      <c r="L2606" s="13">
        <v>16</v>
      </c>
      <c r="M2606" s="13">
        <v>728</v>
      </c>
      <c r="N2606" s="13">
        <v>216</v>
      </c>
      <c r="O2606" s="13">
        <v>36</v>
      </c>
      <c r="P2606" s="13">
        <v>2</v>
      </c>
      <c r="Q2606" s="13">
        <v>62</v>
      </c>
      <c r="R2606" s="13">
        <v>0</v>
      </c>
      <c r="S2606" s="13">
        <v>0</v>
      </c>
      <c r="T2606" s="23">
        <v>46247.779027777775</v>
      </c>
      <c r="U2606" s="55">
        <f t="shared" si="120"/>
        <v>1</v>
      </c>
      <c r="V2606" s="55">
        <f t="shared" si="121"/>
        <v>0</v>
      </c>
      <c r="W2606" s="56">
        <f t="shared" si="122"/>
        <v>1948.3333333333333</v>
      </c>
    </row>
    <row r="2607" spans="1:23" x14ac:dyDescent="0.3">
      <c r="A2607" s="13" t="str" cm="1">
        <f t="array" ref="A2607:B2607">INDEX(BenchmarkResults!$B$1:$D$35,SUMPRODUCT((T2607&gt;=BenchmarkResults!$F$3:$F$35)*(mongodb_hardware_log!T2607&lt;BenchmarkResults!$G$3:$G$35)*ROW(BenchmarkResults!$F$3:$F$35)),{1,3})</f>
        <v>q6_inactive_customers</v>
      </c>
      <c r="B2607">
        <v>2</v>
      </c>
      <c r="C2607" s="13">
        <v>1</v>
      </c>
      <c r="D2607" s="13">
        <v>0</v>
      </c>
      <c r="E2607" s="13">
        <v>194560</v>
      </c>
      <c r="F2607" s="13">
        <v>337680</v>
      </c>
      <c r="G2607" s="13">
        <v>5792</v>
      </c>
      <c r="H2607" s="13">
        <v>2035092</v>
      </c>
      <c r="I2607" s="13">
        <v>0</v>
      </c>
      <c r="J2607" s="13">
        <v>0</v>
      </c>
      <c r="K2607" s="13">
        <v>1770</v>
      </c>
      <c r="L2607" s="13">
        <v>15</v>
      </c>
      <c r="M2607" s="13">
        <v>752</v>
      </c>
      <c r="N2607" s="13">
        <v>228</v>
      </c>
      <c r="O2607" s="13">
        <v>35</v>
      </c>
      <c r="P2607" s="13">
        <v>2</v>
      </c>
      <c r="Q2607" s="13">
        <v>62</v>
      </c>
      <c r="R2607" s="13">
        <v>1</v>
      </c>
      <c r="S2607" s="13">
        <v>0</v>
      </c>
      <c r="T2607" s="23">
        <v>46247.779120370367</v>
      </c>
      <c r="U2607" s="55">
        <f t="shared" si="120"/>
        <v>1</v>
      </c>
      <c r="V2607" s="55">
        <f t="shared" si="121"/>
        <v>0</v>
      </c>
      <c r="W2607" s="56">
        <f t="shared" si="122"/>
        <v>1917</v>
      </c>
    </row>
    <row r="2608" spans="1:23" x14ac:dyDescent="0.3">
      <c r="A2608" s="13" t="str" cm="1">
        <f t="array" ref="A2608:B2608">INDEX(BenchmarkResults!$B$1:$D$35,SUMPRODUCT((T2608&gt;=BenchmarkResults!$F$3:$F$35)*(mongodb_hardware_log!T2608&lt;BenchmarkResults!$G$3:$G$35)*ROW(BenchmarkResults!$F$3:$F$35)),{1,3})</f>
        <v>q6_inactive_customers</v>
      </c>
      <c r="B2608">
        <v>2</v>
      </c>
      <c r="C2608" s="13">
        <v>1</v>
      </c>
      <c r="D2608" s="13">
        <v>0</v>
      </c>
      <c r="E2608" s="13">
        <v>194560</v>
      </c>
      <c r="F2608" s="13">
        <v>329616</v>
      </c>
      <c r="G2608" s="13">
        <v>5792</v>
      </c>
      <c r="H2608" s="13">
        <v>2039696</v>
      </c>
      <c r="I2608" s="13">
        <v>0</v>
      </c>
      <c r="J2608" s="13">
        <v>0</v>
      </c>
      <c r="K2608" s="13">
        <v>1883</v>
      </c>
      <c r="L2608" s="13">
        <v>10</v>
      </c>
      <c r="M2608" s="13">
        <v>735</v>
      </c>
      <c r="N2608" s="13">
        <v>214</v>
      </c>
      <c r="O2608" s="13">
        <v>35</v>
      </c>
      <c r="P2608" s="13">
        <v>2</v>
      </c>
      <c r="Q2608" s="13">
        <v>62</v>
      </c>
      <c r="R2608" s="13">
        <v>0</v>
      </c>
      <c r="S2608" s="13">
        <v>0</v>
      </c>
      <c r="T2608" s="23">
        <v>46247.779143518521</v>
      </c>
      <c r="U2608" s="55">
        <f t="shared" si="120"/>
        <v>1</v>
      </c>
      <c r="V2608" s="55">
        <f t="shared" si="121"/>
        <v>0</v>
      </c>
      <c r="W2608" s="56">
        <f t="shared" si="122"/>
        <v>1916.5</v>
      </c>
    </row>
    <row r="2609" spans="1:23" x14ac:dyDescent="0.3">
      <c r="A2609" s="13" t="str" cm="1">
        <f t="array" ref="A2609:B2609">INDEX(BenchmarkResults!$B$1:$D$35,SUMPRODUCT((T2609&gt;=BenchmarkResults!$F$3:$F$35)*(mongodb_hardware_log!T2609&lt;BenchmarkResults!$G$3:$G$35)*ROW(BenchmarkResults!$F$3:$F$35)),{1,3})</f>
        <v>q6_inactive_customers</v>
      </c>
      <c r="B2609">
        <v>2</v>
      </c>
      <c r="C2609" s="13">
        <v>1</v>
      </c>
      <c r="D2609" s="13">
        <v>0</v>
      </c>
      <c r="E2609" s="13">
        <v>194560</v>
      </c>
      <c r="F2609" s="13">
        <v>310212</v>
      </c>
      <c r="G2609" s="13">
        <v>5800</v>
      </c>
      <c r="H2609" s="13">
        <v>2064152</v>
      </c>
      <c r="I2609" s="13">
        <v>0</v>
      </c>
      <c r="J2609" s="13">
        <v>0</v>
      </c>
      <c r="K2609" s="13">
        <v>1311</v>
      </c>
      <c r="L2609" s="13">
        <v>417</v>
      </c>
      <c r="M2609" s="13">
        <v>698</v>
      </c>
      <c r="N2609" s="13">
        <v>174</v>
      </c>
      <c r="O2609" s="13">
        <v>35</v>
      </c>
      <c r="P2609" s="13">
        <v>2</v>
      </c>
      <c r="Q2609" s="13">
        <v>62</v>
      </c>
      <c r="R2609" s="13">
        <v>0</v>
      </c>
      <c r="S2609" s="13">
        <v>1</v>
      </c>
      <c r="T2609" s="23">
        <v>46247.779236111113</v>
      </c>
      <c r="U2609" s="55">
        <f t="shared" si="120"/>
        <v>1</v>
      </c>
      <c r="V2609" s="55">
        <f t="shared" si="121"/>
        <v>0</v>
      </c>
      <c r="W2609" s="56">
        <f t="shared" si="122"/>
        <v>1808</v>
      </c>
    </row>
    <row r="2610" spans="1:23" x14ac:dyDescent="0.3">
      <c r="A2610" s="13" t="str" cm="1">
        <f t="array" ref="A2610:B2610">INDEX(BenchmarkResults!$B$1:$D$35,SUMPRODUCT((T2610&gt;=BenchmarkResults!$F$3:$F$35)*(mongodb_hardware_log!T2610&lt;BenchmarkResults!$G$3:$G$35)*ROW(BenchmarkResults!$F$3:$F$35)),{1,3})</f>
        <v>q6_inactive_customers</v>
      </c>
      <c r="B2610">
        <v>2</v>
      </c>
      <c r="C2610" s="13">
        <v>1</v>
      </c>
      <c r="D2610" s="13">
        <v>0</v>
      </c>
      <c r="E2610" s="13">
        <v>194560</v>
      </c>
      <c r="F2610" s="13">
        <v>308448</v>
      </c>
      <c r="G2610" s="13">
        <v>5812</v>
      </c>
      <c r="H2610" s="13">
        <v>2067472</v>
      </c>
      <c r="I2610" s="13">
        <v>0</v>
      </c>
      <c r="J2610" s="13">
        <v>0</v>
      </c>
      <c r="K2610" s="13">
        <v>1184</v>
      </c>
      <c r="L2610" s="13">
        <v>424</v>
      </c>
      <c r="M2610" s="13">
        <v>702</v>
      </c>
      <c r="N2610" s="13">
        <v>176</v>
      </c>
      <c r="O2610" s="13">
        <v>35</v>
      </c>
      <c r="P2610" s="13">
        <v>2</v>
      </c>
      <c r="Q2610" s="13">
        <v>62</v>
      </c>
      <c r="R2610" s="13">
        <v>0</v>
      </c>
      <c r="S2610" s="13">
        <v>1</v>
      </c>
      <c r="T2610" s="23">
        <v>46247.77925925926</v>
      </c>
      <c r="U2610" s="55">
        <f t="shared" si="120"/>
        <v>1</v>
      </c>
      <c r="V2610" s="55">
        <f t="shared" si="121"/>
        <v>0</v>
      </c>
      <c r="W2610" s="56">
        <f t="shared" si="122"/>
        <v>1660.1666666666667</v>
      </c>
    </row>
    <row r="2611" spans="1:23" x14ac:dyDescent="0.3">
      <c r="A2611" s="13" t="str" cm="1">
        <f t="array" ref="A2611:B2611">INDEX(BenchmarkResults!$B$1:$D$35,SUMPRODUCT((T2611&gt;=BenchmarkResults!$F$3:$F$35)*(mongodb_hardware_log!T2611&lt;BenchmarkResults!$G$3:$G$35)*ROW(BenchmarkResults!$F$3:$F$35)),{1,3})</f>
        <v>q6_inactive_customers</v>
      </c>
      <c r="B2611">
        <v>2</v>
      </c>
      <c r="C2611" s="13">
        <v>1</v>
      </c>
      <c r="D2611" s="13">
        <v>0</v>
      </c>
      <c r="E2611" s="13">
        <v>194560</v>
      </c>
      <c r="F2611" s="13">
        <v>287280</v>
      </c>
      <c r="G2611" s="13">
        <v>5840</v>
      </c>
      <c r="H2611" s="13">
        <v>2082792</v>
      </c>
      <c r="I2611" s="13">
        <v>0</v>
      </c>
      <c r="J2611" s="13">
        <v>0</v>
      </c>
      <c r="K2611" s="13">
        <v>1857</v>
      </c>
      <c r="L2611" s="13">
        <v>1181</v>
      </c>
      <c r="M2611" s="13">
        <v>746</v>
      </c>
      <c r="N2611" s="13">
        <v>229</v>
      </c>
      <c r="O2611" s="13">
        <v>35</v>
      </c>
      <c r="P2611" s="13">
        <v>2</v>
      </c>
      <c r="Q2611" s="13">
        <v>60</v>
      </c>
      <c r="R2611" s="13">
        <v>2</v>
      </c>
      <c r="S2611" s="13">
        <v>1</v>
      </c>
      <c r="T2611" s="23">
        <v>46247.779351851852</v>
      </c>
      <c r="U2611" s="55">
        <f t="shared" si="120"/>
        <v>1</v>
      </c>
      <c r="V2611" s="55">
        <f t="shared" si="121"/>
        <v>0</v>
      </c>
      <c r="W2611" s="56">
        <f t="shared" si="122"/>
        <v>1655.3333333333333</v>
      </c>
    </row>
    <row r="2612" spans="1:23" x14ac:dyDescent="0.3">
      <c r="A2612" s="13" t="str" cm="1">
        <f t="array" ref="A2612:B2612">INDEX(BenchmarkResults!$B$1:$D$35,SUMPRODUCT((T2612&gt;=BenchmarkResults!$F$3:$F$35)*(mongodb_hardware_log!T2612&lt;BenchmarkResults!$G$3:$G$35)*ROW(BenchmarkResults!$F$3:$F$35)),{1,3})</f>
        <v>q6_inactive_customers</v>
      </c>
      <c r="B2612">
        <v>2</v>
      </c>
      <c r="C2612" s="13">
        <v>1</v>
      </c>
      <c r="D2612" s="13">
        <v>0</v>
      </c>
      <c r="E2612" s="13">
        <v>194560</v>
      </c>
      <c r="F2612" s="13">
        <v>287280</v>
      </c>
      <c r="G2612" s="13">
        <v>5840</v>
      </c>
      <c r="H2612" s="13">
        <v>2088348</v>
      </c>
      <c r="I2612" s="13">
        <v>0</v>
      </c>
      <c r="J2612" s="13">
        <v>0</v>
      </c>
      <c r="K2612" s="13">
        <v>2078</v>
      </c>
      <c r="L2612" s="13">
        <v>1174</v>
      </c>
      <c r="M2612" s="13">
        <v>766</v>
      </c>
      <c r="N2612" s="13">
        <v>240</v>
      </c>
      <c r="O2612" s="13">
        <v>35</v>
      </c>
      <c r="P2612" s="13">
        <v>2</v>
      </c>
      <c r="Q2612" s="13">
        <v>61</v>
      </c>
      <c r="R2612" s="13">
        <v>3</v>
      </c>
      <c r="S2612" s="13">
        <v>0</v>
      </c>
      <c r="T2612" s="23">
        <v>46247.779374999998</v>
      </c>
      <c r="U2612" s="55">
        <f t="shared" si="120"/>
        <v>1</v>
      </c>
      <c r="V2612" s="55">
        <f t="shared" si="121"/>
        <v>0</v>
      </c>
      <c r="W2612" s="56">
        <f t="shared" si="122"/>
        <v>1680.5</v>
      </c>
    </row>
    <row r="2613" spans="1:23" x14ac:dyDescent="0.3">
      <c r="A2613" s="13" t="str" cm="1">
        <f t="array" ref="A2613:B2613">INDEX(BenchmarkResults!$B$1:$D$35,SUMPRODUCT((T2613&gt;=BenchmarkResults!$F$3:$F$35)*(mongodb_hardware_log!T2613&lt;BenchmarkResults!$G$3:$G$35)*ROW(BenchmarkResults!$F$3:$F$35)),{1,3})</f>
        <v>q6_inactive_customers</v>
      </c>
      <c r="B2613">
        <v>2</v>
      </c>
      <c r="C2613" s="13">
        <v>1</v>
      </c>
      <c r="D2613" s="13">
        <v>0</v>
      </c>
      <c r="E2613" s="13">
        <v>194560</v>
      </c>
      <c r="F2613" s="13">
        <v>273168</v>
      </c>
      <c r="G2613" s="13">
        <v>5848</v>
      </c>
      <c r="H2613" s="13">
        <v>2101784</v>
      </c>
      <c r="I2613" s="13">
        <v>0</v>
      </c>
      <c r="J2613" s="13">
        <v>0</v>
      </c>
      <c r="K2613" s="13">
        <v>1902</v>
      </c>
      <c r="L2613" s="13">
        <v>8</v>
      </c>
      <c r="M2613" s="13">
        <v>765</v>
      </c>
      <c r="N2613" s="13">
        <v>242</v>
      </c>
      <c r="O2613" s="13">
        <v>35</v>
      </c>
      <c r="P2613" s="13">
        <v>2</v>
      </c>
      <c r="Q2613" s="13">
        <v>62</v>
      </c>
      <c r="R2613" s="13">
        <v>1</v>
      </c>
      <c r="S2613" s="13">
        <v>0</v>
      </c>
      <c r="T2613" s="23">
        <v>46247.779467592591</v>
      </c>
      <c r="U2613" s="55">
        <f t="shared" si="120"/>
        <v>1</v>
      </c>
      <c r="V2613" s="55">
        <f t="shared" si="121"/>
        <v>0</v>
      </c>
      <c r="W2613" s="56">
        <f t="shared" si="122"/>
        <v>1702.5</v>
      </c>
    </row>
    <row r="2614" spans="1:23" x14ac:dyDescent="0.3">
      <c r="A2614" s="13" t="str" cm="1">
        <f t="array" ref="A2614:B2614">INDEX(BenchmarkResults!$B$1:$D$35,SUMPRODUCT((T2614&gt;=BenchmarkResults!$F$3:$F$35)*(mongodb_hardware_log!T2614&lt;BenchmarkResults!$G$3:$G$35)*ROW(BenchmarkResults!$F$3:$F$35)),{1,3})</f>
        <v>q6_inactive_customers</v>
      </c>
      <c r="B2614">
        <v>2</v>
      </c>
      <c r="C2614" s="13">
        <v>1</v>
      </c>
      <c r="D2614" s="13">
        <v>0</v>
      </c>
      <c r="E2614" s="13">
        <v>194560</v>
      </c>
      <c r="F2614" s="13">
        <v>271656</v>
      </c>
      <c r="G2614" s="13">
        <v>5856</v>
      </c>
      <c r="H2614" s="13">
        <v>2104632</v>
      </c>
      <c r="I2614" s="13">
        <v>0</v>
      </c>
      <c r="J2614" s="13">
        <v>0</v>
      </c>
      <c r="K2614" s="13">
        <v>1636</v>
      </c>
      <c r="L2614" s="13">
        <v>12</v>
      </c>
      <c r="M2614" s="13">
        <v>750</v>
      </c>
      <c r="N2614" s="13">
        <v>237</v>
      </c>
      <c r="O2614" s="13">
        <v>36</v>
      </c>
      <c r="P2614" s="13">
        <v>2</v>
      </c>
      <c r="Q2614" s="13">
        <v>62</v>
      </c>
      <c r="R2614" s="13">
        <v>1</v>
      </c>
      <c r="S2614" s="13">
        <v>0</v>
      </c>
      <c r="T2614" s="23">
        <v>46247.779490740744</v>
      </c>
      <c r="U2614" s="55">
        <f t="shared" si="120"/>
        <v>1</v>
      </c>
      <c r="V2614" s="55">
        <f t="shared" si="121"/>
        <v>0</v>
      </c>
      <c r="W2614" s="56">
        <f t="shared" si="122"/>
        <v>1661.3333333333333</v>
      </c>
    </row>
    <row r="2615" spans="1:23" x14ac:dyDescent="0.3">
      <c r="A2615" s="13" t="str" cm="1">
        <f t="array" ref="A2615:B2615">INDEX(BenchmarkResults!$B$1:$D$35,SUMPRODUCT((T2615&gt;=BenchmarkResults!$F$3:$F$35)*(mongodb_hardware_log!T2615&lt;BenchmarkResults!$G$3:$G$35)*ROW(BenchmarkResults!$F$3:$F$35)),{1,3})</f>
        <v>q6_inactive_customers</v>
      </c>
      <c r="B2615">
        <v>2</v>
      </c>
      <c r="C2615" s="13">
        <v>1</v>
      </c>
      <c r="D2615" s="13">
        <v>0</v>
      </c>
      <c r="E2615" s="13">
        <v>194560</v>
      </c>
      <c r="F2615" s="13">
        <v>257040</v>
      </c>
      <c r="G2615" s="13">
        <v>5864</v>
      </c>
      <c r="H2615" s="13">
        <v>2119744</v>
      </c>
      <c r="I2615" s="13">
        <v>0</v>
      </c>
      <c r="J2615" s="13">
        <v>0</v>
      </c>
      <c r="K2615" s="13">
        <v>1798</v>
      </c>
      <c r="L2615" s="13">
        <v>16</v>
      </c>
      <c r="M2615" s="13">
        <v>736</v>
      </c>
      <c r="N2615" s="13">
        <v>220</v>
      </c>
      <c r="O2615" s="13">
        <v>35</v>
      </c>
      <c r="P2615" s="13">
        <v>2</v>
      </c>
      <c r="Q2615" s="13">
        <v>62</v>
      </c>
      <c r="R2615" s="13">
        <v>1</v>
      </c>
      <c r="S2615" s="13">
        <v>0</v>
      </c>
      <c r="T2615" s="23">
        <v>46247.779583333337</v>
      </c>
      <c r="U2615" s="55">
        <f t="shared" si="120"/>
        <v>1</v>
      </c>
      <c r="V2615" s="55">
        <f t="shared" si="121"/>
        <v>0</v>
      </c>
      <c r="W2615" s="56">
        <f t="shared" si="122"/>
        <v>1742.5</v>
      </c>
    </row>
    <row r="2616" spans="1:23" x14ac:dyDescent="0.3">
      <c r="A2616" s="13" t="str" cm="1">
        <f t="array" ref="A2616:B2616">INDEX(BenchmarkResults!$B$1:$D$35,SUMPRODUCT((T2616&gt;=BenchmarkResults!$F$3:$F$35)*(mongodb_hardware_log!T2616&lt;BenchmarkResults!$G$3:$G$35)*ROW(BenchmarkResults!$F$3:$F$35)),{1,3})</f>
        <v>q6_inactive_customers</v>
      </c>
      <c r="B2616">
        <v>2</v>
      </c>
      <c r="C2616" s="13">
        <v>1</v>
      </c>
      <c r="D2616" s="13">
        <v>0</v>
      </c>
      <c r="E2616" s="13">
        <v>194560</v>
      </c>
      <c r="F2616" s="13">
        <v>254016</v>
      </c>
      <c r="G2616" s="13">
        <v>5864</v>
      </c>
      <c r="H2616" s="13">
        <v>2122988</v>
      </c>
      <c r="I2616" s="13">
        <v>0</v>
      </c>
      <c r="J2616" s="13">
        <v>0</v>
      </c>
      <c r="K2616" s="13">
        <v>1827</v>
      </c>
      <c r="L2616" s="13">
        <v>11</v>
      </c>
      <c r="M2616" s="13">
        <v>734</v>
      </c>
      <c r="N2616" s="13">
        <v>220</v>
      </c>
      <c r="O2616" s="13">
        <v>36</v>
      </c>
      <c r="P2616" s="13">
        <v>2</v>
      </c>
      <c r="Q2616" s="13">
        <v>62</v>
      </c>
      <c r="R2616" s="13">
        <v>1</v>
      </c>
      <c r="S2616" s="13">
        <v>0</v>
      </c>
      <c r="T2616" s="23">
        <v>46247.779606481483</v>
      </c>
      <c r="U2616" s="55">
        <f t="shared" si="120"/>
        <v>1</v>
      </c>
      <c r="V2616" s="55">
        <f t="shared" si="121"/>
        <v>0</v>
      </c>
      <c r="W2616" s="56">
        <f t="shared" si="122"/>
        <v>1849.6666666666667</v>
      </c>
    </row>
    <row r="2617" spans="1:23" x14ac:dyDescent="0.3">
      <c r="A2617" s="13" t="str" cm="1">
        <f t="array" ref="A2617:B2617">INDEX(BenchmarkResults!$B$1:$D$35,SUMPRODUCT((T2617&gt;=BenchmarkResults!$F$3:$F$35)*(mongodb_hardware_log!T2617&lt;BenchmarkResults!$G$3:$G$35)*ROW(BenchmarkResults!$F$3:$F$35)),{1,3})</f>
        <v>q6_inactive_customers</v>
      </c>
      <c r="B2617">
        <v>2</v>
      </c>
      <c r="C2617" s="13">
        <v>1</v>
      </c>
      <c r="D2617" s="13">
        <v>0</v>
      </c>
      <c r="E2617" s="13">
        <v>194560</v>
      </c>
      <c r="F2617" s="13">
        <v>233100</v>
      </c>
      <c r="G2617" s="13">
        <v>5872</v>
      </c>
      <c r="H2617" s="13">
        <v>2140060</v>
      </c>
      <c r="I2617" s="13">
        <v>0</v>
      </c>
      <c r="J2617" s="13">
        <v>0</v>
      </c>
      <c r="K2617" s="13">
        <v>2034</v>
      </c>
      <c r="L2617" s="13">
        <v>15</v>
      </c>
      <c r="M2617" s="13">
        <v>725</v>
      </c>
      <c r="N2617" s="13">
        <v>213</v>
      </c>
      <c r="O2617" s="13">
        <v>36</v>
      </c>
      <c r="P2617" s="13">
        <v>2</v>
      </c>
      <c r="Q2617" s="13">
        <v>62</v>
      </c>
      <c r="R2617" s="13">
        <v>0</v>
      </c>
      <c r="S2617" s="13">
        <v>0</v>
      </c>
      <c r="T2617" s="23">
        <v>46247.779699074075</v>
      </c>
      <c r="U2617" s="55">
        <f t="shared" si="120"/>
        <v>1</v>
      </c>
      <c r="V2617" s="55">
        <f t="shared" si="121"/>
        <v>0</v>
      </c>
      <c r="W2617" s="56">
        <f t="shared" si="122"/>
        <v>1879.1666666666667</v>
      </c>
    </row>
    <row r="2618" spans="1:23" x14ac:dyDescent="0.3">
      <c r="A2618" s="13" t="str" cm="1">
        <f t="array" ref="A2618:B2618">INDEX(BenchmarkResults!$B$1:$D$35,SUMPRODUCT((T2618&gt;=BenchmarkResults!$F$3:$F$35)*(mongodb_hardware_log!T2618&lt;BenchmarkResults!$G$3:$G$35)*ROW(BenchmarkResults!$F$3:$F$35)),{1,3})</f>
        <v>q6_inactive_customers</v>
      </c>
      <c r="B2618">
        <v>2</v>
      </c>
      <c r="C2618" s="13">
        <v>1</v>
      </c>
      <c r="D2618" s="13">
        <v>0</v>
      </c>
      <c r="E2618" s="13">
        <v>194560</v>
      </c>
      <c r="F2618" s="13">
        <v>231336</v>
      </c>
      <c r="G2618" s="13">
        <v>5880</v>
      </c>
      <c r="H2618" s="13">
        <v>2143244</v>
      </c>
      <c r="I2618" s="13">
        <v>0</v>
      </c>
      <c r="J2618" s="13">
        <v>0</v>
      </c>
      <c r="K2618" s="13">
        <v>2031</v>
      </c>
      <c r="L2618" s="13">
        <v>20</v>
      </c>
      <c r="M2618" s="13">
        <v>732</v>
      </c>
      <c r="N2618" s="13">
        <v>216</v>
      </c>
      <c r="O2618" s="13">
        <v>36</v>
      </c>
      <c r="P2618" s="13">
        <v>2</v>
      </c>
      <c r="Q2618" s="13">
        <v>62</v>
      </c>
      <c r="R2618" s="13">
        <v>1</v>
      </c>
      <c r="S2618" s="13">
        <v>0</v>
      </c>
      <c r="T2618" s="23">
        <v>46247.779722222222</v>
      </c>
      <c r="U2618" s="55">
        <f t="shared" si="120"/>
        <v>1</v>
      </c>
      <c r="V2618" s="55">
        <f t="shared" si="121"/>
        <v>0</v>
      </c>
      <c r="W2618" s="56">
        <f t="shared" si="122"/>
        <v>1871.3333333333333</v>
      </c>
    </row>
    <row r="2619" spans="1:23" x14ac:dyDescent="0.3">
      <c r="A2619" s="13" t="str" cm="1">
        <f t="array" ref="A2619:B2619">INDEX(BenchmarkResults!$B$1:$D$35,SUMPRODUCT((T2619&gt;=BenchmarkResults!$F$3:$F$35)*(mongodb_hardware_log!T2619&lt;BenchmarkResults!$G$3:$G$35)*ROW(BenchmarkResults!$F$3:$F$35)),{1,3})</f>
        <v>q6_inactive_customers</v>
      </c>
      <c r="B2619">
        <v>2</v>
      </c>
      <c r="C2619" s="13">
        <v>1</v>
      </c>
      <c r="D2619" s="13">
        <v>0</v>
      </c>
      <c r="E2619" s="13">
        <v>194560</v>
      </c>
      <c r="F2619" s="13">
        <v>215460</v>
      </c>
      <c r="G2619" s="13">
        <v>5888</v>
      </c>
      <c r="H2619" s="13">
        <v>2158784</v>
      </c>
      <c r="I2619" s="13">
        <v>0</v>
      </c>
      <c r="J2619" s="13">
        <v>0</v>
      </c>
      <c r="K2619" s="13">
        <v>1875</v>
      </c>
      <c r="L2619" s="13">
        <v>18</v>
      </c>
      <c r="M2619" s="13">
        <v>734</v>
      </c>
      <c r="N2619" s="13">
        <v>216</v>
      </c>
      <c r="O2619" s="13">
        <v>36</v>
      </c>
      <c r="P2619" s="13">
        <v>2</v>
      </c>
      <c r="Q2619" s="13">
        <v>62</v>
      </c>
      <c r="R2619" s="13">
        <v>1</v>
      </c>
      <c r="S2619" s="13">
        <v>0</v>
      </c>
      <c r="T2619" s="23">
        <v>46247.779814814814</v>
      </c>
      <c r="U2619" s="55">
        <f t="shared" si="120"/>
        <v>1</v>
      </c>
      <c r="V2619" s="55">
        <f t="shared" si="121"/>
        <v>0</v>
      </c>
      <c r="W2619" s="56">
        <f t="shared" si="122"/>
        <v>1866.8333333333333</v>
      </c>
    </row>
    <row r="2620" spans="1:23" x14ac:dyDescent="0.3">
      <c r="A2620" s="13" t="str" cm="1">
        <f t="array" ref="A2620:B2620">INDEX(BenchmarkResults!$B$1:$D$35,SUMPRODUCT((T2620&gt;=BenchmarkResults!$F$3:$F$35)*(mongodb_hardware_log!T2620&lt;BenchmarkResults!$G$3:$G$35)*ROW(BenchmarkResults!$F$3:$F$35)),{1,3})</f>
        <v>q6_inactive_customers</v>
      </c>
      <c r="B2620">
        <v>2</v>
      </c>
      <c r="C2620" s="13">
        <v>1</v>
      </c>
      <c r="D2620" s="13">
        <v>0</v>
      </c>
      <c r="E2620" s="13">
        <v>194560</v>
      </c>
      <c r="F2620" s="13">
        <v>211932</v>
      </c>
      <c r="G2620" s="13">
        <v>5888</v>
      </c>
      <c r="H2620" s="13">
        <v>2161808</v>
      </c>
      <c r="I2620" s="13">
        <v>0</v>
      </c>
      <c r="J2620" s="13">
        <v>0</v>
      </c>
      <c r="K2620" s="13">
        <v>1831</v>
      </c>
      <c r="L2620" s="13">
        <v>13</v>
      </c>
      <c r="M2620" s="13">
        <v>717</v>
      </c>
      <c r="N2620" s="13">
        <v>202</v>
      </c>
      <c r="O2620" s="13">
        <v>36</v>
      </c>
      <c r="P2620" s="13">
        <v>1</v>
      </c>
      <c r="Q2620" s="13">
        <v>62</v>
      </c>
      <c r="R2620" s="13">
        <v>0</v>
      </c>
      <c r="S2620" s="13">
        <v>0</v>
      </c>
      <c r="T2620" s="23">
        <v>46247.77983796296</v>
      </c>
      <c r="U2620" s="55">
        <f t="shared" si="120"/>
        <v>1</v>
      </c>
      <c r="V2620" s="55">
        <f t="shared" si="121"/>
        <v>0</v>
      </c>
      <c r="W2620" s="56">
        <f t="shared" si="122"/>
        <v>1899.3333333333333</v>
      </c>
    </row>
    <row r="2621" spans="1:23" x14ac:dyDescent="0.3">
      <c r="A2621" s="13" t="str" cm="1">
        <f t="array" ref="A2621:B2621">INDEX(BenchmarkResults!$B$1:$D$35,SUMPRODUCT((T2621&gt;=BenchmarkResults!$F$3:$F$35)*(mongodb_hardware_log!T2621&lt;BenchmarkResults!$G$3:$G$35)*ROW(BenchmarkResults!$F$3:$F$35)),{1,3})</f>
        <v>q6_inactive_customers</v>
      </c>
      <c r="B2621">
        <v>2</v>
      </c>
      <c r="C2621" s="13">
        <v>1</v>
      </c>
      <c r="D2621" s="13">
        <v>0</v>
      </c>
      <c r="E2621" s="13">
        <v>194560</v>
      </c>
      <c r="F2621" s="13">
        <v>184464</v>
      </c>
      <c r="G2621" s="13">
        <v>5896</v>
      </c>
      <c r="H2621" s="13">
        <v>2188464</v>
      </c>
      <c r="I2621" s="13">
        <v>0</v>
      </c>
      <c r="J2621" s="13">
        <v>0</v>
      </c>
      <c r="K2621" s="13">
        <v>1354</v>
      </c>
      <c r="L2621" s="13">
        <v>8</v>
      </c>
      <c r="M2621" s="13">
        <v>708</v>
      </c>
      <c r="N2621" s="13">
        <v>182</v>
      </c>
      <c r="O2621" s="13">
        <v>36</v>
      </c>
      <c r="P2621" s="13">
        <v>1</v>
      </c>
      <c r="Q2621" s="13">
        <v>62</v>
      </c>
      <c r="R2621" s="13">
        <v>0</v>
      </c>
      <c r="S2621" s="13">
        <v>0</v>
      </c>
      <c r="T2621" s="23">
        <v>46247.779930555553</v>
      </c>
      <c r="U2621" s="55">
        <f t="shared" si="120"/>
        <v>1</v>
      </c>
      <c r="V2621" s="55">
        <f t="shared" si="121"/>
        <v>0</v>
      </c>
      <c r="W2621" s="56">
        <f t="shared" si="122"/>
        <v>1825.3333333333333</v>
      </c>
    </row>
    <row r="2622" spans="1:23" x14ac:dyDescent="0.3">
      <c r="A2622" s="13" t="str" cm="1">
        <f t="array" ref="A2622:B2622">INDEX(BenchmarkResults!$B$1:$D$35,SUMPRODUCT((T2622&gt;=BenchmarkResults!$F$3:$F$35)*(mongodb_hardware_log!T2622&lt;BenchmarkResults!$G$3:$G$35)*ROW(BenchmarkResults!$F$3:$F$35)),{1,3})</f>
        <v>q6_inactive_customers</v>
      </c>
      <c r="B2622">
        <v>2</v>
      </c>
      <c r="C2622" s="13">
        <v>1</v>
      </c>
      <c r="D2622" s="13">
        <v>0</v>
      </c>
      <c r="E2622" s="13">
        <v>194560</v>
      </c>
      <c r="F2622" s="13">
        <v>176400</v>
      </c>
      <c r="G2622" s="13">
        <v>5896</v>
      </c>
      <c r="H2622" s="13">
        <v>2191268</v>
      </c>
      <c r="I2622" s="13">
        <v>0</v>
      </c>
      <c r="J2622" s="13">
        <v>0</v>
      </c>
      <c r="K2622" s="13">
        <v>1367</v>
      </c>
      <c r="L2622" s="13">
        <v>8</v>
      </c>
      <c r="M2622" s="13">
        <v>715</v>
      </c>
      <c r="N2622" s="13">
        <v>189</v>
      </c>
      <c r="O2622" s="13">
        <v>36</v>
      </c>
      <c r="P2622" s="13">
        <v>1</v>
      </c>
      <c r="Q2622" s="13">
        <v>62</v>
      </c>
      <c r="R2622" s="13">
        <v>1</v>
      </c>
      <c r="S2622" s="13">
        <v>0</v>
      </c>
      <c r="T2622" s="23">
        <v>46247.779953703706</v>
      </c>
      <c r="U2622" s="55">
        <f t="shared" si="120"/>
        <v>1</v>
      </c>
      <c r="V2622" s="55">
        <f t="shared" si="121"/>
        <v>0</v>
      </c>
      <c r="W2622" s="56">
        <f t="shared" si="122"/>
        <v>1748.6666666666667</v>
      </c>
    </row>
    <row r="2623" spans="1:23" x14ac:dyDescent="0.3">
      <c r="A2623" s="13" t="str" cm="1">
        <f t="array" ref="A2623:B2623">INDEX(BenchmarkResults!$B$1:$D$35,SUMPRODUCT((T2623&gt;=BenchmarkResults!$F$3:$F$35)*(mongodb_hardware_log!T2623&lt;BenchmarkResults!$G$3:$G$35)*ROW(BenchmarkResults!$F$3:$F$35)),{1,3})</f>
        <v>q6_inactive_customers</v>
      </c>
      <c r="B2623">
        <v>2</v>
      </c>
      <c r="C2623" s="13">
        <v>1</v>
      </c>
      <c r="D2623" s="13">
        <v>0</v>
      </c>
      <c r="E2623" s="13">
        <v>194560</v>
      </c>
      <c r="F2623" s="13">
        <v>168084</v>
      </c>
      <c r="G2623" s="13">
        <v>5928</v>
      </c>
      <c r="H2623" s="13">
        <v>2207436</v>
      </c>
      <c r="I2623" s="13">
        <v>0</v>
      </c>
      <c r="J2623" s="13">
        <v>0</v>
      </c>
      <c r="K2623" s="13">
        <v>1894</v>
      </c>
      <c r="L2623" s="13">
        <v>30</v>
      </c>
      <c r="M2623" s="13">
        <v>819</v>
      </c>
      <c r="N2623" s="13">
        <v>312</v>
      </c>
      <c r="O2623" s="13">
        <v>36</v>
      </c>
      <c r="P2623" s="13">
        <v>1</v>
      </c>
      <c r="Q2623" s="13">
        <v>62</v>
      </c>
      <c r="R2623" s="13">
        <v>1</v>
      </c>
      <c r="S2623" s="13">
        <v>0</v>
      </c>
      <c r="T2623" s="23">
        <v>46247.780046296299</v>
      </c>
      <c r="U2623" s="55">
        <f t="shared" si="120"/>
        <v>1</v>
      </c>
      <c r="V2623" s="55">
        <f t="shared" si="121"/>
        <v>0</v>
      </c>
      <c r="W2623" s="56">
        <f t="shared" si="122"/>
        <v>1725.3333333333333</v>
      </c>
    </row>
    <row r="2624" spans="1:23" x14ac:dyDescent="0.3">
      <c r="A2624" s="13" t="str" cm="1">
        <f t="array" ref="A2624:B2624">INDEX(BenchmarkResults!$B$1:$D$35,SUMPRODUCT((T2624&gt;=BenchmarkResults!$F$3:$F$35)*(mongodb_hardware_log!T2624&lt;BenchmarkResults!$G$3:$G$35)*ROW(BenchmarkResults!$F$3:$F$35)),{1,3})</f>
        <v>q6_inactive_customers</v>
      </c>
      <c r="B2624">
        <v>2</v>
      </c>
      <c r="C2624" s="13">
        <v>1</v>
      </c>
      <c r="D2624" s="13">
        <v>0</v>
      </c>
      <c r="E2624" s="13">
        <v>194560</v>
      </c>
      <c r="F2624" s="13">
        <v>165816</v>
      </c>
      <c r="G2624" s="13">
        <v>5928</v>
      </c>
      <c r="H2624" s="13">
        <v>2210088</v>
      </c>
      <c r="I2624" s="13">
        <v>0</v>
      </c>
      <c r="J2624" s="13">
        <v>0</v>
      </c>
      <c r="K2624" s="13">
        <v>1876</v>
      </c>
      <c r="L2624" s="13">
        <v>36</v>
      </c>
      <c r="M2624" s="13">
        <v>826</v>
      </c>
      <c r="N2624" s="13">
        <v>321</v>
      </c>
      <c r="O2624" s="13">
        <v>36</v>
      </c>
      <c r="P2624" s="13">
        <v>1</v>
      </c>
      <c r="Q2624" s="13">
        <v>62</v>
      </c>
      <c r="R2624" s="13">
        <v>1</v>
      </c>
      <c r="S2624" s="13">
        <v>0</v>
      </c>
      <c r="T2624" s="23">
        <v>46247.780069444445</v>
      </c>
      <c r="U2624" s="55">
        <f t="shared" si="120"/>
        <v>1</v>
      </c>
      <c r="V2624" s="55">
        <f t="shared" si="121"/>
        <v>0</v>
      </c>
      <c r="W2624" s="56">
        <f t="shared" si="122"/>
        <v>1699.5</v>
      </c>
    </row>
    <row r="2625" spans="1:23" x14ac:dyDescent="0.3">
      <c r="A2625" s="13" t="str" cm="1">
        <f t="array" ref="A2625:B2625">INDEX(BenchmarkResults!$B$1:$D$35,SUMPRODUCT((T2625&gt;=BenchmarkResults!$F$3:$F$35)*(mongodb_hardware_log!T2625&lt;BenchmarkResults!$G$3:$G$35)*ROW(BenchmarkResults!$F$3:$F$35)),{1,3})</f>
        <v>q6_inactive_customers</v>
      </c>
      <c r="B2625">
        <v>2</v>
      </c>
      <c r="C2625" s="13">
        <v>1</v>
      </c>
      <c r="D2625" s="13">
        <v>0</v>
      </c>
      <c r="E2625" s="13">
        <v>194560</v>
      </c>
      <c r="F2625" s="13">
        <v>150192</v>
      </c>
      <c r="G2625" s="13">
        <v>5936</v>
      </c>
      <c r="H2625" s="13">
        <v>2226992</v>
      </c>
      <c r="I2625" s="13">
        <v>0</v>
      </c>
      <c r="J2625" s="13">
        <v>0</v>
      </c>
      <c r="K2625" s="13">
        <v>1965</v>
      </c>
      <c r="L2625" s="13">
        <v>425</v>
      </c>
      <c r="M2625" s="13">
        <v>739</v>
      </c>
      <c r="N2625" s="13">
        <v>231</v>
      </c>
      <c r="O2625" s="13">
        <v>36</v>
      </c>
      <c r="P2625" s="13">
        <v>1</v>
      </c>
      <c r="Q2625" s="13">
        <v>62</v>
      </c>
      <c r="R2625" s="13">
        <v>1</v>
      </c>
      <c r="S2625" s="13">
        <v>0</v>
      </c>
      <c r="T2625" s="23">
        <v>46247.780162037037</v>
      </c>
      <c r="U2625" s="55">
        <f t="shared" si="120"/>
        <v>1</v>
      </c>
      <c r="V2625" s="55">
        <f t="shared" si="121"/>
        <v>0</v>
      </c>
      <c r="W2625" s="56">
        <f t="shared" si="122"/>
        <v>1714.5</v>
      </c>
    </row>
    <row r="2626" spans="1:23" x14ac:dyDescent="0.3">
      <c r="A2626" s="13" t="str" cm="1">
        <f t="array" ref="A2626:B2626">INDEX(BenchmarkResults!$B$1:$D$35,SUMPRODUCT((T2626&gt;=BenchmarkResults!$F$3:$F$35)*(mongodb_hardware_log!T2626&lt;BenchmarkResults!$G$3:$G$35)*ROW(BenchmarkResults!$F$3:$F$35)),{1,3})</f>
        <v>q6_inactive_customers</v>
      </c>
      <c r="B2626">
        <v>2</v>
      </c>
      <c r="C2626" s="13">
        <v>1</v>
      </c>
      <c r="D2626" s="13">
        <v>0</v>
      </c>
      <c r="E2626" s="13">
        <v>194560</v>
      </c>
      <c r="F2626" s="13">
        <v>142128</v>
      </c>
      <c r="G2626" s="13">
        <v>5948</v>
      </c>
      <c r="H2626" s="13">
        <v>2229616</v>
      </c>
      <c r="I2626" s="13">
        <v>0</v>
      </c>
      <c r="J2626" s="13">
        <v>0</v>
      </c>
      <c r="K2626" s="13">
        <v>1959</v>
      </c>
      <c r="L2626" s="13">
        <v>1584</v>
      </c>
      <c r="M2626" s="13">
        <v>740</v>
      </c>
      <c r="N2626" s="13">
        <v>231</v>
      </c>
      <c r="O2626" s="13">
        <v>36</v>
      </c>
      <c r="P2626" s="13">
        <v>1</v>
      </c>
      <c r="Q2626" s="13">
        <v>61</v>
      </c>
      <c r="R2626" s="13">
        <v>1</v>
      </c>
      <c r="S2626" s="13">
        <v>0</v>
      </c>
      <c r="T2626" s="23">
        <v>46247.780185185184</v>
      </c>
      <c r="U2626" s="55">
        <f t="shared" si="120"/>
        <v>1</v>
      </c>
      <c r="V2626" s="55">
        <f t="shared" si="121"/>
        <v>0</v>
      </c>
      <c r="W2626" s="56">
        <f t="shared" si="122"/>
        <v>1735.8333333333333</v>
      </c>
    </row>
    <row r="2627" spans="1:23" x14ac:dyDescent="0.3">
      <c r="A2627" s="13" t="str" cm="1">
        <f t="array" ref="A2627:B2627">INDEX(BenchmarkResults!$B$1:$D$35,SUMPRODUCT((T2627&gt;=BenchmarkResults!$F$3:$F$35)*(mongodb_hardware_log!T2627&lt;BenchmarkResults!$G$3:$G$35)*ROW(BenchmarkResults!$F$3:$F$35)),{1,3})</f>
        <v>q6_inactive_customers</v>
      </c>
      <c r="B2627">
        <v>2</v>
      </c>
      <c r="C2627" s="13">
        <v>1</v>
      </c>
      <c r="D2627" s="13">
        <v>0</v>
      </c>
      <c r="E2627" s="13">
        <v>194560</v>
      </c>
      <c r="F2627" s="13">
        <v>130284</v>
      </c>
      <c r="G2627" s="13">
        <v>5960</v>
      </c>
      <c r="H2627" s="13">
        <v>2247040</v>
      </c>
      <c r="I2627" s="13">
        <v>0</v>
      </c>
      <c r="J2627" s="13">
        <v>0</v>
      </c>
      <c r="K2627" s="13">
        <v>1996</v>
      </c>
      <c r="L2627" s="13">
        <v>1178</v>
      </c>
      <c r="M2627" s="13">
        <v>746</v>
      </c>
      <c r="N2627" s="13">
        <v>228</v>
      </c>
      <c r="O2627" s="13">
        <v>36</v>
      </c>
      <c r="P2627" s="13">
        <v>1</v>
      </c>
      <c r="Q2627" s="13">
        <v>61</v>
      </c>
      <c r="R2627" s="13">
        <v>2</v>
      </c>
      <c r="S2627" s="13">
        <v>0</v>
      </c>
      <c r="T2627" s="23">
        <v>46247.780277777776</v>
      </c>
      <c r="U2627" s="55">
        <f t="shared" si="120"/>
        <v>1</v>
      </c>
      <c r="V2627" s="55">
        <f t="shared" si="121"/>
        <v>0</v>
      </c>
      <c r="W2627" s="56">
        <f t="shared" si="122"/>
        <v>1842.8333333333333</v>
      </c>
    </row>
    <row r="2628" spans="1:23" x14ac:dyDescent="0.3">
      <c r="A2628" s="13" t="str" cm="1">
        <f t="array" ref="A2628:B2628">INDEX(BenchmarkResults!$B$1:$D$35,SUMPRODUCT((T2628&gt;=BenchmarkResults!$F$3:$F$35)*(mongodb_hardware_log!T2628&lt;BenchmarkResults!$G$3:$G$35)*ROW(BenchmarkResults!$F$3:$F$35)),{1,3})</f>
        <v>q6_inactive_customers</v>
      </c>
      <c r="B2628">
        <v>2</v>
      </c>
      <c r="C2628" s="13">
        <v>1</v>
      </c>
      <c r="D2628" s="13">
        <v>0</v>
      </c>
      <c r="E2628" s="13">
        <v>194560</v>
      </c>
      <c r="F2628" s="13">
        <v>126504</v>
      </c>
      <c r="G2628" s="13">
        <v>5968</v>
      </c>
      <c r="H2628" s="13">
        <v>2249904</v>
      </c>
      <c r="I2628" s="13">
        <v>0</v>
      </c>
      <c r="J2628" s="13">
        <v>0</v>
      </c>
      <c r="K2628" s="13">
        <v>2021</v>
      </c>
      <c r="L2628" s="13">
        <v>17</v>
      </c>
      <c r="M2628" s="13">
        <v>736</v>
      </c>
      <c r="N2628" s="13">
        <v>219</v>
      </c>
      <c r="O2628" s="13">
        <v>36</v>
      </c>
      <c r="P2628" s="13">
        <v>1</v>
      </c>
      <c r="Q2628" s="13">
        <v>62</v>
      </c>
      <c r="R2628" s="13">
        <v>1</v>
      </c>
      <c r="S2628" s="13">
        <v>0</v>
      </c>
      <c r="T2628" s="23">
        <v>46247.780300925922</v>
      </c>
      <c r="U2628" s="55">
        <f t="shared" si="120"/>
        <v>1</v>
      </c>
      <c r="V2628" s="55">
        <f t="shared" si="121"/>
        <v>0</v>
      </c>
      <c r="W2628" s="56">
        <f t="shared" si="122"/>
        <v>1951.8333333333333</v>
      </c>
    </row>
    <row r="2629" spans="1:23" x14ac:dyDescent="0.3">
      <c r="A2629" s="13" t="str" cm="1">
        <f t="array" ref="A2629:B2629">INDEX(BenchmarkResults!$B$1:$D$35,SUMPRODUCT((T2629&gt;=BenchmarkResults!$F$3:$F$35)*(mongodb_hardware_log!T2629&lt;BenchmarkResults!$G$3:$G$35)*ROW(BenchmarkResults!$F$3:$F$35)),{1,3})</f>
        <v>q6_inactive_customers</v>
      </c>
      <c r="B2629">
        <v>2</v>
      </c>
      <c r="C2629" s="13">
        <v>1</v>
      </c>
      <c r="D2629" s="13">
        <v>0</v>
      </c>
      <c r="E2629" s="13">
        <v>194560</v>
      </c>
      <c r="F2629" s="13">
        <v>106344</v>
      </c>
      <c r="G2629" s="13">
        <v>5976</v>
      </c>
      <c r="H2629" s="13">
        <v>2265292</v>
      </c>
      <c r="I2629" s="13">
        <v>0</v>
      </c>
      <c r="J2629" s="13">
        <v>0</v>
      </c>
      <c r="K2629" s="13">
        <v>1829</v>
      </c>
      <c r="L2629" s="13">
        <v>16</v>
      </c>
      <c r="M2629" s="13">
        <v>720</v>
      </c>
      <c r="N2629" s="13">
        <v>210</v>
      </c>
      <c r="O2629" s="13">
        <v>36</v>
      </c>
      <c r="P2629" s="13">
        <v>1</v>
      </c>
      <c r="Q2629" s="13">
        <v>62</v>
      </c>
      <c r="R2629" s="13">
        <v>0</v>
      </c>
      <c r="S2629" s="13">
        <v>0</v>
      </c>
      <c r="T2629" s="23">
        <v>46247.780393518522</v>
      </c>
      <c r="U2629" s="55">
        <f t="shared" si="120"/>
        <v>1</v>
      </c>
      <c r="V2629" s="55">
        <f t="shared" si="121"/>
        <v>0</v>
      </c>
      <c r="W2629" s="56">
        <f t="shared" si="122"/>
        <v>1941</v>
      </c>
    </row>
    <row r="2630" spans="1:23" x14ac:dyDescent="0.3">
      <c r="A2630" s="13" t="str" cm="1">
        <f t="array" ref="A2630:B2630">INDEX(BenchmarkResults!$B$1:$D$35,SUMPRODUCT((T2630&gt;=BenchmarkResults!$F$3:$F$35)*(mongodb_hardware_log!T2630&lt;BenchmarkResults!$G$3:$G$35)*ROW(BenchmarkResults!$F$3:$F$35)),{1,3})</f>
        <v>q6_inactive_customers</v>
      </c>
      <c r="B2630">
        <v>2</v>
      </c>
      <c r="C2630" s="13">
        <v>1</v>
      </c>
      <c r="D2630" s="13">
        <v>0</v>
      </c>
      <c r="E2630" s="13">
        <v>194560</v>
      </c>
      <c r="F2630" s="13">
        <v>106344</v>
      </c>
      <c r="G2630" s="13">
        <v>5976</v>
      </c>
      <c r="H2630" s="13">
        <v>2268116</v>
      </c>
      <c r="I2630" s="13">
        <v>0</v>
      </c>
      <c r="J2630" s="13">
        <v>0</v>
      </c>
      <c r="K2630" s="13">
        <v>1824</v>
      </c>
      <c r="L2630" s="13">
        <v>11</v>
      </c>
      <c r="M2630" s="13">
        <v>720</v>
      </c>
      <c r="N2630" s="13">
        <v>209</v>
      </c>
      <c r="O2630" s="13">
        <v>36</v>
      </c>
      <c r="P2630" s="13">
        <v>1</v>
      </c>
      <c r="Q2630" s="13">
        <v>62</v>
      </c>
      <c r="R2630" s="13">
        <v>0</v>
      </c>
      <c r="S2630" s="13">
        <v>0</v>
      </c>
      <c r="T2630" s="23">
        <v>46247.780416666668</v>
      </c>
      <c r="U2630" s="55">
        <f t="shared" si="120"/>
        <v>1</v>
      </c>
      <c r="V2630" s="55">
        <f t="shared" si="121"/>
        <v>0</v>
      </c>
      <c r="W2630" s="56">
        <f t="shared" si="122"/>
        <v>1932.3333333333333</v>
      </c>
    </row>
    <row r="2631" spans="1:23" x14ac:dyDescent="0.3">
      <c r="A2631" s="13" t="str" cm="1">
        <f t="array" ref="A2631:B2631">INDEX(BenchmarkResults!$B$1:$D$35,SUMPRODUCT((T2631&gt;=BenchmarkResults!$F$3:$F$35)*(mongodb_hardware_log!T2631&lt;BenchmarkResults!$G$3:$G$35)*ROW(BenchmarkResults!$F$3:$F$35)),{1,3})</f>
        <v>q6_inactive_customers</v>
      </c>
      <c r="B2631">
        <v>2</v>
      </c>
      <c r="C2631" s="13">
        <v>1</v>
      </c>
      <c r="D2631" s="13">
        <v>0</v>
      </c>
      <c r="E2631" s="13">
        <v>194560</v>
      </c>
      <c r="F2631" s="13">
        <v>153212</v>
      </c>
      <c r="G2631" s="13">
        <v>5984</v>
      </c>
      <c r="H2631" s="13">
        <v>2237116</v>
      </c>
      <c r="I2631" s="13">
        <v>0</v>
      </c>
      <c r="J2631" s="13">
        <v>0</v>
      </c>
      <c r="K2631" s="13">
        <v>1101</v>
      </c>
      <c r="L2631" s="13">
        <v>10</v>
      </c>
      <c r="M2631" s="13">
        <v>690</v>
      </c>
      <c r="N2631" s="13">
        <v>177</v>
      </c>
      <c r="O2631" s="13">
        <v>36</v>
      </c>
      <c r="P2631" s="13">
        <v>1</v>
      </c>
      <c r="Q2631" s="13">
        <v>61</v>
      </c>
      <c r="R2631" s="13">
        <v>0</v>
      </c>
      <c r="S2631" s="13">
        <v>1</v>
      </c>
      <c r="T2631" s="23">
        <v>46247.780509259261</v>
      </c>
      <c r="U2631" s="55">
        <f t="shared" si="120"/>
        <v>1</v>
      </c>
      <c r="V2631" s="55">
        <f t="shared" si="121"/>
        <v>0</v>
      </c>
      <c r="W2631" s="56">
        <f t="shared" si="122"/>
        <v>1788.3333333333333</v>
      </c>
    </row>
    <row r="2632" spans="1:23" x14ac:dyDescent="0.3">
      <c r="A2632" s="13" t="str" cm="1">
        <f t="array" ref="A2632:B2632">INDEX(BenchmarkResults!$B$1:$D$35,SUMPRODUCT((T2632&gt;=BenchmarkResults!$F$3:$F$35)*(mongodb_hardware_log!T2632&lt;BenchmarkResults!$G$3:$G$35)*ROW(BenchmarkResults!$F$3:$F$35)),{1,3})</f>
        <v>q6_inactive_customers</v>
      </c>
      <c r="B2632">
        <v>2</v>
      </c>
      <c r="C2632" s="13">
        <v>1</v>
      </c>
      <c r="D2632" s="13">
        <v>0</v>
      </c>
      <c r="E2632" s="13">
        <v>194560</v>
      </c>
      <c r="F2632" s="13">
        <v>146912</v>
      </c>
      <c r="G2632" s="13">
        <v>5992</v>
      </c>
      <c r="H2632" s="13">
        <v>2241116</v>
      </c>
      <c r="I2632" s="13">
        <v>0</v>
      </c>
      <c r="J2632" s="13">
        <v>0</v>
      </c>
      <c r="K2632" s="13">
        <v>1216</v>
      </c>
      <c r="L2632" s="13">
        <v>16</v>
      </c>
      <c r="M2632" s="13">
        <v>693</v>
      </c>
      <c r="N2632" s="13">
        <v>179</v>
      </c>
      <c r="O2632" s="13">
        <v>36</v>
      </c>
      <c r="P2632" s="13">
        <v>1</v>
      </c>
      <c r="Q2632" s="13">
        <v>61</v>
      </c>
      <c r="R2632" s="13">
        <v>0</v>
      </c>
      <c r="S2632" s="13">
        <v>0</v>
      </c>
      <c r="T2632" s="23">
        <v>46247.780532407407</v>
      </c>
      <c r="U2632" s="55">
        <f t="shared" si="120"/>
        <v>1</v>
      </c>
      <c r="V2632" s="55">
        <f t="shared" si="121"/>
        <v>0</v>
      </c>
      <c r="W2632" s="56">
        <f t="shared" si="122"/>
        <v>1664.5</v>
      </c>
    </row>
    <row r="2633" spans="1:23" x14ac:dyDescent="0.3">
      <c r="A2633" s="13" t="str" cm="1">
        <f t="array" ref="A2633:B2633">INDEX(BenchmarkResults!$B$1:$D$35,SUMPRODUCT((T2633&gt;=BenchmarkResults!$F$3:$F$35)*(mongodb_hardware_log!T2633&lt;BenchmarkResults!$G$3:$G$35)*ROW(BenchmarkResults!$F$3:$F$35)),{1,3})</f>
        <v>q6_inactive_customers</v>
      </c>
      <c r="B2633">
        <v>2</v>
      </c>
      <c r="C2633" s="13">
        <v>1</v>
      </c>
      <c r="D2633" s="13">
        <v>0</v>
      </c>
      <c r="E2633" s="13">
        <v>194560</v>
      </c>
      <c r="F2633" s="13">
        <v>130280</v>
      </c>
      <c r="G2633" s="13">
        <v>6004</v>
      </c>
      <c r="H2633" s="13">
        <v>2252992</v>
      </c>
      <c r="I2633" s="13">
        <v>0</v>
      </c>
      <c r="J2633" s="13">
        <v>0</v>
      </c>
      <c r="K2633" s="13">
        <v>1588</v>
      </c>
      <c r="L2633" s="13">
        <v>1581</v>
      </c>
      <c r="M2633" s="13">
        <v>891</v>
      </c>
      <c r="N2633" s="13">
        <v>244</v>
      </c>
      <c r="O2633" s="13">
        <v>31</v>
      </c>
      <c r="P2633" s="13">
        <v>1</v>
      </c>
      <c r="Q2633" s="13">
        <v>54</v>
      </c>
      <c r="R2633" s="13">
        <v>2</v>
      </c>
      <c r="S2633" s="13">
        <v>13</v>
      </c>
      <c r="T2633" s="23">
        <v>46247.780624999999</v>
      </c>
      <c r="U2633" s="55">
        <f t="shared" ref="U2633:U2696" si="123">AVERAGE(C2628:C2633)</f>
        <v>1</v>
      </c>
      <c r="V2633" s="55">
        <f t="shared" ref="V2633:V2696" si="124">AVERAGE(D2628:D2633)</f>
        <v>0</v>
      </c>
      <c r="W2633" s="56">
        <f t="shared" ref="W2633:W2696" si="125">AVERAGE(K2628:K2633)</f>
        <v>1596.5</v>
      </c>
    </row>
    <row r="2634" spans="1:23" x14ac:dyDescent="0.3">
      <c r="A2634" s="13" t="str" cm="1">
        <f t="array" ref="A2634:B2634">INDEX(BenchmarkResults!$B$1:$D$35,SUMPRODUCT((T2634&gt;=BenchmarkResults!$F$3:$F$35)*(mongodb_hardware_log!T2634&lt;BenchmarkResults!$G$3:$G$35)*ROW(BenchmarkResults!$F$3:$F$35)),{1,3})</f>
        <v>q6_inactive_customers</v>
      </c>
      <c r="B2634">
        <v>2</v>
      </c>
      <c r="C2634" s="13">
        <v>1</v>
      </c>
      <c r="D2634" s="13">
        <v>0</v>
      </c>
      <c r="E2634" s="13">
        <v>194560</v>
      </c>
      <c r="F2634" s="13">
        <v>130280</v>
      </c>
      <c r="G2634" s="13">
        <v>6004</v>
      </c>
      <c r="H2634" s="13">
        <v>2255484</v>
      </c>
      <c r="I2634" s="13">
        <v>0</v>
      </c>
      <c r="J2634" s="13">
        <v>0</v>
      </c>
      <c r="K2634" s="13">
        <v>1446</v>
      </c>
      <c r="L2634" s="13">
        <v>1575</v>
      </c>
      <c r="M2634" s="13">
        <v>955</v>
      </c>
      <c r="N2634" s="13">
        <v>257</v>
      </c>
      <c r="O2634" s="13">
        <v>28</v>
      </c>
      <c r="P2634" s="13">
        <v>1</v>
      </c>
      <c r="Q2634" s="13">
        <v>52</v>
      </c>
      <c r="R2634" s="13">
        <v>2</v>
      </c>
      <c r="S2634" s="13">
        <v>17</v>
      </c>
      <c r="T2634" s="23">
        <v>46247.780648148146</v>
      </c>
      <c r="U2634" s="55">
        <f t="shared" si="123"/>
        <v>1</v>
      </c>
      <c r="V2634" s="55">
        <f t="shared" si="124"/>
        <v>0</v>
      </c>
      <c r="W2634" s="56">
        <f t="shared" si="125"/>
        <v>1500.6666666666667</v>
      </c>
    </row>
    <row r="2635" spans="1:23" x14ac:dyDescent="0.3">
      <c r="A2635" s="13" t="str" cm="1">
        <f t="array" ref="A2635:B2635">INDEX(BenchmarkResults!$B$1:$D$35,SUMPRODUCT((T2635&gt;=BenchmarkResults!$F$3:$F$35)*(mongodb_hardware_log!T2635&lt;BenchmarkResults!$G$3:$G$35)*ROW(BenchmarkResults!$F$3:$F$35)),{1,3})</f>
        <v>q6_inactive_customers</v>
      </c>
      <c r="B2635">
        <v>2</v>
      </c>
      <c r="C2635" s="13">
        <v>1</v>
      </c>
      <c r="D2635" s="13">
        <v>0</v>
      </c>
      <c r="E2635" s="13">
        <v>194560</v>
      </c>
      <c r="F2635" s="13">
        <v>120956</v>
      </c>
      <c r="G2635" s="13">
        <v>6028</v>
      </c>
      <c r="H2635" s="13">
        <v>2269020</v>
      </c>
      <c r="I2635" s="13">
        <v>0</v>
      </c>
      <c r="J2635" s="13">
        <v>0</v>
      </c>
      <c r="K2635" s="13">
        <v>1607</v>
      </c>
      <c r="L2635" s="13">
        <v>22</v>
      </c>
      <c r="M2635" s="13">
        <v>880</v>
      </c>
      <c r="N2635" s="13">
        <v>273</v>
      </c>
      <c r="O2635" s="13">
        <v>31</v>
      </c>
      <c r="P2635" s="13">
        <v>1</v>
      </c>
      <c r="Q2635" s="13">
        <v>57</v>
      </c>
      <c r="R2635" s="13">
        <v>0</v>
      </c>
      <c r="S2635" s="13">
        <v>10</v>
      </c>
      <c r="T2635" s="23">
        <v>46247.780740740738</v>
      </c>
      <c r="U2635" s="55">
        <f t="shared" si="123"/>
        <v>1</v>
      </c>
      <c r="V2635" s="55">
        <f t="shared" si="124"/>
        <v>0</v>
      </c>
      <c r="W2635" s="56">
        <f t="shared" si="125"/>
        <v>1463.6666666666667</v>
      </c>
    </row>
    <row r="2636" spans="1:23" x14ac:dyDescent="0.3">
      <c r="A2636" s="13" t="str" cm="1">
        <f t="array" ref="A2636:B2636">INDEX(BenchmarkResults!$B$1:$D$35,SUMPRODUCT((T2636&gt;=BenchmarkResults!$F$3:$F$35)*(mongodb_hardware_log!T2636&lt;BenchmarkResults!$G$3:$G$35)*ROW(BenchmarkResults!$F$3:$F$35)),{1,3})</f>
        <v>q6_inactive_customers</v>
      </c>
      <c r="B2636">
        <v>2</v>
      </c>
      <c r="C2636" s="13">
        <v>1</v>
      </c>
      <c r="D2636" s="13">
        <v>0</v>
      </c>
      <c r="E2636" s="13">
        <v>194560</v>
      </c>
      <c r="F2636" s="13">
        <v>118184</v>
      </c>
      <c r="G2636" s="13">
        <v>6028</v>
      </c>
      <c r="H2636" s="13">
        <v>2271592</v>
      </c>
      <c r="I2636" s="13">
        <v>0</v>
      </c>
      <c r="J2636" s="13">
        <v>0</v>
      </c>
      <c r="K2636" s="13">
        <v>1599</v>
      </c>
      <c r="L2636" s="13">
        <v>22</v>
      </c>
      <c r="M2636" s="13">
        <v>817</v>
      </c>
      <c r="N2636" s="13">
        <v>263</v>
      </c>
      <c r="O2636" s="13">
        <v>34</v>
      </c>
      <c r="P2636" s="13">
        <v>1</v>
      </c>
      <c r="Q2636" s="13">
        <v>60</v>
      </c>
      <c r="R2636" s="13">
        <v>0</v>
      </c>
      <c r="S2636" s="13">
        <v>4</v>
      </c>
      <c r="T2636" s="23">
        <v>46247.780763888892</v>
      </c>
      <c r="U2636" s="55">
        <f t="shared" si="123"/>
        <v>1</v>
      </c>
      <c r="V2636" s="55">
        <f t="shared" si="124"/>
        <v>0</v>
      </c>
      <c r="W2636" s="56">
        <f t="shared" si="125"/>
        <v>1426.1666666666667</v>
      </c>
    </row>
    <row r="2637" spans="1:23" x14ac:dyDescent="0.3">
      <c r="A2637" s="13" t="str" cm="1">
        <f t="array" ref="A2637:B2637">INDEX(BenchmarkResults!$B$1:$D$35,SUMPRODUCT((T2637&gt;=BenchmarkResults!$F$3:$F$35)*(mongodb_hardware_log!T2637&lt;BenchmarkResults!$G$3:$G$35)*ROW(BenchmarkResults!$F$3:$F$35)),{1,3})</f>
        <v>q6_inactive_customers</v>
      </c>
      <c r="B2637">
        <v>2</v>
      </c>
      <c r="C2637" s="13">
        <v>1</v>
      </c>
      <c r="D2637" s="13">
        <v>0</v>
      </c>
      <c r="E2637" s="13">
        <v>194560</v>
      </c>
      <c r="F2637" s="13">
        <v>157060</v>
      </c>
      <c r="G2637" s="13">
        <v>6036</v>
      </c>
      <c r="H2637" s="13">
        <v>2232424</v>
      </c>
      <c r="I2637" s="13">
        <v>0</v>
      </c>
      <c r="J2637" s="13">
        <v>0</v>
      </c>
      <c r="K2637" s="13">
        <v>1902</v>
      </c>
      <c r="L2637" s="13">
        <v>4</v>
      </c>
      <c r="M2637" s="13">
        <v>736</v>
      </c>
      <c r="N2637" s="13">
        <v>219</v>
      </c>
      <c r="O2637" s="13">
        <v>36</v>
      </c>
      <c r="P2637" s="13">
        <v>1</v>
      </c>
      <c r="Q2637" s="13">
        <v>62</v>
      </c>
      <c r="R2637" s="13">
        <v>0</v>
      </c>
      <c r="S2637" s="13">
        <v>0</v>
      </c>
      <c r="T2637" s="23">
        <v>46247.780856481484</v>
      </c>
      <c r="U2637" s="55">
        <f t="shared" si="123"/>
        <v>1</v>
      </c>
      <c r="V2637" s="55">
        <f t="shared" si="124"/>
        <v>0</v>
      </c>
      <c r="W2637" s="56">
        <f t="shared" si="125"/>
        <v>1559.6666666666667</v>
      </c>
    </row>
    <row r="2638" spans="1:23" x14ac:dyDescent="0.3">
      <c r="A2638" s="13" t="str" cm="1">
        <f t="array" ref="A2638:B2638">INDEX(BenchmarkResults!$B$1:$D$35,SUMPRODUCT((T2638&gt;=BenchmarkResults!$F$3:$F$35)*(mongodb_hardware_log!T2638&lt;BenchmarkResults!$G$3:$G$35)*ROW(BenchmarkResults!$F$3:$F$35)),{1,3})</f>
        <v>q6_inactive_customers</v>
      </c>
      <c r="B2638">
        <v>2</v>
      </c>
      <c r="C2638" s="13">
        <v>1</v>
      </c>
      <c r="D2638" s="13">
        <v>0</v>
      </c>
      <c r="E2638" s="13">
        <v>194560</v>
      </c>
      <c r="F2638" s="13">
        <v>153280</v>
      </c>
      <c r="G2638" s="13">
        <v>6036</v>
      </c>
      <c r="H2638" s="13">
        <v>2235468</v>
      </c>
      <c r="I2638" s="13">
        <v>0</v>
      </c>
      <c r="J2638" s="13">
        <v>0</v>
      </c>
      <c r="K2638" s="13">
        <v>1960</v>
      </c>
      <c r="L2638" s="13">
        <v>4</v>
      </c>
      <c r="M2638" s="13">
        <v>792</v>
      </c>
      <c r="N2638" s="13">
        <v>280</v>
      </c>
      <c r="O2638" s="13">
        <v>36</v>
      </c>
      <c r="P2638" s="13">
        <v>1</v>
      </c>
      <c r="Q2638" s="13">
        <v>62</v>
      </c>
      <c r="R2638" s="13">
        <v>0</v>
      </c>
      <c r="S2638" s="13">
        <v>0</v>
      </c>
      <c r="T2638" s="23">
        <v>46247.78087962963</v>
      </c>
      <c r="U2638" s="55">
        <f t="shared" si="123"/>
        <v>1</v>
      </c>
      <c r="V2638" s="55">
        <f t="shared" si="124"/>
        <v>0</v>
      </c>
      <c r="W2638" s="56">
        <f t="shared" si="125"/>
        <v>1683.6666666666667</v>
      </c>
    </row>
    <row r="2639" spans="1:23" x14ac:dyDescent="0.3">
      <c r="A2639" s="13" t="str" cm="1">
        <f t="array" ref="A2639:B2639">INDEX(BenchmarkResults!$B$1:$D$35,SUMPRODUCT((T2639&gt;=BenchmarkResults!$F$3:$F$35)*(mongodb_hardware_log!T2639&lt;BenchmarkResults!$G$3:$G$35)*ROW(BenchmarkResults!$F$3:$F$35)),{1,3})</f>
        <v>q6_inactive_customers</v>
      </c>
      <c r="B2639">
        <v>2</v>
      </c>
      <c r="C2639" s="13">
        <v>1</v>
      </c>
      <c r="D2639" s="13">
        <v>0</v>
      </c>
      <c r="E2639" s="13">
        <v>194560</v>
      </c>
      <c r="F2639" s="13">
        <v>135640</v>
      </c>
      <c r="G2639" s="13">
        <v>6044</v>
      </c>
      <c r="H2639" s="13">
        <v>2253700</v>
      </c>
      <c r="I2639" s="13">
        <v>0</v>
      </c>
      <c r="J2639" s="13">
        <v>0</v>
      </c>
      <c r="K2639" s="13">
        <v>2124</v>
      </c>
      <c r="L2639" s="13">
        <v>23</v>
      </c>
      <c r="M2639" s="13">
        <v>784</v>
      </c>
      <c r="N2639" s="13">
        <v>274</v>
      </c>
      <c r="O2639" s="13">
        <v>36</v>
      </c>
      <c r="P2639" s="13">
        <v>1</v>
      </c>
      <c r="Q2639" s="13">
        <v>62</v>
      </c>
      <c r="R2639" s="13">
        <v>0</v>
      </c>
      <c r="S2639" s="13">
        <v>0</v>
      </c>
      <c r="T2639" s="23">
        <v>46247.780972222223</v>
      </c>
      <c r="U2639" s="55">
        <f t="shared" si="123"/>
        <v>1</v>
      </c>
      <c r="V2639" s="55">
        <f t="shared" si="124"/>
        <v>0</v>
      </c>
      <c r="W2639" s="56">
        <f t="shared" si="125"/>
        <v>1773</v>
      </c>
    </row>
    <row r="2640" spans="1:23" x14ac:dyDescent="0.3">
      <c r="A2640" s="13" t="str" cm="1">
        <f t="array" ref="A2640:B2640">INDEX(BenchmarkResults!$B$1:$D$35,SUMPRODUCT((T2640&gt;=BenchmarkResults!$F$3:$F$35)*(mongodb_hardware_log!T2640&lt;BenchmarkResults!$G$3:$G$35)*ROW(BenchmarkResults!$F$3:$F$35)),{1,3})</f>
        <v>q6_inactive_customers</v>
      </c>
      <c r="B2640">
        <v>2</v>
      </c>
      <c r="C2640" s="13">
        <v>1</v>
      </c>
      <c r="D2640" s="13">
        <v>0</v>
      </c>
      <c r="E2640" s="13">
        <v>194560</v>
      </c>
      <c r="F2640" s="13">
        <v>131608</v>
      </c>
      <c r="G2640" s="13">
        <v>6052</v>
      </c>
      <c r="H2640" s="13">
        <v>2257816</v>
      </c>
      <c r="I2640" s="13">
        <v>0</v>
      </c>
      <c r="J2640" s="13">
        <v>0</v>
      </c>
      <c r="K2640" s="13">
        <v>2236</v>
      </c>
      <c r="L2640" s="13">
        <v>30</v>
      </c>
      <c r="M2640" s="13">
        <v>736</v>
      </c>
      <c r="N2640" s="13">
        <v>214</v>
      </c>
      <c r="O2640" s="13">
        <v>36</v>
      </c>
      <c r="P2640" s="13">
        <v>1</v>
      </c>
      <c r="Q2640" s="13">
        <v>62</v>
      </c>
      <c r="R2640" s="13">
        <v>1</v>
      </c>
      <c r="S2640" s="13">
        <v>0</v>
      </c>
      <c r="T2640" s="23">
        <v>46247.780995370369</v>
      </c>
      <c r="U2640" s="55">
        <f t="shared" si="123"/>
        <v>1</v>
      </c>
      <c r="V2640" s="55">
        <f t="shared" si="124"/>
        <v>0</v>
      </c>
      <c r="W2640" s="56">
        <f t="shared" si="125"/>
        <v>1904.6666666666667</v>
      </c>
    </row>
    <row r="2641" spans="1:23" x14ac:dyDescent="0.3">
      <c r="A2641" s="13" t="str" cm="1">
        <f t="array" ref="A2641:B2641">INDEX(BenchmarkResults!$B$1:$D$35,SUMPRODUCT((T2641&gt;=BenchmarkResults!$F$3:$F$35)*(mongodb_hardware_log!T2641&lt;BenchmarkResults!$G$3:$G$35)*ROW(BenchmarkResults!$F$3:$F$35)),{1,3})</f>
        <v>q6_inactive_customers</v>
      </c>
      <c r="B2641">
        <v>2</v>
      </c>
      <c r="C2641" s="13">
        <v>1</v>
      </c>
      <c r="D2641" s="13">
        <v>0</v>
      </c>
      <c r="E2641" s="13">
        <v>194560</v>
      </c>
      <c r="F2641" s="13">
        <v>116740</v>
      </c>
      <c r="G2641" s="13">
        <v>6060</v>
      </c>
      <c r="H2641" s="13">
        <v>2273140</v>
      </c>
      <c r="I2641" s="13">
        <v>0</v>
      </c>
      <c r="J2641" s="13">
        <v>0</v>
      </c>
      <c r="K2641" s="13">
        <v>1947</v>
      </c>
      <c r="L2641" s="13">
        <v>16</v>
      </c>
      <c r="M2641" s="13">
        <v>752</v>
      </c>
      <c r="N2641" s="13">
        <v>230</v>
      </c>
      <c r="O2641" s="13">
        <v>35</v>
      </c>
      <c r="P2641" s="13">
        <v>1</v>
      </c>
      <c r="Q2641" s="13">
        <v>62</v>
      </c>
      <c r="R2641" s="13">
        <v>1</v>
      </c>
      <c r="S2641" s="13">
        <v>0</v>
      </c>
      <c r="T2641" s="23">
        <v>46247.781087962961</v>
      </c>
      <c r="U2641" s="55">
        <f t="shared" si="123"/>
        <v>1</v>
      </c>
      <c r="V2641" s="55">
        <f t="shared" si="124"/>
        <v>0</v>
      </c>
      <c r="W2641" s="56">
        <f t="shared" si="125"/>
        <v>1961.3333333333333</v>
      </c>
    </row>
    <row r="2642" spans="1:23" x14ac:dyDescent="0.3">
      <c r="A2642" s="13" t="str" cm="1">
        <f t="array" ref="A2642:B2642">INDEX(BenchmarkResults!$B$1:$D$35,SUMPRODUCT((T2642&gt;=BenchmarkResults!$F$3:$F$35)*(mongodb_hardware_log!T2642&lt;BenchmarkResults!$G$3:$G$35)*ROW(BenchmarkResults!$F$3:$F$35)),{1,3})</f>
        <v>q6_inactive_customers</v>
      </c>
      <c r="B2642">
        <v>2</v>
      </c>
      <c r="C2642" s="13">
        <v>1</v>
      </c>
      <c r="D2642" s="13">
        <v>0</v>
      </c>
      <c r="E2642" s="13">
        <v>194560</v>
      </c>
      <c r="F2642" s="13">
        <v>110692</v>
      </c>
      <c r="G2642" s="13">
        <v>6060</v>
      </c>
      <c r="H2642" s="13">
        <v>2277388</v>
      </c>
      <c r="I2642" s="13">
        <v>0</v>
      </c>
      <c r="J2642" s="13">
        <v>0</v>
      </c>
      <c r="K2642" s="13">
        <v>1951</v>
      </c>
      <c r="L2642" s="13">
        <v>9</v>
      </c>
      <c r="M2642" s="13">
        <v>750</v>
      </c>
      <c r="N2642" s="13">
        <v>231</v>
      </c>
      <c r="O2642" s="13">
        <v>35</v>
      </c>
      <c r="P2642" s="13">
        <v>1</v>
      </c>
      <c r="Q2642" s="13">
        <v>62</v>
      </c>
      <c r="R2642" s="13">
        <v>1</v>
      </c>
      <c r="S2642" s="13">
        <v>0</v>
      </c>
      <c r="T2642" s="23">
        <v>46247.781111111108</v>
      </c>
      <c r="U2642" s="55">
        <f t="shared" si="123"/>
        <v>1</v>
      </c>
      <c r="V2642" s="55">
        <f t="shared" si="124"/>
        <v>0</v>
      </c>
      <c r="W2642" s="56">
        <f t="shared" si="125"/>
        <v>2020</v>
      </c>
    </row>
    <row r="2643" spans="1:23" x14ac:dyDescent="0.3">
      <c r="A2643" s="13" t="str" cm="1">
        <f t="array" ref="A2643:B2643">INDEX(BenchmarkResults!$B$1:$D$35,SUMPRODUCT((T2643&gt;=BenchmarkResults!$F$3:$F$35)*(mongodb_hardware_log!T2643&lt;BenchmarkResults!$G$3:$G$35)*ROW(BenchmarkResults!$F$3:$F$35)),{1,3})</f>
        <v>q6_inactive_customers</v>
      </c>
      <c r="B2643">
        <v>2</v>
      </c>
      <c r="C2643" s="13">
        <v>1</v>
      </c>
      <c r="D2643" s="13">
        <v>0</v>
      </c>
      <c r="E2643" s="13">
        <v>194560</v>
      </c>
      <c r="F2643" s="13">
        <v>138884</v>
      </c>
      <c r="G2643" s="13">
        <v>6068</v>
      </c>
      <c r="H2643" s="13">
        <v>2246640</v>
      </c>
      <c r="I2643" s="13">
        <v>0</v>
      </c>
      <c r="J2643" s="13">
        <v>0</v>
      </c>
      <c r="K2643" s="13">
        <v>1311</v>
      </c>
      <c r="L2643" s="13">
        <v>5</v>
      </c>
      <c r="M2643" s="13">
        <v>687</v>
      </c>
      <c r="N2643" s="13">
        <v>181</v>
      </c>
      <c r="O2643" s="13">
        <v>36</v>
      </c>
      <c r="P2643" s="13">
        <v>1</v>
      </c>
      <c r="Q2643" s="13">
        <v>63</v>
      </c>
      <c r="R2643" s="13">
        <v>0</v>
      </c>
      <c r="S2643" s="13">
        <v>0</v>
      </c>
      <c r="T2643" s="23">
        <v>46247.7812037037</v>
      </c>
      <c r="U2643" s="55">
        <f t="shared" si="123"/>
        <v>1</v>
      </c>
      <c r="V2643" s="55">
        <f t="shared" si="124"/>
        <v>0</v>
      </c>
      <c r="W2643" s="56">
        <f t="shared" si="125"/>
        <v>1921.5</v>
      </c>
    </row>
    <row r="2644" spans="1:23" x14ac:dyDescent="0.3">
      <c r="A2644" s="13" t="str" cm="1">
        <f t="array" ref="A2644:B2644">INDEX(BenchmarkResults!$B$1:$D$35,SUMPRODUCT((T2644&gt;=BenchmarkResults!$F$3:$F$35)*(mongodb_hardware_log!T2644&lt;BenchmarkResults!$G$3:$G$35)*ROW(BenchmarkResults!$F$3:$F$35)),{1,3})</f>
        <v>q6_inactive_customers</v>
      </c>
      <c r="B2644">
        <v>2</v>
      </c>
      <c r="C2644" s="13">
        <v>1</v>
      </c>
      <c r="D2644" s="13">
        <v>0</v>
      </c>
      <c r="E2644" s="13">
        <v>194560</v>
      </c>
      <c r="F2644" s="13">
        <v>134096</v>
      </c>
      <c r="G2644" s="13">
        <v>6076</v>
      </c>
      <c r="H2644" s="13">
        <v>2250560</v>
      </c>
      <c r="I2644" s="13">
        <v>0</v>
      </c>
      <c r="J2644" s="13">
        <v>0</v>
      </c>
      <c r="K2644" s="13">
        <v>1274</v>
      </c>
      <c r="L2644" s="13">
        <v>11</v>
      </c>
      <c r="M2644" s="13">
        <v>681</v>
      </c>
      <c r="N2644" s="13">
        <v>176</v>
      </c>
      <c r="O2644" s="13">
        <v>36</v>
      </c>
      <c r="P2644" s="13">
        <v>1</v>
      </c>
      <c r="Q2644" s="13">
        <v>62</v>
      </c>
      <c r="R2644" s="13">
        <v>0</v>
      </c>
      <c r="S2644" s="13">
        <v>0</v>
      </c>
      <c r="T2644" s="23">
        <v>46247.781226851854</v>
      </c>
      <c r="U2644" s="55">
        <f t="shared" si="123"/>
        <v>1</v>
      </c>
      <c r="V2644" s="55">
        <f t="shared" si="124"/>
        <v>0</v>
      </c>
      <c r="W2644" s="56">
        <f t="shared" si="125"/>
        <v>1807.1666666666667</v>
      </c>
    </row>
    <row r="2645" spans="1:23" x14ac:dyDescent="0.3">
      <c r="A2645" s="13" t="str" cm="1">
        <f t="array" ref="A2645:B2645">INDEX(BenchmarkResults!$B$1:$D$35,SUMPRODUCT((T2645&gt;=BenchmarkResults!$F$3:$F$35)*(mongodb_hardware_log!T2645&lt;BenchmarkResults!$G$3:$G$35)*ROW(BenchmarkResults!$F$3:$F$35)),{1,3})</f>
        <v>q6_inactive_customers</v>
      </c>
      <c r="B2645">
        <v>2</v>
      </c>
      <c r="C2645" s="13">
        <v>1</v>
      </c>
      <c r="D2645" s="13">
        <v>0</v>
      </c>
      <c r="E2645" s="13">
        <v>194560</v>
      </c>
      <c r="F2645" s="13">
        <v>115364</v>
      </c>
      <c r="G2645" s="13">
        <v>6084</v>
      </c>
      <c r="H2645" s="13">
        <v>2265604</v>
      </c>
      <c r="I2645" s="13">
        <v>0</v>
      </c>
      <c r="J2645" s="13">
        <v>0</v>
      </c>
      <c r="K2645" s="13">
        <v>1896</v>
      </c>
      <c r="L2645" s="13">
        <v>15</v>
      </c>
      <c r="M2645" s="13">
        <v>727</v>
      </c>
      <c r="N2645" s="13">
        <v>206</v>
      </c>
      <c r="O2645" s="13">
        <v>37</v>
      </c>
      <c r="P2645" s="13">
        <v>1</v>
      </c>
      <c r="Q2645" s="13">
        <v>61</v>
      </c>
      <c r="R2645" s="13">
        <v>0</v>
      </c>
      <c r="S2645" s="13">
        <v>1</v>
      </c>
      <c r="T2645" s="23">
        <v>46247.781319444446</v>
      </c>
      <c r="U2645" s="55">
        <f t="shared" si="123"/>
        <v>1</v>
      </c>
      <c r="V2645" s="55">
        <f t="shared" si="124"/>
        <v>0</v>
      </c>
      <c r="W2645" s="56">
        <f t="shared" si="125"/>
        <v>1769.1666666666667</v>
      </c>
    </row>
    <row r="2646" spans="1:23" x14ac:dyDescent="0.3">
      <c r="A2646" s="13" t="str" cm="1">
        <f t="array" ref="A2646:B2646">INDEX(BenchmarkResults!$B$1:$D$35,SUMPRODUCT((T2646&gt;=BenchmarkResults!$F$3:$F$35)*(mongodb_hardware_log!T2646&lt;BenchmarkResults!$G$3:$G$35)*ROW(BenchmarkResults!$F$3:$F$35)),{1,3})</f>
        <v>q6_inactive_customers</v>
      </c>
      <c r="B2646">
        <v>2</v>
      </c>
      <c r="C2646" s="13">
        <v>1</v>
      </c>
      <c r="D2646" s="13">
        <v>0</v>
      </c>
      <c r="E2646" s="13">
        <v>194560</v>
      </c>
      <c r="F2646" s="13">
        <v>109076</v>
      </c>
      <c r="G2646" s="13">
        <v>6084</v>
      </c>
      <c r="H2646" s="13">
        <v>2269208</v>
      </c>
      <c r="I2646" s="13">
        <v>0</v>
      </c>
      <c r="J2646" s="13">
        <v>0</v>
      </c>
      <c r="K2646" s="13">
        <v>1869</v>
      </c>
      <c r="L2646" s="13">
        <v>10</v>
      </c>
      <c r="M2646" s="13">
        <v>729</v>
      </c>
      <c r="N2646" s="13">
        <v>205</v>
      </c>
      <c r="O2646" s="13">
        <v>36</v>
      </c>
      <c r="P2646" s="13">
        <v>1</v>
      </c>
      <c r="Q2646" s="13">
        <v>61</v>
      </c>
      <c r="R2646" s="13">
        <v>0</v>
      </c>
      <c r="S2646" s="13">
        <v>1</v>
      </c>
      <c r="T2646" s="23">
        <v>46247.781342592592</v>
      </c>
      <c r="U2646" s="55">
        <f t="shared" si="123"/>
        <v>1</v>
      </c>
      <c r="V2646" s="55">
        <f t="shared" si="124"/>
        <v>0</v>
      </c>
      <c r="W2646" s="56">
        <f t="shared" si="125"/>
        <v>1708</v>
      </c>
    </row>
    <row r="2647" spans="1:23" x14ac:dyDescent="0.3">
      <c r="A2647" s="13" t="str" cm="1">
        <f t="array" ref="A2647:B2647">INDEX(BenchmarkResults!$B$1:$D$35,SUMPRODUCT((T2647&gt;=BenchmarkResults!$F$3:$F$35)*(mongodb_hardware_log!T2647&lt;BenchmarkResults!$G$3:$G$35)*ROW(BenchmarkResults!$F$3:$F$35)),{1,3})</f>
        <v>q6_inactive_customers</v>
      </c>
      <c r="B2647">
        <v>2</v>
      </c>
      <c r="C2647" s="13">
        <v>1</v>
      </c>
      <c r="D2647" s="13">
        <v>0</v>
      </c>
      <c r="E2647" s="13">
        <v>194560</v>
      </c>
      <c r="F2647" s="13">
        <v>145840</v>
      </c>
      <c r="G2647" s="13">
        <v>6116</v>
      </c>
      <c r="H2647" s="13">
        <v>2245780</v>
      </c>
      <c r="I2647" s="13">
        <v>0</v>
      </c>
      <c r="J2647" s="13">
        <v>0</v>
      </c>
      <c r="K2647" s="13">
        <v>1978</v>
      </c>
      <c r="L2647" s="13">
        <v>30</v>
      </c>
      <c r="M2647" s="13">
        <v>741</v>
      </c>
      <c r="N2647" s="13">
        <v>223</v>
      </c>
      <c r="O2647" s="13">
        <v>36</v>
      </c>
      <c r="P2647" s="13">
        <v>1</v>
      </c>
      <c r="Q2647" s="13">
        <v>61</v>
      </c>
      <c r="R2647" s="13">
        <v>1</v>
      </c>
      <c r="S2647" s="13">
        <v>1</v>
      </c>
      <c r="T2647" s="23">
        <v>46247.781435185185</v>
      </c>
      <c r="U2647" s="55">
        <f t="shared" si="123"/>
        <v>1</v>
      </c>
      <c r="V2647" s="55">
        <f t="shared" si="124"/>
        <v>0</v>
      </c>
      <c r="W2647" s="56">
        <f t="shared" si="125"/>
        <v>1713.1666666666667</v>
      </c>
    </row>
    <row r="2648" spans="1:23" x14ac:dyDescent="0.3">
      <c r="A2648" s="13" t="str" cm="1">
        <f t="array" ref="A2648:B2648">INDEX(BenchmarkResults!$B$1:$D$35,SUMPRODUCT((T2648&gt;=BenchmarkResults!$F$3:$F$35)*(mongodb_hardware_log!T2648&lt;BenchmarkResults!$G$3:$G$35)*ROW(BenchmarkResults!$F$3:$F$35)),{1,3})</f>
        <v>q6_inactive_customers</v>
      </c>
      <c r="B2648">
        <v>2</v>
      </c>
      <c r="C2648" s="13">
        <v>1</v>
      </c>
      <c r="D2648" s="13">
        <v>0</v>
      </c>
      <c r="E2648" s="13">
        <v>194560</v>
      </c>
      <c r="F2648" s="13">
        <v>142312</v>
      </c>
      <c r="G2648" s="13">
        <v>6116</v>
      </c>
      <c r="H2648" s="13">
        <v>2249240</v>
      </c>
      <c r="I2648" s="13">
        <v>0</v>
      </c>
      <c r="J2648" s="13">
        <v>0</v>
      </c>
      <c r="K2648" s="13">
        <v>1969</v>
      </c>
      <c r="L2648" s="13">
        <v>30</v>
      </c>
      <c r="M2648" s="13">
        <v>740</v>
      </c>
      <c r="N2648" s="13">
        <v>227</v>
      </c>
      <c r="O2648" s="13">
        <v>36</v>
      </c>
      <c r="P2648" s="13">
        <v>1</v>
      </c>
      <c r="Q2648" s="13">
        <v>61</v>
      </c>
      <c r="R2648" s="13">
        <v>1</v>
      </c>
      <c r="S2648" s="13">
        <v>1</v>
      </c>
      <c r="T2648" s="23">
        <v>46247.781458333331</v>
      </c>
      <c r="U2648" s="55">
        <f t="shared" si="123"/>
        <v>1</v>
      </c>
      <c r="V2648" s="55">
        <f t="shared" si="124"/>
        <v>0</v>
      </c>
      <c r="W2648" s="56">
        <f t="shared" si="125"/>
        <v>1716.1666666666667</v>
      </c>
    </row>
    <row r="2649" spans="1:23" x14ac:dyDescent="0.3">
      <c r="A2649" s="13" t="str" cm="1">
        <f t="array" ref="A2649:B2649">INDEX(BenchmarkResults!$B$1:$D$35,SUMPRODUCT((T2649&gt;=BenchmarkResults!$F$3:$F$35)*(mongodb_hardware_log!T2649&lt;BenchmarkResults!$G$3:$G$35)*ROW(BenchmarkResults!$F$3:$F$35)),{1,3})</f>
        <v>q6_inactive_customers</v>
      </c>
      <c r="B2649">
        <v>2</v>
      </c>
      <c r="C2649" s="13">
        <v>1</v>
      </c>
      <c r="D2649" s="13">
        <v>0</v>
      </c>
      <c r="E2649" s="13">
        <v>194560</v>
      </c>
      <c r="F2649" s="13">
        <v>122152</v>
      </c>
      <c r="G2649" s="13">
        <v>6124</v>
      </c>
      <c r="H2649" s="13">
        <v>2266432</v>
      </c>
      <c r="I2649" s="13">
        <v>0</v>
      </c>
      <c r="J2649" s="13">
        <v>0</v>
      </c>
      <c r="K2649" s="13">
        <v>2070</v>
      </c>
      <c r="L2649" s="13">
        <v>1566</v>
      </c>
      <c r="M2649" s="13">
        <v>717</v>
      </c>
      <c r="N2649" s="13">
        <v>207</v>
      </c>
      <c r="O2649" s="13">
        <v>37</v>
      </c>
      <c r="P2649" s="13">
        <v>1</v>
      </c>
      <c r="Q2649" s="13">
        <v>60</v>
      </c>
      <c r="R2649" s="13">
        <v>2</v>
      </c>
      <c r="S2649" s="13">
        <v>0</v>
      </c>
      <c r="T2649" s="23">
        <v>46247.781550925924</v>
      </c>
      <c r="U2649" s="55">
        <f t="shared" si="123"/>
        <v>1</v>
      </c>
      <c r="V2649" s="55">
        <f t="shared" si="124"/>
        <v>0</v>
      </c>
      <c r="W2649" s="56">
        <f t="shared" si="125"/>
        <v>1842.6666666666667</v>
      </c>
    </row>
    <row r="2650" spans="1:23" x14ac:dyDescent="0.3">
      <c r="A2650" s="13" t="str" cm="1">
        <f t="array" ref="A2650:B2650">INDEX(BenchmarkResults!$B$1:$D$35,SUMPRODUCT((T2650&gt;=BenchmarkResults!$F$3:$F$35)*(mongodb_hardware_log!T2650&lt;BenchmarkResults!$G$3:$G$35)*ROW(BenchmarkResults!$F$3:$F$35)),{1,3})</f>
        <v>q6_inactive_customers</v>
      </c>
      <c r="B2650">
        <v>2</v>
      </c>
      <c r="C2650" s="13">
        <v>1</v>
      </c>
      <c r="D2650" s="13">
        <v>0</v>
      </c>
      <c r="E2650" s="13">
        <v>194560</v>
      </c>
      <c r="F2650" s="13">
        <v>121396</v>
      </c>
      <c r="G2650" s="13">
        <v>6136</v>
      </c>
      <c r="H2650" s="13">
        <v>2269144</v>
      </c>
      <c r="I2650" s="13">
        <v>0</v>
      </c>
      <c r="J2650" s="13">
        <v>0</v>
      </c>
      <c r="K2650" s="13">
        <v>1993</v>
      </c>
      <c r="L2650" s="13">
        <v>1574</v>
      </c>
      <c r="M2650" s="13">
        <v>725</v>
      </c>
      <c r="N2650" s="13">
        <v>213</v>
      </c>
      <c r="O2650" s="13">
        <v>36</v>
      </c>
      <c r="P2650" s="13">
        <v>1</v>
      </c>
      <c r="Q2650" s="13">
        <v>60</v>
      </c>
      <c r="R2650" s="13">
        <v>2</v>
      </c>
      <c r="S2650" s="13">
        <v>0</v>
      </c>
      <c r="T2650" s="23">
        <v>46247.781574074077</v>
      </c>
      <c r="U2650" s="55">
        <f t="shared" si="123"/>
        <v>1</v>
      </c>
      <c r="V2650" s="55">
        <f t="shared" si="124"/>
        <v>0</v>
      </c>
      <c r="W2650" s="56">
        <f t="shared" si="125"/>
        <v>1962.5</v>
      </c>
    </row>
    <row r="2651" spans="1:23" x14ac:dyDescent="0.3">
      <c r="A2651" s="13" t="str" cm="1">
        <f t="array" ref="A2651:B2651">INDEX(BenchmarkResults!$B$1:$D$35,SUMPRODUCT((T2651&gt;=BenchmarkResults!$F$3:$F$35)*(mongodb_hardware_log!T2651&lt;BenchmarkResults!$G$3:$G$35)*ROW(BenchmarkResults!$F$3:$F$35)),{1,3})</f>
        <v>q6_inactive_customers</v>
      </c>
      <c r="B2651">
        <v>2</v>
      </c>
      <c r="C2651" s="13">
        <v>2</v>
      </c>
      <c r="D2651" s="13">
        <v>0</v>
      </c>
      <c r="E2651" s="13">
        <v>194560</v>
      </c>
      <c r="F2651" s="13">
        <v>162024</v>
      </c>
      <c r="G2651" s="13">
        <v>6152</v>
      </c>
      <c r="H2651" s="13">
        <v>2230928</v>
      </c>
      <c r="I2651" s="13">
        <v>0</v>
      </c>
      <c r="J2651" s="13">
        <v>0</v>
      </c>
      <c r="K2651" s="13">
        <v>1965</v>
      </c>
      <c r="L2651" s="13">
        <v>18</v>
      </c>
      <c r="M2651" s="13">
        <v>759</v>
      </c>
      <c r="N2651" s="13">
        <v>253</v>
      </c>
      <c r="O2651" s="13">
        <v>36</v>
      </c>
      <c r="P2651" s="13">
        <v>1</v>
      </c>
      <c r="Q2651" s="13">
        <v>61</v>
      </c>
      <c r="R2651" s="13">
        <v>1</v>
      </c>
      <c r="S2651" s="13">
        <v>0</v>
      </c>
      <c r="T2651" s="23">
        <v>46247.781666666669</v>
      </c>
      <c r="U2651" s="55">
        <f t="shared" si="123"/>
        <v>1.1666666666666667</v>
      </c>
      <c r="V2651" s="55">
        <f t="shared" si="124"/>
        <v>0</v>
      </c>
      <c r="W2651" s="56">
        <f t="shared" si="125"/>
        <v>1974</v>
      </c>
    </row>
    <row r="2652" spans="1:23" x14ac:dyDescent="0.3">
      <c r="A2652" s="13" t="str" cm="1">
        <f t="array" ref="A2652:B2652">INDEX(BenchmarkResults!$B$1:$D$35,SUMPRODUCT((T2652&gt;=BenchmarkResults!$F$3:$F$35)*(mongodb_hardware_log!T2652&lt;BenchmarkResults!$G$3:$G$35)*ROW(BenchmarkResults!$F$3:$F$35)),{1,3})</f>
        <v>q6_inactive_customers</v>
      </c>
      <c r="B2652">
        <v>2</v>
      </c>
      <c r="C2652" s="13">
        <v>1</v>
      </c>
      <c r="D2652" s="13">
        <v>0</v>
      </c>
      <c r="E2652" s="13">
        <v>194560</v>
      </c>
      <c r="F2652" s="13">
        <v>149704</v>
      </c>
      <c r="G2652" s="13">
        <v>6152</v>
      </c>
      <c r="H2652" s="13">
        <v>2236008</v>
      </c>
      <c r="I2652" s="13">
        <v>0</v>
      </c>
      <c r="J2652" s="13">
        <v>0</v>
      </c>
      <c r="K2652" s="13">
        <v>2193</v>
      </c>
      <c r="L2652" s="13">
        <v>11</v>
      </c>
      <c r="M2652" s="13">
        <v>754</v>
      </c>
      <c r="N2652" s="13">
        <v>246</v>
      </c>
      <c r="O2652" s="13">
        <v>36</v>
      </c>
      <c r="P2652" s="13">
        <v>1</v>
      </c>
      <c r="Q2652" s="13">
        <v>62</v>
      </c>
      <c r="R2652" s="13">
        <v>0</v>
      </c>
      <c r="S2652" s="13">
        <v>0</v>
      </c>
      <c r="T2652" s="23">
        <v>46247.781689814816</v>
      </c>
      <c r="U2652" s="55">
        <f t="shared" si="123"/>
        <v>1.1666666666666667</v>
      </c>
      <c r="V2652" s="55">
        <f t="shared" si="124"/>
        <v>0</v>
      </c>
      <c r="W2652" s="56">
        <f t="shared" si="125"/>
        <v>2028</v>
      </c>
    </row>
    <row r="2653" spans="1:23" x14ac:dyDescent="0.3">
      <c r="A2653" s="13" t="str" cm="1">
        <f t="array" ref="A2653:B2653">INDEX(BenchmarkResults!$B$1:$D$35,SUMPRODUCT((T2653&gt;=BenchmarkResults!$F$3:$F$35)*(mongodb_hardware_log!T2653&lt;BenchmarkResults!$G$3:$G$35)*ROW(BenchmarkResults!$F$3:$F$35)),{1,3})</f>
        <v>q6_inactive_customers</v>
      </c>
      <c r="B2653">
        <v>2</v>
      </c>
      <c r="C2653" s="13">
        <v>1</v>
      </c>
      <c r="D2653" s="13">
        <v>0</v>
      </c>
      <c r="E2653" s="13">
        <v>194560</v>
      </c>
      <c r="F2653" s="13">
        <v>132316</v>
      </c>
      <c r="G2653" s="13">
        <v>6160</v>
      </c>
      <c r="H2653" s="13">
        <v>2252476</v>
      </c>
      <c r="I2653" s="13">
        <v>2</v>
      </c>
      <c r="J2653" s="13">
        <v>0</v>
      </c>
      <c r="K2653" s="13">
        <v>1594</v>
      </c>
      <c r="L2653" s="13">
        <v>33</v>
      </c>
      <c r="M2653" s="13">
        <v>712</v>
      </c>
      <c r="N2653" s="13">
        <v>209</v>
      </c>
      <c r="O2653" s="13">
        <v>36</v>
      </c>
      <c r="P2653" s="13">
        <v>1</v>
      </c>
      <c r="Q2653" s="13">
        <v>62</v>
      </c>
      <c r="R2653" s="13">
        <v>0</v>
      </c>
      <c r="S2653" s="13">
        <v>0</v>
      </c>
      <c r="T2653" s="23">
        <v>46247.781782407408</v>
      </c>
      <c r="U2653" s="55">
        <f t="shared" si="123"/>
        <v>1.1666666666666667</v>
      </c>
      <c r="V2653" s="55">
        <f t="shared" si="124"/>
        <v>0</v>
      </c>
      <c r="W2653" s="56">
        <f t="shared" si="125"/>
        <v>1964</v>
      </c>
    </row>
    <row r="2654" spans="1:23" x14ac:dyDescent="0.3">
      <c r="A2654" s="13" t="str" cm="1">
        <f t="array" ref="A2654:B2654">INDEX(BenchmarkResults!$B$1:$D$35,SUMPRODUCT((T2654&gt;=BenchmarkResults!$F$3:$F$35)*(mongodb_hardware_log!T2654&lt;BenchmarkResults!$G$3:$G$35)*ROW(BenchmarkResults!$F$3:$F$35)),{1,3})</f>
        <v>q6_inactive_customers</v>
      </c>
      <c r="B2654">
        <v>2</v>
      </c>
      <c r="C2654" s="13">
        <v>1</v>
      </c>
      <c r="D2654" s="13">
        <v>0</v>
      </c>
      <c r="E2654" s="13">
        <v>194560</v>
      </c>
      <c r="F2654" s="13">
        <v>121480</v>
      </c>
      <c r="G2654" s="13">
        <v>6168</v>
      </c>
      <c r="H2654" s="13">
        <v>2264348</v>
      </c>
      <c r="I2654" s="13">
        <v>2</v>
      </c>
      <c r="J2654" s="13">
        <v>0</v>
      </c>
      <c r="K2654" s="13">
        <v>1244</v>
      </c>
      <c r="L2654" s="13">
        <v>39</v>
      </c>
      <c r="M2654" s="13">
        <v>696</v>
      </c>
      <c r="N2654" s="13">
        <v>197</v>
      </c>
      <c r="O2654" s="13">
        <v>36</v>
      </c>
      <c r="P2654" s="13">
        <v>1</v>
      </c>
      <c r="Q2654" s="13">
        <v>62</v>
      </c>
      <c r="R2654" s="13">
        <v>0</v>
      </c>
      <c r="S2654" s="13">
        <v>0</v>
      </c>
      <c r="T2654" s="23">
        <v>46247.781805555554</v>
      </c>
      <c r="U2654" s="55">
        <f t="shared" si="123"/>
        <v>1.1666666666666667</v>
      </c>
      <c r="V2654" s="55">
        <f t="shared" si="124"/>
        <v>0</v>
      </c>
      <c r="W2654" s="56">
        <f t="shared" si="125"/>
        <v>1843.1666666666667</v>
      </c>
    </row>
    <row r="2655" spans="1:23" x14ac:dyDescent="0.3">
      <c r="A2655" s="13" t="str" cm="1">
        <f t="array" ref="A2655:B2655">INDEX(BenchmarkResults!$B$1:$D$35,SUMPRODUCT((T2655&gt;=BenchmarkResults!$F$3:$F$35)*(mongodb_hardware_log!T2655&lt;BenchmarkResults!$G$3:$G$35)*ROW(BenchmarkResults!$F$3:$F$35)),{1,3})</f>
        <v>q6_inactive_customers</v>
      </c>
      <c r="B2655">
        <v>2</v>
      </c>
      <c r="C2655" s="13">
        <v>1</v>
      </c>
      <c r="D2655" s="13">
        <v>0</v>
      </c>
      <c r="E2655" s="13">
        <v>194560</v>
      </c>
      <c r="F2655" s="13">
        <v>106612</v>
      </c>
      <c r="G2655" s="13">
        <v>6176</v>
      </c>
      <c r="H2655" s="13">
        <v>2280108</v>
      </c>
      <c r="I2655" s="13">
        <v>0</v>
      </c>
      <c r="J2655" s="13">
        <v>0</v>
      </c>
      <c r="K2655" s="13">
        <v>1731</v>
      </c>
      <c r="L2655" s="13">
        <v>1577</v>
      </c>
      <c r="M2655" s="13">
        <v>725</v>
      </c>
      <c r="N2655" s="13">
        <v>207</v>
      </c>
      <c r="O2655" s="13">
        <v>36</v>
      </c>
      <c r="P2655" s="13">
        <v>1</v>
      </c>
      <c r="Q2655" s="13">
        <v>60</v>
      </c>
      <c r="R2655" s="13">
        <v>2</v>
      </c>
      <c r="S2655" s="13">
        <v>0</v>
      </c>
      <c r="T2655" s="23">
        <v>46247.781898148147</v>
      </c>
      <c r="U2655" s="55">
        <f t="shared" si="123"/>
        <v>1.1666666666666667</v>
      </c>
      <c r="V2655" s="55">
        <f t="shared" si="124"/>
        <v>0</v>
      </c>
      <c r="W2655" s="56">
        <f t="shared" si="125"/>
        <v>1786.6666666666667</v>
      </c>
    </row>
    <row r="2656" spans="1:23" x14ac:dyDescent="0.3">
      <c r="A2656" s="13" t="str" cm="1">
        <f t="array" ref="A2656:B2656">INDEX(BenchmarkResults!$B$1:$D$35,SUMPRODUCT((T2656&gt;=BenchmarkResults!$F$3:$F$35)*(mongodb_hardware_log!T2656&lt;BenchmarkResults!$G$3:$G$35)*ROW(BenchmarkResults!$F$3:$F$35)),{1,3})</f>
        <v>q6_inactive_customers</v>
      </c>
      <c r="B2656">
        <v>2</v>
      </c>
      <c r="C2656" s="13">
        <v>1</v>
      </c>
      <c r="D2656" s="13">
        <v>0</v>
      </c>
      <c r="E2656" s="13">
        <v>194560</v>
      </c>
      <c r="F2656" s="13">
        <v>163660</v>
      </c>
      <c r="G2656" s="13">
        <v>6176</v>
      </c>
      <c r="H2656" s="13">
        <v>2228708</v>
      </c>
      <c r="I2656" s="13">
        <v>0</v>
      </c>
      <c r="J2656" s="13">
        <v>0</v>
      </c>
      <c r="K2656" s="13">
        <v>1845</v>
      </c>
      <c r="L2656" s="13">
        <v>1571</v>
      </c>
      <c r="M2656" s="13">
        <v>738</v>
      </c>
      <c r="N2656" s="13">
        <v>218</v>
      </c>
      <c r="O2656" s="13">
        <v>36</v>
      </c>
      <c r="P2656" s="13">
        <v>1</v>
      </c>
      <c r="Q2656" s="13">
        <v>60</v>
      </c>
      <c r="R2656" s="13">
        <v>2</v>
      </c>
      <c r="S2656" s="13">
        <v>0</v>
      </c>
      <c r="T2656" s="23">
        <v>46247.781921296293</v>
      </c>
      <c r="U2656" s="55">
        <f t="shared" si="123"/>
        <v>1.1666666666666667</v>
      </c>
      <c r="V2656" s="55">
        <f t="shared" si="124"/>
        <v>0</v>
      </c>
      <c r="W2656" s="56">
        <f t="shared" si="125"/>
        <v>1762</v>
      </c>
    </row>
    <row r="2657" spans="1:23" x14ac:dyDescent="0.3">
      <c r="A2657" s="13" t="str" cm="1">
        <f t="array" ref="A2657:B2657">INDEX(BenchmarkResults!$B$1:$D$35,SUMPRODUCT((T2657&gt;=BenchmarkResults!$F$3:$F$35)*(mongodb_hardware_log!T2657&lt;BenchmarkResults!$G$3:$G$35)*ROW(BenchmarkResults!$F$3:$F$35)),{1,3})</f>
        <v>q6_inactive_customers</v>
      </c>
      <c r="B2657">
        <v>2</v>
      </c>
      <c r="C2657" s="13">
        <v>1</v>
      </c>
      <c r="D2657" s="13">
        <v>0</v>
      </c>
      <c r="E2657" s="13">
        <v>194560</v>
      </c>
      <c r="F2657" s="13">
        <v>147560</v>
      </c>
      <c r="G2657" s="13">
        <v>6188</v>
      </c>
      <c r="H2657" s="13">
        <v>2243824</v>
      </c>
      <c r="I2657" s="13">
        <v>0</v>
      </c>
      <c r="J2657" s="13">
        <v>0</v>
      </c>
      <c r="K2657" s="13">
        <v>1771</v>
      </c>
      <c r="L2657" s="13">
        <v>8</v>
      </c>
      <c r="M2657" s="13">
        <v>749</v>
      </c>
      <c r="N2657" s="13">
        <v>219</v>
      </c>
      <c r="O2657" s="13">
        <v>36</v>
      </c>
      <c r="P2657" s="13">
        <v>1</v>
      </c>
      <c r="Q2657" s="13">
        <v>61</v>
      </c>
      <c r="R2657" s="13">
        <v>2</v>
      </c>
      <c r="S2657" s="13">
        <v>0</v>
      </c>
      <c r="T2657" s="23">
        <v>46247.782013888886</v>
      </c>
      <c r="U2657" s="55">
        <f t="shared" si="123"/>
        <v>1</v>
      </c>
      <c r="V2657" s="55">
        <f t="shared" si="124"/>
        <v>0</v>
      </c>
      <c r="W2657" s="56">
        <f t="shared" si="125"/>
        <v>1729.6666666666667</v>
      </c>
    </row>
    <row r="2658" spans="1:23" x14ac:dyDescent="0.3">
      <c r="A2658" s="13" t="str" cm="1">
        <f t="array" ref="A2658:B2658">INDEX(BenchmarkResults!$B$1:$D$35,SUMPRODUCT((T2658&gt;=BenchmarkResults!$F$3:$F$35)*(mongodb_hardware_log!T2658&lt;BenchmarkResults!$G$3:$G$35)*ROW(BenchmarkResults!$F$3:$F$35)),{1,3})</f>
        <v>q6_inactive_customers</v>
      </c>
      <c r="B2658">
        <v>2</v>
      </c>
      <c r="C2658" s="13">
        <v>1</v>
      </c>
      <c r="D2658" s="13">
        <v>0</v>
      </c>
      <c r="E2658" s="13">
        <v>194560</v>
      </c>
      <c r="F2658" s="13">
        <v>139496</v>
      </c>
      <c r="G2658" s="13">
        <v>6196</v>
      </c>
      <c r="H2658" s="13">
        <v>2246956</v>
      </c>
      <c r="I2658" s="13">
        <v>0</v>
      </c>
      <c r="J2658" s="13">
        <v>0</v>
      </c>
      <c r="K2658" s="13">
        <v>1828</v>
      </c>
      <c r="L2658" s="13">
        <v>13</v>
      </c>
      <c r="M2658" s="13">
        <v>749</v>
      </c>
      <c r="N2658" s="13">
        <v>219</v>
      </c>
      <c r="O2658" s="13">
        <v>36</v>
      </c>
      <c r="P2658" s="13">
        <v>1</v>
      </c>
      <c r="Q2658" s="13">
        <v>61</v>
      </c>
      <c r="R2658" s="13">
        <v>1</v>
      </c>
      <c r="S2658" s="13">
        <v>0</v>
      </c>
      <c r="T2658" s="23">
        <v>46247.782037037039</v>
      </c>
      <c r="U2658" s="55">
        <f t="shared" si="123"/>
        <v>1</v>
      </c>
      <c r="V2658" s="55">
        <f t="shared" si="124"/>
        <v>0</v>
      </c>
      <c r="W2658" s="56">
        <f t="shared" si="125"/>
        <v>1668.8333333333333</v>
      </c>
    </row>
    <row r="2659" spans="1:23" x14ac:dyDescent="0.3">
      <c r="A2659" s="13" t="str" cm="1">
        <f t="array" ref="A2659:B2659">INDEX(BenchmarkResults!$B$1:$D$35,SUMPRODUCT((T2659&gt;=BenchmarkResults!$F$3:$F$35)*(mongodb_hardware_log!T2659&lt;BenchmarkResults!$G$3:$G$35)*ROW(BenchmarkResults!$F$3:$F$35)),{1,3})</f>
        <v>q6_inactive_customers</v>
      </c>
      <c r="B2659">
        <v>2</v>
      </c>
      <c r="C2659" s="13">
        <v>1</v>
      </c>
      <c r="D2659" s="13">
        <v>0</v>
      </c>
      <c r="E2659" s="13">
        <v>194560</v>
      </c>
      <c r="F2659" s="13">
        <v>126644</v>
      </c>
      <c r="G2659" s="13">
        <v>6220</v>
      </c>
      <c r="H2659" s="13">
        <v>2263608</v>
      </c>
      <c r="I2659" s="13">
        <v>0</v>
      </c>
      <c r="J2659" s="13">
        <v>0</v>
      </c>
      <c r="K2659" s="13">
        <v>1981</v>
      </c>
      <c r="L2659" s="13">
        <v>28</v>
      </c>
      <c r="M2659" s="13">
        <v>728</v>
      </c>
      <c r="N2659" s="13">
        <v>219</v>
      </c>
      <c r="O2659" s="13">
        <v>37</v>
      </c>
      <c r="P2659" s="13">
        <v>1</v>
      </c>
      <c r="Q2659" s="13">
        <v>61</v>
      </c>
      <c r="R2659" s="13">
        <v>1</v>
      </c>
      <c r="S2659" s="13">
        <v>0</v>
      </c>
      <c r="T2659" s="23">
        <v>46247.782129629632</v>
      </c>
      <c r="U2659" s="55">
        <f t="shared" si="123"/>
        <v>1</v>
      </c>
      <c r="V2659" s="55">
        <f t="shared" si="124"/>
        <v>0</v>
      </c>
      <c r="W2659" s="56">
        <f t="shared" si="125"/>
        <v>1733.3333333333333</v>
      </c>
    </row>
    <row r="2660" spans="1:23" x14ac:dyDescent="0.3">
      <c r="A2660" s="13" t="str" cm="1">
        <f t="array" ref="A2660:B2660">INDEX(BenchmarkResults!$B$1:$D$35,SUMPRODUCT((T2660&gt;=BenchmarkResults!$F$3:$F$35)*(mongodb_hardware_log!T2660&lt;BenchmarkResults!$G$3:$G$35)*ROW(BenchmarkResults!$F$3:$F$35)),{1,3})</f>
        <v>q6_inactive_customers</v>
      </c>
      <c r="B2660">
        <v>2</v>
      </c>
      <c r="C2660" s="13">
        <v>1</v>
      </c>
      <c r="D2660" s="13">
        <v>0</v>
      </c>
      <c r="E2660" s="13">
        <v>194560</v>
      </c>
      <c r="F2660" s="13">
        <v>125132</v>
      </c>
      <c r="G2660" s="13">
        <v>6220</v>
      </c>
      <c r="H2660" s="13">
        <v>2266092</v>
      </c>
      <c r="I2660" s="13">
        <v>0</v>
      </c>
      <c r="J2660" s="13">
        <v>0</v>
      </c>
      <c r="K2660" s="13">
        <v>1906</v>
      </c>
      <c r="L2660" s="13">
        <v>24</v>
      </c>
      <c r="M2660" s="13">
        <v>730</v>
      </c>
      <c r="N2660" s="13">
        <v>222</v>
      </c>
      <c r="O2660" s="13">
        <v>37</v>
      </c>
      <c r="P2660" s="13">
        <v>1</v>
      </c>
      <c r="Q2660" s="13">
        <v>61</v>
      </c>
      <c r="R2660" s="13">
        <v>1</v>
      </c>
      <c r="S2660" s="13">
        <v>0</v>
      </c>
      <c r="T2660" s="23">
        <v>46247.782152777778</v>
      </c>
      <c r="U2660" s="55">
        <f t="shared" si="123"/>
        <v>1</v>
      </c>
      <c r="V2660" s="55">
        <f t="shared" si="124"/>
        <v>0</v>
      </c>
      <c r="W2660" s="56">
        <f t="shared" si="125"/>
        <v>1843.6666666666667</v>
      </c>
    </row>
    <row r="2661" spans="1:23" x14ac:dyDescent="0.3">
      <c r="A2661" s="13" t="str" cm="1">
        <f t="array" ref="A2661:B2661">INDEX(BenchmarkResults!$B$1:$D$35,SUMPRODUCT((T2661&gt;=BenchmarkResults!$F$3:$F$35)*(mongodb_hardware_log!T2661&lt;BenchmarkResults!$G$3:$G$35)*ROW(BenchmarkResults!$F$3:$F$35)),{1,3})</f>
        <v>q6_inactive_customers</v>
      </c>
      <c r="B2661">
        <v>2</v>
      </c>
      <c r="C2661" s="13">
        <v>1</v>
      </c>
      <c r="D2661" s="13">
        <v>0</v>
      </c>
      <c r="E2661" s="13">
        <v>194560</v>
      </c>
      <c r="F2661" s="13">
        <v>163116</v>
      </c>
      <c r="G2661" s="13">
        <v>6228</v>
      </c>
      <c r="H2661" s="13">
        <v>2227652</v>
      </c>
      <c r="I2661" s="13">
        <v>0</v>
      </c>
      <c r="J2661" s="13">
        <v>0</v>
      </c>
      <c r="K2661" s="13">
        <v>1963</v>
      </c>
      <c r="L2661" s="13">
        <v>13</v>
      </c>
      <c r="M2661" s="13">
        <v>736</v>
      </c>
      <c r="N2661" s="13">
        <v>226</v>
      </c>
      <c r="O2661" s="13">
        <v>36</v>
      </c>
      <c r="P2661" s="13">
        <v>1</v>
      </c>
      <c r="Q2661" s="13">
        <v>62</v>
      </c>
      <c r="R2661" s="13">
        <v>1</v>
      </c>
      <c r="S2661" s="13">
        <v>0</v>
      </c>
      <c r="T2661" s="23">
        <v>46247.78224537037</v>
      </c>
      <c r="U2661" s="55">
        <f t="shared" si="123"/>
        <v>1</v>
      </c>
      <c r="V2661" s="55">
        <f t="shared" si="124"/>
        <v>0</v>
      </c>
      <c r="W2661" s="56">
        <f t="shared" si="125"/>
        <v>1882.3333333333333</v>
      </c>
    </row>
    <row r="2662" spans="1:23" x14ac:dyDescent="0.3">
      <c r="A2662" s="13" t="str" cm="1">
        <f t="array" ref="A2662:B2662">INDEX(BenchmarkResults!$B$1:$D$35,SUMPRODUCT((T2662&gt;=BenchmarkResults!$F$3:$F$35)*(mongodb_hardware_log!T2662&lt;BenchmarkResults!$G$3:$G$35)*ROW(BenchmarkResults!$F$3:$F$35)),{1,3})</f>
        <v>q6_inactive_customers</v>
      </c>
      <c r="B2662">
        <v>2</v>
      </c>
      <c r="C2662" s="13">
        <v>1</v>
      </c>
      <c r="D2662" s="13">
        <v>0</v>
      </c>
      <c r="E2662" s="13">
        <v>194560</v>
      </c>
      <c r="F2662" s="13">
        <v>158640</v>
      </c>
      <c r="G2662" s="13">
        <v>6236</v>
      </c>
      <c r="H2662" s="13">
        <v>2230620</v>
      </c>
      <c r="I2662" s="13">
        <v>0</v>
      </c>
      <c r="J2662" s="13">
        <v>0</v>
      </c>
      <c r="K2662" s="13">
        <v>2014</v>
      </c>
      <c r="L2662" s="13">
        <v>18</v>
      </c>
      <c r="M2662" s="13">
        <v>738</v>
      </c>
      <c r="N2662" s="13">
        <v>226</v>
      </c>
      <c r="O2662" s="13">
        <v>36</v>
      </c>
      <c r="P2662" s="13">
        <v>1</v>
      </c>
      <c r="Q2662" s="13">
        <v>62</v>
      </c>
      <c r="R2662" s="13">
        <v>1</v>
      </c>
      <c r="S2662" s="13">
        <v>0</v>
      </c>
      <c r="T2662" s="23">
        <v>46247.782268518517</v>
      </c>
      <c r="U2662" s="55">
        <f t="shared" si="123"/>
        <v>1</v>
      </c>
      <c r="V2662" s="55">
        <f t="shared" si="124"/>
        <v>0</v>
      </c>
      <c r="W2662" s="56">
        <f t="shared" si="125"/>
        <v>1910.5</v>
      </c>
    </row>
    <row r="2663" spans="1:23" x14ac:dyDescent="0.3">
      <c r="A2663" s="13" t="str" cm="1">
        <f t="array" ref="A2663:B2663">INDEX(BenchmarkResults!$B$1:$D$35,SUMPRODUCT((T2663&gt;=BenchmarkResults!$F$3:$F$35)*(mongodb_hardware_log!T2663&lt;BenchmarkResults!$G$3:$G$35)*ROW(BenchmarkResults!$F$3:$F$35)),{1,3})</f>
        <v>q6_inactive_customers</v>
      </c>
      <c r="B2663">
        <v>2</v>
      </c>
      <c r="C2663" s="13">
        <v>1</v>
      </c>
      <c r="D2663" s="13">
        <v>0</v>
      </c>
      <c r="E2663" s="13">
        <v>194560</v>
      </c>
      <c r="F2663" s="13">
        <v>141756</v>
      </c>
      <c r="G2663" s="13">
        <v>6244</v>
      </c>
      <c r="H2663" s="13">
        <v>2247320</v>
      </c>
      <c r="I2663" s="13">
        <v>0</v>
      </c>
      <c r="J2663" s="13">
        <v>0</v>
      </c>
      <c r="K2663" s="13">
        <v>1963</v>
      </c>
      <c r="L2663" s="13">
        <v>16</v>
      </c>
      <c r="M2663" s="13">
        <v>726</v>
      </c>
      <c r="N2663" s="13">
        <v>212</v>
      </c>
      <c r="O2663" s="13">
        <v>37</v>
      </c>
      <c r="P2663" s="13">
        <v>1</v>
      </c>
      <c r="Q2663" s="13">
        <v>62</v>
      </c>
      <c r="R2663" s="13">
        <v>0</v>
      </c>
      <c r="S2663" s="13">
        <v>0</v>
      </c>
      <c r="T2663" s="23">
        <v>46247.782361111109</v>
      </c>
      <c r="U2663" s="55">
        <f t="shared" si="123"/>
        <v>1</v>
      </c>
      <c r="V2663" s="55">
        <f t="shared" si="124"/>
        <v>0</v>
      </c>
      <c r="W2663" s="56">
        <f t="shared" si="125"/>
        <v>1942.5</v>
      </c>
    </row>
    <row r="2664" spans="1:23" x14ac:dyDescent="0.3">
      <c r="A2664" s="13" t="str" cm="1">
        <f t="array" ref="A2664:B2664">INDEX(BenchmarkResults!$B$1:$D$35,SUMPRODUCT((T2664&gt;=BenchmarkResults!$F$3:$F$35)*(mongodb_hardware_log!T2664&lt;BenchmarkResults!$G$3:$G$35)*ROW(BenchmarkResults!$F$3:$F$35)),{1,3})</f>
        <v>q6_inactive_customers</v>
      </c>
      <c r="B2664">
        <v>2</v>
      </c>
      <c r="C2664" s="13">
        <v>1</v>
      </c>
      <c r="D2664" s="13">
        <v>0</v>
      </c>
      <c r="E2664" s="13">
        <v>194560</v>
      </c>
      <c r="F2664" s="13">
        <v>140748</v>
      </c>
      <c r="G2664" s="13">
        <v>6244</v>
      </c>
      <c r="H2664" s="13">
        <v>2250928</v>
      </c>
      <c r="I2664" s="13">
        <v>0</v>
      </c>
      <c r="J2664" s="13">
        <v>0</v>
      </c>
      <c r="K2664" s="13">
        <v>2027</v>
      </c>
      <c r="L2664" s="13">
        <v>10</v>
      </c>
      <c r="M2664" s="13">
        <v>719</v>
      </c>
      <c r="N2664" s="13">
        <v>205</v>
      </c>
      <c r="O2664" s="13">
        <v>37</v>
      </c>
      <c r="P2664" s="13">
        <v>1</v>
      </c>
      <c r="Q2664" s="13">
        <v>62</v>
      </c>
      <c r="R2664" s="13">
        <v>0</v>
      </c>
      <c r="S2664" s="13">
        <v>0</v>
      </c>
      <c r="T2664" s="23">
        <v>46247.782384259262</v>
      </c>
      <c r="U2664" s="55">
        <f t="shared" si="123"/>
        <v>1</v>
      </c>
      <c r="V2664" s="55">
        <f t="shared" si="124"/>
        <v>0</v>
      </c>
      <c r="W2664" s="56">
        <f t="shared" si="125"/>
        <v>1975.6666666666667</v>
      </c>
    </row>
    <row r="2665" spans="1:23" x14ac:dyDescent="0.3">
      <c r="A2665" s="13" t="str" cm="1">
        <f t="array" ref="A2665:B2665">INDEX(BenchmarkResults!$B$1:$D$35,SUMPRODUCT((T2665&gt;=BenchmarkResults!$F$3:$F$35)*(mongodb_hardware_log!T2665&lt;BenchmarkResults!$G$3:$G$35)*ROW(BenchmarkResults!$F$3:$F$35)),{1,3})</f>
        <v>q6_inactive_customers</v>
      </c>
      <c r="B2665">
        <v>2</v>
      </c>
      <c r="C2665" s="13">
        <v>1</v>
      </c>
      <c r="D2665" s="13">
        <v>0</v>
      </c>
      <c r="E2665" s="13">
        <v>194560</v>
      </c>
      <c r="F2665" s="13">
        <v>164824</v>
      </c>
      <c r="G2665" s="13">
        <v>6252</v>
      </c>
      <c r="H2665" s="13">
        <v>2224840</v>
      </c>
      <c r="I2665" s="13">
        <v>0</v>
      </c>
      <c r="J2665" s="13">
        <v>0</v>
      </c>
      <c r="K2665" s="13">
        <v>1510</v>
      </c>
      <c r="L2665" s="13">
        <v>7</v>
      </c>
      <c r="M2665" s="13">
        <v>714</v>
      </c>
      <c r="N2665" s="13">
        <v>194</v>
      </c>
      <c r="O2665" s="13">
        <v>36</v>
      </c>
      <c r="P2665" s="13">
        <v>1</v>
      </c>
      <c r="Q2665" s="13">
        <v>62</v>
      </c>
      <c r="R2665" s="13">
        <v>1</v>
      </c>
      <c r="S2665" s="13">
        <v>0</v>
      </c>
      <c r="T2665" s="23">
        <v>46247.782476851855</v>
      </c>
      <c r="U2665" s="55">
        <f t="shared" si="123"/>
        <v>1</v>
      </c>
      <c r="V2665" s="55">
        <f t="shared" si="124"/>
        <v>0</v>
      </c>
      <c r="W2665" s="56">
        <f t="shared" si="125"/>
        <v>1897.1666666666667</v>
      </c>
    </row>
    <row r="2666" spans="1:23" x14ac:dyDescent="0.3">
      <c r="A2666" s="13" t="str" cm="1">
        <f t="array" ref="A2666:B2666">INDEX(BenchmarkResults!$B$1:$D$35,SUMPRODUCT((T2666&gt;=BenchmarkResults!$F$3:$F$35)*(mongodb_hardware_log!T2666&lt;BenchmarkResults!$G$3:$G$35)*ROW(BenchmarkResults!$F$3:$F$35)),{1,3})</f>
        <v>q6_inactive_customers</v>
      </c>
      <c r="B2666">
        <v>2</v>
      </c>
      <c r="C2666" s="13">
        <v>1</v>
      </c>
      <c r="D2666" s="13">
        <v>0</v>
      </c>
      <c r="E2666" s="13">
        <v>194560</v>
      </c>
      <c r="F2666" s="13">
        <v>172888</v>
      </c>
      <c r="G2666" s="13">
        <v>6260</v>
      </c>
      <c r="H2666" s="13">
        <v>2228080</v>
      </c>
      <c r="I2666" s="13">
        <v>0</v>
      </c>
      <c r="J2666" s="13">
        <v>0</v>
      </c>
      <c r="K2666" s="13">
        <v>1466</v>
      </c>
      <c r="L2666" s="13">
        <v>12</v>
      </c>
      <c r="M2666" s="13">
        <v>719</v>
      </c>
      <c r="N2666" s="13">
        <v>200</v>
      </c>
      <c r="O2666" s="13">
        <v>36</v>
      </c>
      <c r="P2666" s="13">
        <v>1</v>
      </c>
      <c r="Q2666" s="13">
        <v>61</v>
      </c>
      <c r="R2666" s="13">
        <v>1</v>
      </c>
      <c r="S2666" s="13">
        <v>0</v>
      </c>
      <c r="T2666" s="23">
        <v>46247.782500000001</v>
      </c>
      <c r="U2666" s="55">
        <f t="shared" si="123"/>
        <v>1</v>
      </c>
      <c r="V2666" s="55">
        <f t="shared" si="124"/>
        <v>0</v>
      </c>
      <c r="W2666" s="56">
        <f t="shared" si="125"/>
        <v>1823.8333333333333</v>
      </c>
    </row>
    <row r="2667" spans="1:23" x14ac:dyDescent="0.3">
      <c r="A2667" s="13" t="str" cm="1">
        <f t="array" ref="A2667:B2667">INDEX(BenchmarkResults!$B$1:$D$35,SUMPRODUCT((T2667&gt;=BenchmarkResults!$F$3:$F$35)*(mongodb_hardware_log!T2667&lt;BenchmarkResults!$G$3:$G$35)*ROW(BenchmarkResults!$F$3:$F$35)),{1,3})</f>
        <v>q6_inactive_customers</v>
      </c>
      <c r="B2667">
        <v>2</v>
      </c>
      <c r="C2667" s="13">
        <v>1</v>
      </c>
      <c r="D2667" s="13">
        <v>0</v>
      </c>
      <c r="E2667" s="13">
        <v>194560</v>
      </c>
      <c r="F2667" s="13">
        <v>152476</v>
      </c>
      <c r="G2667" s="13">
        <v>6268</v>
      </c>
      <c r="H2667" s="13">
        <v>2245452</v>
      </c>
      <c r="I2667" s="13">
        <v>0</v>
      </c>
      <c r="J2667" s="13">
        <v>0</v>
      </c>
      <c r="K2667" s="13">
        <v>2058</v>
      </c>
      <c r="L2667" s="13">
        <v>23</v>
      </c>
      <c r="M2667" s="13">
        <v>723</v>
      </c>
      <c r="N2667" s="13">
        <v>208</v>
      </c>
      <c r="O2667" s="13">
        <v>37</v>
      </c>
      <c r="P2667" s="13">
        <v>1</v>
      </c>
      <c r="Q2667" s="13">
        <v>61</v>
      </c>
      <c r="R2667" s="13">
        <v>0</v>
      </c>
      <c r="S2667" s="13">
        <v>0</v>
      </c>
      <c r="T2667" s="23">
        <v>46247.782592592594</v>
      </c>
      <c r="U2667" s="55">
        <f t="shared" si="123"/>
        <v>1</v>
      </c>
      <c r="V2667" s="55">
        <f t="shared" si="124"/>
        <v>0</v>
      </c>
      <c r="W2667" s="56">
        <f t="shared" si="125"/>
        <v>1839.6666666666667</v>
      </c>
    </row>
    <row r="2668" spans="1:23" x14ac:dyDescent="0.3">
      <c r="A2668" s="13" t="str" cm="1">
        <f t="array" ref="A2668:B2668">INDEX(BenchmarkResults!$B$1:$D$35,SUMPRODUCT((T2668&gt;=BenchmarkResults!$F$3:$F$35)*(mongodb_hardware_log!T2668&lt;BenchmarkResults!$G$3:$G$35)*ROW(BenchmarkResults!$F$3:$F$35)),{1,3})</f>
        <v>q6_inactive_customers</v>
      </c>
      <c r="B2668">
        <v>2</v>
      </c>
      <c r="C2668" s="13">
        <v>1</v>
      </c>
      <c r="D2668" s="13">
        <v>0</v>
      </c>
      <c r="E2668" s="13">
        <v>194560</v>
      </c>
      <c r="F2668" s="13">
        <v>152476</v>
      </c>
      <c r="G2668" s="13">
        <v>6268</v>
      </c>
      <c r="H2668" s="13">
        <v>2248920</v>
      </c>
      <c r="I2668" s="13">
        <v>0</v>
      </c>
      <c r="J2668" s="13">
        <v>0</v>
      </c>
      <c r="K2668" s="13">
        <v>2091</v>
      </c>
      <c r="L2668" s="13">
        <v>17</v>
      </c>
      <c r="M2668" s="13">
        <v>720</v>
      </c>
      <c r="N2668" s="13">
        <v>204</v>
      </c>
      <c r="O2668" s="13">
        <v>36</v>
      </c>
      <c r="P2668" s="13">
        <v>1</v>
      </c>
      <c r="Q2668" s="13">
        <v>62</v>
      </c>
      <c r="R2668" s="13">
        <v>0</v>
      </c>
      <c r="S2668" s="13">
        <v>0</v>
      </c>
      <c r="T2668" s="23">
        <v>46247.78261574074</v>
      </c>
      <c r="U2668" s="55">
        <f t="shared" si="123"/>
        <v>1</v>
      </c>
      <c r="V2668" s="55">
        <f t="shared" si="124"/>
        <v>0</v>
      </c>
      <c r="W2668" s="56">
        <f t="shared" si="125"/>
        <v>1852.5</v>
      </c>
    </row>
    <row r="2669" spans="1:23" x14ac:dyDescent="0.3">
      <c r="A2669" s="13" t="str" cm="1">
        <f t="array" ref="A2669:B2669">INDEX(BenchmarkResults!$B$1:$D$35,SUMPRODUCT((T2669&gt;=BenchmarkResults!$F$3:$F$35)*(mongodb_hardware_log!T2669&lt;BenchmarkResults!$G$3:$G$35)*ROW(BenchmarkResults!$F$3:$F$35)),{1,3})</f>
        <v>q6_inactive_customers</v>
      </c>
      <c r="B2669">
        <v>2</v>
      </c>
      <c r="C2669" s="13">
        <v>1</v>
      </c>
      <c r="D2669" s="13">
        <v>0</v>
      </c>
      <c r="E2669" s="13">
        <v>194560</v>
      </c>
      <c r="F2669" s="13">
        <v>129964</v>
      </c>
      <c r="G2669" s="13">
        <v>6276</v>
      </c>
      <c r="H2669" s="13">
        <v>2264276</v>
      </c>
      <c r="I2669" s="13">
        <v>0</v>
      </c>
      <c r="J2669" s="13">
        <v>0</v>
      </c>
      <c r="K2669" s="13">
        <v>1881</v>
      </c>
      <c r="L2669" s="13">
        <v>6</v>
      </c>
      <c r="M2669" s="13">
        <v>743</v>
      </c>
      <c r="N2669" s="13">
        <v>219</v>
      </c>
      <c r="O2669" s="13">
        <v>36</v>
      </c>
      <c r="P2669" s="13">
        <v>1</v>
      </c>
      <c r="Q2669" s="13">
        <v>62</v>
      </c>
      <c r="R2669" s="13">
        <v>1</v>
      </c>
      <c r="S2669" s="13">
        <v>0</v>
      </c>
      <c r="T2669" s="23">
        <v>46247.782708333332</v>
      </c>
      <c r="U2669" s="55">
        <f t="shared" si="123"/>
        <v>1</v>
      </c>
      <c r="V2669" s="55">
        <f t="shared" si="124"/>
        <v>0</v>
      </c>
      <c r="W2669" s="56">
        <f t="shared" si="125"/>
        <v>1838.8333333333333</v>
      </c>
    </row>
    <row r="2670" spans="1:23" x14ac:dyDescent="0.3">
      <c r="A2670" s="13" t="str" cm="1">
        <f t="array" ref="A2670:B2670">INDEX(BenchmarkResults!$B$1:$D$35,SUMPRODUCT((T2670&gt;=BenchmarkResults!$F$3:$F$35)*(mongodb_hardware_log!T2670&lt;BenchmarkResults!$G$3:$G$35)*ROW(BenchmarkResults!$F$3:$F$35)),{1,3})</f>
        <v>q6_inactive_customers</v>
      </c>
      <c r="B2670">
        <v>2</v>
      </c>
      <c r="C2670" s="13">
        <v>1</v>
      </c>
      <c r="D2670" s="13">
        <v>0</v>
      </c>
      <c r="E2670" s="13">
        <v>194560</v>
      </c>
      <c r="F2670" s="13">
        <v>129712</v>
      </c>
      <c r="G2670" s="13">
        <v>6284</v>
      </c>
      <c r="H2670" s="13">
        <v>2268156</v>
      </c>
      <c r="I2670" s="13">
        <v>0</v>
      </c>
      <c r="J2670" s="13">
        <v>0</v>
      </c>
      <c r="K2670" s="13">
        <v>1916</v>
      </c>
      <c r="L2670" s="13">
        <v>12</v>
      </c>
      <c r="M2670" s="13">
        <v>750</v>
      </c>
      <c r="N2670" s="13">
        <v>228</v>
      </c>
      <c r="O2670" s="13">
        <v>36</v>
      </c>
      <c r="P2670" s="13">
        <v>1</v>
      </c>
      <c r="Q2670" s="13">
        <v>62</v>
      </c>
      <c r="R2670" s="13">
        <v>1</v>
      </c>
      <c r="S2670" s="13">
        <v>0</v>
      </c>
      <c r="T2670" s="23">
        <v>46247.782731481479</v>
      </c>
      <c r="U2670" s="55">
        <f t="shared" si="123"/>
        <v>1</v>
      </c>
      <c r="V2670" s="55">
        <f t="shared" si="124"/>
        <v>0</v>
      </c>
      <c r="W2670" s="56">
        <f t="shared" si="125"/>
        <v>1820.3333333333333</v>
      </c>
    </row>
    <row r="2671" spans="1:23" x14ac:dyDescent="0.3">
      <c r="A2671" s="13" t="str" cm="1">
        <f t="array" ref="A2671:B2671">INDEX(BenchmarkResults!$B$1:$D$35,SUMPRODUCT((T2671&gt;=BenchmarkResults!$F$3:$F$35)*(mongodb_hardware_log!T2671&lt;BenchmarkResults!$G$3:$G$35)*ROW(BenchmarkResults!$F$3:$F$35)),{1,3})</f>
        <v>q6_inactive_customers</v>
      </c>
      <c r="B2671">
        <v>2</v>
      </c>
      <c r="C2671" s="13">
        <v>1</v>
      </c>
      <c r="D2671" s="13">
        <v>0</v>
      </c>
      <c r="E2671" s="13">
        <v>194560</v>
      </c>
      <c r="F2671" s="13">
        <v>111720</v>
      </c>
      <c r="G2671" s="13">
        <v>6320</v>
      </c>
      <c r="H2671" s="13">
        <v>2282852</v>
      </c>
      <c r="I2671" s="13">
        <v>0</v>
      </c>
      <c r="J2671" s="13">
        <v>0</v>
      </c>
      <c r="K2671" s="13">
        <v>1858</v>
      </c>
      <c r="L2671" s="13">
        <v>1595</v>
      </c>
      <c r="M2671" s="13">
        <v>740</v>
      </c>
      <c r="N2671" s="13">
        <v>227</v>
      </c>
      <c r="O2671" s="13">
        <v>36</v>
      </c>
      <c r="P2671" s="13">
        <v>1</v>
      </c>
      <c r="Q2671" s="13">
        <v>60</v>
      </c>
      <c r="R2671" s="13">
        <v>2</v>
      </c>
      <c r="S2671" s="13">
        <v>0</v>
      </c>
      <c r="T2671" s="23">
        <v>46247.782824074071</v>
      </c>
      <c r="U2671" s="55">
        <f t="shared" si="123"/>
        <v>1</v>
      </c>
      <c r="V2671" s="55">
        <f t="shared" si="124"/>
        <v>0</v>
      </c>
      <c r="W2671" s="56">
        <f t="shared" si="125"/>
        <v>1878.3333333333333</v>
      </c>
    </row>
    <row r="2672" spans="1:23" x14ac:dyDescent="0.3">
      <c r="A2672" s="13" t="str" cm="1">
        <f t="array" ref="A2672:B2672">INDEX(BenchmarkResults!$B$1:$D$35,SUMPRODUCT((T2672&gt;=BenchmarkResults!$F$3:$F$35)*(mongodb_hardware_log!T2672&lt;BenchmarkResults!$G$3:$G$35)*ROW(BenchmarkResults!$F$3:$F$35)),{1,3})</f>
        <v>q6_inactive_customers</v>
      </c>
      <c r="B2672">
        <v>2</v>
      </c>
      <c r="C2672" s="13">
        <v>1</v>
      </c>
      <c r="D2672" s="13">
        <v>0</v>
      </c>
      <c r="E2672" s="13">
        <v>194560</v>
      </c>
      <c r="F2672" s="13">
        <v>108696</v>
      </c>
      <c r="G2672" s="13">
        <v>6320</v>
      </c>
      <c r="H2672" s="13">
        <v>2286164</v>
      </c>
      <c r="I2672" s="13">
        <v>0</v>
      </c>
      <c r="J2672" s="13">
        <v>0</v>
      </c>
      <c r="K2672" s="13">
        <v>1806</v>
      </c>
      <c r="L2672" s="13">
        <v>1589</v>
      </c>
      <c r="M2672" s="13">
        <v>734</v>
      </c>
      <c r="N2672" s="13">
        <v>219</v>
      </c>
      <c r="O2672" s="13">
        <v>36</v>
      </c>
      <c r="P2672" s="13">
        <v>1</v>
      </c>
      <c r="Q2672" s="13">
        <v>60</v>
      </c>
      <c r="R2672" s="13">
        <v>2</v>
      </c>
      <c r="S2672" s="13">
        <v>0</v>
      </c>
      <c r="T2672" s="23">
        <v>46247.782847222225</v>
      </c>
      <c r="U2672" s="55">
        <f t="shared" si="123"/>
        <v>1</v>
      </c>
      <c r="V2672" s="55">
        <f t="shared" si="124"/>
        <v>0</v>
      </c>
      <c r="W2672" s="56">
        <f t="shared" si="125"/>
        <v>1935</v>
      </c>
    </row>
    <row r="2673" spans="1:23" x14ac:dyDescent="0.3">
      <c r="A2673" s="13" t="str" cm="1">
        <f t="array" ref="A2673:B2673">INDEX(BenchmarkResults!$B$1:$D$35,SUMPRODUCT((T2673&gt;=BenchmarkResults!$F$3:$F$35)*(mongodb_hardware_log!T2673&lt;BenchmarkResults!$G$3:$G$35)*ROW(BenchmarkResults!$F$3:$F$35)),{1,3})</f>
        <v>q6_inactive_customers</v>
      </c>
      <c r="B2673">
        <v>2</v>
      </c>
      <c r="C2673" s="13">
        <v>1</v>
      </c>
      <c r="D2673" s="13">
        <v>0</v>
      </c>
      <c r="E2673" s="13">
        <v>194560</v>
      </c>
      <c r="F2673" s="13">
        <v>144724</v>
      </c>
      <c r="G2673" s="13">
        <v>6328</v>
      </c>
      <c r="H2673" s="13">
        <v>2248140</v>
      </c>
      <c r="I2673" s="13">
        <v>0</v>
      </c>
      <c r="J2673" s="13">
        <v>0</v>
      </c>
      <c r="K2673" s="13">
        <v>2118</v>
      </c>
      <c r="L2673" s="13">
        <v>7</v>
      </c>
      <c r="M2673" s="13">
        <v>730</v>
      </c>
      <c r="N2673" s="13">
        <v>217</v>
      </c>
      <c r="O2673" s="13">
        <v>37</v>
      </c>
      <c r="P2673" s="13">
        <v>1</v>
      </c>
      <c r="Q2673" s="13">
        <v>62</v>
      </c>
      <c r="R2673" s="13">
        <v>0</v>
      </c>
      <c r="S2673" s="13">
        <v>0</v>
      </c>
      <c r="T2673" s="23">
        <v>46247.782939814817</v>
      </c>
      <c r="U2673" s="55">
        <f t="shared" si="123"/>
        <v>1</v>
      </c>
      <c r="V2673" s="55">
        <f t="shared" si="124"/>
        <v>0</v>
      </c>
      <c r="W2673" s="56">
        <f t="shared" si="125"/>
        <v>1945</v>
      </c>
    </row>
    <row r="2674" spans="1:23" x14ac:dyDescent="0.3">
      <c r="A2674" s="13" t="str" cm="1">
        <f t="array" ref="A2674:B2674">INDEX(BenchmarkResults!$B$1:$D$35,SUMPRODUCT((T2674&gt;=BenchmarkResults!$F$3:$F$35)*(mongodb_hardware_log!T2674&lt;BenchmarkResults!$G$3:$G$35)*ROW(BenchmarkResults!$F$3:$F$35)),{1,3})</f>
        <v>q6_inactive_customers</v>
      </c>
      <c r="B2674">
        <v>2</v>
      </c>
      <c r="C2674" s="13">
        <v>1</v>
      </c>
      <c r="D2674" s="13">
        <v>0</v>
      </c>
      <c r="E2674" s="13">
        <v>194560</v>
      </c>
      <c r="F2674" s="13">
        <v>144724</v>
      </c>
      <c r="G2674" s="13">
        <v>6336</v>
      </c>
      <c r="H2674" s="13">
        <v>2249448</v>
      </c>
      <c r="I2674" s="13">
        <v>0</v>
      </c>
      <c r="J2674" s="13">
        <v>0</v>
      </c>
      <c r="K2674" s="13">
        <v>1909</v>
      </c>
      <c r="L2674" s="13">
        <v>13</v>
      </c>
      <c r="M2674" s="13">
        <v>728</v>
      </c>
      <c r="N2674" s="13">
        <v>221</v>
      </c>
      <c r="O2674" s="13">
        <v>37</v>
      </c>
      <c r="P2674" s="13">
        <v>1</v>
      </c>
      <c r="Q2674" s="13">
        <v>62</v>
      </c>
      <c r="R2674" s="13">
        <v>0</v>
      </c>
      <c r="S2674" s="13">
        <v>0</v>
      </c>
      <c r="T2674" s="23">
        <v>46247.782962962963</v>
      </c>
      <c r="U2674" s="55">
        <f t="shared" si="123"/>
        <v>1</v>
      </c>
      <c r="V2674" s="55">
        <f t="shared" si="124"/>
        <v>0</v>
      </c>
      <c r="W2674" s="56">
        <f t="shared" si="125"/>
        <v>1914.6666666666667</v>
      </c>
    </row>
    <row r="2675" spans="1:23" x14ac:dyDescent="0.3">
      <c r="A2675" s="13" t="str" cm="1">
        <f t="array" ref="A2675:B2675">INDEX(BenchmarkResults!$B$1:$D$35,SUMPRODUCT((T2675&gt;=BenchmarkResults!$F$3:$F$35)*(mongodb_hardware_log!T2675&lt;BenchmarkResults!$G$3:$G$35)*ROW(BenchmarkResults!$F$3:$F$35)),{1,3})</f>
        <v>q6_inactive_customers</v>
      </c>
      <c r="B2675">
        <v>2</v>
      </c>
      <c r="C2675" s="13">
        <v>1</v>
      </c>
      <c r="D2675" s="13">
        <v>0</v>
      </c>
      <c r="E2675" s="13">
        <v>194560</v>
      </c>
      <c r="F2675" s="13">
        <v>114756</v>
      </c>
      <c r="G2675" s="13">
        <v>6344</v>
      </c>
      <c r="H2675" s="13">
        <v>2276736</v>
      </c>
      <c r="I2675" s="13">
        <v>0</v>
      </c>
      <c r="J2675" s="13">
        <v>0</v>
      </c>
      <c r="K2675" s="13">
        <v>1264</v>
      </c>
      <c r="L2675" s="13">
        <v>18</v>
      </c>
      <c r="M2675" s="13">
        <v>697</v>
      </c>
      <c r="N2675" s="13">
        <v>189</v>
      </c>
      <c r="O2675" s="13">
        <v>36</v>
      </c>
      <c r="P2675" s="13">
        <v>1</v>
      </c>
      <c r="Q2675" s="13">
        <v>62</v>
      </c>
      <c r="R2675" s="13">
        <v>0</v>
      </c>
      <c r="S2675" s="13">
        <v>0</v>
      </c>
      <c r="T2675" s="23">
        <v>46247.783055555556</v>
      </c>
      <c r="U2675" s="55">
        <f t="shared" si="123"/>
        <v>1</v>
      </c>
      <c r="V2675" s="55">
        <f t="shared" si="124"/>
        <v>0</v>
      </c>
      <c r="W2675" s="56">
        <f t="shared" si="125"/>
        <v>1811.8333333333333</v>
      </c>
    </row>
    <row r="2676" spans="1:23" x14ac:dyDescent="0.3">
      <c r="A2676" s="13" t="str" cm="1">
        <f t="array" ref="A2676:B2676">INDEX(BenchmarkResults!$B$1:$D$35,SUMPRODUCT((T2676&gt;=BenchmarkResults!$F$3:$F$35)*(mongodb_hardware_log!T2676&lt;BenchmarkResults!$G$3:$G$35)*ROW(BenchmarkResults!$F$3:$F$35)),{1,3})</f>
        <v>q6_inactive_customers</v>
      </c>
      <c r="B2676">
        <v>2</v>
      </c>
      <c r="C2676" s="13">
        <v>1</v>
      </c>
      <c r="D2676" s="13">
        <v>0</v>
      </c>
      <c r="E2676" s="13">
        <v>194560</v>
      </c>
      <c r="F2676" s="13">
        <v>114756</v>
      </c>
      <c r="G2676" s="13">
        <v>6344</v>
      </c>
      <c r="H2676" s="13">
        <v>2279832</v>
      </c>
      <c r="I2676" s="13">
        <v>0</v>
      </c>
      <c r="J2676" s="13">
        <v>0</v>
      </c>
      <c r="K2676" s="13">
        <v>1444</v>
      </c>
      <c r="L2676" s="13">
        <v>19</v>
      </c>
      <c r="M2676" s="13">
        <v>699</v>
      </c>
      <c r="N2676" s="13">
        <v>187</v>
      </c>
      <c r="O2676" s="13">
        <v>36</v>
      </c>
      <c r="P2676" s="13">
        <v>1</v>
      </c>
      <c r="Q2676" s="13">
        <v>62</v>
      </c>
      <c r="R2676" s="13">
        <v>0</v>
      </c>
      <c r="S2676" s="13">
        <v>0</v>
      </c>
      <c r="T2676" s="23">
        <v>46247.783078703702</v>
      </c>
      <c r="U2676" s="55">
        <f t="shared" si="123"/>
        <v>1</v>
      </c>
      <c r="V2676" s="55">
        <f t="shared" si="124"/>
        <v>0</v>
      </c>
      <c r="W2676" s="56">
        <f t="shared" si="125"/>
        <v>1733.1666666666667</v>
      </c>
    </row>
    <row r="2677" spans="1:23" x14ac:dyDescent="0.3">
      <c r="A2677" s="13" t="str" cm="1">
        <f t="array" ref="A2677:B2677">INDEX(BenchmarkResults!$B$1:$D$35,SUMPRODUCT((T2677&gt;=BenchmarkResults!$F$3:$F$35)*(mongodb_hardware_log!T2677&lt;BenchmarkResults!$G$3:$G$35)*ROW(BenchmarkResults!$F$3:$F$35)),{1,3})</f>
        <v>q6_inactive_customers</v>
      </c>
      <c r="B2677">
        <v>2</v>
      </c>
      <c r="C2677" s="13">
        <v>1</v>
      </c>
      <c r="D2677" s="13">
        <v>0</v>
      </c>
      <c r="E2677" s="13">
        <v>194560</v>
      </c>
      <c r="F2677" s="13">
        <v>151684</v>
      </c>
      <c r="G2677" s="13">
        <v>6352</v>
      </c>
      <c r="H2677" s="13">
        <v>2251784</v>
      </c>
      <c r="I2677" s="13">
        <v>0</v>
      </c>
      <c r="J2677" s="13">
        <v>0</v>
      </c>
      <c r="K2677" s="13">
        <v>1928</v>
      </c>
      <c r="L2677" s="13">
        <v>1576</v>
      </c>
      <c r="M2677" s="13">
        <v>727</v>
      </c>
      <c r="N2677" s="13">
        <v>212</v>
      </c>
      <c r="O2677" s="13">
        <v>36</v>
      </c>
      <c r="P2677" s="13">
        <v>1</v>
      </c>
      <c r="Q2677" s="13">
        <v>60</v>
      </c>
      <c r="R2677" s="13">
        <v>2</v>
      </c>
      <c r="S2677" s="13">
        <v>0</v>
      </c>
      <c r="T2677" s="23">
        <v>46247.783171296294</v>
      </c>
      <c r="U2677" s="55">
        <f t="shared" si="123"/>
        <v>1</v>
      </c>
      <c r="V2677" s="55">
        <f t="shared" si="124"/>
        <v>0</v>
      </c>
      <c r="W2677" s="56">
        <f t="shared" si="125"/>
        <v>1744.8333333333333</v>
      </c>
    </row>
    <row r="2678" spans="1:23" x14ac:dyDescent="0.3">
      <c r="A2678" s="13" t="str" cm="1">
        <f t="array" ref="A2678:B2678">INDEX(BenchmarkResults!$B$1:$D$35,SUMPRODUCT((T2678&gt;=BenchmarkResults!$F$3:$F$35)*(mongodb_hardware_log!T2678&lt;BenchmarkResults!$G$3:$G$35)*ROW(BenchmarkResults!$F$3:$F$35)),{1,3})</f>
        <v>q6_inactive_customers</v>
      </c>
      <c r="B2678">
        <v>2</v>
      </c>
      <c r="C2678" s="13">
        <v>1</v>
      </c>
      <c r="D2678" s="13">
        <v>0</v>
      </c>
      <c r="E2678" s="13">
        <v>194560</v>
      </c>
      <c r="F2678" s="13">
        <v>147652</v>
      </c>
      <c r="G2678" s="13">
        <v>6364</v>
      </c>
      <c r="H2678" s="13">
        <v>2255588</v>
      </c>
      <c r="I2678" s="13">
        <v>0</v>
      </c>
      <c r="J2678" s="13">
        <v>0</v>
      </c>
      <c r="K2678" s="13">
        <v>2002</v>
      </c>
      <c r="L2678" s="13">
        <v>1576</v>
      </c>
      <c r="M2678" s="13">
        <v>727</v>
      </c>
      <c r="N2678" s="13">
        <v>213</v>
      </c>
      <c r="O2678" s="13">
        <v>36</v>
      </c>
      <c r="P2678" s="13">
        <v>1</v>
      </c>
      <c r="Q2678" s="13">
        <v>60</v>
      </c>
      <c r="R2678" s="13">
        <v>2</v>
      </c>
      <c r="S2678" s="13">
        <v>0</v>
      </c>
      <c r="T2678" s="23">
        <v>46247.783194444448</v>
      </c>
      <c r="U2678" s="55">
        <f t="shared" si="123"/>
        <v>1</v>
      </c>
      <c r="V2678" s="55">
        <f t="shared" si="124"/>
        <v>0</v>
      </c>
      <c r="W2678" s="56">
        <f t="shared" si="125"/>
        <v>1777.5</v>
      </c>
    </row>
    <row r="2679" spans="1:23" x14ac:dyDescent="0.3">
      <c r="A2679" s="13" t="str" cm="1">
        <f t="array" ref="A2679:B2679">INDEX(BenchmarkResults!$B$1:$D$35,SUMPRODUCT((T2679&gt;=BenchmarkResults!$F$3:$F$35)*(mongodb_hardware_log!T2679&lt;BenchmarkResults!$G$3:$G$35)*ROW(BenchmarkResults!$F$3:$F$35)),{1,3})</f>
        <v>q6_inactive_customers</v>
      </c>
      <c r="B2679">
        <v>2</v>
      </c>
      <c r="C2679" s="13">
        <v>1</v>
      </c>
      <c r="D2679" s="13">
        <v>0</v>
      </c>
      <c r="E2679" s="13">
        <v>194560</v>
      </c>
      <c r="F2679" s="13">
        <v>128248</v>
      </c>
      <c r="G2679" s="13">
        <v>6372</v>
      </c>
      <c r="H2679" s="13">
        <v>2271996</v>
      </c>
      <c r="I2679" s="13">
        <v>0</v>
      </c>
      <c r="J2679" s="13">
        <v>0</v>
      </c>
      <c r="K2679" s="13">
        <v>2020</v>
      </c>
      <c r="L2679" s="13">
        <v>18</v>
      </c>
      <c r="M2679" s="13">
        <v>720</v>
      </c>
      <c r="N2679" s="13">
        <v>206</v>
      </c>
      <c r="O2679" s="13">
        <v>37</v>
      </c>
      <c r="P2679" s="13">
        <v>1</v>
      </c>
      <c r="Q2679" s="13">
        <v>62</v>
      </c>
      <c r="R2679" s="13">
        <v>0</v>
      </c>
      <c r="S2679" s="13">
        <v>0</v>
      </c>
      <c r="T2679" s="23">
        <v>46247.78328703704</v>
      </c>
      <c r="U2679" s="55">
        <f t="shared" si="123"/>
        <v>1</v>
      </c>
      <c r="V2679" s="55">
        <f t="shared" si="124"/>
        <v>0</v>
      </c>
      <c r="W2679" s="56">
        <f t="shared" si="125"/>
        <v>1761.1666666666667</v>
      </c>
    </row>
    <row r="2680" spans="1:23" x14ac:dyDescent="0.3">
      <c r="A2680" s="13" t="str" cm="1">
        <f t="array" ref="A2680:B2680">INDEX(BenchmarkResults!$B$1:$D$35,SUMPRODUCT((T2680&gt;=BenchmarkResults!$F$3:$F$35)*(mongodb_hardware_log!T2680&lt;BenchmarkResults!$G$3:$G$35)*ROW(BenchmarkResults!$F$3:$F$35)),{1,3})</f>
        <v>q6_inactive_customers</v>
      </c>
      <c r="B2680">
        <v>2</v>
      </c>
      <c r="C2680" s="13">
        <v>1</v>
      </c>
      <c r="D2680" s="13">
        <v>0</v>
      </c>
      <c r="E2680" s="13">
        <v>194560</v>
      </c>
      <c r="F2680" s="13">
        <v>127492</v>
      </c>
      <c r="G2680" s="13">
        <v>6372</v>
      </c>
      <c r="H2680" s="13">
        <v>2276360</v>
      </c>
      <c r="I2680" s="13">
        <v>0</v>
      </c>
      <c r="J2680" s="13">
        <v>0</v>
      </c>
      <c r="K2680" s="13">
        <v>2079</v>
      </c>
      <c r="L2680" s="13">
        <v>10</v>
      </c>
      <c r="M2680" s="13">
        <v>729</v>
      </c>
      <c r="N2680" s="13">
        <v>210</v>
      </c>
      <c r="O2680" s="13">
        <v>36</v>
      </c>
      <c r="P2680" s="13">
        <v>1</v>
      </c>
      <c r="Q2680" s="13">
        <v>62</v>
      </c>
      <c r="R2680" s="13">
        <v>0</v>
      </c>
      <c r="S2680" s="13">
        <v>0</v>
      </c>
      <c r="T2680" s="23">
        <v>46247.783310185187</v>
      </c>
      <c r="U2680" s="55">
        <f t="shared" si="123"/>
        <v>1</v>
      </c>
      <c r="V2680" s="55">
        <f t="shared" si="124"/>
        <v>0</v>
      </c>
      <c r="W2680" s="56">
        <f t="shared" si="125"/>
        <v>1789.5</v>
      </c>
    </row>
    <row r="2681" spans="1:23" x14ac:dyDescent="0.3">
      <c r="A2681" s="13" t="str" cm="1">
        <f t="array" ref="A2681:B2681">INDEX(BenchmarkResults!$B$1:$D$35,SUMPRODUCT((T2681&gt;=BenchmarkResults!$F$3:$F$35)*(mongodb_hardware_log!T2681&lt;BenchmarkResults!$G$3:$G$35)*ROW(BenchmarkResults!$F$3:$F$35)),{1,3})</f>
        <v>q6_inactive_customers</v>
      </c>
      <c r="B2681">
        <v>2</v>
      </c>
      <c r="C2681" s="13">
        <v>1</v>
      </c>
      <c r="D2681" s="13">
        <v>0</v>
      </c>
      <c r="E2681" s="13">
        <v>194560</v>
      </c>
      <c r="F2681" s="13">
        <v>111112</v>
      </c>
      <c r="G2681" s="13">
        <v>6388</v>
      </c>
      <c r="H2681" s="13">
        <v>2291560</v>
      </c>
      <c r="I2681" s="13">
        <v>0</v>
      </c>
      <c r="J2681" s="13">
        <v>0</v>
      </c>
      <c r="K2681" s="13">
        <v>1960</v>
      </c>
      <c r="L2681" s="13">
        <v>18</v>
      </c>
      <c r="M2681" s="13">
        <v>733</v>
      </c>
      <c r="N2681" s="13">
        <v>216</v>
      </c>
      <c r="O2681" s="13">
        <v>36</v>
      </c>
      <c r="P2681" s="13">
        <v>1</v>
      </c>
      <c r="Q2681" s="13">
        <v>62</v>
      </c>
      <c r="R2681" s="13">
        <v>1</v>
      </c>
      <c r="S2681" s="13">
        <v>0</v>
      </c>
      <c r="T2681" s="23">
        <v>46247.783402777779</v>
      </c>
      <c r="U2681" s="55">
        <f t="shared" si="123"/>
        <v>1</v>
      </c>
      <c r="V2681" s="55">
        <f t="shared" si="124"/>
        <v>0</v>
      </c>
      <c r="W2681" s="56">
        <f t="shared" si="125"/>
        <v>1905.5</v>
      </c>
    </row>
    <row r="2682" spans="1:23" x14ac:dyDescent="0.3">
      <c r="A2682" s="13" t="str" cm="1">
        <f t="array" ref="A2682:B2682">INDEX(BenchmarkResults!$B$1:$D$35,SUMPRODUCT((T2682&gt;=BenchmarkResults!$F$3:$F$35)*(mongodb_hardware_log!T2682&lt;BenchmarkResults!$G$3:$G$35)*ROW(BenchmarkResults!$F$3:$F$35)),{1,3})</f>
        <v>q6_inactive_customers</v>
      </c>
      <c r="B2682">
        <v>2</v>
      </c>
      <c r="C2682" s="13">
        <v>1</v>
      </c>
      <c r="D2682" s="13">
        <v>0</v>
      </c>
      <c r="E2682" s="13">
        <v>194560</v>
      </c>
      <c r="F2682" s="13">
        <v>108088</v>
      </c>
      <c r="G2682" s="13">
        <v>6388</v>
      </c>
      <c r="H2682" s="13">
        <v>2295440</v>
      </c>
      <c r="I2682" s="13">
        <v>0</v>
      </c>
      <c r="J2682" s="13">
        <v>0</v>
      </c>
      <c r="K2682" s="13">
        <v>1901</v>
      </c>
      <c r="L2682" s="13">
        <v>18</v>
      </c>
      <c r="M2682" s="13">
        <v>722</v>
      </c>
      <c r="N2682" s="13">
        <v>210</v>
      </c>
      <c r="O2682" s="13">
        <v>37</v>
      </c>
      <c r="P2682" s="13">
        <v>1</v>
      </c>
      <c r="Q2682" s="13">
        <v>61</v>
      </c>
      <c r="R2682" s="13">
        <v>0</v>
      </c>
      <c r="S2682" s="13">
        <v>0</v>
      </c>
      <c r="T2682" s="23">
        <v>46247.783425925925</v>
      </c>
      <c r="U2682" s="55">
        <f t="shared" si="123"/>
        <v>1</v>
      </c>
      <c r="V2682" s="55">
        <f t="shared" si="124"/>
        <v>0</v>
      </c>
      <c r="W2682" s="56">
        <f t="shared" si="125"/>
        <v>1981.6666666666667</v>
      </c>
    </row>
    <row r="2683" spans="1:23" x14ac:dyDescent="0.3">
      <c r="A2683" s="13" t="str" cm="1">
        <f t="array" ref="A2683:B2683">INDEX(BenchmarkResults!$B$1:$D$35,SUMPRODUCT((T2683&gt;=BenchmarkResults!$F$3:$F$35)*(mongodb_hardware_log!T2683&lt;BenchmarkResults!$G$3:$G$35)*ROW(BenchmarkResults!$F$3:$F$35)),{1,3})</f>
        <v>q6_inactive_customers</v>
      </c>
      <c r="B2683">
        <v>2</v>
      </c>
      <c r="C2683" s="13">
        <v>1</v>
      </c>
      <c r="D2683" s="13">
        <v>0</v>
      </c>
      <c r="E2683" s="13">
        <v>194560</v>
      </c>
      <c r="F2683" s="13">
        <v>140160</v>
      </c>
      <c r="G2683" s="13">
        <v>6412</v>
      </c>
      <c r="H2683" s="13">
        <v>2255576</v>
      </c>
      <c r="I2683" s="13">
        <v>0</v>
      </c>
      <c r="J2683" s="13">
        <v>0</v>
      </c>
      <c r="K2683" s="13">
        <v>2012</v>
      </c>
      <c r="L2683" s="13">
        <v>28</v>
      </c>
      <c r="M2683" s="13">
        <v>724</v>
      </c>
      <c r="N2683" s="13">
        <v>216</v>
      </c>
      <c r="O2683" s="13">
        <v>36</v>
      </c>
      <c r="P2683" s="13">
        <v>1</v>
      </c>
      <c r="Q2683" s="13">
        <v>61</v>
      </c>
      <c r="R2683" s="13">
        <v>1</v>
      </c>
      <c r="S2683" s="13">
        <v>0</v>
      </c>
      <c r="T2683" s="23">
        <v>46247.783518518518</v>
      </c>
      <c r="U2683" s="55">
        <f t="shared" si="123"/>
        <v>1</v>
      </c>
      <c r="V2683" s="55">
        <f t="shared" si="124"/>
        <v>0</v>
      </c>
      <c r="W2683" s="56">
        <f t="shared" si="125"/>
        <v>1995.6666666666667</v>
      </c>
    </row>
    <row r="2684" spans="1:23" x14ac:dyDescent="0.3">
      <c r="A2684" s="13" t="str" cm="1">
        <f t="array" ref="A2684:B2684">INDEX(BenchmarkResults!$B$1:$D$35,SUMPRODUCT((T2684&gt;=BenchmarkResults!$F$3:$F$35)*(mongodb_hardware_log!T2684&lt;BenchmarkResults!$G$3:$G$35)*ROW(BenchmarkResults!$F$3:$F$35)),{1,3})</f>
        <v>q6_inactive_customers</v>
      </c>
      <c r="B2684">
        <v>2</v>
      </c>
      <c r="C2684" s="13">
        <v>1</v>
      </c>
      <c r="D2684" s="13">
        <v>0</v>
      </c>
      <c r="E2684" s="13">
        <v>194560</v>
      </c>
      <c r="F2684" s="13">
        <v>136128</v>
      </c>
      <c r="G2684" s="13">
        <v>6412</v>
      </c>
      <c r="H2684" s="13">
        <v>2260624</v>
      </c>
      <c r="I2684" s="13">
        <v>0</v>
      </c>
      <c r="J2684" s="13">
        <v>0</v>
      </c>
      <c r="K2684" s="13">
        <v>2142</v>
      </c>
      <c r="L2684" s="13">
        <v>28</v>
      </c>
      <c r="M2684" s="13">
        <v>731</v>
      </c>
      <c r="N2684" s="13">
        <v>221</v>
      </c>
      <c r="O2684" s="13">
        <v>36</v>
      </c>
      <c r="P2684" s="13">
        <v>1</v>
      </c>
      <c r="Q2684" s="13">
        <v>61</v>
      </c>
      <c r="R2684" s="13">
        <v>1</v>
      </c>
      <c r="S2684" s="13">
        <v>0</v>
      </c>
      <c r="T2684" s="23">
        <v>46247.783541666664</v>
      </c>
      <c r="U2684" s="55">
        <f t="shared" si="123"/>
        <v>1</v>
      </c>
      <c r="V2684" s="55">
        <f t="shared" si="124"/>
        <v>0</v>
      </c>
      <c r="W2684" s="56">
        <f t="shared" si="125"/>
        <v>2019</v>
      </c>
    </row>
    <row r="2685" spans="1:23" x14ac:dyDescent="0.3">
      <c r="A2685" s="13" t="str" cm="1">
        <f t="array" ref="A2685:B2685">INDEX(BenchmarkResults!$B$1:$D$35,SUMPRODUCT((T2685&gt;=BenchmarkResults!$F$3:$F$35)*(mongodb_hardware_log!T2685&lt;BenchmarkResults!$G$3:$G$35)*ROW(BenchmarkResults!$F$3:$F$35)),{1,3})</f>
        <v>q6_inactive_customers</v>
      </c>
      <c r="B2685">
        <v>2</v>
      </c>
      <c r="C2685" s="13">
        <v>1</v>
      </c>
      <c r="D2685" s="13">
        <v>0</v>
      </c>
      <c r="E2685" s="13">
        <v>194560</v>
      </c>
      <c r="F2685" s="13">
        <v>108912</v>
      </c>
      <c r="G2685" s="13">
        <v>6420</v>
      </c>
      <c r="H2685" s="13">
        <v>2284620</v>
      </c>
      <c r="I2685" s="13">
        <v>0</v>
      </c>
      <c r="J2685" s="13">
        <v>0</v>
      </c>
      <c r="K2685" s="13">
        <v>1575</v>
      </c>
      <c r="L2685" s="13">
        <v>9</v>
      </c>
      <c r="M2685" s="13">
        <v>701</v>
      </c>
      <c r="N2685" s="13">
        <v>196</v>
      </c>
      <c r="O2685" s="13">
        <v>36</v>
      </c>
      <c r="P2685" s="13">
        <v>1</v>
      </c>
      <c r="Q2685" s="13">
        <v>62</v>
      </c>
      <c r="R2685" s="13">
        <v>0</v>
      </c>
      <c r="S2685" s="13">
        <v>0</v>
      </c>
      <c r="T2685" s="23">
        <v>46247.783634259256</v>
      </c>
      <c r="U2685" s="55">
        <f t="shared" si="123"/>
        <v>1</v>
      </c>
      <c r="V2685" s="55">
        <f t="shared" si="124"/>
        <v>0</v>
      </c>
      <c r="W2685" s="56">
        <f t="shared" si="125"/>
        <v>1944.8333333333333</v>
      </c>
    </row>
    <row r="2686" spans="1:23" x14ac:dyDescent="0.3">
      <c r="A2686" s="13" t="str" cm="1">
        <f t="array" ref="A2686:B2686">INDEX(BenchmarkResults!$B$1:$D$35,SUMPRODUCT((T2686&gt;=BenchmarkResults!$F$3:$F$35)*(mongodb_hardware_log!T2686&lt;BenchmarkResults!$G$3:$G$35)*ROW(BenchmarkResults!$F$3:$F$35)),{1,3})</f>
        <v>q6_inactive_customers</v>
      </c>
      <c r="B2686">
        <v>2</v>
      </c>
      <c r="C2686" s="13">
        <v>1</v>
      </c>
      <c r="D2686" s="13">
        <v>0</v>
      </c>
      <c r="E2686" s="13">
        <v>194560</v>
      </c>
      <c r="F2686" s="13">
        <v>160960</v>
      </c>
      <c r="G2686" s="13">
        <v>6420</v>
      </c>
      <c r="H2686" s="13">
        <v>2234512</v>
      </c>
      <c r="I2686" s="13">
        <v>0</v>
      </c>
      <c r="J2686" s="13">
        <v>0</v>
      </c>
      <c r="K2686" s="13">
        <v>1357</v>
      </c>
      <c r="L2686" s="13">
        <v>9</v>
      </c>
      <c r="M2686" s="13">
        <v>693</v>
      </c>
      <c r="N2686" s="13">
        <v>190</v>
      </c>
      <c r="O2686" s="13">
        <v>36</v>
      </c>
      <c r="P2686" s="13">
        <v>1</v>
      </c>
      <c r="Q2686" s="13">
        <v>62</v>
      </c>
      <c r="R2686" s="13">
        <v>0</v>
      </c>
      <c r="S2686" s="13">
        <v>0</v>
      </c>
      <c r="T2686" s="23">
        <v>46247.78365740741</v>
      </c>
      <c r="U2686" s="55">
        <f t="shared" si="123"/>
        <v>1</v>
      </c>
      <c r="V2686" s="55">
        <f t="shared" si="124"/>
        <v>0</v>
      </c>
      <c r="W2686" s="56">
        <f t="shared" si="125"/>
        <v>1824.5</v>
      </c>
    </row>
    <row r="2687" spans="1:23" x14ac:dyDescent="0.3">
      <c r="A2687" s="13" t="str" cm="1">
        <f t="array" ref="A2687:B2687">INDEX(BenchmarkResults!$B$1:$D$35,SUMPRODUCT((T2687&gt;=BenchmarkResults!$F$3:$F$35)*(mongodb_hardware_log!T2687&lt;BenchmarkResults!$G$3:$G$35)*ROW(BenchmarkResults!$F$3:$F$35)),{1,3})</f>
        <v>q6_inactive_customers</v>
      </c>
      <c r="B2687">
        <v>2</v>
      </c>
      <c r="C2687" s="13">
        <v>1</v>
      </c>
      <c r="D2687" s="13">
        <v>0</v>
      </c>
      <c r="E2687" s="13">
        <v>194560</v>
      </c>
      <c r="F2687" s="13">
        <v>146120</v>
      </c>
      <c r="G2687" s="13">
        <v>6428</v>
      </c>
      <c r="H2687" s="13">
        <v>2251088</v>
      </c>
      <c r="I2687" s="13">
        <v>0</v>
      </c>
      <c r="J2687" s="13">
        <v>0</v>
      </c>
      <c r="K2687" s="13">
        <v>1939</v>
      </c>
      <c r="L2687" s="13">
        <v>14</v>
      </c>
      <c r="M2687" s="13">
        <v>734</v>
      </c>
      <c r="N2687" s="13">
        <v>220</v>
      </c>
      <c r="O2687" s="13">
        <v>37</v>
      </c>
      <c r="P2687" s="13">
        <v>1</v>
      </c>
      <c r="Q2687" s="13">
        <v>61</v>
      </c>
      <c r="R2687" s="13">
        <v>1</v>
      </c>
      <c r="S2687" s="13">
        <v>0</v>
      </c>
      <c r="T2687" s="23">
        <v>46247.783750000002</v>
      </c>
      <c r="U2687" s="55">
        <f t="shared" si="123"/>
        <v>1</v>
      </c>
      <c r="V2687" s="55">
        <f t="shared" si="124"/>
        <v>0</v>
      </c>
      <c r="W2687" s="56">
        <f t="shared" si="125"/>
        <v>1821</v>
      </c>
    </row>
    <row r="2688" spans="1:23" x14ac:dyDescent="0.3">
      <c r="A2688" s="13" t="str" cm="1">
        <f t="array" ref="A2688:B2688">INDEX(BenchmarkResults!$B$1:$D$35,SUMPRODUCT((T2688&gt;=BenchmarkResults!$F$3:$F$35)*(mongodb_hardware_log!T2688&lt;BenchmarkResults!$G$3:$G$35)*ROW(BenchmarkResults!$F$3:$F$35)),{1,3})</f>
        <v>q6_inactive_customers</v>
      </c>
      <c r="B2688">
        <v>2</v>
      </c>
      <c r="C2688" s="13">
        <v>2</v>
      </c>
      <c r="D2688" s="13">
        <v>0</v>
      </c>
      <c r="E2688" s="13">
        <v>194560</v>
      </c>
      <c r="F2688" s="13">
        <v>142592</v>
      </c>
      <c r="G2688" s="13">
        <v>6436</v>
      </c>
      <c r="H2688" s="13">
        <v>2253656</v>
      </c>
      <c r="I2688" s="13">
        <v>0</v>
      </c>
      <c r="J2688" s="13">
        <v>0</v>
      </c>
      <c r="K2688" s="13">
        <v>1906</v>
      </c>
      <c r="L2688" s="13">
        <v>20</v>
      </c>
      <c r="M2688" s="13">
        <v>734</v>
      </c>
      <c r="N2688" s="13">
        <v>222</v>
      </c>
      <c r="O2688" s="13">
        <v>37</v>
      </c>
      <c r="P2688" s="13">
        <v>1</v>
      </c>
      <c r="Q2688" s="13">
        <v>61</v>
      </c>
      <c r="R2688" s="13">
        <v>1</v>
      </c>
      <c r="S2688" s="13">
        <v>0</v>
      </c>
      <c r="T2688" s="23">
        <v>46247.783773148149</v>
      </c>
      <c r="U2688" s="55">
        <f t="shared" si="123"/>
        <v>1.1666666666666667</v>
      </c>
      <c r="V2688" s="55">
        <f t="shared" si="124"/>
        <v>0</v>
      </c>
      <c r="W2688" s="56">
        <f t="shared" si="125"/>
        <v>1821.8333333333333</v>
      </c>
    </row>
    <row r="2689" spans="1:23" x14ac:dyDescent="0.3">
      <c r="A2689" s="13" t="str" cm="1">
        <f t="array" ref="A2689:B2689">INDEX(BenchmarkResults!$B$1:$D$35,SUMPRODUCT((T2689&gt;=BenchmarkResults!$F$3:$F$35)*(mongodb_hardware_log!T2689&lt;BenchmarkResults!$G$3:$G$35)*ROW(BenchmarkResults!$F$3:$F$35)),{1,3})</f>
        <v>q6_inactive_customers</v>
      </c>
      <c r="B2689">
        <v>2</v>
      </c>
      <c r="C2689" s="13">
        <v>1</v>
      </c>
      <c r="D2689" s="13">
        <v>0</v>
      </c>
      <c r="E2689" s="13">
        <v>194560</v>
      </c>
      <c r="F2689" s="13">
        <v>745832</v>
      </c>
      <c r="G2689" s="13">
        <v>6444</v>
      </c>
      <c r="H2689" s="13">
        <v>1624520</v>
      </c>
      <c r="I2689" s="13">
        <v>0</v>
      </c>
      <c r="J2689" s="13">
        <v>0</v>
      </c>
      <c r="K2689" s="13">
        <v>1593</v>
      </c>
      <c r="L2689" s="13">
        <v>19</v>
      </c>
      <c r="M2689" s="13">
        <v>1061</v>
      </c>
      <c r="N2689" s="13">
        <v>470</v>
      </c>
      <c r="O2689" s="13">
        <v>38</v>
      </c>
      <c r="P2689" s="13">
        <v>13</v>
      </c>
      <c r="Q2689" s="13">
        <v>48</v>
      </c>
      <c r="R2689" s="13">
        <v>1</v>
      </c>
      <c r="S2689" s="13">
        <v>0</v>
      </c>
      <c r="T2689" s="23">
        <v>46247.783865740741</v>
      </c>
      <c r="U2689" s="55">
        <f t="shared" si="123"/>
        <v>1.1666666666666667</v>
      </c>
      <c r="V2689" s="55">
        <f t="shared" si="124"/>
        <v>0</v>
      </c>
      <c r="W2689" s="56">
        <f t="shared" si="125"/>
        <v>1752</v>
      </c>
    </row>
    <row r="2690" spans="1:23" x14ac:dyDescent="0.3">
      <c r="A2690" s="13" t="str" cm="1">
        <f t="array" ref="A2690:B2690">INDEX(BenchmarkResults!$B$1:$D$35,SUMPRODUCT((T2690&gt;=BenchmarkResults!$F$3:$F$35)*(mongodb_hardware_log!T2690&lt;BenchmarkResults!$G$3:$G$35)*ROW(BenchmarkResults!$F$3:$F$35)),{1,3})</f>
        <v>q6_inactive_customers</v>
      </c>
      <c r="B2690">
        <v>2</v>
      </c>
      <c r="C2690" s="13">
        <v>1</v>
      </c>
      <c r="D2690" s="13">
        <v>0</v>
      </c>
      <c r="E2690" s="13">
        <v>194560</v>
      </c>
      <c r="F2690" s="13">
        <v>748112</v>
      </c>
      <c r="G2690" s="13">
        <v>6444</v>
      </c>
      <c r="H2690" s="13">
        <v>1628316</v>
      </c>
      <c r="I2690" s="13">
        <v>0</v>
      </c>
      <c r="J2690" s="13">
        <v>0</v>
      </c>
      <c r="K2690" s="13">
        <v>1712</v>
      </c>
      <c r="L2690" s="13">
        <v>13</v>
      </c>
      <c r="M2690" s="13">
        <v>1070</v>
      </c>
      <c r="N2690" s="13">
        <v>473</v>
      </c>
      <c r="O2690" s="13">
        <v>38</v>
      </c>
      <c r="P2690" s="13">
        <v>13</v>
      </c>
      <c r="Q2690" s="13">
        <v>48</v>
      </c>
      <c r="R2690" s="13">
        <v>1</v>
      </c>
      <c r="S2690" s="13">
        <v>0</v>
      </c>
      <c r="T2690" s="23">
        <v>46247.783888888887</v>
      </c>
      <c r="U2690" s="55">
        <f t="shared" si="123"/>
        <v>1.1666666666666667</v>
      </c>
      <c r="V2690" s="55">
        <f t="shared" si="124"/>
        <v>0</v>
      </c>
      <c r="W2690" s="56">
        <f t="shared" si="125"/>
        <v>1680.3333333333333</v>
      </c>
    </row>
    <row r="2691" spans="1:23" x14ac:dyDescent="0.3">
      <c r="A2691" s="13" t="str" cm="1">
        <f t="array" ref="A2691:B2691">INDEX(BenchmarkResults!$B$1:$D$35,SUMPRODUCT((T2691&gt;=BenchmarkResults!$F$3:$F$35)*(mongodb_hardware_log!T2691&lt;BenchmarkResults!$G$3:$G$35)*ROW(BenchmarkResults!$F$3:$F$35)),{1,3})</f>
        <v>q6_inactive_customers</v>
      </c>
      <c r="B2691">
        <v>2</v>
      </c>
      <c r="C2691" s="13">
        <v>1</v>
      </c>
      <c r="D2691" s="13">
        <v>0</v>
      </c>
      <c r="E2691" s="13">
        <v>194560</v>
      </c>
      <c r="F2691" s="13">
        <v>741308</v>
      </c>
      <c r="G2691" s="13">
        <v>6456</v>
      </c>
      <c r="H2691" s="13">
        <v>1641276</v>
      </c>
      <c r="I2691" s="13">
        <v>0</v>
      </c>
      <c r="J2691" s="13">
        <v>0</v>
      </c>
      <c r="K2691" s="13">
        <v>1680</v>
      </c>
      <c r="L2691" s="13">
        <v>1578</v>
      </c>
      <c r="M2691" s="13">
        <v>725</v>
      </c>
      <c r="N2691" s="13">
        <v>208</v>
      </c>
      <c r="O2691" s="13">
        <v>36</v>
      </c>
      <c r="P2691" s="13">
        <v>1</v>
      </c>
      <c r="Q2691" s="13">
        <v>60</v>
      </c>
      <c r="R2691" s="13">
        <v>2</v>
      </c>
      <c r="S2691" s="13">
        <v>1</v>
      </c>
      <c r="T2691" s="23">
        <v>46247.78398148148</v>
      </c>
      <c r="U2691" s="55">
        <f t="shared" si="123"/>
        <v>1.1666666666666667</v>
      </c>
      <c r="V2691" s="55">
        <f t="shared" si="124"/>
        <v>0</v>
      </c>
      <c r="W2691" s="56">
        <f t="shared" si="125"/>
        <v>1697.8333333333333</v>
      </c>
    </row>
    <row r="2692" spans="1:23" x14ac:dyDescent="0.3">
      <c r="A2692" s="13" t="str" cm="1">
        <f t="array" ref="A2692:B2692">INDEX(BenchmarkResults!$B$1:$D$35,SUMPRODUCT((T2692&gt;=BenchmarkResults!$F$3:$F$35)*(mongodb_hardware_log!T2692&lt;BenchmarkResults!$G$3:$G$35)*ROW(BenchmarkResults!$F$3:$F$35)),{1,3})</f>
        <v>q6_inactive_customers</v>
      </c>
      <c r="B2692">
        <v>2</v>
      </c>
      <c r="C2692" s="13">
        <v>1</v>
      </c>
      <c r="D2692" s="13">
        <v>0</v>
      </c>
      <c r="E2692" s="13">
        <v>194560</v>
      </c>
      <c r="F2692" s="13">
        <v>737780</v>
      </c>
      <c r="G2692" s="13">
        <v>6464</v>
      </c>
      <c r="H2692" s="13">
        <v>1645664</v>
      </c>
      <c r="I2692" s="13">
        <v>0</v>
      </c>
      <c r="J2692" s="13">
        <v>0</v>
      </c>
      <c r="K2692" s="13">
        <v>1732</v>
      </c>
      <c r="L2692" s="13">
        <v>1585</v>
      </c>
      <c r="M2692" s="13">
        <v>720</v>
      </c>
      <c r="N2692" s="13">
        <v>205</v>
      </c>
      <c r="O2692" s="13">
        <v>36</v>
      </c>
      <c r="P2692" s="13">
        <v>2</v>
      </c>
      <c r="Q2692" s="13">
        <v>60</v>
      </c>
      <c r="R2692" s="13">
        <v>2</v>
      </c>
      <c r="S2692" s="13">
        <v>1</v>
      </c>
      <c r="T2692" s="23">
        <v>46247.784004629626</v>
      </c>
      <c r="U2692" s="55">
        <f t="shared" si="123"/>
        <v>1.1666666666666667</v>
      </c>
      <c r="V2692" s="55">
        <f t="shared" si="124"/>
        <v>0</v>
      </c>
      <c r="W2692" s="56">
        <f t="shared" si="125"/>
        <v>1760.3333333333333</v>
      </c>
    </row>
    <row r="2693" spans="1:23" x14ac:dyDescent="0.3">
      <c r="A2693" s="13" t="str" cm="1">
        <f t="array" ref="A2693:B2693">INDEX(BenchmarkResults!$B$1:$D$35,SUMPRODUCT((T2693&gt;=BenchmarkResults!$F$3:$F$35)*(mongodb_hardware_log!T2693&lt;BenchmarkResults!$G$3:$G$35)*ROW(BenchmarkResults!$F$3:$F$35)),{1,3})</f>
        <v>q6_inactive_customers</v>
      </c>
      <c r="B2693">
        <v>2</v>
      </c>
      <c r="C2693" s="13">
        <v>1</v>
      </c>
      <c r="D2693" s="13">
        <v>0</v>
      </c>
      <c r="E2693" s="13">
        <v>194560</v>
      </c>
      <c r="F2693" s="13">
        <v>720392</v>
      </c>
      <c r="G2693" s="13">
        <v>6472</v>
      </c>
      <c r="H2693" s="13">
        <v>1660472</v>
      </c>
      <c r="I2693" s="13">
        <v>0</v>
      </c>
      <c r="J2693" s="13">
        <v>0</v>
      </c>
      <c r="K2693" s="13">
        <v>1913</v>
      </c>
      <c r="L2693" s="13">
        <v>14</v>
      </c>
      <c r="M2693" s="13">
        <v>732</v>
      </c>
      <c r="N2693" s="13">
        <v>204</v>
      </c>
      <c r="O2693" s="13">
        <v>36</v>
      </c>
      <c r="P2693" s="13">
        <v>1</v>
      </c>
      <c r="Q2693" s="13">
        <v>62</v>
      </c>
      <c r="R2693" s="13">
        <v>0</v>
      </c>
      <c r="S2693" s="13">
        <v>1</v>
      </c>
      <c r="T2693" s="23">
        <v>46247.784097222226</v>
      </c>
      <c r="U2693" s="55">
        <f t="shared" si="123"/>
        <v>1.1666666666666667</v>
      </c>
      <c r="V2693" s="55">
        <f t="shared" si="124"/>
        <v>0</v>
      </c>
      <c r="W2693" s="56">
        <f t="shared" si="125"/>
        <v>1756</v>
      </c>
    </row>
    <row r="2694" spans="1:23" x14ac:dyDescent="0.3">
      <c r="A2694" s="13" t="str" cm="1">
        <f t="array" ref="A2694:B2694">INDEX(BenchmarkResults!$B$1:$D$35,SUMPRODUCT((T2694&gt;=BenchmarkResults!$F$3:$F$35)*(mongodb_hardware_log!T2694&lt;BenchmarkResults!$G$3:$G$35)*ROW(BenchmarkResults!$F$3:$F$35)),{1,3})</f>
        <v>q6_inactive_customers</v>
      </c>
      <c r="B2694">
        <v>2</v>
      </c>
      <c r="C2694" s="13">
        <v>0</v>
      </c>
      <c r="D2694" s="13">
        <v>1</v>
      </c>
      <c r="E2694" s="13">
        <v>194560</v>
      </c>
      <c r="F2694" s="13">
        <v>720392</v>
      </c>
      <c r="G2694" s="13">
        <v>6472</v>
      </c>
      <c r="H2694" s="13">
        <v>1663920</v>
      </c>
      <c r="I2694" s="13">
        <v>0</v>
      </c>
      <c r="J2694" s="13">
        <v>0</v>
      </c>
      <c r="K2694" s="13">
        <v>1827</v>
      </c>
      <c r="L2694" s="13">
        <v>6</v>
      </c>
      <c r="M2694" s="13">
        <v>732</v>
      </c>
      <c r="N2694" s="13">
        <v>203</v>
      </c>
      <c r="O2694" s="13">
        <v>36</v>
      </c>
      <c r="P2694" s="13">
        <v>1</v>
      </c>
      <c r="Q2694" s="13">
        <v>61</v>
      </c>
      <c r="R2694" s="13">
        <v>0</v>
      </c>
      <c r="S2694" s="13">
        <v>1</v>
      </c>
      <c r="T2694" s="23">
        <v>46247.784120370372</v>
      </c>
      <c r="U2694" s="55">
        <f t="shared" si="123"/>
        <v>0.83333333333333337</v>
      </c>
      <c r="V2694" s="55">
        <f t="shared" si="124"/>
        <v>0.16666666666666666</v>
      </c>
      <c r="W2694" s="56">
        <f t="shared" si="125"/>
        <v>1742.8333333333333</v>
      </c>
    </row>
    <row r="2695" spans="1:23" x14ac:dyDescent="0.3">
      <c r="A2695" s="13" t="str" cm="1">
        <f t="array" ref="A2695:B2695">INDEX(BenchmarkResults!$B$1:$D$35,SUMPRODUCT((T2695&gt;=BenchmarkResults!$F$3:$F$35)*(mongodb_hardware_log!T2695&lt;BenchmarkResults!$G$3:$G$35)*ROW(BenchmarkResults!$F$3:$F$35)),{1,3})</f>
        <v>q6_inactive_customers</v>
      </c>
      <c r="B2695">
        <v>2</v>
      </c>
      <c r="C2695" s="13">
        <v>1</v>
      </c>
      <c r="D2695" s="13">
        <v>0</v>
      </c>
      <c r="E2695" s="13">
        <v>194560</v>
      </c>
      <c r="F2695" s="13">
        <v>705020</v>
      </c>
      <c r="G2695" s="13">
        <v>6520</v>
      </c>
      <c r="H2695" s="13">
        <v>1680064</v>
      </c>
      <c r="I2695" s="13">
        <v>0</v>
      </c>
      <c r="J2695" s="13">
        <v>0</v>
      </c>
      <c r="K2695" s="13">
        <v>1950</v>
      </c>
      <c r="L2695" s="13">
        <v>30</v>
      </c>
      <c r="M2695" s="13">
        <v>748</v>
      </c>
      <c r="N2695" s="13">
        <v>230</v>
      </c>
      <c r="O2695" s="13">
        <v>35</v>
      </c>
      <c r="P2695" s="13">
        <v>1</v>
      </c>
      <c r="Q2695" s="13">
        <v>62</v>
      </c>
      <c r="R2695" s="13">
        <v>1</v>
      </c>
      <c r="S2695" s="13">
        <v>0</v>
      </c>
      <c r="T2695" s="23">
        <v>46247.784212962964</v>
      </c>
      <c r="U2695" s="55">
        <f t="shared" si="123"/>
        <v>0.83333333333333337</v>
      </c>
      <c r="V2695" s="55">
        <f t="shared" si="124"/>
        <v>0.16666666666666666</v>
      </c>
      <c r="W2695" s="56">
        <f t="shared" si="125"/>
        <v>1802.3333333333333</v>
      </c>
    </row>
    <row r="2696" spans="1:23" x14ac:dyDescent="0.3">
      <c r="A2696" s="13" t="str" cm="1">
        <f t="array" ref="A2696:B2696">INDEX(BenchmarkResults!$B$1:$D$35,SUMPRODUCT((T2696&gt;=BenchmarkResults!$F$3:$F$35)*(mongodb_hardware_log!T2696&lt;BenchmarkResults!$G$3:$G$35)*ROW(BenchmarkResults!$F$3:$F$35)),{1,3})</f>
        <v>q6_inactive_customers</v>
      </c>
      <c r="B2696">
        <v>2</v>
      </c>
      <c r="C2696" s="13">
        <v>1</v>
      </c>
      <c r="D2696" s="13">
        <v>0</v>
      </c>
      <c r="E2696" s="13">
        <v>194560</v>
      </c>
      <c r="F2696" s="13">
        <v>700988</v>
      </c>
      <c r="G2696" s="13">
        <v>6520</v>
      </c>
      <c r="H2696" s="13">
        <v>1683060</v>
      </c>
      <c r="I2696" s="13">
        <v>0</v>
      </c>
      <c r="J2696" s="13">
        <v>0</v>
      </c>
      <c r="K2696" s="13">
        <v>1909</v>
      </c>
      <c r="L2696" s="13">
        <v>30</v>
      </c>
      <c r="M2696" s="13">
        <v>761</v>
      </c>
      <c r="N2696" s="13">
        <v>247</v>
      </c>
      <c r="O2696" s="13">
        <v>35</v>
      </c>
      <c r="P2696" s="13">
        <v>1</v>
      </c>
      <c r="Q2696" s="13">
        <v>62</v>
      </c>
      <c r="R2696" s="13">
        <v>1</v>
      </c>
      <c r="S2696" s="13">
        <v>0</v>
      </c>
      <c r="T2696" s="23">
        <v>46247.784236111111</v>
      </c>
      <c r="U2696" s="55">
        <f t="shared" si="123"/>
        <v>0.83333333333333337</v>
      </c>
      <c r="V2696" s="55">
        <f t="shared" si="124"/>
        <v>0.16666666666666666</v>
      </c>
      <c r="W2696" s="56">
        <f t="shared" si="125"/>
        <v>1835.1666666666667</v>
      </c>
    </row>
    <row r="2697" spans="1:23" x14ac:dyDescent="0.3">
      <c r="A2697" s="13" t="str" cm="1">
        <f t="array" ref="A2697:B2697">INDEX(BenchmarkResults!$B$1:$D$35,SUMPRODUCT((T2697&gt;=BenchmarkResults!$F$3:$F$35)*(mongodb_hardware_log!T2697&lt;BenchmarkResults!$G$3:$G$35)*ROW(BenchmarkResults!$F$3:$F$35)),{1,3})</f>
        <v>q6_inactive_customers</v>
      </c>
      <c r="B2697">
        <v>2</v>
      </c>
      <c r="C2697" s="13">
        <v>1</v>
      </c>
      <c r="D2697" s="13">
        <v>0</v>
      </c>
      <c r="E2697" s="13">
        <v>194560</v>
      </c>
      <c r="F2697" s="13">
        <v>687152</v>
      </c>
      <c r="G2697" s="13">
        <v>6528</v>
      </c>
      <c r="H2697" s="13">
        <v>1709820</v>
      </c>
      <c r="I2697" s="13">
        <v>0</v>
      </c>
      <c r="J2697" s="13">
        <v>0</v>
      </c>
      <c r="K2697" s="13">
        <v>1416</v>
      </c>
      <c r="L2697" s="13">
        <v>11</v>
      </c>
      <c r="M2697" s="13">
        <v>713</v>
      </c>
      <c r="N2697" s="13">
        <v>208</v>
      </c>
      <c r="O2697" s="13">
        <v>36</v>
      </c>
      <c r="P2697" s="13">
        <v>2</v>
      </c>
      <c r="Q2697" s="13">
        <v>62</v>
      </c>
      <c r="R2697" s="13">
        <v>0</v>
      </c>
      <c r="S2697" s="13">
        <v>0</v>
      </c>
      <c r="T2697" s="23">
        <v>46247.784328703703</v>
      </c>
      <c r="U2697" s="55">
        <f t="shared" ref="U2697:U2760" si="126">AVERAGE(C2692:C2697)</f>
        <v>0.83333333333333337</v>
      </c>
      <c r="V2697" s="55">
        <f t="shared" ref="V2697:V2760" si="127">AVERAGE(D2692:D2697)</f>
        <v>0.16666666666666666</v>
      </c>
      <c r="W2697" s="56">
        <f t="shared" ref="W2697:W2760" si="128">AVERAGE(K2692:K2697)</f>
        <v>1791.1666666666667</v>
      </c>
    </row>
    <row r="2698" spans="1:23" x14ac:dyDescent="0.3">
      <c r="A2698" s="13" t="str" cm="1">
        <f t="array" ref="A2698:B2698">INDEX(BenchmarkResults!$B$1:$D$35,SUMPRODUCT((T2698&gt;=BenchmarkResults!$F$3:$F$35)*(mongodb_hardware_log!T2698&lt;BenchmarkResults!$G$3:$G$35)*ROW(BenchmarkResults!$F$3:$F$35)),{1,3})</f>
        <v>q6_inactive_customers</v>
      </c>
      <c r="B2698">
        <v>2</v>
      </c>
      <c r="C2698" s="13">
        <v>1</v>
      </c>
      <c r="D2698" s="13">
        <v>0</v>
      </c>
      <c r="E2698" s="13">
        <v>194560</v>
      </c>
      <c r="F2698" s="13">
        <v>687152</v>
      </c>
      <c r="G2698" s="13">
        <v>6528</v>
      </c>
      <c r="H2698" s="13">
        <v>1712260</v>
      </c>
      <c r="I2698" s="13">
        <v>0</v>
      </c>
      <c r="J2698" s="13">
        <v>0</v>
      </c>
      <c r="K2698" s="13">
        <v>1363</v>
      </c>
      <c r="L2698" s="13">
        <v>11</v>
      </c>
      <c r="M2698" s="13">
        <v>700</v>
      </c>
      <c r="N2698" s="13">
        <v>194</v>
      </c>
      <c r="O2698" s="13">
        <v>36</v>
      </c>
      <c r="P2698" s="13">
        <v>1</v>
      </c>
      <c r="Q2698" s="13">
        <v>62</v>
      </c>
      <c r="R2698" s="13">
        <v>0</v>
      </c>
      <c r="S2698" s="13">
        <v>0</v>
      </c>
      <c r="T2698" s="23">
        <v>46247.784351851849</v>
      </c>
      <c r="U2698" s="55">
        <f t="shared" si="126"/>
        <v>0.83333333333333337</v>
      </c>
      <c r="V2698" s="55">
        <f t="shared" si="127"/>
        <v>0.16666666666666666</v>
      </c>
      <c r="W2698" s="56">
        <f t="shared" si="128"/>
        <v>1729.6666666666667</v>
      </c>
    </row>
    <row r="2699" spans="1:23" x14ac:dyDescent="0.3">
      <c r="A2699" s="13" t="str" cm="1">
        <f t="array" ref="A2699:B2699">INDEX(BenchmarkResults!$B$1:$D$35,SUMPRODUCT((T2699&gt;=BenchmarkResults!$F$3:$F$35)*(mongodb_hardware_log!T2699&lt;BenchmarkResults!$G$3:$G$35)*ROW(BenchmarkResults!$F$3:$F$35)),{1,3})</f>
        <v>q6_inactive_customers</v>
      </c>
      <c r="B2699">
        <v>2</v>
      </c>
      <c r="C2699" s="13">
        <v>1</v>
      </c>
      <c r="D2699" s="13">
        <v>0</v>
      </c>
      <c r="E2699" s="13">
        <v>194560</v>
      </c>
      <c r="F2699" s="13">
        <v>671276</v>
      </c>
      <c r="G2699" s="13">
        <v>6536</v>
      </c>
      <c r="H2699" s="13">
        <v>1729640</v>
      </c>
      <c r="I2699" s="13">
        <v>0</v>
      </c>
      <c r="J2699" s="13">
        <v>0</v>
      </c>
      <c r="K2699" s="13">
        <v>1979</v>
      </c>
      <c r="L2699" s="13">
        <v>9</v>
      </c>
      <c r="M2699" s="13">
        <v>722</v>
      </c>
      <c r="N2699" s="13">
        <v>209</v>
      </c>
      <c r="O2699" s="13">
        <v>36</v>
      </c>
      <c r="P2699" s="13">
        <v>1</v>
      </c>
      <c r="Q2699" s="13">
        <v>62</v>
      </c>
      <c r="R2699" s="13">
        <v>0</v>
      </c>
      <c r="S2699" s="13">
        <v>0</v>
      </c>
      <c r="T2699" s="23">
        <v>46247.784444444442</v>
      </c>
      <c r="U2699" s="55">
        <f t="shared" si="126"/>
        <v>0.83333333333333337</v>
      </c>
      <c r="V2699" s="55">
        <f t="shared" si="127"/>
        <v>0.16666666666666666</v>
      </c>
      <c r="W2699" s="56">
        <f t="shared" si="128"/>
        <v>1740.6666666666667</v>
      </c>
    </row>
    <row r="2700" spans="1:23" x14ac:dyDescent="0.3">
      <c r="A2700" s="13" t="str" cm="1">
        <f t="array" ref="A2700:B2700">INDEX(BenchmarkResults!$B$1:$D$35,SUMPRODUCT((T2700&gt;=BenchmarkResults!$F$3:$F$35)*(mongodb_hardware_log!T2700&lt;BenchmarkResults!$G$3:$G$35)*ROW(BenchmarkResults!$F$3:$F$35)),{1,3})</f>
        <v>q6_inactive_customers</v>
      </c>
      <c r="B2700">
        <v>2</v>
      </c>
      <c r="C2700" s="13">
        <v>1</v>
      </c>
      <c r="D2700" s="13">
        <v>0</v>
      </c>
      <c r="E2700" s="13">
        <v>194560</v>
      </c>
      <c r="F2700" s="13">
        <v>669512</v>
      </c>
      <c r="G2700" s="13">
        <v>6544</v>
      </c>
      <c r="H2700" s="13">
        <v>1734196</v>
      </c>
      <c r="I2700" s="13">
        <v>0</v>
      </c>
      <c r="J2700" s="13">
        <v>0</v>
      </c>
      <c r="K2700" s="13">
        <v>2186</v>
      </c>
      <c r="L2700" s="13">
        <v>22</v>
      </c>
      <c r="M2700" s="13">
        <v>737</v>
      </c>
      <c r="N2700" s="13">
        <v>219</v>
      </c>
      <c r="O2700" s="13">
        <v>35</v>
      </c>
      <c r="P2700" s="13">
        <v>2</v>
      </c>
      <c r="Q2700" s="13">
        <v>62</v>
      </c>
      <c r="R2700" s="13">
        <v>0</v>
      </c>
      <c r="S2700" s="13">
        <v>0</v>
      </c>
      <c r="T2700" s="23">
        <v>46247.784467592595</v>
      </c>
      <c r="U2700" s="55">
        <f t="shared" si="126"/>
        <v>1</v>
      </c>
      <c r="V2700" s="55">
        <f t="shared" si="127"/>
        <v>0</v>
      </c>
      <c r="W2700" s="56">
        <f t="shared" si="128"/>
        <v>1800.5</v>
      </c>
    </row>
    <row r="2701" spans="1:23" x14ac:dyDescent="0.3">
      <c r="A2701" s="13" t="str" cm="1">
        <f t="array" ref="A2701:B2701">INDEX(BenchmarkResults!$B$1:$D$35,SUMPRODUCT((T2701&gt;=BenchmarkResults!$F$3:$F$35)*(mongodb_hardware_log!T2701&lt;BenchmarkResults!$G$3:$G$35)*ROW(BenchmarkResults!$F$3:$F$35)),{1,3})</f>
        <v>q6_inactive_customers</v>
      </c>
      <c r="B2701">
        <v>2</v>
      </c>
      <c r="C2701" s="13">
        <v>1</v>
      </c>
      <c r="D2701" s="13">
        <v>0</v>
      </c>
      <c r="E2701" s="13">
        <v>194560</v>
      </c>
      <c r="F2701" s="13">
        <v>644060</v>
      </c>
      <c r="G2701" s="13">
        <v>6552</v>
      </c>
      <c r="H2701" s="13">
        <v>1749360</v>
      </c>
      <c r="I2701" s="13">
        <v>0</v>
      </c>
      <c r="J2701" s="13">
        <v>0</v>
      </c>
      <c r="K2701" s="13">
        <v>1980</v>
      </c>
      <c r="L2701" s="13">
        <v>21</v>
      </c>
      <c r="M2701" s="13">
        <v>821</v>
      </c>
      <c r="N2701" s="13">
        <v>310</v>
      </c>
      <c r="O2701" s="13">
        <v>36</v>
      </c>
      <c r="P2701" s="13">
        <v>2</v>
      </c>
      <c r="Q2701" s="13">
        <v>62</v>
      </c>
      <c r="R2701" s="13">
        <v>1</v>
      </c>
      <c r="S2701" s="13">
        <v>0</v>
      </c>
      <c r="T2701" s="23">
        <v>46247.784560185188</v>
      </c>
      <c r="U2701" s="55">
        <f t="shared" si="126"/>
        <v>1</v>
      </c>
      <c r="V2701" s="55">
        <f t="shared" si="127"/>
        <v>0</v>
      </c>
      <c r="W2701" s="56">
        <f t="shared" si="128"/>
        <v>1805.5</v>
      </c>
    </row>
    <row r="2702" spans="1:23" x14ac:dyDescent="0.3">
      <c r="A2702" s="13" t="str" cm="1">
        <f t="array" ref="A2702:B2702">INDEX(BenchmarkResults!$B$1:$D$35,SUMPRODUCT((T2702&gt;=BenchmarkResults!$F$3:$F$35)*(mongodb_hardware_log!T2702&lt;BenchmarkResults!$G$3:$G$35)*ROW(BenchmarkResults!$F$3:$F$35)),{1,3})</f>
        <v>q6_inactive_customers</v>
      </c>
      <c r="B2702">
        <v>2</v>
      </c>
      <c r="C2702" s="13">
        <v>1</v>
      </c>
      <c r="D2702" s="13">
        <v>0</v>
      </c>
      <c r="E2702" s="13">
        <v>194560</v>
      </c>
      <c r="F2702" s="13">
        <v>644060</v>
      </c>
      <c r="G2702" s="13">
        <v>6552</v>
      </c>
      <c r="H2702" s="13">
        <v>1752608</v>
      </c>
      <c r="I2702" s="13">
        <v>0</v>
      </c>
      <c r="J2702" s="13">
        <v>0</v>
      </c>
      <c r="K2702" s="13">
        <v>1840</v>
      </c>
      <c r="L2702" s="13">
        <v>8</v>
      </c>
      <c r="M2702" s="13">
        <v>804</v>
      </c>
      <c r="N2702" s="13">
        <v>296</v>
      </c>
      <c r="O2702" s="13">
        <v>36</v>
      </c>
      <c r="P2702" s="13">
        <v>1</v>
      </c>
      <c r="Q2702" s="13">
        <v>62</v>
      </c>
      <c r="R2702" s="13">
        <v>0</v>
      </c>
      <c r="S2702" s="13">
        <v>0</v>
      </c>
      <c r="T2702" s="23">
        <v>46247.784583333334</v>
      </c>
      <c r="U2702" s="55">
        <f t="shared" si="126"/>
        <v>1</v>
      </c>
      <c r="V2702" s="55">
        <f t="shared" si="127"/>
        <v>0</v>
      </c>
      <c r="W2702" s="56">
        <f t="shared" si="128"/>
        <v>1794</v>
      </c>
    </row>
    <row r="2703" spans="1:23" x14ac:dyDescent="0.3">
      <c r="A2703" s="13" t="str" cm="1">
        <f t="array" ref="A2703:B2703">INDEX(BenchmarkResults!$B$1:$D$35,SUMPRODUCT((T2703&gt;=BenchmarkResults!$F$3:$F$35)*(mongodb_hardware_log!T2703&lt;BenchmarkResults!$G$3:$G$35)*ROW(BenchmarkResults!$F$3:$F$35)),{1,3})</f>
        <v>q6_inactive_customers</v>
      </c>
      <c r="B2703">
        <v>2</v>
      </c>
      <c r="C2703" s="13">
        <v>1</v>
      </c>
      <c r="D2703" s="13">
        <v>0</v>
      </c>
      <c r="E2703" s="13">
        <v>194560</v>
      </c>
      <c r="F2703" s="13">
        <v>632720</v>
      </c>
      <c r="G2703" s="13">
        <v>6560</v>
      </c>
      <c r="H2703" s="13">
        <v>1768664</v>
      </c>
      <c r="I2703" s="13">
        <v>0</v>
      </c>
      <c r="J2703" s="13">
        <v>0</v>
      </c>
      <c r="K2703" s="13">
        <v>1925</v>
      </c>
      <c r="L2703" s="13">
        <v>5</v>
      </c>
      <c r="M2703" s="13">
        <v>722</v>
      </c>
      <c r="N2703" s="13">
        <v>204</v>
      </c>
      <c r="O2703" s="13">
        <v>36</v>
      </c>
      <c r="P2703" s="13">
        <v>2</v>
      </c>
      <c r="Q2703" s="13">
        <v>62</v>
      </c>
      <c r="R2703" s="13">
        <v>0</v>
      </c>
      <c r="S2703" s="13">
        <v>0</v>
      </c>
      <c r="T2703" s="23">
        <v>46247.784675925926</v>
      </c>
      <c r="U2703" s="55">
        <f t="shared" si="126"/>
        <v>1</v>
      </c>
      <c r="V2703" s="55">
        <f t="shared" si="127"/>
        <v>0</v>
      </c>
      <c r="W2703" s="56">
        <f t="shared" si="128"/>
        <v>1878.8333333333333</v>
      </c>
    </row>
    <row r="2704" spans="1:23" x14ac:dyDescent="0.3">
      <c r="A2704" s="13" t="str" cm="1">
        <f t="array" ref="A2704:B2704">INDEX(BenchmarkResults!$B$1:$D$35,SUMPRODUCT((T2704&gt;=BenchmarkResults!$F$3:$F$35)*(mongodb_hardware_log!T2704&lt;BenchmarkResults!$G$3:$G$35)*ROW(BenchmarkResults!$F$3:$F$35)),{1,3})</f>
        <v>q6_inactive_customers</v>
      </c>
      <c r="B2704">
        <v>2</v>
      </c>
      <c r="C2704" s="13">
        <v>1</v>
      </c>
      <c r="D2704" s="13">
        <v>0</v>
      </c>
      <c r="E2704" s="13">
        <v>194560</v>
      </c>
      <c r="F2704" s="13">
        <v>630956</v>
      </c>
      <c r="G2704" s="13">
        <v>6568</v>
      </c>
      <c r="H2704" s="13">
        <v>1771500</v>
      </c>
      <c r="I2704" s="13">
        <v>0</v>
      </c>
      <c r="J2704" s="13">
        <v>0</v>
      </c>
      <c r="K2704" s="13">
        <v>1889</v>
      </c>
      <c r="L2704" s="13">
        <v>1571</v>
      </c>
      <c r="M2704" s="13">
        <v>729</v>
      </c>
      <c r="N2704" s="13">
        <v>209</v>
      </c>
      <c r="O2704" s="13">
        <v>36</v>
      </c>
      <c r="P2704" s="13">
        <v>2</v>
      </c>
      <c r="Q2704" s="13">
        <v>60</v>
      </c>
      <c r="R2704" s="13">
        <v>2</v>
      </c>
      <c r="S2704" s="13">
        <v>0</v>
      </c>
      <c r="T2704" s="23">
        <v>46247.784699074073</v>
      </c>
      <c r="U2704" s="55">
        <f t="shared" si="126"/>
        <v>1</v>
      </c>
      <c r="V2704" s="55">
        <f t="shared" si="127"/>
        <v>0</v>
      </c>
      <c r="W2704" s="56">
        <f t="shared" si="128"/>
        <v>1966.5</v>
      </c>
    </row>
    <row r="2705" spans="1:23" x14ac:dyDescent="0.3">
      <c r="A2705" s="13" t="str" cm="1">
        <f t="array" ref="A2705:B2705">INDEX(BenchmarkResults!$B$1:$D$35,SUMPRODUCT((T2705&gt;=BenchmarkResults!$F$3:$F$35)*(mongodb_hardware_log!T2705&lt;BenchmarkResults!$G$3:$G$35)*ROW(BenchmarkResults!$F$3:$F$35)),{1,3})</f>
        <v>q6_inactive_customers</v>
      </c>
      <c r="B2705">
        <v>2</v>
      </c>
      <c r="C2705" s="13">
        <v>1</v>
      </c>
      <c r="D2705" s="13">
        <v>0</v>
      </c>
      <c r="E2705" s="13">
        <v>194560</v>
      </c>
      <c r="F2705" s="13">
        <v>610544</v>
      </c>
      <c r="G2705" s="13">
        <v>6576</v>
      </c>
      <c r="H2705" s="13">
        <v>1787436</v>
      </c>
      <c r="I2705" s="13">
        <v>0</v>
      </c>
      <c r="J2705" s="13">
        <v>0</v>
      </c>
      <c r="K2705" s="13">
        <v>1874</v>
      </c>
      <c r="L2705" s="13">
        <v>1582</v>
      </c>
      <c r="M2705" s="13">
        <v>757</v>
      </c>
      <c r="N2705" s="13">
        <v>219</v>
      </c>
      <c r="O2705" s="13">
        <v>35</v>
      </c>
      <c r="P2705" s="13">
        <v>1</v>
      </c>
      <c r="Q2705" s="13">
        <v>60</v>
      </c>
      <c r="R2705" s="13">
        <v>2</v>
      </c>
      <c r="S2705" s="13">
        <v>1</v>
      </c>
      <c r="T2705" s="23">
        <v>46247.784791666665</v>
      </c>
      <c r="U2705" s="55">
        <f t="shared" si="126"/>
        <v>1</v>
      </c>
      <c r="V2705" s="55">
        <f t="shared" si="127"/>
        <v>0</v>
      </c>
      <c r="W2705" s="56">
        <f t="shared" si="128"/>
        <v>1949</v>
      </c>
    </row>
    <row r="2706" spans="1:23" x14ac:dyDescent="0.3">
      <c r="A2706" s="13" t="str" cm="1">
        <f t="array" ref="A2706:B2706">INDEX(BenchmarkResults!$B$1:$D$35,SUMPRODUCT((T2706&gt;=BenchmarkResults!$F$3:$F$35)*(mongodb_hardware_log!T2706&lt;BenchmarkResults!$G$3:$G$35)*ROW(BenchmarkResults!$F$3:$F$35)),{1,3})</f>
        <v>q6_inactive_customers</v>
      </c>
      <c r="B2706">
        <v>2</v>
      </c>
      <c r="C2706" s="13">
        <v>1</v>
      </c>
      <c r="D2706" s="13">
        <v>0</v>
      </c>
      <c r="E2706" s="13">
        <v>194560</v>
      </c>
      <c r="F2706" s="13">
        <v>610544</v>
      </c>
      <c r="G2706" s="13">
        <v>6576</v>
      </c>
      <c r="H2706" s="13">
        <v>1789740</v>
      </c>
      <c r="I2706" s="13">
        <v>0</v>
      </c>
      <c r="J2706" s="13">
        <v>0</v>
      </c>
      <c r="K2706" s="13">
        <v>1830</v>
      </c>
      <c r="L2706" s="13">
        <v>17</v>
      </c>
      <c r="M2706" s="13">
        <v>754</v>
      </c>
      <c r="N2706" s="13">
        <v>218</v>
      </c>
      <c r="O2706" s="13">
        <v>35</v>
      </c>
      <c r="P2706" s="13">
        <v>1</v>
      </c>
      <c r="Q2706" s="13">
        <v>62</v>
      </c>
      <c r="R2706" s="13">
        <v>1</v>
      </c>
      <c r="S2706" s="13">
        <v>1</v>
      </c>
      <c r="T2706" s="23">
        <v>46247.784814814811</v>
      </c>
      <c r="U2706" s="55">
        <f t="shared" si="126"/>
        <v>1</v>
      </c>
      <c r="V2706" s="55">
        <f t="shared" si="127"/>
        <v>0</v>
      </c>
      <c r="W2706" s="56">
        <f t="shared" si="128"/>
        <v>1889.6666666666667</v>
      </c>
    </row>
    <row r="2707" spans="1:23" x14ac:dyDescent="0.3">
      <c r="A2707" s="13" t="str" cm="1">
        <f t="array" ref="A2707:B2707">INDEX(BenchmarkResults!$B$1:$D$35,SUMPRODUCT((T2707&gt;=BenchmarkResults!$F$3:$F$35)*(mongodb_hardware_log!T2707&lt;BenchmarkResults!$G$3:$G$35)*ROW(BenchmarkResults!$F$3:$F$35)),{1,3})</f>
        <v>q6_inactive_customers</v>
      </c>
      <c r="B2707">
        <v>2</v>
      </c>
      <c r="C2707" s="13">
        <v>1</v>
      </c>
      <c r="D2707" s="13">
        <v>0</v>
      </c>
      <c r="E2707" s="13">
        <v>194560</v>
      </c>
      <c r="F2707" s="13">
        <v>596180</v>
      </c>
      <c r="G2707" s="13">
        <v>6608</v>
      </c>
      <c r="H2707" s="13">
        <v>1805868</v>
      </c>
      <c r="I2707" s="13">
        <v>0</v>
      </c>
      <c r="J2707" s="13">
        <v>0</v>
      </c>
      <c r="K2707" s="13">
        <v>1840</v>
      </c>
      <c r="L2707" s="13">
        <v>23</v>
      </c>
      <c r="M2707" s="13">
        <v>721</v>
      </c>
      <c r="N2707" s="13">
        <v>206</v>
      </c>
      <c r="O2707" s="13">
        <v>36</v>
      </c>
      <c r="P2707" s="13">
        <v>2</v>
      </c>
      <c r="Q2707" s="13">
        <v>62</v>
      </c>
      <c r="R2707" s="13">
        <v>0</v>
      </c>
      <c r="S2707" s="13">
        <v>0</v>
      </c>
      <c r="T2707" s="23">
        <v>46247.784907407404</v>
      </c>
      <c r="U2707" s="55">
        <f t="shared" si="126"/>
        <v>1</v>
      </c>
      <c r="V2707" s="55">
        <f t="shared" si="127"/>
        <v>0</v>
      </c>
      <c r="W2707" s="56">
        <f t="shared" si="128"/>
        <v>1866.3333333333333</v>
      </c>
    </row>
    <row r="2708" spans="1:23" x14ac:dyDescent="0.3">
      <c r="A2708" s="13" t="str" cm="1">
        <f t="array" ref="A2708:B2708">INDEX(BenchmarkResults!$B$1:$D$35,SUMPRODUCT((T2708&gt;=BenchmarkResults!$F$3:$F$35)*(mongodb_hardware_log!T2708&lt;BenchmarkResults!$G$3:$G$35)*ROW(BenchmarkResults!$F$3:$F$35)),{1,3})</f>
        <v>q6_inactive_customers</v>
      </c>
      <c r="B2708">
        <v>2</v>
      </c>
      <c r="C2708" s="13">
        <v>1</v>
      </c>
      <c r="D2708" s="13">
        <v>0</v>
      </c>
      <c r="E2708" s="13">
        <v>194560</v>
      </c>
      <c r="F2708" s="13">
        <v>574004</v>
      </c>
      <c r="G2708" s="13">
        <v>6608</v>
      </c>
      <c r="H2708" s="13">
        <v>1816120</v>
      </c>
      <c r="I2708" s="13">
        <v>0</v>
      </c>
      <c r="J2708" s="13">
        <v>0</v>
      </c>
      <c r="K2708" s="13">
        <v>1604</v>
      </c>
      <c r="L2708" s="13">
        <v>22</v>
      </c>
      <c r="M2708" s="13">
        <v>700</v>
      </c>
      <c r="N2708" s="13">
        <v>188</v>
      </c>
      <c r="O2708" s="13">
        <v>35</v>
      </c>
      <c r="P2708" s="13">
        <v>2</v>
      </c>
      <c r="Q2708" s="13">
        <v>62</v>
      </c>
      <c r="R2708" s="13">
        <v>0</v>
      </c>
      <c r="S2708" s="13">
        <v>0</v>
      </c>
      <c r="T2708" s="23">
        <v>46247.784930555557</v>
      </c>
      <c r="U2708" s="55">
        <f t="shared" si="126"/>
        <v>1</v>
      </c>
      <c r="V2708" s="55">
        <f t="shared" si="127"/>
        <v>0</v>
      </c>
      <c r="W2708" s="56">
        <f t="shared" si="128"/>
        <v>1827</v>
      </c>
    </row>
    <row r="2709" spans="1:23" x14ac:dyDescent="0.3">
      <c r="A2709" s="13" t="str" cm="1">
        <f t="array" ref="A2709:B2709">INDEX(BenchmarkResults!$B$1:$D$35,SUMPRODUCT((T2709&gt;=BenchmarkResults!$F$3:$F$35)*(mongodb_hardware_log!T2709&lt;BenchmarkResults!$G$3:$G$35)*ROW(BenchmarkResults!$F$3:$F$35)),{1,3})</f>
        <v>q6_inactive_customers</v>
      </c>
      <c r="B2709">
        <v>2</v>
      </c>
      <c r="C2709" s="13">
        <v>1</v>
      </c>
      <c r="D2709" s="13">
        <v>0</v>
      </c>
      <c r="E2709" s="13">
        <v>194560</v>
      </c>
      <c r="F2709" s="13">
        <v>557876</v>
      </c>
      <c r="G2709" s="13">
        <v>6616</v>
      </c>
      <c r="H2709" s="13">
        <v>1836776</v>
      </c>
      <c r="I2709" s="13">
        <v>0</v>
      </c>
      <c r="J2709" s="13">
        <v>0</v>
      </c>
      <c r="K2709" s="13">
        <v>1507</v>
      </c>
      <c r="L2709" s="13">
        <v>5</v>
      </c>
      <c r="M2709" s="13">
        <v>696</v>
      </c>
      <c r="N2709" s="13">
        <v>193</v>
      </c>
      <c r="O2709" s="13">
        <v>36</v>
      </c>
      <c r="P2709" s="13">
        <v>2</v>
      </c>
      <c r="Q2709" s="13">
        <v>62</v>
      </c>
      <c r="R2709" s="13">
        <v>0</v>
      </c>
      <c r="S2709" s="13">
        <v>0</v>
      </c>
      <c r="T2709" s="23">
        <v>46247.78502314815</v>
      </c>
      <c r="U2709" s="55">
        <f t="shared" si="126"/>
        <v>1</v>
      </c>
      <c r="V2709" s="55">
        <f t="shared" si="127"/>
        <v>0</v>
      </c>
      <c r="W2709" s="56">
        <f t="shared" si="128"/>
        <v>1757.3333333333333</v>
      </c>
    </row>
    <row r="2710" spans="1:23" x14ac:dyDescent="0.3">
      <c r="A2710" s="13" t="str" cm="1">
        <f t="array" ref="A2710:B2710">INDEX(BenchmarkResults!$B$1:$D$35,SUMPRODUCT((T2710&gt;=BenchmarkResults!$F$3:$F$35)*(mongodb_hardware_log!T2710&lt;BenchmarkResults!$G$3:$G$35)*ROW(BenchmarkResults!$F$3:$F$35)),{1,3})</f>
        <v>q6_inactive_customers</v>
      </c>
      <c r="B2710">
        <v>2</v>
      </c>
      <c r="C2710" s="13">
        <v>1</v>
      </c>
      <c r="D2710" s="13">
        <v>0</v>
      </c>
      <c r="E2710" s="13">
        <v>194560</v>
      </c>
      <c r="F2710" s="13">
        <v>553844</v>
      </c>
      <c r="G2710" s="13">
        <v>6616</v>
      </c>
      <c r="H2710" s="13">
        <v>1841060</v>
      </c>
      <c r="I2710" s="13">
        <v>0</v>
      </c>
      <c r="J2710" s="13">
        <v>0</v>
      </c>
      <c r="K2710" s="13">
        <v>1933</v>
      </c>
      <c r="L2710" s="13">
        <v>5</v>
      </c>
      <c r="M2710" s="13">
        <v>727</v>
      </c>
      <c r="N2710" s="13">
        <v>217</v>
      </c>
      <c r="O2710" s="13">
        <v>35</v>
      </c>
      <c r="P2710" s="13">
        <v>2</v>
      </c>
      <c r="Q2710" s="13">
        <v>62</v>
      </c>
      <c r="R2710" s="13">
        <v>0</v>
      </c>
      <c r="S2710" s="13">
        <v>0</v>
      </c>
      <c r="T2710" s="23">
        <v>46247.785046296296</v>
      </c>
      <c r="U2710" s="55">
        <f t="shared" si="126"/>
        <v>1</v>
      </c>
      <c r="V2710" s="55">
        <f t="shared" si="127"/>
        <v>0</v>
      </c>
      <c r="W2710" s="56">
        <f t="shared" si="128"/>
        <v>1764.6666666666667</v>
      </c>
    </row>
    <row r="2711" spans="1:23" x14ac:dyDescent="0.3">
      <c r="A2711" s="13" t="str" cm="1">
        <f t="array" ref="A2711:B2711">INDEX(BenchmarkResults!$B$1:$D$35,SUMPRODUCT((T2711&gt;=BenchmarkResults!$F$3:$F$35)*(mongodb_hardware_log!T2711&lt;BenchmarkResults!$G$3:$G$35)*ROW(BenchmarkResults!$F$3:$F$35)),{1,3})</f>
        <v>q6_inactive_customers</v>
      </c>
      <c r="B2711">
        <v>2</v>
      </c>
      <c r="C2711" s="13">
        <v>1</v>
      </c>
      <c r="D2711" s="13">
        <v>0</v>
      </c>
      <c r="E2711" s="13">
        <v>194560</v>
      </c>
      <c r="F2711" s="13">
        <v>534188</v>
      </c>
      <c r="G2711" s="13">
        <v>6640</v>
      </c>
      <c r="H2711" s="13">
        <v>1855660</v>
      </c>
      <c r="I2711" s="13">
        <v>0</v>
      </c>
      <c r="J2711" s="13">
        <v>0</v>
      </c>
      <c r="K2711" s="13">
        <v>1889</v>
      </c>
      <c r="L2711" s="13">
        <v>1586</v>
      </c>
      <c r="M2711" s="13">
        <v>746</v>
      </c>
      <c r="N2711" s="13">
        <v>223</v>
      </c>
      <c r="O2711" s="13">
        <v>35</v>
      </c>
      <c r="P2711" s="13">
        <v>2</v>
      </c>
      <c r="Q2711" s="13">
        <v>62</v>
      </c>
      <c r="R2711" s="13">
        <v>1</v>
      </c>
      <c r="S2711" s="13">
        <v>0</v>
      </c>
      <c r="T2711" s="23">
        <v>46247.785138888888</v>
      </c>
      <c r="U2711" s="55">
        <f t="shared" si="126"/>
        <v>1</v>
      </c>
      <c r="V2711" s="55">
        <f t="shared" si="127"/>
        <v>0</v>
      </c>
      <c r="W2711" s="56">
        <f t="shared" si="128"/>
        <v>1767.1666666666667</v>
      </c>
    </row>
    <row r="2712" spans="1:23" x14ac:dyDescent="0.3">
      <c r="A2712" s="13" t="str" cm="1">
        <f t="array" ref="A2712:B2712">INDEX(BenchmarkResults!$B$1:$D$35,SUMPRODUCT((T2712&gt;=BenchmarkResults!$F$3:$F$35)*(mongodb_hardware_log!T2712&lt;BenchmarkResults!$G$3:$G$35)*ROW(BenchmarkResults!$F$3:$F$35)),{1,3})</f>
        <v>q6_inactive_customers</v>
      </c>
      <c r="B2712">
        <v>2</v>
      </c>
      <c r="C2712" s="13">
        <v>1</v>
      </c>
      <c r="D2712" s="13">
        <v>0</v>
      </c>
      <c r="E2712" s="13">
        <v>194560</v>
      </c>
      <c r="F2712" s="13">
        <v>533180</v>
      </c>
      <c r="G2712" s="13">
        <v>6640</v>
      </c>
      <c r="H2712" s="13">
        <v>1859532</v>
      </c>
      <c r="I2712" s="13">
        <v>0</v>
      </c>
      <c r="J2712" s="13">
        <v>0</v>
      </c>
      <c r="K2712" s="13">
        <v>1844</v>
      </c>
      <c r="L2712" s="13">
        <v>1586</v>
      </c>
      <c r="M2712" s="13">
        <v>730</v>
      </c>
      <c r="N2712" s="13">
        <v>213</v>
      </c>
      <c r="O2712" s="13">
        <v>36</v>
      </c>
      <c r="P2712" s="13">
        <v>2</v>
      </c>
      <c r="Q2712" s="13">
        <v>61</v>
      </c>
      <c r="R2712" s="13">
        <v>1</v>
      </c>
      <c r="S2712" s="13">
        <v>0</v>
      </c>
      <c r="T2712" s="23">
        <v>46247.785162037035</v>
      </c>
      <c r="U2712" s="55">
        <f t="shared" si="126"/>
        <v>1</v>
      </c>
      <c r="V2712" s="55">
        <f t="shared" si="127"/>
        <v>0</v>
      </c>
      <c r="W2712" s="56">
        <f t="shared" si="128"/>
        <v>1769.5</v>
      </c>
    </row>
    <row r="2713" spans="1:23" x14ac:dyDescent="0.3">
      <c r="A2713" s="13" t="str" cm="1">
        <f t="array" ref="A2713:B2713">INDEX(BenchmarkResults!$B$1:$D$35,SUMPRODUCT((T2713&gt;=BenchmarkResults!$F$3:$F$35)*(mongodb_hardware_log!T2713&lt;BenchmarkResults!$G$3:$G$35)*ROW(BenchmarkResults!$F$3:$F$35)),{1,3})</f>
        <v>q6_inactive_customers</v>
      </c>
      <c r="B2713">
        <v>2</v>
      </c>
      <c r="C2713" s="13">
        <v>1</v>
      </c>
      <c r="D2713" s="13">
        <v>0</v>
      </c>
      <c r="E2713" s="13">
        <v>194560</v>
      </c>
      <c r="F2713" s="13">
        <v>519068</v>
      </c>
      <c r="G2713" s="13">
        <v>6648</v>
      </c>
      <c r="H2713" s="13">
        <v>1872688</v>
      </c>
      <c r="I2713" s="13">
        <v>0</v>
      </c>
      <c r="J2713" s="13">
        <v>0</v>
      </c>
      <c r="K2713" s="13">
        <v>1695</v>
      </c>
      <c r="L2713" s="13">
        <v>6</v>
      </c>
      <c r="M2713" s="13">
        <v>715</v>
      </c>
      <c r="N2713" s="13">
        <v>207</v>
      </c>
      <c r="O2713" s="13">
        <v>36</v>
      </c>
      <c r="P2713" s="13">
        <v>2</v>
      </c>
      <c r="Q2713" s="13">
        <v>62</v>
      </c>
      <c r="R2713" s="13">
        <v>0</v>
      </c>
      <c r="S2713" s="13">
        <v>0</v>
      </c>
      <c r="T2713" s="23">
        <v>46247.785254629627</v>
      </c>
      <c r="U2713" s="55">
        <f t="shared" si="126"/>
        <v>1</v>
      </c>
      <c r="V2713" s="55">
        <f t="shared" si="127"/>
        <v>0</v>
      </c>
      <c r="W2713" s="56">
        <f t="shared" si="128"/>
        <v>1745.3333333333333</v>
      </c>
    </row>
    <row r="2714" spans="1:23" x14ac:dyDescent="0.3">
      <c r="A2714" s="13" t="str" cm="1">
        <f t="array" ref="A2714:B2714">INDEX(BenchmarkResults!$B$1:$D$35,SUMPRODUCT((T2714&gt;=BenchmarkResults!$F$3:$F$35)*(mongodb_hardware_log!T2714&lt;BenchmarkResults!$G$3:$G$35)*ROW(BenchmarkResults!$F$3:$F$35)),{1,3})</f>
        <v>q6_inactive_customers</v>
      </c>
      <c r="B2714">
        <v>2</v>
      </c>
      <c r="C2714" s="13">
        <v>1</v>
      </c>
      <c r="D2714" s="13">
        <v>0</v>
      </c>
      <c r="E2714" s="13">
        <v>194560</v>
      </c>
      <c r="F2714" s="13">
        <v>517052</v>
      </c>
      <c r="G2714" s="13">
        <v>6656</v>
      </c>
      <c r="H2714" s="13">
        <v>1875660</v>
      </c>
      <c r="I2714" s="13">
        <v>1</v>
      </c>
      <c r="J2714" s="13">
        <v>0</v>
      </c>
      <c r="K2714" s="13">
        <v>1622</v>
      </c>
      <c r="L2714" s="13">
        <v>11</v>
      </c>
      <c r="M2714" s="13">
        <v>722</v>
      </c>
      <c r="N2714" s="13">
        <v>214</v>
      </c>
      <c r="O2714" s="13">
        <v>36</v>
      </c>
      <c r="P2714" s="13">
        <v>2</v>
      </c>
      <c r="Q2714" s="13">
        <v>62</v>
      </c>
      <c r="R2714" s="13">
        <v>0</v>
      </c>
      <c r="S2714" s="13">
        <v>0</v>
      </c>
      <c r="T2714" s="23">
        <v>46247.785277777781</v>
      </c>
      <c r="U2714" s="55">
        <f t="shared" si="126"/>
        <v>1</v>
      </c>
      <c r="V2714" s="55">
        <f t="shared" si="127"/>
        <v>0</v>
      </c>
      <c r="W2714" s="56">
        <f t="shared" si="128"/>
        <v>1748.3333333333333</v>
      </c>
    </row>
    <row r="2715" spans="1:23" x14ac:dyDescent="0.3">
      <c r="A2715" s="13" t="str" cm="1">
        <f t="array" ref="A2715:B2715">INDEX(BenchmarkResults!$B$1:$D$35,SUMPRODUCT((T2715&gt;=BenchmarkResults!$F$3:$F$35)*(mongodb_hardware_log!T2715&lt;BenchmarkResults!$G$3:$G$35)*ROW(BenchmarkResults!$F$3:$F$35)),{1,3})</f>
        <v>q6_inactive_customers</v>
      </c>
      <c r="B2715">
        <v>2</v>
      </c>
      <c r="C2715" s="13">
        <v>1</v>
      </c>
      <c r="D2715" s="13">
        <v>0</v>
      </c>
      <c r="E2715" s="13">
        <v>194560</v>
      </c>
      <c r="F2715" s="13">
        <v>506468</v>
      </c>
      <c r="G2715" s="13">
        <v>6664</v>
      </c>
      <c r="H2715" s="13">
        <v>1887440</v>
      </c>
      <c r="I2715" s="13">
        <v>1</v>
      </c>
      <c r="J2715" s="13">
        <v>0</v>
      </c>
      <c r="K2715" s="13">
        <v>1480</v>
      </c>
      <c r="L2715" s="13">
        <v>14</v>
      </c>
      <c r="M2715" s="13">
        <v>719</v>
      </c>
      <c r="N2715" s="13">
        <v>207</v>
      </c>
      <c r="O2715" s="13">
        <v>36</v>
      </c>
      <c r="P2715" s="13">
        <v>2</v>
      </c>
      <c r="Q2715" s="13">
        <v>62</v>
      </c>
      <c r="R2715" s="13">
        <v>0</v>
      </c>
      <c r="S2715" s="13">
        <v>0</v>
      </c>
      <c r="T2715" s="23">
        <v>46247.785370370373</v>
      </c>
      <c r="U2715" s="55">
        <f t="shared" si="126"/>
        <v>1</v>
      </c>
      <c r="V2715" s="55">
        <f t="shared" si="127"/>
        <v>0</v>
      </c>
      <c r="W2715" s="56">
        <f t="shared" si="128"/>
        <v>1743.8333333333333</v>
      </c>
    </row>
    <row r="2716" spans="1:23" x14ac:dyDescent="0.3">
      <c r="A2716" s="13" t="str" cm="1">
        <f t="array" ref="A2716:B2716">INDEX(BenchmarkResults!$B$1:$D$35,SUMPRODUCT((T2716&gt;=BenchmarkResults!$F$3:$F$35)*(mongodb_hardware_log!T2716&lt;BenchmarkResults!$G$3:$G$35)*ROW(BenchmarkResults!$F$3:$F$35)),{1,3})</f>
        <v>q6_inactive_customers</v>
      </c>
      <c r="B2716">
        <v>2</v>
      </c>
      <c r="C2716" s="13">
        <v>1</v>
      </c>
      <c r="D2716" s="13">
        <v>0</v>
      </c>
      <c r="E2716" s="13">
        <v>194560</v>
      </c>
      <c r="F2716" s="13">
        <v>505712</v>
      </c>
      <c r="G2716" s="13">
        <v>6664</v>
      </c>
      <c r="H2716" s="13">
        <v>1888760</v>
      </c>
      <c r="I2716" s="13">
        <v>0</v>
      </c>
      <c r="J2716" s="13">
        <v>0</v>
      </c>
      <c r="K2716" s="13">
        <v>1305</v>
      </c>
      <c r="L2716" s="13">
        <v>9</v>
      </c>
      <c r="M2716" s="13">
        <v>713</v>
      </c>
      <c r="N2716" s="13">
        <v>203</v>
      </c>
      <c r="O2716" s="13">
        <v>36</v>
      </c>
      <c r="P2716" s="13">
        <v>1</v>
      </c>
      <c r="Q2716" s="13">
        <v>62</v>
      </c>
      <c r="R2716" s="13">
        <v>0</v>
      </c>
      <c r="S2716" s="13">
        <v>0</v>
      </c>
      <c r="T2716" s="23">
        <v>46247.785393518519</v>
      </c>
      <c r="U2716" s="55">
        <f t="shared" si="126"/>
        <v>1</v>
      </c>
      <c r="V2716" s="55">
        <f t="shared" si="127"/>
        <v>0</v>
      </c>
      <c r="W2716" s="56">
        <f t="shared" si="128"/>
        <v>1639.1666666666667</v>
      </c>
    </row>
    <row r="2717" spans="1:23" x14ac:dyDescent="0.3">
      <c r="A2717" s="13" t="str" cm="1">
        <f t="array" ref="A2717:B2717">INDEX(BenchmarkResults!$B$1:$D$35,SUMPRODUCT((T2717&gt;=BenchmarkResults!$F$3:$F$35)*(mongodb_hardware_log!T2717&lt;BenchmarkResults!$G$3:$G$35)*ROW(BenchmarkResults!$F$3:$F$35)),{1,3})</f>
        <v>q6_inactive_customers</v>
      </c>
      <c r="B2717">
        <v>2</v>
      </c>
      <c r="C2717" s="13">
        <v>1</v>
      </c>
      <c r="D2717" s="13">
        <v>0</v>
      </c>
      <c r="E2717" s="13">
        <v>194560</v>
      </c>
      <c r="F2717" s="13">
        <v>493112</v>
      </c>
      <c r="G2717" s="13">
        <v>6672</v>
      </c>
      <c r="H2717" s="13">
        <v>1900412</v>
      </c>
      <c r="I2717" s="13">
        <v>0</v>
      </c>
      <c r="J2717" s="13">
        <v>0</v>
      </c>
      <c r="K2717" s="13">
        <v>1296</v>
      </c>
      <c r="L2717" s="13">
        <v>8</v>
      </c>
      <c r="M2717" s="13">
        <v>734</v>
      </c>
      <c r="N2717" s="13">
        <v>219</v>
      </c>
      <c r="O2717" s="13">
        <v>36</v>
      </c>
      <c r="P2717" s="13">
        <v>2</v>
      </c>
      <c r="Q2717" s="13">
        <v>62</v>
      </c>
      <c r="R2717" s="13">
        <v>0</v>
      </c>
      <c r="S2717" s="13">
        <v>0</v>
      </c>
      <c r="T2717" s="23">
        <v>46247.785486111112</v>
      </c>
      <c r="U2717" s="55">
        <f t="shared" si="126"/>
        <v>1</v>
      </c>
      <c r="V2717" s="55">
        <f t="shared" si="127"/>
        <v>0</v>
      </c>
      <c r="W2717" s="56">
        <f t="shared" si="128"/>
        <v>1540.3333333333333</v>
      </c>
    </row>
    <row r="2718" spans="1:23" x14ac:dyDescent="0.3">
      <c r="A2718" s="13" t="str" cm="1">
        <f t="array" ref="A2718:B2718">INDEX(BenchmarkResults!$B$1:$D$35,SUMPRODUCT((T2718&gt;=BenchmarkResults!$F$3:$F$35)*(mongodb_hardware_log!T2718&lt;BenchmarkResults!$G$3:$G$35)*ROW(BenchmarkResults!$F$3:$F$35)),{1,3})</f>
        <v>q6_inactive_customers</v>
      </c>
      <c r="B2718">
        <v>2</v>
      </c>
      <c r="C2718" s="13">
        <v>1</v>
      </c>
      <c r="D2718" s="13">
        <v>0</v>
      </c>
      <c r="E2718" s="13">
        <v>194560</v>
      </c>
      <c r="F2718" s="13">
        <v>489080</v>
      </c>
      <c r="G2718" s="13">
        <v>6680</v>
      </c>
      <c r="H2718" s="13">
        <v>1903024</v>
      </c>
      <c r="I2718" s="13">
        <v>0</v>
      </c>
      <c r="J2718" s="13">
        <v>0</v>
      </c>
      <c r="K2718" s="13">
        <v>1428</v>
      </c>
      <c r="L2718" s="13">
        <v>14</v>
      </c>
      <c r="M2718" s="13">
        <v>740</v>
      </c>
      <c r="N2718" s="13">
        <v>221</v>
      </c>
      <c r="O2718" s="13">
        <v>36</v>
      </c>
      <c r="P2718" s="13">
        <v>2</v>
      </c>
      <c r="Q2718" s="13">
        <v>62</v>
      </c>
      <c r="R2718" s="13">
        <v>1</v>
      </c>
      <c r="S2718" s="13">
        <v>0</v>
      </c>
      <c r="T2718" s="23">
        <v>46247.785509259258</v>
      </c>
      <c r="U2718" s="55">
        <f t="shared" si="126"/>
        <v>1</v>
      </c>
      <c r="V2718" s="55">
        <f t="shared" si="127"/>
        <v>0</v>
      </c>
      <c r="W2718" s="56">
        <f t="shared" si="128"/>
        <v>1471</v>
      </c>
    </row>
    <row r="2719" spans="1:23" x14ac:dyDescent="0.3">
      <c r="A2719" s="13" t="str" cm="1">
        <f t="array" ref="A2719:B2719">INDEX(BenchmarkResults!$B$1:$D$35,SUMPRODUCT((T2719&gt;=BenchmarkResults!$F$3:$F$35)*(mongodb_hardware_log!T2719&lt;BenchmarkResults!$G$3:$G$35)*ROW(BenchmarkResults!$F$3:$F$35)),{1,3})</f>
        <v>q6_inactive_customers</v>
      </c>
      <c r="B2719">
        <v>2</v>
      </c>
      <c r="C2719" s="13">
        <v>2</v>
      </c>
      <c r="D2719" s="13">
        <v>0</v>
      </c>
      <c r="E2719" s="13">
        <v>194560</v>
      </c>
      <c r="F2719" s="13">
        <v>453304</v>
      </c>
      <c r="G2719" s="13">
        <v>6712</v>
      </c>
      <c r="H2719" s="13">
        <v>1925812</v>
      </c>
      <c r="I2719" s="13">
        <v>0</v>
      </c>
      <c r="J2719" s="13">
        <v>0</v>
      </c>
      <c r="K2719" s="13">
        <v>936</v>
      </c>
      <c r="L2719" s="13">
        <v>32</v>
      </c>
      <c r="M2719" s="13">
        <v>751</v>
      </c>
      <c r="N2719" s="13">
        <v>246</v>
      </c>
      <c r="O2719" s="13">
        <v>36</v>
      </c>
      <c r="P2719" s="13">
        <v>2</v>
      </c>
      <c r="Q2719" s="13">
        <v>62</v>
      </c>
      <c r="R2719" s="13">
        <v>0</v>
      </c>
      <c r="S2719" s="13">
        <v>0</v>
      </c>
      <c r="T2719" s="23">
        <v>46247.785601851851</v>
      </c>
      <c r="U2719" s="55">
        <f t="shared" si="126"/>
        <v>1.1666666666666667</v>
      </c>
      <c r="V2719" s="55">
        <f t="shared" si="127"/>
        <v>0</v>
      </c>
      <c r="W2719" s="56">
        <f t="shared" si="128"/>
        <v>1344.5</v>
      </c>
    </row>
    <row r="2720" spans="1:23" x14ac:dyDescent="0.3">
      <c r="A2720" s="13" t="str" cm="1">
        <f t="array" ref="A2720:B2720">INDEX(BenchmarkResults!$B$1:$D$35,SUMPRODUCT((T2720&gt;=BenchmarkResults!$F$3:$F$35)*(mongodb_hardware_log!T2720&lt;BenchmarkResults!$G$3:$G$35)*ROW(BenchmarkResults!$F$3:$F$35)),{1,3})</f>
        <v>q6_inactive_customers</v>
      </c>
      <c r="B2720">
        <v>2</v>
      </c>
      <c r="C2720" s="13">
        <v>1</v>
      </c>
      <c r="D2720" s="13">
        <v>0</v>
      </c>
      <c r="E2720" s="13">
        <v>194560</v>
      </c>
      <c r="F2720" s="13">
        <v>453304</v>
      </c>
      <c r="G2720" s="13">
        <v>6712</v>
      </c>
      <c r="H2720" s="13">
        <v>1927064</v>
      </c>
      <c r="I2720" s="13">
        <v>0</v>
      </c>
      <c r="J2720" s="13">
        <v>0</v>
      </c>
      <c r="K2720" s="13">
        <v>804</v>
      </c>
      <c r="L2720" s="13">
        <v>27</v>
      </c>
      <c r="M2720" s="13">
        <v>777</v>
      </c>
      <c r="N2720" s="13">
        <v>278</v>
      </c>
      <c r="O2720" s="13">
        <v>35</v>
      </c>
      <c r="P2720" s="13">
        <v>2</v>
      </c>
      <c r="Q2720" s="13">
        <v>61</v>
      </c>
      <c r="R2720" s="13">
        <v>1</v>
      </c>
      <c r="S2720" s="13">
        <v>0</v>
      </c>
      <c r="T2720" s="23">
        <v>46247.785624999997</v>
      </c>
      <c r="U2720" s="55">
        <f t="shared" si="126"/>
        <v>1.1666666666666667</v>
      </c>
      <c r="V2720" s="55">
        <f t="shared" si="127"/>
        <v>0</v>
      </c>
      <c r="W2720" s="56">
        <f t="shared" si="128"/>
        <v>1208.1666666666667</v>
      </c>
    </row>
    <row r="2721" spans="1:23" x14ac:dyDescent="0.3">
      <c r="A2721" s="13" t="str" cm="1">
        <f t="array" ref="A2721:B2721">INDEX(BenchmarkResults!$B$1:$D$35,SUMPRODUCT((T2721&gt;=BenchmarkResults!$F$3:$F$35)*(mongodb_hardware_log!T2721&lt;BenchmarkResults!$G$3:$G$35)*ROW(BenchmarkResults!$F$3:$F$35)),{1,3})</f>
        <v>q6_inactive_customers</v>
      </c>
      <c r="B2721">
        <v>2</v>
      </c>
      <c r="C2721" s="13">
        <v>1</v>
      </c>
      <c r="D2721" s="13">
        <v>0</v>
      </c>
      <c r="E2721" s="13">
        <v>194560</v>
      </c>
      <c r="F2721" s="13">
        <v>442468</v>
      </c>
      <c r="G2721" s="13">
        <v>6720</v>
      </c>
      <c r="H2721" s="13">
        <v>1938108</v>
      </c>
      <c r="I2721" s="13">
        <v>0</v>
      </c>
      <c r="J2721" s="13">
        <v>0</v>
      </c>
      <c r="K2721" s="13">
        <v>1235</v>
      </c>
      <c r="L2721" s="13">
        <v>7</v>
      </c>
      <c r="M2721" s="13">
        <v>752</v>
      </c>
      <c r="N2721" s="13">
        <v>247</v>
      </c>
      <c r="O2721" s="13">
        <v>36</v>
      </c>
      <c r="P2721" s="13">
        <v>1</v>
      </c>
      <c r="Q2721" s="13">
        <v>61</v>
      </c>
      <c r="R2721" s="13">
        <v>1</v>
      </c>
      <c r="S2721" s="13">
        <v>0</v>
      </c>
      <c r="T2721" s="23">
        <v>46247.785717592589</v>
      </c>
      <c r="U2721" s="55">
        <f t="shared" si="126"/>
        <v>1.1666666666666667</v>
      </c>
      <c r="V2721" s="55">
        <f t="shared" si="127"/>
        <v>0</v>
      </c>
      <c r="W2721" s="56">
        <f t="shared" si="128"/>
        <v>1167.3333333333333</v>
      </c>
    </row>
    <row r="2722" spans="1:23" x14ac:dyDescent="0.3">
      <c r="A2722" s="13" t="str" cm="1">
        <f t="array" ref="A2722:B2722">INDEX(BenchmarkResults!$B$1:$D$35,SUMPRODUCT((T2722&gt;=BenchmarkResults!$F$3:$F$35)*(mongodb_hardware_log!T2722&lt;BenchmarkResults!$G$3:$G$35)*ROW(BenchmarkResults!$F$3:$F$35)),{1,3})</f>
        <v>q6_inactive_customers</v>
      </c>
      <c r="B2722">
        <v>2</v>
      </c>
      <c r="C2722" s="13">
        <v>1</v>
      </c>
      <c r="D2722" s="13">
        <v>0</v>
      </c>
      <c r="E2722" s="13">
        <v>194560</v>
      </c>
      <c r="F2722" s="13">
        <v>434404</v>
      </c>
      <c r="G2722" s="13">
        <v>6728</v>
      </c>
      <c r="H2722" s="13">
        <v>1941216</v>
      </c>
      <c r="I2722" s="13">
        <v>0</v>
      </c>
      <c r="J2722" s="13">
        <v>0</v>
      </c>
      <c r="K2722" s="13">
        <v>1408</v>
      </c>
      <c r="L2722" s="13">
        <v>11</v>
      </c>
      <c r="M2722" s="13">
        <v>722</v>
      </c>
      <c r="N2722" s="13">
        <v>213</v>
      </c>
      <c r="O2722" s="13">
        <v>36</v>
      </c>
      <c r="P2722" s="13">
        <v>1</v>
      </c>
      <c r="Q2722" s="13">
        <v>62</v>
      </c>
      <c r="R2722" s="13">
        <v>1</v>
      </c>
      <c r="S2722" s="13">
        <v>0</v>
      </c>
      <c r="T2722" s="23">
        <v>46247.785740740743</v>
      </c>
      <c r="U2722" s="55">
        <f t="shared" si="126"/>
        <v>1.1666666666666667</v>
      </c>
      <c r="V2722" s="55">
        <f t="shared" si="127"/>
        <v>0</v>
      </c>
      <c r="W2722" s="56">
        <f t="shared" si="128"/>
        <v>1184.5</v>
      </c>
    </row>
    <row r="2723" spans="1:23" x14ac:dyDescent="0.3">
      <c r="A2723" s="13" t="str" cm="1">
        <f t="array" ref="A2723:B2723">INDEX(BenchmarkResults!$B$1:$D$35,SUMPRODUCT((T2723&gt;=BenchmarkResults!$F$3:$F$35)*(mongodb_hardware_log!T2723&lt;BenchmarkResults!$G$3:$G$35)*ROW(BenchmarkResults!$F$3:$F$35)),{1,3})</f>
        <v>q6_inactive_customers</v>
      </c>
      <c r="B2723">
        <v>2</v>
      </c>
      <c r="C2723" s="13">
        <v>1</v>
      </c>
      <c r="D2723" s="13">
        <v>0</v>
      </c>
      <c r="E2723" s="13">
        <v>194560</v>
      </c>
      <c r="F2723" s="13">
        <v>426340</v>
      </c>
      <c r="G2723" s="13">
        <v>6736</v>
      </c>
      <c r="H2723" s="13">
        <v>1951380</v>
      </c>
      <c r="I2723" s="13">
        <v>0</v>
      </c>
      <c r="J2723" s="13">
        <v>0</v>
      </c>
      <c r="K2723" s="13">
        <v>1324</v>
      </c>
      <c r="L2723" s="13">
        <v>15</v>
      </c>
      <c r="M2723" s="13">
        <v>728</v>
      </c>
      <c r="N2723" s="13">
        <v>216</v>
      </c>
      <c r="O2723" s="13">
        <v>36</v>
      </c>
      <c r="P2723" s="13">
        <v>1</v>
      </c>
      <c r="Q2723" s="13">
        <v>62</v>
      </c>
      <c r="R2723" s="13">
        <v>1</v>
      </c>
      <c r="S2723" s="13">
        <v>0</v>
      </c>
      <c r="T2723" s="23">
        <v>46247.785833333335</v>
      </c>
      <c r="U2723" s="55">
        <f t="shared" si="126"/>
        <v>1.1666666666666667</v>
      </c>
      <c r="V2723" s="55">
        <f t="shared" si="127"/>
        <v>0</v>
      </c>
      <c r="W2723" s="56">
        <f t="shared" si="128"/>
        <v>1189.1666666666667</v>
      </c>
    </row>
    <row r="2724" spans="1:23" x14ac:dyDescent="0.3">
      <c r="A2724" s="13" t="str" cm="1">
        <f t="array" ref="A2724:B2724">INDEX(BenchmarkResults!$B$1:$D$35,SUMPRODUCT((T2724&gt;=BenchmarkResults!$F$3:$F$35)*(mongodb_hardware_log!T2724&lt;BenchmarkResults!$G$3:$G$35)*ROW(BenchmarkResults!$F$3:$F$35)),{1,3})</f>
        <v>q6_inactive_customers</v>
      </c>
      <c r="B2724">
        <v>2</v>
      </c>
      <c r="C2724" s="13">
        <v>1</v>
      </c>
      <c r="D2724" s="13">
        <v>0</v>
      </c>
      <c r="E2724" s="13">
        <v>194560</v>
      </c>
      <c r="F2724" s="13">
        <v>426340</v>
      </c>
      <c r="G2724" s="13">
        <v>6736</v>
      </c>
      <c r="H2724" s="13">
        <v>1954548</v>
      </c>
      <c r="I2724" s="13">
        <v>0</v>
      </c>
      <c r="J2724" s="13">
        <v>0</v>
      </c>
      <c r="K2724" s="13">
        <v>1339</v>
      </c>
      <c r="L2724" s="13">
        <v>10</v>
      </c>
      <c r="M2724" s="13">
        <v>728</v>
      </c>
      <c r="N2724" s="13">
        <v>214</v>
      </c>
      <c r="O2724" s="13">
        <v>36</v>
      </c>
      <c r="P2724" s="13">
        <v>2</v>
      </c>
      <c r="Q2724" s="13">
        <v>62</v>
      </c>
      <c r="R2724" s="13">
        <v>1</v>
      </c>
      <c r="S2724" s="13">
        <v>0</v>
      </c>
      <c r="T2724" s="23">
        <v>46247.785856481481</v>
      </c>
      <c r="U2724" s="55">
        <f t="shared" si="126"/>
        <v>1.1666666666666667</v>
      </c>
      <c r="V2724" s="55">
        <f t="shared" si="127"/>
        <v>0</v>
      </c>
      <c r="W2724" s="56">
        <f t="shared" si="128"/>
        <v>1174.3333333333333</v>
      </c>
    </row>
    <row r="2725" spans="1:23" x14ac:dyDescent="0.3">
      <c r="A2725" s="13" t="str" cm="1">
        <f t="array" ref="A2725:B2725">INDEX(BenchmarkResults!$B$1:$D$35,SUMPRODUCT((T2725&gt;=BenchmarkResults!$F$3:$F$35)*(mongodb_hardware_log!T2725&lt;BenchmarkResults!$G$3:$G$35)*ROW(BenchmarkResults!$F$3:$F$35)),{1,3})</f>
        <v>q6_inactive_customers</v>
      </c>
      <c r="B2725">
        <v>2</v>
      </c>
      <c r="C2725" s="13">
        <v>1</v>
      </c>
      <c r="D2725" s="13">
        <v>0</v>
      </c>
      <c r="E2725" s="13">
        <v>194560</v>
      </c>
      <c r="F2725" s="13">
        <v>418276</v>
      </c>
      <c r="G2725" s="13">
        <v>6744</v>
      </c>
      <c r="H2725" s="13">
        <v>1966360</v>
      </c>
      <c r="I2725" s="13">
        <v>0</v>
      </c>
      <c r="J2725" s="13">
        <v>0</v>
      </c>
      <c r="K2725" s="13">
        <v>1497</v>
      </c>
      <c r="L2725" s="13">
        <v>1577</v>
      </c>
      <c r="M2725" s="13">
        <v>740</v>
      </c>
      <c r="N2725" s="13">
        <v>226</v>
      </c>
      <c r="O2725" s="13">
        <v>36</v>
      </c>
      <c r="P2725" s="13">
        <v>2</v>
      </c>
      <c r="Q2725" s="13">
        <v>60</v>
      </c>
      <c r="R2725" s="13">
        <v>2</v>
      </c>
      <c r="S2725" s="13">
        <v>0</v>
      </c>
      <c r="T2725" s="23">
        <v>46247.785949074074</v>
      </c>
      <c r="U2725" s="55">
        <f t="shared" si="126"/>
        <v>1</v>
      </c>
      <c r="V2725" s="55">
        <f t="shared" si="127"/>
        <v>0</v>
      </c>
      <c r="W2725" s="56">
        <f t="shared" si="128"/>
        <v>1267.8333333333333</v>
      </c>
    </row>
    <row r="2726" spans="1:23" x14ac:dyDescent="0.3">
      <c r="A2726" s="13" t="str" cm="1">
        <f t="array" ref="A2726:B2726">INDEX(BenchmarkResults!$B$1:$D$35,SUMPRODUCT((T2726&gt;=BenchmarkResults!$F$3:$F$35)*(mongodb_hardware_log!T2726&lt;BenchmarkResults!$G$3:$G$35)*ROW(BenchmarkResults!$F$3:$F$35)),{1,3})</f>
        <v>q6_inactive_customers</v>
      </c>
      <c r="B2726">
        <v>2</v>
      </c>
      <c r="C2726" s="13">
        <v>1</v>
      </c>
      <c r="D2726" s="13">
        <v>0</v>
      </c>
      <c r="E2726" s="13">
        <v>194560</v>
      </c>
      <c r="F2726" s="13">
        <v>418276</v>
      </c>
      <c r="G2726" s="13">
        <v>6752</v>
      </c>
      <c r="H2726" s="13">
        <v>1967628</v>
      </c>
      <c r="I2726" s="13">
        <v>0</v>
      </c>
      <c r="J2726" s="13">
        <v>0</v>
      </c>
      <c r="K2726" s="13">
        <v>1308</v>
      </c>
      <c r="L2726" s="13">
        <v>1582</v>
      </c>
      <c r="M2726" s="13">
        <v>740</v>
      </c>
      <c r="N2726" s="13">
        <v>230</v>
      </c>
      <c r="O2726" s="13">
        <v>36</v>
      </c>
      <c r="P2726" s="13">
        <v>2</v>
      </c>
      <c r="Q2726" s="13">
        <v>60</v>
      </c>
      <c r="R2726" s="13">
        <v>2</v>
      </c>
      <c r="S2726" s="13">
        <v>0</v>
      </c>
      <c r="T2726" s="23">
        <v>46247.78597222222</v>
      </c>
      <c r="U2726" s="55">
        <f t="shared" si="126"/>
        <v>1</v>
      </c>
      <c r="V2726" s="55">
        <f t="shared" si="127"/>
        <v>0</v>
      </c>
      <c r="W2726" s="56">
        <f t="shared" si="128"/>
        <v>1351.8333333333333</v>
      </c>
    </row>
    <row r="2727" spans="1:23" x14ac:dyDescent="0.3">
      <c r="A2727" s="13" t="str" cm="1">
        <f t="array" ref="A2727:B2727">INDEX(BenchmarkResults!$B$1:$D$35,SUMPRODUCT((T2727&gt;=BenchmarkResults!$F$3:$F$35)*(mongodb_hardware_log!T2727&lt;BenchmarkResults!$G$3:$G$35)*ROW(BenchmarkResults!$F$3:$F$35)),{1,3})</f>
        <v>q6_inactive_customers</v>
      </c>
      <c r="B2727">
        <v>2</v>
      </c>
      <c r="C2727" s="13">
        <v>1</v>
      </c>
      <c r="D2727" s="13">
        <v>0</v>
      </c>
      <c r="E2727" s="13">
        <v>194560</v>
      </c>
      <c r="F2727" s="13">
        <v>402652</v>
      </c>
      <c r="G2727" s="13">
        <v>6760</v>
      </c>
      <c r="H2727" s="13">
        <v>1979792</v>
      </c>
      <c r="I2727" s="13">
        <v>0</v>
      </c>
      <c r="J2727" s="13">
        <v>0</v>
      </c>
      <c r="K2727" s="13">
        <v>1350</v>
      </c>
      <c r="L2727" s="13">
        <v>16</v>
      </c>
      <c r="M2727" s="13">
        <v>747</v>
      </c>
      <c r="N2727" s="13">
        <v>230</v>
      </c>
      <c r="O2727" s="13">
        <v>36</v>
      </c>
      <c r="P2727" s="13">
        <v>2</v>
      </c>
      <c r="Q2727" s="13">
        <v>61</v>
      </c>
      <c r="R2727" s="13">
        <v>1</v>
      </c>
      <c r="S2727" s="13">
        <v>1</v>
      </c>
      <c r="T2727" s="23">
        <v>46247.786064814813</v>
      </c>
      <c r="U2727" s="55">
        <f t="shared" si="126"/>
        <v>1</v>
      </c>
      <c r="V2727" s="55">
        <f t="shared" si="127"/>
        <v>0</v>
      </c>
      <c r="W2727" s="56">
        <f t="shared" si="128"/>
        <v>1371</v>
      </c>
    </row>
    <row r="2728" spans="1:23" x14ac:dyDescent="0.3">
      <c r="A2728" s="13" t="str" cm="1">
        <f t="array" ref="A2728:B2728">INDEX(BenchmarkResults!$B$1:$D$35,SUMPRODUCT((T2728&gt;=BenchmarkResults!$F$3:$F$35)*(mongodb_hardware_log!T2728&lt;BenchmarkResults!$G$3:$G$35)*ROW(BenchmarkResults!$F$3:$F$35)),{1,3})</f>
        <v>q6_inactive_customers</v>
      </c>
      <c r="B2728">
        <v>2</v>
      </c>
      <c r="C2728" s="13">
        <v>2</v>
      </c>
      <c r="D2728" s="13">
        <v>0</v>
      </c>
      <c r="E2728" s="13">
        <v>194560</v>
      </c>
      <c r="F2728" s="13">
        <v>401896</v>
      </c>
      <c r="G2728" s="13">
        <v>6760</v>
      </c>
      <c r="H2728" s="13">
        <v>1981192</v>
      </c>
      <c r="I2728" s="13">
        <v>0</v>
      </c>
      <c r="J2728" s="13">
        <v>0</v>
      </c>
      <c r="K2728" s="13">
        <v>1352</v>
      </c>
      <c r="L2728" s="13">
        <v>11</v>
      </c>
      <c r="M2728" s="13">
        <v>749</v>
      </c>
      <c r="N2728" s="13">
        <v>229</v>
      </c>
      <c r="O2728" s="13">
        <v>36</v>
      </c>
      <c r="P2728" s="13">
        <v>2</v>
      </c>
      <c r="Q2728" s="13">
        <v>61</v>
      </c>
      <c r="R2728" s="13">
        <v>1</v>
      </c>
      <c r="S2728" s="13">
        <v>1</v>
      </c>
      <c r="T2728" s="23">
        <v>46247.786087962966</v>
      </c>
      <c r="U2728" s="55">
        <f t="shared" si="126"/>
        <v>1.1666666666666667</v>
      </c>
      <c r="V2728" s="55">
        <f t="shared" si="127"/>
        <v>0</v>
      </c>
      <c r="W2728" s="56">
        <f t="shared" si="128"/>
        <v>1361.6666666666667</v>
      </c>
    </row>
    <row r="2729" spans="1:23" x14ac:dyDescent="0.3">
      <c r="A2729" s="13" t="str" cm="1">
        <f t="array" ref="A2729:B2729">INDEX(BenchmarkResults!$B$1:$D$35,SUMPRODUCT((T2729&gt;=BenchmarkResults!$F$3:$F$35)*(mongodb_hardware_log!T2729&lt;BenchmarkResults!$G$3:$G$35)*ROW(BenchmarkResults!$F$3:$F$35)),{1,3})</f>
        <v>q6_inactive_customers</v>
      </c>
      <c r="B2729">
        <v>2</v>
      </c>
      <c r="C2729" s="13">
        <v>1</v>
      </c>
      <c r="D2729" s="13">
        <v>0</v>
      </c>
      <c r="E2729" s="13">
        <v>194560</v>
      </c>
      <c r="F2729" s="13">
        <v>382996</v>
      </c>
      <c r="G2729" s="13">
        <v>6768</v>
      </c>
      <c r="H2729" s="13">
        <v>1998964</v>
      </c>
      <c r="I2729" s="13">
        <v>0</v>
      </c>
      <c r="J2729" s="13">
        <v>0</v>
      </c>
      <c r="K2729" s="13">
        <v>914</v>
      </c>
      <c r="L2729" s="13">
        <v>6</v>
      </c>
      <c r="M2729" s="13">
        <v>711</v>
      </c>
      <c r="N2729" s="13">
        <v>189</v>
      </c>
      <c r="O2729" s="13">
        <v>35</v>
      </c>
      <c r="P2729" s="13">
        <v>2</v>
      </c>
      <c r="Q2729" s="13">
        <v>62</v>
      </c>
      <c r="R2729" s="13">
        <v>0</v>
      </c>
      <c r="S2729" s="13">
        <v>0</v>
      </c>
      <c r="T2729" s="23">
        <v>46247.786180555559</v>
      </c>
      <c r="U2729" s="55">
        <f t="shared" si="126"/>
        <v>1.1666666666666667</v>
      </c>
      <c r="V2729" s="55">
        <f t="shared" si="127"/>
        <v>0</v>
      </c>
      <c r="W2729" s="56">
        <f t="shared" si="128"/>
        <v>1293.3333333333333</v>
      </c>
    </row>
    <row r="2730" spans="1:23" x14ac:dyDescent="0.3">
      <c r="A2730" s="13" t="str" cm="1">
        <f t="array" ref="A2730:B2730">INDEX(BenchmarkResults!$B$1:$D$35,SUMPRODUCT((T2730&gt;=BenchmarkResults!$F$3:$F$35)*(mongodb_hardware_log!T2730&lt;BenchmarkResults!$G$3:$G$35)*ROW(BenchmarkResults!$F$3:$F$35)),{1,3})</f>
        <v>q6_inactive_customers</v>
      </c>
      <c r="B2730">
        <v>2</v>
      </c>
      <c r="C2730" s="13">
        <v>1</v>
      </c>
      <c r="D2730" s="13">
        <v>0</v>
      </c>
      <c r="E2730" s="13">
        <v>194560</v>
      </c>
      <c r="F2730" s="13">
        <v>382240</v>
      </c>
      <c r="G2730" s="13">
        <v>6776</v>
      </c>
      <c r="H2730" s="13">
        <v>2005628</v>
      </c>
      <c r="I2730" s="13">
        <v>0</v>
      </c>
      <c r="J2730" s="13">
        <v>0</v>
      </c>
      <c r="K2730" s="13">
        <v>846</v>
      </c>
      <c r="L2730" s="13">
        <v>12</v>
      </c>
      <c r="M2730" s="13">
        <v>697</v>
      </c>
      <c r="N2730" s="13">
        <v>177</v>
      </c>
      <c r="O2730" s="13">
        <v>35</v>
      </c>
      <c r="P2730" s="13">
        <v>2</v>
      </c>
      <c r="Q2730" s="13">
        <v>62</v>
      </c>
      <c r="R2730" s="13">
        <v>0</v>
      </c>
      <c r="S2730" s="13">
        <v>0</v>
      </c>
      <c r="T2730" s="23">
        <v>46247.786203703705</v>
      </c>
      <c r="U2730" s="55">
        <f t="shared" si="126"/>
        <v>1.1666666666666667</v>
      </c>
      <c r="V2730" s="55">
        <f t="shared" si="127"/>
        <v>0</v>
      </c>
      <c r="W2730" s="56">
        <f t="shared" si="128"/>
        <v>1211.1666666666667</v>
      </c>
    </row>
    <row r="2731" spans="1:23" x14ac:dyDescent="0.3">
      <c r="A2731" s="13" t="str" cm="1">
        <f t="array" ref="A2731:B2731">INDEX(BenchmarkResults!$B$1:$D$35,SUMPRODUCT((T2731&gt;=BenchmarkResults!$F$3:$F$35)*(mongodb_hardware_log!T2731&lt;BenchmarkResults!$G$3:$G$35)*ROW(BenchmarkResults!$F$3:$F$35)),{1,3})</f>
        <v>q6_inactive_customers</v>
      </c>
      <c r="B2731">
        <v>2</v>
      </c>
      <c r="C2731" s="13">
        <v>2</v>
      </c>
      <c r="D2731" s="13">
        <v>0</v>
      </c>
      <c r="E2731" s="13">
        <v>194560</v>
      </c>
      <c r="F2731" s="13">
        <v>371152</v>
      </c>
      <c r="G2731" s="13">
        <v>6800</v>
      </c>
      <c r="H2731" s="13">
        <v>2016192</v>
      </c>
      <c r="I2731" s="13">
        <v>0</v>
      </c>
      <c r="J2731" s="13">
        <v>0</v>
      </c>
      <c r="K2731" s="13">
        <v>1120</v>
      </c>
      <c r="L2731" s="13">
        <v>36</v>
      </c>
      <c r="M2731" s="13">
        <v>717</v>
      </c>
      <c r="N2731" s="13">
        <v>206</v>
      </c>
      <c r="O2731" s="13">
        <v>36</v>
      </c>
      <c r="P2731" s="13">
        <v>2</v>
      </c>
      <c r="Q2731" s="13">
        <v>62</v>
      </c>
      <c r="R2731" s="13">
        <v>0</v>
      </c>
      <c r="S2731" s="13">
        <v>0</v>
      </c>
      <c r="T2731" s="23">
        <v>46247.786296296297</v>
      </c>
      <c r="U2731" s="55">
        <f t="shared" si="126"/>
        <v>1.3333333333333333</v>
      </c>
      <c r="V2731" s="55">
        <f t="shared" si="127"/>
        <v>0</v>
      </c>
      <c r="W2731" s="56">
        <f t="shared" si="128"/>
        <v>1148.3333333333333</v>
      </c>
    </row>
    <row r="2732" spans="1:23" x14ac:dyDescent="0.3">
      <c r="A2732" s="13" t="str" cm="1">
        <f t="array" ref="A2732:B2732">INDEX(BenchmarkResults!$B$1:$D$35,SUMPRODUCT((T2732&gt;=BenchmarkResults!$F$3:$F$35)*(mongodb_hardware_log!T2732&lt;BenchmarkResults!$G$3:$G$35)*ROW(BenchmarkResults!$F$3:$F$35)),{1,3})</f>
        <v>q6_inactive_customers</v>
      </c>
      <c r="B2732">
        <v>2</v>
      </c>
      <c r="C2732" s="13">
        <v>1</v>
      </c>
      <c r="D2732" s="13">
        <v>0</v>
      </c>
      <c r="E2732" s="13">
        <v>194560</v>
      </c>
      <c r="F2732" s="13">
        <v>370648</v>
      </c>
      <c r="G2732" s="13">
        <v>6800</v>
      </c>
      <c r="H2732" s="13">
        <v>2018252</v>
      </c>
      <c r="I2732" s="13">
        <v>0</v>
      </c>
      <c r="J2732" s="13">
        <v>0</v>
      </c>
      <c r="K2732" s="13">
        <v>1262</v>
      </c>
      <c r="L2732" s="13">
        <v>30</v>
      </c>
      <c r="M2732" s="13">
        <v>729</v>
      </c>
      <c r="N2732" s="13">
        <v>218</v>
      </c>
      <c r="O2732" s="13">
        <v>36</v>
      </c>
      <c r="P2732" s="13">
        <v>1</v>
      </c>
      <c r="Q2732" s="13">
        <v>62</v>
      </c>
      <c r="R2732" s="13">
        <v>0</v>
      </c>
      <c r="S2732" s="13">
        <v>0</v>
      </c>
      <c r="T2732" s="23">
        <v>46247.786319444444</v>
      </c>
      <c r="U2732" s="55">
        <f t="shared" si="126"/>
        <v>1.3333333333333333</v>
      </c>
      <c r="V2732" s="55">
        <f t="shared" si="127"/>
        <v>0</v>
      </c>
      <c r="W2732" s="56">
        <f t="shared" si="128"/>
        <v>1140.6666666666667</v>
      </c>
    </row>
    <row r="2733" spans="1:23" x14ac:dyDescent="0.3">
      <c r="A2733" s="13" t="str" cm="1">
        <f t="array" ref="A2733:B2733">INDEX(BenchmarkResults!$B$1:$D$35,SUMPRODUCT((T2733&gt;=BenchmarkResults!$F$3:$F$35)*(mongodb_hardware_log!T2733&lt;BenchmarkResults!$G$3:$G$35)*ROW(BenchmarkResults!$F$3:$F$35)),{1,3})</f>
        <v>q6_inactive_customers</v>
      </c>
      <c r="B2733">
        <v>2</v>
      </c>
      <c r="C2733" s="13">
        <v>1</v>
      </c>
      <c r="D2733" s="13">
        <v>0</v>
      </c>
      <c r="E2733" s="13">
        <v>194560</v>
      </c>
      <c r="F2733" s="13">
        <v>355780</v>
      </c>
      <c r="G2733" s="13">
        <v>6808</v>
      </c>
      <c r="H2733" s="13">
        <v>2031224</v>
      </c>
      <c r="I2733" s="13">
        <v>0</v>
      </c>
      <c r="J2733" s="13">
        <v>0</v>
      </c>
      <c r="K2733" s="13">
        <v>1501</v>
      </c>
      <c r="L2733" s="13">
        <v>423</v>
      </c>
      <c r="M2733" s="13">
        <v>726</v>
      </c>
      <c r="N2733" s="13">
        <v>214</v>
      </c>
      <c r="O2733" s="13">
        <v>36</v>
      </c>
      <c r="P2733" s="13">
        <v>2</v>
      </c>
      <c r="Q2733" s="13">
        <v>62</v>
      </c>
      <c r="R2733" s="13">
        <v>1</v>
      </c>
      <c r="S2733" s="13">
        <v>0</v>
      </c>
      <c r="T2733" s="23">
        <v>46247.786412037036</v>
      </c>
      <c r="U2733" s="55">
        <f t="shared" si="126"/>
        <v>1.3333333333333333</v>
      </c>
      <c r="V2733" s="55">
        <f t="shared" si="127"/>
        <v>0</v>
      </c>
      <c r="W2733" s="56">
        <f t="shared" si="128"/>
        <v>1165.8333333333333</v>
      </c>
    </row>
    <row r="2734" spans="1:23" x14ac:dyDescent="0.3">
      <c r="A2734" s="13" t="str" cm="1">
        <f t="array" ref="A2734:B2734">INDEX(BenchmarkResults!$B$1:$D$35,SUMPRODUCT((T2734&gt;=BenchmarkResults!$F$3:$F$35)*(mongodb_hardware_log!T2734&lt;BenchmarkResults!$G$3:$G$35)*ROW(BenchmarkResults!$F$3:$F$35)),{1,3})</f>
        <v>q6_inactive_customers</v>
      </c>
      <c r="B2734">
        <v>2</v>
      </c>
      <c r="C2734" s="13">
        <v>1</v>
      </c>
      <c r="D2734" s="13">
        <v>0</v>
      </c>
      <c r="E2734" s="13">
        <v>194560</v>
      </c>
      <c r="F2734" s="13">
        <v>355780</v>
      </c>
      <c r="G2734" s="13">
        <v>6816</v>
      </c>
      <c r="H2734" s="13">
        <v>2032996</v>
      </c>
      <c r="I2734" s="13">
        <v>0</v>
      </c>
      <c r="J2734" s="13">
        <v>0</v>
      </c>
      <c r="K2734" s="13">
        <v>1476</v>
      </c>
      <c r="L2734" s="13">
        <v>1581</v>
      </c>
      <c r="M2734" s="13">
        <v>727</v>
      </c>
      <c r="N2734" s="13">
        <v>211</v>
      </c>
      <c r="O2734" s="13">
        <v>36</v>
      </c>
      <c r="P2734" s="13">
        <v>2</v>
      </c>
      <c r="Q2734" s="13">
        <v>61</v>
      </c>
      <c r="R2734" s="13">
        <v>1</v>
      </c>
      <c r="S2734" s="13">
        <v>0</v>
      </c>
      <c r="T2734" s="23">
        <v>46247.786435185182</v>
      </c>
      <c r="U2734" s="55">
        <f t="shared" si="126"/>
        <v>1.1666666666666667</v>
      </c>
      <c r="V2734" s="55">
        <f t="shared" si="127"/>
        <v>0</v>
      </c>
      <c r="W2734" s="56">
        <f t="shared" si="128"/>
        <v>1186.5</v>
      </c>
    </row>
    <row r="2735" spans="1:23" x14ac:dyDescent="0.3">
      <c r="A2735" s="13" t="str" cm="1">
        <f t="array" ref="A2735:B2735">INDEX(BenchmarkResults!$B$1:$D$35,SUMPRODUCT((T2735&gt;=BenchmarkResults!$F$3:$F$35)*(mongodb_hardware_log!T2735&lt;BenchmarkResults!$G$3:$G$35)*ROW(BenchmarkResults!$F$3:$F$35)),{1,3})</f>
        <v>q6_inactive_customers</v>
      </c>
      <c r="B2735">
        <v>2</v>
      </c>
      <c r="C2735" s="13">
        <v>1</v>
      </c>
      <c r="D2735" s="13">
        <v>0</v>
      </c>
      <c r="E2735" s="13">
        <v>194560</v>
      </c>
      <c r="F2735" s="13">
        <v>342676</v>
      </c>
      <c r="G2735" s="13">
        <v>6824</v>
      </c>
      <c r="H2735" s="13">
        <v>2044084</v>
      </c>
      <c r="I2735" s="13">
        <v>0</v>
      </c>
      <c r="J2735" s="13">
        <v>0</v>
      </c>
      <c r="K2735" s="13">
        <v>1290</v>
      </c>
      <c r="L2735" s="13">
        <v>1170</v>
      </c>
      <c r="M2735" s="13">
        <v>734</v>
      </c>
      <c r="N2735" s="13">
        <v>219</v>
      </c>
      <c r="O2735" s="13">
        <v>36</v>
      </c>
      <c r="P2735" s="13">
        <v>1</v>
      </c>
      <c r="Q2735" s="13">
        <v>62</v>
      </c>
      <c r="R2735" s="13">
        <v>1</v>
      </c>
      <c r="S2735" s="13">
        <v>0</v>
      </c>
      <c r="T2735" s="23">
        <v>46247.786527777775</v>
      </c>
      <c r="U2735" s="55">
        <f t="shared" si="126"/>
        <v>1.1666666666666667</v>
      </c>
      <c r="V2735" s="55">
        <f t="shared" si="127"/>
        <v>0</v>
      </c>
      <c r="W2735" s="56">
        <f t="shared" si="128"/>
        <v>1249.1666666666667</v>
      </c>
    </row>
    <row r="2736" spans="1:23" x14ac:dyDescent="0.3">
      <c r="A2736" s="13" t="str" cm="1">
        <f t="array" ref="A2736:B2736">INDEX(BenchmarkResults!$B$1:$D$35,SUMPRODUCT((T2736&gt;=BenchmarkResults!$F$3:$F$35)*(mongodb_hardware_log!T2736&lt;BenchmarkResults!$G$3:$G$35)*ROW(BenchmarkResults!$F$3:$F$35)),{1,3})</f>
        <v>q6_inactive_customers</v>
      </c>
      <c r="B2736">
        <v>2</v>
      </c>
      <c r="C2736" s="13">
        <v>1</v>
      </c>
      <c r="D2736" s="13">
        <v>0</v>
      </c>
      <c r="E2736" s="13">
        <v>194560</v>
      </c>
      <c r="F2736" s="13">
        <v>336628</v>
      </c>
      <c r="G2736" s="13">
        <v>6824</v>
      </c>
      <c r="H2736" s="13">
        <v>2047548</v>
      </c>
      <c r="I2736" s="13">
        <v>0</v>
      </c>
      <c r="J2736" s="13">
        <v>0</v>
      </c>
      <c r="K2736" s="13">
        <v>1454</v>
      </c>
      <c r="L2736" s="13">
        <v>12</v>
      </c>
      <c r="M2736" s="13">
        <v>732</v>
      </c>
      <c r="N2736" s="13">
        <v>218</v>
      </c>
      <c r="O2736" s="13">
        <v>36</v>
      </c>
      <c r="P2736" s="13">
        <v>1</v>
      </c>
      <c r="Q2736" s="13">
        <v>62</v>
      </c>
      <c r="R2736" s="13">
        <v>0</v>
      </c>
      <c r="S2736" s="13">
        <v>0</v>
      </c>
      <c r="T2736" s="23">
        <v>46247.786550925928</v>
      </c>
      <c r="U2736" s="55">
        <f t="shared" si="126"/>
        <v>1.1666666666666667</v>
      </c>
      <c r="V2736" s="55">
        <f t="shared" si="127"/>
        <v>0</v>
      </c>
      <c r="W2736" s="56">
        <f t="shared" si="128"/>
        <v>1350.5</v>
      </c>
    </row>
    <row r="2737" spans="1:23" x14ac:dyDescent="0.3">
      <c r="A2737" s="13" t="str" cm="1">
        <f t="array" ref="A2737:B2737">INDEX(BenchmarkResults!$B$1:$D$35,SUMPRODUCT((T2737&gt;=BenchmarkResults!$F$3:$F$35)*(mongodb_hardware_log!T2737&lt;BenchmarkResults!$G$3:$G$35)*ROW(BenchmarkResults!$F$3:$F$35)),{1,3})</f>
        <v>q6_inactive_customers</v>
      </c>
      <c r="B2737">
        <v>2</v>
      </c>
      <c r="C2737" s="13">
        <v>1</v>
      </c>
      <c r="D2737" s="13">
        <v>0</v>
      </c>
      <c r="E2737" s="13">
        <v>194560</v>
      </c>
      <c r="F2737" s="13">
        <v>321004</v>
      </c>
      <c r="G2737" s="13">
        <v>6832</v>
      </c>
      <c r="H2737" s="13">
        <v>2059700</v>
      </c>
      <c r="I2737" s="13">
        <v>0</v>
      </c>
      <c r="J2737" s="13">
        <v>0</v>
      </c>
      <c r="K2737" s="13">
        <v>1557</v>
      </c>
      <c r="L2737" s="13">
        <v>7</v>
      </c>
      <c r="M2737" s="13">
        <v>723</v>
      </c>
      <c r="N2737" s="13">
        <v>213</v>
      </c>
      <c r="O2737" s="13">
        <v>36</v>
      </c>
      <c r="P2737" s="13">
        <v>2</v>
      </c>
      <c r="Q2737" s="13">
        <v>62</v>
      </c>
      <c r="R2737" s="13">
        <v>0</v>
      </c>
      <c r="S2737" s="13">
        <v>0</v>
      </c>
      <c r="T2737" s="23">
        <v>46247.786643518521</v>
      </c>
      <c r="U2737" s="55">
        <f t="shared" si="126"/>
        <v>1</v>
      </c>
      <c r="V2737" s="55">
        <f t="shared" si="127"/>
        <v>0</v>
      </c>
      <c r="W2737" s="56">
        <f t="shared" si="128"/>
        <v>1423.3333333333333</v>
      </c>
    </row>
    <row r="2738" spans="1:23" x14ac:dyDescent="0.3">
      <c r="A2738" s="13" t="str" cm="1">
        <f t="array" ref="A2738:B2738">INDEX(BenchmarkResults!$B$1:$D$35,SUMPRODUCT((T2738&gt;=BenchmarkResults!$F$3:$F$35)*(mongodb_hardware_log!T2738&lt;BenchmarkResults!$G$3:$G$35)*ROW(BenchmarkResults!$F$3:$F$35)),{1,3})</f>
        <v>q6_inactive_customers</v>
      </c>
      <c r="B2738">
        <v>2</v>
      </c>
      <c r="C2738" s="13">
        <v>1</v>
      </c>
      <c r="D2738" s="13">
        <v>0</v>
      </c>
      <c r="E2738" s="13">
        <v>194560</v>
      </c>
      <c r="F2738" s="13">
        <v>321004</v>
      </c>
      <c r="G2738" s="13">
        <v>6840</v>
      </c>
      <c r="H2738" s="13">
        <v>2061628</v>
      </c>
      <c r="I2738" s="13">
        <v>0</v>
      </c>
      <c r="J2738" s="13">
        <v>0</v>
      </c>
      <c r="K2738" s="13">
        <v>1405</v>
      </c>
      <c r="L2738" s="13">
        <v>12</v>
      </c>
      <c r="M2738" s="13">
        <v>728</v>
      </c>
      <c r="N2738" s="13">
        <v>216</v>
      </c>
      <c r="O2738" s="13">
        <v>36</v>
      </c>
      <c r="P2738" s="13">
        <v>2</v>
      </c>
      <c r="Q2738" s="13">
        <v>62</v>
      </c>
      <c r="R2738" s="13">
        <v>0</v>
      </c>
      <c r="S2738" s="13">
        <v>0</v>
      </c>
      <c r="T2738" s="23">
        <v>46247.786666666667</v>
      </c>
      <c r="U2738" s="55">
        <f t="shared" si="126"/>
        <v>1</v>
      </c>
      <c r="V2738" s="55">
        <f t="shared" si="127"/>
        <v>0</v>
      </c>
      <c r="W2738" s="56">
        <f t="shared" si="128"/>
        <v>1447.1666666666667</v>
      </c>
    </row>
    <row r="2739" spans="1:23" x14ac:dyDescent="0.3">
      <c r="A2739" s="13" t="str" cm="1">
        <f t="array" ref="A2739:B2739">INDEX(BenchmarkResults!$B$1:$D$35,SUMPRODUCT((T2739&gt;=BenchmarkResults!$F$3:$F$35)*(mongodb_hardware_log!T2739&lt;BenchmarkResults!$G$3:$G$35)*ROW(BenchmarkResults!$F$3:$F$35)),{1,3})</f>
        <v>q6_inactive_customers</v>
      </c>
      <c r="B2739">
        <v>2</v>
      </c>
      <c r="C2739" s="13">
        <v>1</v>
      </c>
      <c r="D2739" s="13">
        <v>0</v>
      </c>
      <c r="E2739" s="13">
        <v>194560</v>
      </c>
      <c r="F2739" s="13">
        <v>305884</v>
      </c>
      <c r="G2739" s="13">
        <v>6848</v>
      </c>
      <c r="H2739" s="13">
        <v>2075572</v>
      </c>
      <c r="I2739" s="13">
        <v>0</v>
      </c>
      <c r="J2739" s="13">
        <v>0</v>
      </c>
      <c r="K2739" s="13">
        <v>1591</v>
      </c>
      <c r="L2739" s="13">
        <v>16</v>
      </c>
      <c r="M2739" s="13">
        <v>723</v>
      </c>
      <c r="N2739" s="13">
        <v>208</v>
      </c>
      <c r="O2739" s="13">
        <v>36</v>
      </c>
      <c r="P2739" s="13">
        <v>1</v>
      </c>
      <c r="Q2739" s="13">
        <v>62</v>
      </c>
      <c r="R2739" s="13">
        <v>0</v>
      </c>
      <c r="S2739" s="13">
        <v>0</v>
      </c>
      <c r="T2739" s="23">
        <v>46247.786759259259</v>
      </c>
      <c r="U2739" s="55">
        <f t="shared" si="126"/>
        <v>1</v>
      </c>
      <c r="V2739" s="55">
        <f t="shared" si="127"/>
        <v>0</v>
      </c>
      <c r="W2739" s="56">
        <f t="shared" si="128"/>
        <v>1462.1666666666667</v>
      </c>
    </row>
    <row r="2740" spans="1:23" x14ac:dyDescent="0.3">
      <c r="A2740" s="13" t="str" cm="1">
        <f t="array" ref="A2740:B2740">INDEX(BenchmarkResults!$B$1:$D$35,SUMPRODUCT((T2740&gt;=BenchmarkResults!$F$3:$F$35)*(mongodb_hardware_log!T2740&lt;BenchmarkResults!$G$3:$G$35)*ROW(BenchmarkResults!$F$3:$F$35)),{1,3})</f>
        <v>q6_inactive_customers</v>
      </c>
      <c r="B2740">
        <v>2</v>
      </c>
      <c r="C2740" s="13">
        <v>1</v>
      </c>
      <c r="D2740" s="13">
        <v>0</v>
      </c>
      <c r="E2740" s="13">
        <v>194560</v>
      </c>
      <c r="F2740" s="13">
        <v>305884</v>
      </c>
      <c r="G2740" s="13">
        <v>6848</v>
      </c>
      <c r="H2740" s="13">
        <v>2077356</v>
      </c>
      <c r="I2740" s="13">
        <v>0</v>
      </c>
      <c r="J2740" s="13">
        <v>0</v>
      </c>
      <c r="K2740" s="13">
        <v>1572</v>
      </c>
      <c r="L2740" s="13">
        <v>11</v>
      </c>
      <c r="M2740" s="13">
        <v>711</v>
      </c>
      <c r="N2740" s="13">
        <v>197</v>
      </c>
      <c r="O2740" s="13">
        <v>36</v>
      </c>
      <c r="P2740" s="13">
        <v>1</v>
      </c>
      <c r="Q2740" s="13">
        <v>62</v>
      </c>
      <c r="R2740" s="13">
        <v>0</v>
      </c>
      <c r="S2740" s="13">
        <v>0</v>
      </c>
      <c r="T2740" s="23">
        <v>46247.786782407406</v>
      </c>
      <c r="U2740" s="55">
        <f t="shared" si="126"/>
        <v>1</v>
      </c>
      <c r="V2740" s="55">
        <f t="shared" si="127"/>
        <v>0</v>
      </c>
      <c r="W2740" s="56">
        <f t="shared" si="128"/>
        <v>1478.1666666666667</v>
      </c>
    </row>
    <row r="2741" spans="1:23" x14ac:dyDescent="0.3">
      <c r="A2741" s="13" t="str" cm="1">
        <f t="array" ref="A2741:B2741">INDEX(BenchmarkResults!$B$1:$D$35,SUMPRODUCT((T2741&gt;=BenchmarkResults!$F$3:$F$35)*(mongodb_hardware_log!T2741&lt;BenchmarkResults!$G$3:$G$35)*ROW(BenchmarkResults!$F$3:$F$35)),{1,3})</f>
        <v>q6_inactive_customers</v>
      </c>
      <c r="B2741">
        <v>2</v>
      </c>
      <c r="C2741" s="13">
        <v>1</v>
      </c>
      <c r="D2741" s="13">
        <v>0</v>
      </c>
      <c r="E2741" s="13">
        <v>194560</v>
      </c>
      <c r="F2741" s="13">
        <v>282196</v>
      </c>
      <c r="G2741" s="13">
        <v>6856</v>
      </c>
      <c r="H2741" s="13">
        <v>2103136</v>
      </c>
      <c r="I2741" s="13">
        <v>0</v>
      </c>
      <c r="J2741" s="13">
        <v>0</v>
      </c>
      <c r="K2741" s="13">
        <v>1156</v>
      </c>
      <c r="L2741" s="13">
        <v>14</v>
      </c>
      <c r="M2741" s="13">
        <v>696</v>
      </c>
      <c r="N2741" s="13">
        <v>175</v>
      </c>
      <c r="O2741" s="13">
        <v>36</v>
      </c>
      <c r="P2741" s="13">
        <v>2</v>
      </c>
      <c r="Q2741" s="13">
        <v>62</v>
      </c>
      <c r="R2741" s="13">
        <v>0</v>
      </c>
      <c r="S2741" s="13">
        <v>0</v>
      </c>
      <c r="T2741" s="23">
        <v>46247.786874999998</v>
      </c>
      <c r="U2741" s="55">
        <f t="shared" si="126"/>
        <v>1</v>
      </c>
      <c r="V2741" s="55">
        <f t="shared" si="127"/>
        <v>0</v>
      </c>
      <c r="W2741" s="56">
        <f t="shared" si="128"/>
        <v>1455.8333333333333</v>
      </c>
    </row>
    <row r="2742" spans="1:23" x14ac:dyDescent="0.3">
      <c r="A2742" s="13" t="str" cm="1">
        <f t="array" ref="A2742:B2742">INDEX(BenchmarkResults!$B$1:$D$35,SUMPRODUCT((T2742&gt;=BenchmarkResults!$F$3:$F$35)*(mongodb_hardware_log!T2742&lt;BenchmarkResults!$G$3:$G$35)*ROW(BenchmarkResults!$F$3:$F$35)),{1,3})</f>
        <v>q6_inactive_customers</v>
      </c>
      <c r="B2742">
        <v>2</v>
      </c>
      <c r="C2742" s="13">
        <v>1</v>
      </c>
      <c r="D2742" s="13">
        <v>0</v>
      </c>
      <c r="E2742" s="13">
        <v>194560</v>
      </c>
      <c r="F2742" s="13">
        <v>282196</v>
      </c>
      <c r="G2742" s="13">
        <v>6864</v>
      </c>
      <c r="H2742" s="13">
        <v>2105268</v>
      </c>
      <c r="I2742" s="13">
        <v>0</v>
      </c>
      <c r="J2742" s="13">
        <v>0</v>
      </c>
      <c r="K2742" s="13">
        <v>1192</v>
      </c>
      <c r="L2742" s="13">
        <v>19</v>
      </c>
      <c r="M2742" s="13">
        <v>704</v>
      </c>
      <c r="N2742" s="13">
        <v>184</v>
      </c>
      <c r="O2742" s="13">
        <v>36</v>
      </c>
      <c r="P2742" s="13">
        <v>2</v>
      </c>
      <c r="Q2742" s="13">
        <v>62</v>
      </c>
      <c r="R2742" s="13">
        <v>0</v>
      </c>
      <c r="S2742" s="13">
        <v>0</v>
      </c>
      <c r="T2742" s="23">
        <v>46247.786898148152</v>
      </c>
      <c r="U2742" s="55">
        <f t="shared" si="126"/>
        <v>1</v>
      </c>
      <c r="V2742" s="55">
        <f t="shared" si="127"/>
        <v>0</v>
      </c>
      <c r="W2742" s="56">
        <f t="shared" si="128"/>
        <v>1412.1666666666667</v>
      </c>
    </row>
    <row r="2743" spans="1:23" x14ac:dyDescent="0.3">
      <c r="A2743" s="13" t="str" cm="1">
        <f t="array" ref="A2743:B2743">INDEX(BenchmarkResults!$B$1:$D$35,SUMPRODUCT((T2743&gt;=BenchmarkResults!$F$3:$F$35)*(mongodb_hardware_log!T2743&lt;BenchmarkResults!$G$3:$G$35)*ROW(BenchmarkResults!$F$3:$F$35)),{1,3})</f>
        <v>q6_inactive_customers</v>
      </c>
      <c r="B2743">
        <v>2</v>
      </c>
      <c r="C2743" s="13">
        <v>1</v>
      </c>
      <c r="D2743" s="13">
        <v>0</v>
      </c>
      <c r="E2743" s="13">
        <v>194560</v>
      </c>
      <c r="F2743" s="13">
        <v>266320</v>
      </c>
      <c r="G2743" s="13">
        <v>6888</v>
      </c>
      <c r="H2743" s="13">
        <v>2119024</v>
      </c>
      <c r="I2743" s="13">
        <v>0</v>
      </c>
      <c r="J2743" s="13">
        <v>0</v>
      </c>
      <c r="K2743" s="13">
        <v>1596</v>
      </c>
      <c r="L2743" s="13">
        <v>1595</v>
      </c>
      <c r="M2743" s="13">
        <v>731</v>
      </c>
      <c r="N2743" s="13">
        <v>216</v>
      </c>
      <c r="O2743" s="13">
        <v>36</v>
      </c>
      <c r="P2743" s="13">
        <v>2</v>
      </c>
      <c r="Q2743" s="13">
        <v>60</v>
      </c>
      <c r="R2743" s="13">
        <v>2</v>
      </c>
      <c r="S2743" s="13">
        <v>0</v>
      </c>
      <c r="T2743" s="23">
        <v>46247.786990740744</v>
      </c>
      <c r="U2743" s="55">
        <f t="shared" si="126"/>
        <v>1</v>
      </c>
      <c r="V2743" s="55">
        <f t="shared" si="127"/>
        <v>0</v>
      </c>
      <c r="W2743" s="56">
        <f t="shared" si="128"/>
        <v>1418.6666666666667</v>
      </c>
    </row>
    <row r="2744" spans="1:23" x14ac:dyDescent="0.3">
      <c r="A2744" s="13" t="str" cm="1">
        <f t="array" ref="A2744:B2744">INDEX(BenchmarkResults!$B$1:$D$35,SUMPRODUCT((T2744&gt;=BenchmarkResults!$F$3:$F$35)*(mongodb_hardware_log!T2744&lt;BenchmarkResults!$G$3:$G$35)*ROW(BenchmarkResults!$F$3:$F$35)),{1,3})</f>
        <v>q6_inactive_customers</v>
      </c>
      <c r="B2744">
        <v>2</v>
      </c>
      <c r="C2744" s="13">
        <v>1</v>
      </c>
      <c r="D2744" s="13">
        <v>0</v>
      </c>
      <c r="E2744" s="13">
        <v>194560</v>
      </c>
      <c r="F2744" s="13">
        <v>263296</v>
      </c>
      <c r="G2744" s="13">
        <v>6888</v>
      </c>
      <c r="H2744" s="13">
        <v>2123516</v>
      </c>
      <c r="I2744" s="13">
        <v>0</v>
      </c>
      <c r="J2744" s="13">
        <v>0</v>
      </c>
      <c r="K2744" s="13">
        <v>1829</v>
      </c>
      <c r="L2744" s="13">
        <v>1590</v>
      </c>
      <c r="M2744" s="13">
        <v>736</v>
      </c>
      <c r="N2744" s="13">
        <v>218</v>
      </c>
      <c r="O2744" s="13">
        <v>36</v>
      </c>
      <c r="P2744" s="13">
        <v>2</v>
      </c>
      <c r="Q2744" s="13">
        <v>60</v>
      </c>
      <c r="R2744" s="13">
        <v>2</v>
      </c>
      <c r="S2744" s="13">
        <v>0</v>
      </c>
      <c r="T2744" s="23">
        <v>46247.78701388889</v>
      </c>
      <c r="U2744" s="55">
        <f t="shared" si="126"/>
        <v>1</v>
      </c>
      <c r="V2744" s="55">
        <f t="shared" si="127"/>
        <v>0</v>
      </c>
      <c r="W2744" s="56">
        <f t="shared" si="128"/>
        <v>1489.3333333333333</v>
      </c>
    </row>
    <row r="2745" spans="1:23" x14ac:dyDescent="0.3">
      <c r="A2745" s="13" t="str" cm="1">
        <f t="array" ref="A2745:B2745">INDEX(BenchmarkResults!$B$1:$D$35,SUMPRODUCT((T2745&gt;=BenchmarkResults!$F$3:$F$35)*(mongodb_hardware_log!T2745&lt;BenchmarkResults!$G$3:$G$35)*ROW(BenchmarkResults!$F$3:$F$35)),{1,3})</f>
        <v>q6_inactive_customers</v>
      </c>
      <c r="B2745">
        <v>2</v>
      </c>
      <c r="C2745" s="13">
        <v>1</v>
      </c>
      <c r="D2745" s="13">
        <v>0</v>
      </c>
      <c r="E2745" s="13">
        <v>194560</v>
      </c>
      <c r="F2745" s="13">
        <v>247420</v>
      </c>
      <c r="G2745" s="13">
        <v>6896</v>
      </c>
      <c r="H2745" s="13">
        <v>2136040</v>
      </c>
      <c r="I2745" s="13">
        <v>0</v>
      </c>
      <c r="J2745" s="13">
        <v>0</v>
      </c>
      <c r="K2745" s="13">
        <v>1694</v>
      </c>
      <c r="L2745" s="13">
        <v>8</v>
      </c>
      <c r="M2745" s="13">
        <v>729</v>
      </c>
      <c r="N2745" s="13">
        <v>218</v>
      </c>
      <c r="O2745" s="13">
        <v>36</v>
      </c>
      <c r="P2745" s="13">
        <v>1</v>
      </c>
      <c r="Q2745" s="13">
        <v>62</v>
      </c>
      <c r="R2745" s="13">
        <v>0</v>
      </c>
      <c r="S2745" s="13">
        <v>0</v>
      </c>
      <c r="T2745" s="23">
        <v>46247.787106481483</v>
      </c>
      <c r="U2745" s="55">
        <f t="shared" si="126"/>
        <v>1</v>
      </c>
      <c r="V2745" s="55">
        <f t="shared" si="127"/>
        <v>0</v>
      </c>
      <c r="W2745" s="56">
        <f t="shared" si="128"/>
        <v>1506.5</v>
      </c>
    </row>
    <row r="2746" spans="1:23" x14ac:dyDescent="0.3">
      <c r="A2746" s="13" t="str" cm="1">
        <f t="array" ref="A2746:B2746">INDEX(BenchmarkResults!$B$1:$D$35,SUMPRODUCT((T2746&gt;=BenchmarkResults!$F$3:$F$35)*(mongodb_hardware_log!T2746&lt;BenchmarkResults!$G$3:$G$35)*ROW(BenchmarkResults!$F$3:$F$35)),{1,3})</f>
        <v>q6_inactive_customers</v>
      </c>
      <c r="B2746">
        <v>2</v>
      </c>
      <c r="C2746" s="13">
        <v>1</v>
      </c>
      <c r="D2746" s="13">
        <v>0</v>
      </c>
      <c r="E2746" s="13">
        <v>194560</v>
      </c>
      <c r="F2746" s="13">
        <v>247420</v>
      </c>
      <c r="G2746" s="13">
        <v>6904</v>
      </c>
      <c r="H2746" s="13">
        <v>2139120</v>
      </c>
      <c r="I2746" s="13">
        <v>0</v>
      </c>
      <c r="J2746" s="13">
        <v>0</v>
      </c>
      <c r="K2746" s="13">
        <v>1558</v>
      </c>
      <c r="L2746" s="13">
        <v>14</v>
      </c>
      <c r="M2746" s="13">
        <v>727</v>
      </c>
      <c r="N2746" s="13">
        <v>221</v>
      </c>
      <c r="O2746" s="13">
        <v>36</v>
      </c>
      <c r="P2746" s="13">
        <v>1</v>
      </c>
      <c r="Q2746" s="13">
        <v>62</v>
      </c>
      <c r="R2746" s="13">
        <v>0</v>
      </c>
      <c r="S2746" s="13">
        <v>0</v>
      </c>
      <c r="T2746" s="23">
        <v>46247.787129629629</v>
      </c>
      <c r="U2746" s="55">
        <f t="shared" si="126"/>
        <v>1</v>
      </c>
      <c r="V2746" s="55">
        <f t="shared" si="127"/>
        <v>0</v>
      </c>
      <c r="W2746" s="56">
        <f t="shared" si="128"/>
        <v>1504.1666666666667</v>
      </c>
    </row>
    <row r="2747" spans="1:23" x14ac:dyDescent="0.3">
      <c r="A2747" s="13" t="str" cm="1">
        <f t="array" ref="A2747:B2747">INDEX(BenchmarkResults!$B$1:$D$35,SUMPRODUCT((T2747&gt;=BenchmarkResults!$F$3:$F$35)*(mongodb_hardware_log!T2747&lt;BenchmarkResults!$G$3:$G$35)*ROW(BenchmarkResults!$F$3:$F$35)),{1,3})</f>
        <v>q6_inactive_customers</v>
      </c>
      <c r="B2747">
        <v>2</v>
      </c>
      <c r="C2747" s="13">
        <v>1</v>
      </c>
      <c r="D2747" s="13">
        <v>0</v>
      </c>
      <c r="E2747" s="13">
        <v>194560</v>
      </c>
      <c r="F2747" s="13">
        <v>234820</v>
      </c>
      <c r="G2747" s="13">
        <v>6912</v>
      </c>
      <c r="H2747" s="13">
        <v>2151840</v>
      </c>
      <c r="I2747" s="13">
        <v>0</v>
      </c>
      <c r="J2747" s="13">
        <v>0</v>
      </c>
      <c r="K2747" s="13">
        <v>1579</v>
      </c>
      <c r="L2747" s="13">
        <v>18</v>
      </c>
      <c r="M2747" s="13">
        <v>731</v>
      </c>
      <c r="N2747" s="13">
        <v>219</v>
      </c>
      <c r="O2747" s="13">
        <v>36</v>
      </c>
      <c r="P2747" s="13">
        <v>1</v>
      </c>
      <c r="Q2747" s="13">
        <v>62</v>
      </c>
      <c r="R2747" s="13">
        <v>0</v>
      </c>
      <c r="S2747" s="13">
        <v>0</v>
      </c>
      <c r="T2747" s="23">
        <v>46247.787222222221</v>
      </c>
      <c r="U2747" s="55">
        <f t="shared" si="126"/>
        <v>1</v>
      </c>
      <c r="V2747" s="55">
        <f t="shared" si="127"/>
        <v>0</v>
      </c>
      <c r="W2747" s="56">
        <f t="shared" si="128"/>
        <v>1574.6666666666667</v>
      </c>
    </row>
    <row r="2748" spans="1:23" x14ac:dyDescent="0.3">
      <c r="A2748" s="13" t="str" cm="1">
        <f t="array" ref="A2748:B2748">INDEX(BenchmarkResults!$B$1:$D$35,SUMPRODUCT((T2748&gt;=BenchmarkResults!$F$3:$F$35)*(mongodb_hardware_log!T2748&lt;BenchmarkResults!$G$3:$G$35)*ROW(BenchmarkResults!$F$3:$F$35)),{1,3})</f>
        <v>q6_inactive_customers</v>
      </c>
      <c r="B2748">
        <v>2</v>
      </c>
      <c r="C2748" s="13">
        <v>1</v>
      </c>
      <c r="D2748" s="13">
        <v>0</v>
      </c>
      <c r="E2748" s="13">
        <v>194560</v>
      </c>
      <c r="F2748" s="13">
        <v>234820</v>
      </c>
      <c r="G2748" s="13">
        <v>6912</v>
      </c>
      <c r="H2748" s="13">
        <v>2154824</v>
      </c>
      <c r="I2748" s="13">
        <v>0</v>
      </c>
      <c r="J2748" s="13">
        <v>0</v>
      </c>
      <c r="K2748" s="13">
        <v>1574</v>
      </c>
      <c r="L2748" s="13">
        <v>13</v>
      </c>
      <c r="M2748" s="13">
        <v>732</v>
      </c>
      <c r="N2748" s="13">
        <v>218</v>
      </c>
      <c r="O2748" s="13">
        <v>36</v>
      </c>
      <c r="P2748" s="13">
        <v>2</v>
      </c>
      <c r="Q2748" s="13">
        <v>62</v>
      </c>
      <c r="R2748" s="13">
        <v>1</v>
      </c>
      <c r="S2748" s="13">
        <v>0</v>
      </c>
      <c r="T2748" s="23">
        <v>46247.787245370368</v>
      </c>
      <c r="U2748" s="55">
        <f t="shared" si="126"/>
        <v>1</v>
      </c>
      <c r="V2748" s="55">
        <f t="shared" si="127"/>
        <v>0</v>
      </c>
      <c r="W2748" s="56">
        <f t="shared" si="128"/>
        <v>1638.3333333333333</v>
      </c>
    </row>
    <row r="2749" spans="1:23" x14ac:dyDescent="0.3">
      <c r="A2749" s="13" t="str" cm="1">
        <f t="array" ref="A2749:B2749">INDEX(BenchmarkResults!$B$1:$D$35,SUMPRODUCT((T2749&gt;=BenchmarkResults!$F$3:$F$35)*(mongodb_hardware_log!T2749&lt;BenchmarkResults!$G$3:$G$35)*ROW(BenchmarkResults!$F$3:$F$35)),{1,3})</f>
        <v>q6_inactive_customers</v>
      </c>
      <c r="B2749">
        <v>2</v>
      </c>
      <c r="C2749" s="13">
        <v>1</v>
      </c>
      <c r="D2749" s="13">
        <v>0</v>
      </c>
      <c r="E2749" s="13">
        <v>194560</v>
      </c>
      <c r="F2749" s="13">
        <v>215416</v>
      </c>
      <c r="G2749" s="13">
        <v>6920</v>
      </c>
      <c r="H2749" s="13">
        <v>2168276</v>
      </c>
      <c r="I2749" s="13">
        <v>0</v>
      </c>
      <c r="J2749" s="13">
        <v>0</v>
      </c>
      <c r="K2749" s="13">
        <v>1650</v>
      </c>
      <c r="L2749" s="13">
        <v>12</v>
      </c>
      <c r="M2749" s="13">
        <v>745</v>
      </c>
      <c r="N2749" s="13">
        <v>225</v>
      </c>
      <c r="O2749" s="13">
        <v>36</v>
      </c>
      <c r="P2749" s="13">
        <v>2</v>
      </c>
      <c r="Q2749" s="13">
        <v>61</v>
      </c>
      <c r="R2749" s="13">
        <v>1</v>
      </c>
      <c r="S2749" s="13">
        <v>0</v>
      </c>
      <c r="T2749" s="23">
        <v>46247.78733796296</v>
      </c>
      <c r="U2749" s="55">
        <f t="shared" si="126"/>
        <v>1</v>
      </c>
      <c r="V2749" s="55">
        <f t="shared" si="127"/>
        <v>0</v>
      </c>
      <c r="W2749" s="56">
        <f t="shared" si="128"/>
        <v>1647.3333333333333</v>
      </c>
    </row>
    <row r="2750" spans="1:23" x14ac:dyDescent="0.3">
      <c r="A2750" s="13" t="str" cm="1">
        <f t="array" ref="A2750:B2750">INDEX(BenchmarkResults!$B$1:$D$35,SUMPRODUCT((T2750&gt;=BenchmarkResults!$F$3:$F$35)*(mongodb_hardware_log!T2750&lt;BenchmarkResults!$G$3:$G$35)*ROW(BenchmarkResults!$F$3:$F$35)),{1,3})</f>
        <v>q6_inactive_customers</v>
      </c>
      <c r="B2750">
        <v>2</v>
      </c>
      <c r="C2750" s="13">
        <v>1</v>
      </c>
      <c r="D2750" s="13">
        <v>0</v>
      </c>
      <c r="E2750" s="13">
        <v>194560</v>
      </c>
      <c r="F2750" s="13">
        <v>215416</v>
      </c>
      <c r="G2750" s="13">
        <v>6920</v>
      </c>
      <c r="H2750" s="13">
        <v>2170224</v>
      </c>
      <c r="I2750" s="13">
        <v>0</v>
      </c>
      <c r="J2750" s="13">
        <v>0</v>
      </c>
      <c r="K2750" s="13">
        <v>1536</v>
      </c>
      <c r="L2750" s="13">
        <v>12</v>
      </c>
      <c r="M2750" s="13">
        <v>739</v>
      </c>
      <c r="N2750" s="13">
        <v>221</v>
      </c>
      <c r="O2750" s="13">
        <v>36</v>
      </c>
      <c r="P2750" s="13">
        <v>2</v>
      </c>
      <c r="Q2750" s="13">
        <v>61</v>
      </c>
      <c r="R2750" s="13">
        <v>0</v>
      </c>
      <c r="S2750" s="13">
        <v>0</v>
      </c>
      <c r="T2750" s="23">
        <v>46247.787361111114</v>
      </c>
      <c r="U2750" s="55">
        <f t="shared" si="126"/>
        <v>1</v>
      </c>
      <c r="V2750" s="55">
        <f t="shared" si="127"/>
        <v>0</v>
      </c>
      <c r="W2750" s="56">
        <f t="shared" si="128"/>
        <v>1598.5</v>
      </c>
    </row>
    <row r="2751" spans="1:23" x14ac:dyDescent="0.3">
      <c r="A2751" s="13" t="str" cm="1">
        <f t="array" ref="A2751:B2751">INDEX(BenchmarkResults!$B$1:$D$35,SUMPRODUCT((T2751&gt;=BenchmarkResults!$F$3:$F$35)*(mongodb_hardware_log!T2751&lt;BenchmarkResults!$G$3:$G$35)*ROW(BenchmarkResults!$F$3:$F$35)),{1,3})</f>
        <v>q6_inactive_customers</v>
      </c>
      <c r="B2751">
        <v>2</v>
      </c>
      <c r="C2751" s="13">
        <v>0</v>
      </c>
      <c r="D2751" s="13">
        <v>1</v>
      </c>
      <c r="E2751" s="13">
        <v>194560</v>
      </c>
      <c r="F2751" s="13">
        <v>189964</v>
      </c>
      <c r="G2751" s="13">
        <v>6928</v>
      </c>
      <c r="H2751" s="13">
        <v>2195172</v>
      </c>
      <c r="I2751" s="13">
        <v>0</v>
      </c>
      <c r="J2751" s="13">
        <v>0</v>
      </c>
      <c r="K2751" s="13">
        <v>1095</v>
      </c>
      <c r="L2751" s="13">
        <v>18</v>
      </c>
      <c r="M2751" s="13">
        <v>693</v>
      </c>
      <c r="N2751" s="13">
        <v>177</v>
      </c>
      <c r="O2751" s="13">
        <v>36</v>
      </c>
      <c r="P2751" s="13">
        <v>2</v>
      </c>
      <c r="Q2751" s="13">
        <v>62</v>
      </c>
      <c r="R2751" s="13">
        <v>0</v>
      </c>
      <c r="S2751" s="13">
        <v>0</v>
      </c>
      <c r="T2751" s="23">
        <v>46247.787453703706</v>
      </c>
      <c r="U2751" s="55">
        <f t="shared" si="126"/>
        <v>0.83333333333333337</v>
      </c>
      <c r="V2751" s="55">
        <f t="shared" si="127"/>
        <v>0.16666666666666666</v>
      </c>
      <c r="W2751" s="56">
        <f t="shared" si="128"/>
        <v>1498.6666666666667</v>
      </c>
    </row>
    <row r="2752" spans="1:23" x14ac:dyDescent="0.3">
      <c r="A2752" s="13" t="str" cm="1">
        <f t="array" ref="A2752:B2752">INDEX(BenchmarkResults!$B$1:$D$35,SUMPRODUCT((T2752&gt;=BenchmarkResults!$F$3:$F$35)*(mongodb_hardware_log!T2752&lt;BenchmarkResults!$G$3:$G$35)*ROW(BenchmarkResults!$F$3:$F$35)),{1,3})</f>
        <v>q6_inactive_customers</v>
      </c>
      <c r="B2752">
        <v>2</v>
      </c>
      <c r="C2752" s="13">
        <v>1</v>
      </c>
      <c r="D2752" s="13">
        <v>0</v>
      </c>
      <c r="E2752" s="13">
        <v>194560</v>
      </c>
      <c r="F2752" s="13">
        <v>188200</v>
      </c>
      <c r="G2752" s="13">
        <v>6936</v>
      </c>
      <c r="H2752" s="13">
        <v>2196784</v>
      </c>
      <c r="I2752" s="13">
        <v>0</v>
      </c>
      <c r="J2752" s="13">
        <v>0</v>
      </c>
      <c r="K2752" s="13">
        <v>1062</v>
      </c>
      <c r="L2752" s="13">
        <v>24</v>
      </c>
      <c r="M2752" s="13">
        <v>696</v>
      </c>
      <c r="N2752" s="13">
        <v>180</v>
      </c>
      <c r="O2752" s="13">
        <v>36</v>
      </c>
      <c r="P2752" s="13">
        <v>2</v>
      </c>
      <c r="Q2752" s="13">
        <v>62</v>
      </c>
      <c r="R2752" s="13">
        <v>0</v>
      </c>
      <c r="S2752" s="13">
        <v>0</v>
      </c>
      <c r="T2752" s="23">
        <v>46247.787476851852</v>
      </c>
      <c r="U2752" s="55">
        <f t="shared" si="126"/>
        <v>0.83333333333333337</v>
      </c>
      <c r="V2752" s="55">
        <f t="shared" si="127"/>
        <v>0.16666666666666666</v>
      </c>
      <c r="W2752" s="56">
        <f t="shared" si="128"/>
        <v>1416</v>
      </c>
    </row>
    <row r="2753" spans="1:23" x14ac:dyDescent="0.3">
      <c r="A2753" s="13" t="str" cm="1">
        <f t="array" ref="A2753:B2753">INDEX(BenchmarkResults!$B$1:$D$35,SUMPRODUCT((T2753&gt;=BenchmarkResults!$F$3:$F$35)*(mongodb_hardware_log!T2753&lt;BenchmarkResults!$G$3:$G$35)*ROW(BenchmarkResults!$F$3:$F$35)),{1,3})</f>
        <v>q6_inactive_customers</v>
      </c>
      <c r="B2753">
        <v>2</v>
      </c>
      <c r="C2753" s="13">
        <v>1</v>
      </c>
      <c r="D2753" s="13">
        <v>0</v>
      </c>
      <c r="E2753" s="13">
        <v>194560</v>
      </c>
      <c r="F2753" s="13">
        <v>174340</v>
      </c>
      <c r="G2753" s="13">
        <v>6944</v>
      </c>
      <c r="H2753" s="13">
        <v>2210392</v>
      </c>
      <c r="I2753" s="13">
        <v>0</v>
      </c>
      <c r="J2753" s="13">
        <v>0</v>
      </c>
      <c r="K2753" s="13">
        <v>1522</v>
      </c>
      <c r="L2753" s="13">
        <v>432</v>
      </c>
      <c r="M2753" s="13">
        <v>745</v>
      </c>
      <c r="N2753" s="13">
        <v>216</v>
      </c>
      <c r="O2753" s="13">
        <v>36</v>
      </c>
      <c r="P2753" s="13">
        <v>1</v>
      </c>
      <c r="Q2753" s="13">
        <v>61</v>
      </c>
      <c r="R2753" s="13">
        <v>1</v>
      </c>
      <c r="S2753" s="13">
        <v>0</v>
      </c>
      <c r="T2753" s="23">
        <v>46247.787569444445</v>
      </c>
      <c r="U2753" s="55">
        <f t="shared" si="126"/>
        <v>0.83333333333333337</v>
      </c>
      <c r="V2753" s="55">
        <f t="shared" si="127"/>
        <v>0.16666666666666666</v>
      </c>
      <c r="W2753" s="56">
        <f t="shared" si="128"/>
        <v>1406.5</v>
      </c>
    </row>
    <row r="2754" spans="1:23" x14ac:dyDescent="0.3">
      <c r="A2754" s="13" t="str" cm="1">
        <f t="array" ref="A2754:B2754">INDEX(BenchmarkResults!$B$1:$D$35,SUMPRODUCT((T2754&gt;=BenchmarkResults!$F$3:$F$35)*(mongodb_hardware_log!T2754&lt;BenchmarkResults!$G$3:$G$35)*ROW(BenchmarkResults!$F$3:$F$35)),{1,3})</f>
        <v>q6_inactive_customers</v>
      </c>
      <c r="B2754">
        <v>2</v>
      </c>
      <c r="C2754" s="13">
        <v>1</v>
      </c>
      <c r="D2754" s="13">
        <v>0</v>
      </c>
      <c r="E2754" s="13">
        <v>194560</v>
      </c>
      <c r="F2754" s="13">
        <v>170308</v>
      </c>
      <c r="G2754" s="13">
        <v>6944</v>
      </c>
      <c r="H2754" s="13">
        <v>2213492</v>
      </c>
      <c r="I2754" s="13">
        <v>0</v>
      </c>
      <c r="J2754" s="13">
        <v>0</v>
      </c>
      <c r="K2754" s="13">
        <v>1666</v>
      </c>
      <c r="L2754" s="13">
        <v>1576</v>
      </c>
      <c r="M2754" s="13">
        <v>753</v>
      </c>
      <c r="N2754" s="13">
        <v>219</v>
      </c>
      <c r="O2754" s="13">
        <v>36</v>
      </c>
      <c r="P2754" s="13">
        <v>1</v>
      </c>
      <c r="Q2754" s="13">
        <v>60</v>
      </c>
      <c r="R2754" s="13">
        <v>2</v>
      </c>
      <c r="S2754" s="13">
        <v>0</v>
      </c>
      <c r="T2754" s="23">
        <v>46247.787592592591</v>
      </c>
      <c r="U2754" s="55">
        <f t="shared" si="126"/>
        <v>0.83333333333333337</v>
      </c>
      <c r="V2754" s="55">
        <f t="shared" si="127"/>
        <v>0.16666666666666666</v>
      </c>
      <c r="W2754" s="56">
        <f t="shared" si="128"/>
        <v>1421.8333333333333</v>
      </c>
    </row>
    <row r="2755" spans="1:23" x14ac:dyDescent="0.3">
      <c r="A2755" s="13" t="str" cm="1">
        <f t="array" ref="A2755:B2755">INDEX(BenchmarkResults!$B$1:$D$35,SUMPRODUCT((T2755&gt;=BenchmarkResults!$F$3:$F$35)*(mongodb_hardware_log!T2755&lt;BenchmarkResults!$G$3:$G$35)*ROW(BenchmarkResults!$F$3:$F$35)),{1,3})</f>
        <v>q6_inactive_customers</v>
      </c>
      <c r="B2755">
        <v>2</v>
      </c>
      <c r="C2755" s="13">
        <v>1</v>
      </c>
      <c r="D2755" s="13">
        <v>0</v>
      </c>
      <c r="E2755" s="13">
        <v>194560</v>
      </c>
      <c r="F2755" s="13">
        <v>165268</v>
      </c>
      <c r="G2755" s="13">
        <v>6976</v>
      </c>
      <c r="H2755" s="13">
        <v>2224692</v>
      </c>
      <c r="I2755" s="13">
        <v>0</v>
      </c>
      <c r="J2755" s="13">
        <v>0</v>
      </c>
      <c r="K2755" s="13">
        <v>1418</v>
      </c>
      <c r="L2755" s="13">
        <v>1176</v>
      </c>
      <c r="M2755" s="13">
        <v>750</v>
      </c>
      <c r="N2755" s="13">
        <v>235</v>
      </c>
      <c r="O2755" s="13">
        <v>36</v>
      </c>
      <c r="P2755" s="13">
        <v>1</v>
      </c>
      <c r="Q2755" s="13">
        <v>60</v>
      </c>
      <c r="R2755" s="13">
        <v>2</v>
      </c>
      <c r="S2755" s="13">
        <v>1</v>
      </c>
      <c r="T2755" s="23">
        <v>46247.787685185183</v>
      </c>
      <c r="U2755" s="55">
        <f t="shared" si="126"/>
        <v>0.83333333333333337</v>
      </c>
      <c r="V2755" s="55">
        <f t="shared" si="127"/>
        <v>0.16666666666666666</v>
      </c>
      <c r="W2755" s="56">
        <f t="shared" si="128"/>
        <v>1383.1666666666667</v>
      </c>
    </row>
    <row r="2756" spans="1:23" x14ac:dyDescent="0.3">
      <c r="A2756" s="13" t="str" cm="1">
        <f t="array" ref="A2756:B2756">INDEX(BenchmarkResults!$B$1:$D$35,SUMPRODUCT((T2756&gt;=BenchmarkResults!$F$3:$F$35)*(mongodb_hardware_log!T2756&lt;BenchmarkResults!$G$3:$G$35)*ROW(BenchmarkResults!$F$3:$F$35)),{1,3})</f>
        <v>q6_inactive_customers</v>
      </c>
      <c r="B2756">
        <v>2</v>
      </c>
      <c r="C2756" s="13">
        <v>1</v>
      </c>
      <c r="D2756" s="13">
        <v>0</v>
      </c>
      <c r="E2756" s="13">
        <v>194560</v>
      </c>
      <c r="F2756" s="13">
        <v>161488</v>
      </c>
      <c r="G2756" s="13">
        <v>6976</v>
      </c>
      <c r="H2756" s="13">
        <v>2227212</v>
      </c>
      <c r="I2756" s="13">
        <v>0</v>
      </c>
      <c r="J2756" s="13">
        <v>0</v>
      </c>
      <c r="K2756" s="13">
        <v>1376</v>
      </c>
      <c r="L2756" s="13">
        <v>26</v>
      </c>
      <c r="M2756" s="13">
        <v>756</v>
      </c>
      <c r="N2756" s="13">
        <v>248</v>
      </c>
      <c r="O2756" s="13">
        <v>36</v>
      </c>
      <c r="P2756" s="13">
        <v>1</v>
      </c>
      <c r="Q2756" s="13">
        <v>62</v>
      </c>
      <c r="R2756" s="13">
        <v>1</v>
      </c>
      <c r="S2756" s="13">
        <v>1</v>
      </c>
      <c r="T2756" s="23">
        <v>46247.787708333337</v>
      </c>
      <c r="U2756" s="55">
        <f t="shared" si="126"/>
        <v>0.83333333333333337</v>
      </c>
      <c r="V2756" s="55">
        <f t="shared" si="127"/>
        <v>0.16666666666666666</v>
      </c>
      <c r="W2756" s="56">
        <f t="shared" si="128"/>
        <v>1356.5</v>
      </c>
    </row>
    <row r="2757" spans="1:23" x14ac:dyDescent="0.3">
      <c r="A2757" s="13" t="str" cm="1">
        <f t="array" ref="A2757:B2757">INDEX(BenchmarkResults!$B$1:$D$35,SUMPRODUCT((T2757&gt;=BenchmarkResults!$F$3:$F$35)*(mongodb_hardware_log!T2757&lt;BenchmarkResults!$G$3:$G$35)*ROW(BenchmarkResults!$F$3:$F$35)),{1,3})</f>
        <v>q6_inactive_customers</v>
      </c>
      <c r="B2757">
        <v>2</v>
      </c>
      <c r="C2757" s="13">
        <v>1</v>
      </c>
      <c r="D2757" s="13">
        <v>0</v>
      </c>
      <c r="E2757" s="13">
        <v>194560</v>
      </c>
      <c r="F2757" s="13">
        <v>149140</v>
      </c>
      <c r="G2757" s="13">
        <v>6984</v>
      </c>
      <c r="H2757" s="13">
        <v>2240272</v>
      </c>
      <c r="I2757" s="13">
        <v>0</v>
      </c>
      <c r="J2757" s="13">
        <v>0</v>
      </c>
      <c r="K2757" s="13">
        <v>1560</v>
      </c>
      <c r="L2757" s="13">
        <v>5</v>
      </c>
      <c r="M2757" s="13">
        <v>746</v>
      </c>
      <c r="N2757" s="13">
        <v>231</v>
      </c>
      <c r="O2757" s="13">
        <v>35</v>
      </c>
      <c r="P2757" s="13">
        <v>1</v>
      </c>
      <c r="Q2757" s="13">
        <v>62</v>
      </c>
      <c r="R2757" s="13">
        <v>0</v>
      </c>
      <c r="S2757" s="13">
        <v>1</v>
      </c>
      <c r="T2757" s="23">
        <v>46247.787800925929</v>
      </c>
      <c r="U2757" s="55">
        <f t="shared" si="126"/>
        <v>1</v>
      </c>
      <c r="V2757" s="55">
        <f t="shared" si="127"/>
        <v>0</v>
      </c>
      <c r="W2757" s="56">
        <f t="shared" si="128"/>
        <v>1434</v>
      </c>
    </row>
    <row r="2758" spans="1:23" x14ac:dyDescent="0.3">
      <c r="A2758" s="13" t="str" cm="1">
        <f t="array" ref="A2758:B2758">INDEX(BenchmarkResults!$B$1:$D$35,SUMPRODUCT((T2758&gt;=BenchmarkResults!$F$3:$F$35)*(mongodb_hardware_log!T2758&lt;BenchmarkResults!$G$3:$G$35)*ROW(BenchmarkResults!$F$3:$F$35)),{1,3})</f>
        <v>q6_inactive_customers</v>
      </c>
      <c r="B2758">
        <v>2</v>
      </c>
      <c r="C2758" s="13">
        <v>1</v>
      </c>
      <c r="D2758" s="13">
        <v>0</v>
      </c>
      <c r="E2758" s="13">
        <v>194560</v>
      </c>
      <c r="F2758" s="13">
        <v>141076</v>
      </c>
      <c r="G2758" s="13">
        <v>6984</v>
      </c>
      <c r="H2758" s="13">
        <v>2242760</v>
      </c>
      <c r="I2758" s="13">
        <v>0</v>
      </c>
      <c r="J2758" s="13">
        <v>0</v>
      </c>
      <c r="K2758" s="13">
        <v>1549</v>
      </c>
      <c r="L2758" s="13">
        <v>5</v>
      </c>
      <c r="M2758" s="13">
        <v>732</v>
      </c>
      <c r="N2758" s="13">
        <v>218</v>
      </c>
      <c r="O2758" s="13">
        <v>36</v>
      </c>
      <c r="P2758" s="13">
        <v>1</v>
      </c>
      <c r="Q2758" s="13">
        <v>62</v>
      </c>
      <c r="R2758" s="13">
        <v>0</v>
      </c>
      <c r="S2758" s="13">
        <v>1</v>
      </c>
      <c r="T2758" s="23">
        <v>46247.787824074076</v>
      </c>
      <c r="U2758" s="55">
        <f t="shared" si="126"/>
        <v>1</v>
      </c>
      <c r="V2758" s="55">
        <f t="shared" si="127"/>
        <v>0</v>
      </c>
      <c r="W2758" s="56">
        <f t="shared" si="128"/>
        <v>1515.1666666666667</v>
      </c>
    </row>
    <row r="2759" spans="1:23" x14ac:dyDescent="0.3">
      <c r="A2759" s="13" t="str" cm="1">
        <f t="array" ref="A2759:B2759">INDEX(BenchmarkResults!$B$1:$D$35,SUMPRODUCT((T2759&gt;=BenchmarkResults!$F$3:$F$35)*(mongodb_hardware_log!T2759&lt;BenchmarkResults!$G$3:$G$35)*ROW(BenchmarkResults!$F$3:$F$35)),{1,3})</f>
        <v>q6_inactive_customers</v>
      </c>
      <c r="B2759">
        <v>2</v>
      </c>
      <c r="C2759" s="13">
        <v>1</v>
      </c>
      <c r="D2759" s="13">
        <v>0</v>
      </c>
      <c r="E2759" s="13">
        <v>194560</v>
      </c>
      <c r="F2759" s="13">
        <v>131248</v>
      </c>
      <c r="G2759" s="13">
        <v>6992</v>
      </c>
      <c r="H2759" s="13">
        <v>2256040</v>
      </c>
      <c r="I2759" s="13">
        <v>0</v>
      </c>
      <c r="J2759" s="13">
        <v>0</v>
      </c>
      <c r="K2759" s="13">
        <v>1579</v>
      </c>
      <c r="L2759" s="13">
        <v>9</v>
      </c>
      <c r="M2759" s="13">
        <v>729</v>
      </c>
      <c r="N2759" s="13">
        <v>218</v>
      </c>
      <c r="O2759" s="13">
        <v>37</v>
      </c>
      <c r="P2759" s="13">
        <v>1</v>
      </c>
      <c r="Q2759" s="13">
        <v>61</v>
      </c>
      <c r="R2759" s="13">
        <v>0</v>
      </c>
      <c r="S2759" s="13">
        <v>0</v>
      </c>
      <c r="T2759" s="23">
        <v>46247.787916666668</v>
      </c>
      <c r="U2759" s="55">
        <f t="shared" si="126"/>
        <v>1</v>
      </c>
      <c r="V2759" s="55">
        <f t="shared" si="127"/>
        <v>0</v>
      </c>
      <c r="W2759" s="56">
        <f t="shared" si="128"/>
        <v>1524.6666666666667</v>
      </c>
    </row>
    <row r="2760" spans="1:23" x14ac:dyDescent="0.3">
      <c r="A2760" s="13" t="str" cm="1">
        <f t="array" ref="A2760:B2760">INDEX(BenchmarkResults!$B$1:$D$35,SUMPRODUCT((T2760&gt;=BenchmarkResults!$F$3:$F$35)*(mongodb_hardware_log!T2760&lt;BenchmarkResults!$G$3:$G$35)*ROW(BenchmarkResults!$F$3:$F$35)),{1,3})</f>
        <v>q6_inactive_customers</v>
      </c>
      <c r="B2760">
        <v>2</v>
      </c>
      <c r="C2760" s="13">
        <v>1</v>
      </c>
      <c r="D2760" s="13">
        <v>0</v>
      </c>
      <c r="E2760" s="13">
        <v>194560</v>
      </c>
      <c r="F2760" s="13">
        <v>130744</v>
      </c>
      <c r="G2760" s="13">
        <v>7000</v>
      </c>
      <c r="H2760" s="13">
        <v>2259476</v>
      </c>
      <c r="I2760" s="13">
        <v>0</v>
      </c>
      <c r="J2760" s="13">
        <v>0</v>
      </c>
      <c r="K2760" s="13">
        <v>1675</v>
      </c>
      <c r="L2760" s="13">
        <v>14</v>
      </c>
      <c r="M2760" s="13">
        <v>732</v>
      </c>
      <c r="N2760" s="13">
        <v>217</v>
      </c>
      <c r="O2760" s="13">
        <v>36</v>
      </c>
      <c r="P2760" s="13">
        <v>1</v>
      </c>
      <c r="Q2760" s="13">
        <v>61</v>
      </c>
      <c r="R2760" s="13">
        <v>1</v>
      </c>
      <c r="S2760" s="13">
        <v>0</v>
      </c>
      <c r="T2760" s="23">
        <v>46247.787939814814</v>
      </c>
      <c r="U2760" s="55">
        <f t="shared" si="126"/>
        <v>1</v>
      </c>
      <c r="V2760" s="55">
        <f t="shared" si="127"/>
        <v>0</v>
      </c>
      <c r="W2760" s="56">
        <f t="shared" si="128"/>
        <v>1526.1666666666667</v>
      </c>
    </row>
    <row r="2761" spans="1:23" x14ac:dyDescent="0.3">
      <c r="A2761" s="13" t="str" cm="1">
        <f t="array" ref="A2761:B2761">INDEX(BenchmarkResults!$B$1:$D$35,SUMPRODUCT((T2761&gt;=BenchmarkResults!$F$3:$F$35)*(mongodb_hardware_log!T2761&lt;BenchmarkResults!$G$3:$G$35)*ROW(BenchmarkResults!$F$3:$F$35)),{1,3})</f>
        <v>q6_inactive_customers</v>
      </c>
      <c r="B2761">
        <v>2</v>
      </c>
      <c r="C2761" s="13">
        <v>1</v>
      </c>
      <c r="D2761" s="13">
        <v>0</v>
      </c>
      <c r="E2761" s="13">
        <v>194560</v>
      </c>
      <c r="F2761" s="13">
        <v>115876</v>
      </c>
      <c r="G2761" s="13">
        <v>7008</v>
      </c>
      <c r="H2761" s="13">
        <v>2271056</v>
      </c>
      <c r="I2761" s="13">
        <v>0</v>
      </c>
      <c r="J2761" s="13">
        <v>0</v>
      </c>
      <c r="K2761" s="13">
        <v>1501</v>
      </c>
      <c r="L2761" s="13">
        <v>22</v>
      </c>
      <c r="M2761" s="13">
        <v>740</v>
      </c>
      <c r="N2761" s="13">
        <v>220</v>
      </c>
      <c r="O2761" s="13">
        <v>36</v>
      </c>
      <c r="P2761" s="13">
        <v>1</v>
      </c>
      <c r="Q2761" s="13">
        <v>62</v>
      </c>
      <c r="R2761" s="13">
        <v>1</v>
      </c>
      <c r="S2761" s="13">
        <v>0</v>
      </c>
      <c r="T2761" s="23">
        <v>46247.788032407407</v>
      </c>
      <c r="U2761" s="55">
        <f t="shared" ref="U2761:U2824" si="129">AVERAGE(C2756:C2761)</f>
        <v>1</v>
      </c>
      <c r="V2761" s="55">
        <f t="shared" ref="V2761:V2824" si="130">AVERAGE(D2756:D2761)</f>
        <v>0</v>
      </c>
      <c r="W2761" s="56">
        <f t="shared" ref="W2761:W2824" si="131">AVERAGE(K2756:K2761)</f>
        <v>1540</v>
      </c>
    </row>
    <row r="2762" spans="1:23" x14ac:dyDescent="0.3">
      <c r="A2762" s="13" t="str" cm="1">
        <f t="array" ref="A2762:B2762">INDEX(BenchmarkResults!$B$1:$D$35,SUMPRODUCT((T2762&gt;=BenchmarkResults!$F$3:$F$35)*(mongodb_hardware_log!T2762&lt;BenchmarkResults!$G$3:$G$35)*ROW(BenchmarkResults!$F$3:$F$35)),{1,3})</f>
        <v>q6_inactive_customers</v>
      </c>
      <c r="B2762">
        <v>2</v>
      </c>
      <c r="C2762" s="13">
        <v>1</v>
      </c>
      <c r="D2762" s="13">
        <v>0</v>
      </c>
      <c r="E2762" s="13">
        <v>194560</v>
      </c>
      <c r="F2762" s="13">
        <v>112096</v>
      </c>
      <c r="G2762" s="13">
        <v>7008</v>
      </c>
      <c r="H2762" s="13">
        <v>2275952</v>
      </c>
      <c r="I2762" s="13">
        <v>0</v>
      </c>
      <c r="J2762" s="13">
        <v>0</v>
      </c>
      <c r="K2762" s="13">
        <v>1314</v>
      </c>
      <c r="L2762" s="13">
        <v>17</v>
      </c>
      <c r="M2762" s="13">
        <v>726</v>
      </c>
      <c r="N2762" s="13">
        <v>205</v>
      </c>
      <c r="O2762" s="13">
        <v>36</v>
      </c>
      <c r="P2762" s="13">
        <v>1</v>
      </c>
      <c r="Q2762" s="13">
        <v>62</v>
      </c>
      <c r="R2762" s="13">
        <v>0</v>
      </c>
      <c r="S2762" s="13">
        <v>0</v>
      </c>
      <c r="T2762" s="23">
        <v>46247.788055555553</v>
      </c>
      <c r="U2762" s="55">
        <f t="shared" si="129"/>
        <v>1</v>
      </c>
      <c r="V2762" s="55">
        <f t="shared" si="130"/>
        <v>0</v>
      </c>
      <c r="W2762" s="56">
        <f t="shared" si="131"/>
        <v>1529.6666666666667</v>
      </c>
    </row>
    <row r="2763" spans="1:23" x14ac:dyDescent="0.3">
      <c r="A2763" s="13" t="str" cm="1">
        <f t="array" ref="A2763:B2763">INDEX(BenchmarkResults!$B$1:$D$35,SUMPRODUCT((T2763&gt;=BenchmarkResults!$F$3:$F$35)*(mongodb_hardware_log!T2763&lt;BenchmarkResults!$G$3:$G$35)*ROW(BenchmarkResults!$F$3:$F$35)),{1,3})</f>
        <v>q6_inactive_customers</v>
      </c>
      <c r="B2763">
        <v>2</v>
      </c>
      <c r="C2763" s="13">
        <v>1</v>
      </c>
      <c r="D2763" s="13">
        <v>0</v>
      </c>
      <c r="E2763" s="13">
        <v>194560</v>
      </c>
      <c r="F2763" s="13">
        <v>138392</v>
      </c>
      <c r="G2763" s="13">
        <v>7016</v>
      </c>
      <c r="H2763" s="13">
        <v>2241896</v>
      </c>
      <c r="I2763" s="13">
        <v>0</v>
      </c>
      <c r="J2763" s="13">
        <v>0</v>
      </c>
      <c r="K2763" s="13">
        <v>1067</v>
      </c>
      <c r="L2763" s="13">
        <v>1584</v>
      </c>
      <c r="M2763" s="13">
        <v>707</v>
      </c>
      <c r="N2763" s="13">
        <v>189</v>
      </c>
      <c r="O2763" s="13">
        <v>36</v>
      </c>
      <c r="P2763" s="13">
        <v>2</v>
      </c>
      <c r="Q2763" s="13">
        <v>61</v>
      </c>
      <c r="R2763" s="13">
        <v>1</v>
      </c>
      <c r="S2763" s="13">
        <v>0</v>
      </c>
      <c r="T2763" s="23">
        <v>46247.788148148145</v>
      </c>
      <c r="U2763" s="55">
        <f t="shared" si="129"/>
        <v>1</v>
      </c>
      <c r="V2763" s="55">
        <f t="shared" si="130"/>
        <v>0</v>
      </c>
      <c r="W2763" s="56">
        <f t="shared" si="131"/>
        <v>1447.5</v>
      </c>
    </row>
    <row r="2764" spans="1:23" x14ac:dyDescent="0.3">
      <c r="A2764" s="13" t="str" cm="1">
        <f t="array" ref="A2764:B2764">INDEX(BenchmarkResults!$B$1:$D$35,SUMPRODUCT((T2764&gt;=BenchmarkResults!$F$3:$F$35)*(mongodb_hardware_log!T2764&lt;BenchmarkResults!$G$3:$G$35)*ROW(BenchmarkResults!$F$3:$F$35)),{1,3})</f>
        <v>q6_inactive_customers</v>
      </c>
      <c r="B2764">
        <v>2</v>
      </c>
      <c r="C2764" s="13">
        <v>1</v>
      </c>
      <c r="D2764" s="13">
        <v>0</v>
      </c>
      <c r="E2764" s="13">
        <v>194560</v>
      </c>
      <c r="F2764" s="13">
        <v>138140</v>
      </c>
      <c r="G2764" s="13">
        <v>7024</v>
      </c>
      <c r="H2764" s="13">
        <v>2244960</v>
      </c>
      <c r="I2764" s="13">
        <v>0</v>
      </c>
      <c r="J2764" s="13">
        <v>0</v>
      </c>
      <c r="K2764" s="13">
        <v>1213</v>
      </c>
      <c r="L2764" s="13">
        <v>1591</v>
      </c>
      <c r="M2764" s="13">
        <v>719</v>
      </c>
      <c r="N2764" s="13">
        <v>199</v>
      </c>
      <c r="O2764" s="13">
        <v>36</v>
      </c>
      <c r="P2764" s="13">
        <v>1</v>
      </c>
      <c r="Q2764" s="13">
        <v>61</v>
      </c>
      <c r="R2764" s="13">
        <v>1</v>
      </c>
      <c r="S2764" s="13">
        <v>0</v>
      </c>
      <c r="T2764" s="23">
        <v>46247.788171296299</v>
      </c>
      <c r="U2764" s="55">
        <f t="shared" si="129"/>
        <v>1</v>
      </c>
      <c r="V2764" s="55">
        <f t="shared" si="130"/>
        <v>0</v>
      </c>
      <c r="W2764" s="56">
        <f t="shared" si="131"/>
        <v>1391.5</v>
      </c>
    </row>
    <row r="2765" spans="1:23" x14ac:dyDescent="0.3">
      <c r="A2765" s="13" t="str" cm="1">
        <f t="array" ref="A2765:B2765">INDEX(BenchmarkResults!$B$1:$D$35,SUMPRODUCT((T2765&gt;=BenchmarkResults!$F$3:$F$35)*(mongodb_hardware_log!T2765&lt;BenchmarkResults!$G$3:$G$35)*ROW(BenchmarkResults!$F$3:$F$35)),{1,3})</f>
        <v>q6_inactive_customers</v>
      </c>
      <c r="B2765">
        <v>2</v>
      </c>
      <c r="C2765" s="13">
        <v>1</v>
      </c>
      <c r="D2765" s="13">
        <v>0</v>
      </c>
      <c r="E2765" s="13">
        <v>194560</v>
      </c>
      <c r="F2765" s="13">
        <v>123272</v>
      </c>
      <c r="G2765" s="13">
        <v>7032</v>
      </c>
      <c r="H2765" s="13">
        <v>2256124</v>
      </c>
      <c r="I2765" s="13">
        <v>0</v>
      </c>
      <c r="J2765" s="13">
        <v>0</v>
      </c>
      <c r="K2765" s="13">
        <v>1414</v>
      </c>
      <c r="L2765" s="13">
        <v>16</v>
      </c>
      <c r="M2765" s="13">
        <v>744</v>
      </c>
      <c r="N2765" s="13">
        <v>212</v>
      </c>
      <c r="O2765" s="13">
        <v>36</v>
      </c>
      <c r="P2765" s="13">
        <v>1</v>
      </c>
      <c r="Q2765" s="13">
        <v>62</v>
      </c>
      <c r="R2765" s="13">
        <v>0</v>
      </c>
      <c r="S2765" s="13">
        <v>1</v>
      </c>
      <c r="T2765" s="23">
        <v>46247.788263888891</v>
      </c>
      <c r="U2765" s="55">
        <f t="shared" si="129"/>
        <v>1</v>
      </c>
      <c r="V2765" s="55">
        <f t="shared" si="130"/>
        <v>0</v>
      </c>
      <c r="W2765" s="56">
        <f t="shared" si="131"/>
        <v>1364</v>
      </c>
    </row>
    <row r="2766" spans="1:23" x14ac:dyDescent="0.3">
      <c r="A2766" s="13" t="str" cm="1">
        <f t="array" ref="A2766:B2766">INDEX(BenchmarkResults!$B$1:$D$35,SUMPRODUCT((T2766&gt;=BenchmarkResults!$F$3:$F$35)*(mongodb_hardware_log!T2766&lt;BenchmarkResults!$G$3:$G$35)*ROW(BenchmarkResults!$F$3:$F$35)),{1,3})</f>
        <v>q6_inactive_customers</v>
      </c>
      <c r="B2766">
        <v>2</v>
      </c>
      <c r="C2766" s="13">
        <v>1</v>
      </c>
      <c r="D2766" s="13">
        <v>0</v>
      </c>
      <c r="E2766" s="13">
        <v>194560</v>
      </c>
      <c r="F2766" s="13">
        <v>123272</v>
      </c>
      <c r="G2766" s="13">
        <v>7032</v>
      </c>
      <c r="H2766" s="13">
        <v>2259120</v>
      </c>
      <c r="I2766" s="13">
        <v>0</v>
      </c>
      <c r="J2766" s="13">
        <v>0</v>
      </c>
      <c r="K2766" s="13">
        <v>1413</v>
      </c>
      <c r="L2766" s="13">
        <v>9</v>
      </c>
      <c r="M2766" s="13">
        <v>743</v>
      </c>
      <c r="N2766" s="13">
        <v>210</v>
      </c>
      <c r="O2766" s="13">
        <v>36</v>
      </c>
      <c r="P2766" s="13">
        <v>1</v>
      </c>
      <c r="Q2766" s="13">
        <v>62</v>
      </c>
      <c r="R2766" s="13">
        <v>0</v>
      </c>
      <c r="S2766" s="13">
        <v>1</v>
      </c>
      <c r="T2766" s="23">
        <v>46247.788287037038</v>
      </c>
      <c r="U2766" s="55">
        <f t="shared" si="129"/>
        <v>1</v>
      </c>
      <c r="V2766" s="55">
        <f t="shared" si="130"/>
        <v>0</v>
      </c>
      <c r="W2766" s="56">
        <f t="shared" si="131"/>
        <v>1320.3333333333333</v>
      </c>
    </row>
    <row r="2767" spans="1:23" x14ac:dyDescent="0.3">
      <c r="A2767" s="13" t="str" cm="1">
        <f t="array" ref="A2767:B2767">INDEX(BenchmarkResults!$B$1:$D$35,SUMPRODUCT((T2767&gt;=BenchmarkResults!$F$3:$F$35)*(mongodb_hardware_log!T2767&lt;BenchmarkResults!$G$3:$G$35)*ROW(BenchmarkResults!$F$3:$F$35)),{1,3})</f>
        <v>q6_inactive_customers</v>
      </c>
      <c r="B2767">
        <v>2</v>
      </c>
      <c r="C2767" s="13">
        <v>1</v>
      </c>
      <c r="D2767" s="13">
        <v>0</v>
      </c>
      <c r="E2767" s="13">
        <v>194560</v>
      </c>
      <c r="F2767" s="13">
        <v>106892</v>
      </c>
      <c r="G2767" s="13">
        <v>7064</v>
      </c>
      <c r="H2767" s="13">
        <v>2271336</v>
      </c>
      <c r="I2767" s="13">
        <v>0</v>
      </c>
      <c r="J2767" s="13">
        <v>0</v>
      </c>
      <c r="K2767" s="13">
        <v>1525</v>
      </c>
      <c r="L2767" s="13">
        <v>26</v>
      </c>
      <c r="M2767" s="13">
        <v>734</v>
      </c>
      <c r="N2767" s="13">
        <v>214</v>
      </c>
      <c r="O2767" s="13">
        <v>36</v>
      </c>
      <c r="P2767" s="13">
        <v>1</v>
      </c>
      <c r="Q2767" s="13">
        <v>62</v>
      </c>
      <c r="R2767" s="13">
        <v>0</v>
      </c>
      <c r="S2767" s="13">
        <v>1</v>
      </c>
      <c r="T2767" s="23">
        <v>46247.78837962963</v>
      </c>
      <c r="U2767" s="55">
        <f t="shared" si="129"/>
        <v>1</v>
      </c>
      <c r="V2767" s="55">
        <f t="shared" si="130"/>
        <v>0</v>
      </c>
      <c r="W2767" s="56">
        <f t="shared" si="131"/>
        <v>1324.3333333333333</v>
      </c>
    </row>
    <row r="2768" spans="1:23" x14ac:dyDescent="0.3">
      <c r="A2768" s="13" t="str" cm="1">
        <f t="array" ref="A2768:B2768">INDEX(BenchmarkResults!$B$1:$D$35,SUMPRODUCT((T2768&gt;=BenchmarkResults!$F$3:$F$35)*(mongodb_hardware_log!T2768&lt;BenchmarkResults!$G$3:$G$35)*ROW(BenchmarkResults!$F$3:$F$35)),{1,3})</f>
        <v>q6_inactive_customers</v>
      </c>
      <c r="B2768">
        <v>2</v>
      </c>
      <c r="C2768" s="13">
        <v>1</v>
      </c>
      <c r="D2768" s="13">
        <v>0</v>
      </c>
      <c r="E2768" s="13">
        <v>194560</v>
      </c>
      <c r="F2768" s="13">
        <v>155584</v>
      </c>
      <c r="G2768" s="13">
        <v>7064</v>
      </c>
      <c r="H2768" s="13">
        <v>2219436</v>
      </c>
      <c r="I2768" s="13">
        <v>0</v>
      </c>
      <c r="J2768" s="13">
        <v>0</v>
      </c>
      <c r="K2768" s="13">
        <v>1596</v>
      </c>
      <c r="L2768" s="13">
        <v>26</v>
      </c>
      <c r="M2768" s="13">
        <v>736</v>
      </c>
      <c r="N2768" s="13">
        <v>217</v>
      </c>
      <c r="O2768" s="13">
        <v>36</v>
      </c>
      <c r="P2768" s="13">
        <v>1</v>
      </c>
      <c r="Q2768" s="13">
        <v>62</v>
      </c>
      <c r="R2768" s="13">
        <v>0</v>
      </c>
      <c r="S2768" s="13">
        <v>0</v>
      </c>
      <c r="T2768" s="23">
        <v>46247.788402777776</v>
      </c>
      <c r="U2768" s="55">
        <f t="shared" si="129"/>
        <v>1</v>
      </c>
      <c r="V2768" s="55">
        <f t="shared" si="130"/>
        <v>0</v>
      </c>
      <c r="W2768" s="56">
        <f t="shared" si="131"/>
        <v>1371.3333333333333</v>
      </c>
    </row>
    <row r="2769" spans="1:23" x14ac:dyDescent="0.3">
      <c r="A2769" s="13" t="str" cm="1">
        <f t="array" ref="A2769:B2769">INDEX(BenchmarkResults!$B$1:$D$35,SUMPRODUCT((T2769&gt;=BenchmarkResults!$F$3:$F$35)*(mongodb_hardware_log!T2769&lt;BenchmarkResults!$G$3:$G$35)*ROW(BenchmarkResults!$F$3:$F$35)),{1,3})</f>
        <v>q6_inactive_customers</v>
      </c>
      <c r="B2769">
        <v>2</v>
      </c>
      <c r="C2769" s="13">
        <v>1</v>
      </c>
      <c r="D2769" s="13">
        <v>0</v>
      </c>
      <c r="E2769" s="13">
        <v>194560</v>
      </c>
      <c r="F2769" s="13">
        <v>148876</v>
      </c>
      <c r="G2769" s="13">
        <v>7072</v>
      </c>
      <c r="H2769" s="13">
        <v>2230960</v>
      </c>
      <c r="I2769" s="13">
        <v>0</v>
      </c>
      <c r="J2769" s="13">
        <v>0</v>
      </c>
      <c r="K2769" s="13">
        <v>1526</v>
      </c>
      <c r="L2769" s="13">
        <v>11</v>
      </c>
      <c r="M2769" s="13">
        <v>737</v>
      </c>
      <c r="N2769" s="13">
        <v>223</v>
      </c>
      <c r="O2769" s="13">
        <v>36</v>
      </c>
      <c r="P2769" s="13">
        <v>1</v>
      </c>
      <c r="Q2769" s="13">
        <v>61</v>
      </c>
      <c r="R2769" s="13">
        <v>0</v>
      </c>
      <c r="S2769" s="13">
        <v>1</v>
      </c>
      <c r="T2769" s="23">
        <v>46247.788495370369</v>
      </c>
      <c r="U2769" s="55">
        <f t="shared" si="129"/>
        <v>1</v>
      </c>
      <c r="V2769" s="55">
        <f t="shared" si="130"/>
        <v>0</v>
      </c>
      <c r="W2769" s="56">
        <f t="shared" si="131"/>
        <v>1447.8333333333333</v>
      </c>
    </row>
    <row r="2770" spans="1:23" x14ac:dyDescent="0.3">
      <c r="A2770" s="13" t="str" cm="1">
        <f t="array" ref="A2770:B2770">INDEX(BenchmarkResults!$B$1:$D$35,SUMPRODUCT((T2770&gt;=BenchmarkResults!$F$3:$F$35)*(mongodb_hardware_log!T2770&lt;BenchmarkResults!$G$3:$G$35)*ROW(BenchmarkResults!$F$3:$F$35)),{1,3})</f>
        <v>q6_inactive_customers</v>
      </c>
      <c r="B2770">
        <v>2</v>
      </c>
      <c r="C2770" s="13">
        <v>1</v>
      </c>
      <c r="D2770" s="13">
        <v>0</v>
      </c>
      <c r="E2770" s="13">
        <v>194560</v>
      </c>
      <c r="F2770" s="13">
        <v>145348</v>
      </c>
      <c r="G2770" s="13">
        <v>7072</v>
      </c>
      <c r="H2770" s="13">
        <v>2234580</v>
      </c>
      <c r="I2770" s="13">
        <v>0</v>
      </c>
      <c r="J2770" s="13">
        <v>0</v>
      </c>
      <c r="K2770" s="13">
        <v>1525</v>
      </c>
      <c r="L2770" s="13">
        <v>11</v>
      </c>
      <c r="M2770" s="13">
        <v>746</v>
      </c>
      <c r="N2770" s="13">
        <v>231</v>
      </c>
      <c r="O2770" s="13">
        <v>36</v>
      </c>
      <c r="P2770" s="13">
        <v>1</v>
      </c>
      <c r="Q2770" s="13">
        <v>61</v>
      </c>
      <c r="R2770" s="13">
        <v>0</v>
      </c>
      <c r="S2770" s="13">
        <v>1</v>
      </c>
      <c r="T2770" s="23">
        <v>46247.788518518515</v>
      </c>
      <c r="U2770" s="55">
        <f t="shared" si="129"/>
        <v>1</v>
      </c>
      <c r="V2770" s="55">
        <f t="shared" si="130"/>
        <v>0</v>
      </c>
      <c r="W2770" s="56">
        <f t="shared" si="131"/>
        <v>1499.8333333333333</v>
      </c>
    </row>
    <row r="2771" spans="1:23" x14ac:dyDescent="0.3">
      <c r="A2771" s="13" t="str" cm="1">
        <f t="array" ref="A2771:B2771">INDEX(BenchmarkResults!$B$1:$D$35,SUMPRODUCT((T2771&gt;=BenchmarkResults!$F$3:$F$35)*(mongodb_hardware_log!T2771&lt;BenchmarkResults!$G$3:$G$35)*ROW(BenchmarkResults!$F$3:$F$35)),{1,3})</f>
        <v>q6_inactive_customers</v>
      </c>
      <c r="B2771">
        <v>2</v>
      </c>
      <c r="C2771" s="13">
        <v>1</v>
      </c>
      <c r="D2771" s="13">
        <v>0</v>
      </c>
      <c r="E2771" s="13">
        <v>194560</v>
      </c>
      <c r="F2771" s="13">
        <v>128716</v>
      </c>
      <c r="G2771" s="13">
        <v>7088</v>
      </c>
      <c r="H2771" s="13">
        <v>2250484</v>
      </c>
      <c r="I2771" s="13">
        <v>0</v>
      </c>
      <c r="J2771" s="13">
        <v>0</v>
      </c>
      <c r="K2771" s="13">
        <v>1953</v>
      </c>
      <c r="L2771" s="13">
        <v>18</v>
      </c>
      <c r="M2771" s="13">
        <v>746</v>
      </c>
      <c r="N2771" s="13">
        <v>225</v>
      </c>
      <c r="O2771" s="13">
        <v>37</v>
      </c>
      <c r="P2771" s="13">
        <v>1</v>
      </c>
      <c r="Q2771" s="13">
        <v>61</v>
      </c>
      <c r="R2771" s="13">
        <v>1</v>
      </c>
      <c r="S2771" s="13">
        <v>0</v>
      </c>
      <c r="T2771" s="23">
        <v>46247.788611111115</v>
      </c>
      <c r="U2771" s="55">
        <f t="shared" si="129"/>
        <v>1</v>
      </c>
      <c r="V2771" s="55">
        <f t="shared" si="130"/>
        <v>0</v>
      </c>
      <c r="W2771" s="56">
        <f t="shared" si="131"/>
        <v>1589.6666666666667</v>
      </c>
    </row>
    <row r="2772" spans="1:23" x14ac:dyDescent="0.3">
      <c r="A2772" s="13" t="str" cm="1">
        <f t="array" ref="A2772:B2772">INDEX(BenchmarkResults!$B$1:$D$35,SUMPRODUCT((T2772&gt;=BenchmarkResults!$F$3:$F$35)*(mongodb_hardware_log!T2772&lt;BenchmarkResults!$G$3:$G$35)*ROW(BenchmarkResults!$F$3:$F$35)),{1,3})</f>
        <v>q6_inactive_customers</v>
      </c>
      <c r="B2772">
        <v>2</v>
      </c>
      <c r="C2772" s="13">
        <v>1</v>
      </c>
      <c r="D2772" s="13">
        <v>0</v>
      </c>
      <c r="E2772" s="13">
        <v>194560</v>
      </c>
      <c r="F2772" s="13">
        <v>124684</v>
      </c>
      <c r="G2772" s="13">
        <v>7088</v>
      </c>
      <c r="H2772" s="13">
        <v>2251796</v>
      </c>
      <c r="I2772" s="13">
        <v>0</v>
      </c>
      <c r="J2772" s="13">
        <v>0</v>
      </c>
      <c r="K2772" s="13">
        <v>1712</v>
      </c>
      <c r="L2772" s="13">
        <v>22</v>
      </c>
      <c r="M2772" s="13">
        <v>735</v>
      </c>
      <c r="N2772" s="13">
        <v>218</v>
      </c>
      <c r="O2772" s="13">
        <v>37</v>
      </c>
      <c r="P2772" s="13">
        <v>1</v>
      </c>
      <c r="Q2772" s="13">
        <v>61</v>
      </c>
      <c r="R2772" s="13">
        <v>1</v>
      </c>
      <c r="S2772" s="13">
        <v>0</v>
      </c>
      <c r="T2772" s="23">
        <v>46247.788634259261</v>
      </c>
      <c r="U2772" s="55">
        <f t="shared" si="129"/>
        <v>1</v>
      </c>
      <c r="V2772" s="55">
        <f t="shared" si="130"/>
        <v>0</v>
      </c>
      <c r="W2772" s="56">
        <f t="shared" si="131"/>
        <v>1639.5</v>
      </c>
    </row>
    <row r="2773" spans="1:23" x14ac:dyDescent="0.3">
      <c r="A2773" s="13" t="str" cm="1">
        <f t="array" ref="A2773:B2773">INDEX(BenchmarkResults!$B$1:$D$35,SUMPRODUCT((T2773&gt;=BenchmarkResults!$F$3:$F$35)*(mongodb_hardware_log!T2773&lt;BenchmarkResults!$G$3:$G$35)*ROW(BenchmarkResults!$F$3:$F$35)),{1,3})</f>
        <v>q6_inactive_customers</v>
      </c>
      <c r="B2773">
        <v>2</v>
      </c>
      <c r="C2773" s="13">
        <v>1</v>
      </c>
      <c r="D2773" s="13">
        <v>0</v>
      </c>
      <c r="E2773" s="13">
        <v>194560</v>
      </c>
      <c r="F2773" s="13">
        <v>161756</v>
      </c>
      <c r="G2773" s="13">
        <v>7104</v>
      </c>
      <c r="H2773" s="13">
        <v>2219748</v>
      </c>
      <c r="I2773" s="13">
        <v>0</v>
      </c>
      <c r="J2773" s="13">
        <v>0</v>
      </c>
      <c r="K2773" s="13">
        <v>844</v>
      </c>
      <c r="L2773" s="13">
        <v>16</v>
      </c>
      <c r="M2773" s="13">
        <v>715</v>
      </c>
      <c r="N2773" s="13">
        <v>211</v>
      </c>
      <c r="O2773" s="13">
        <v>36</v>
      </c>
      <c r="P2773" s="13">
        <v>1</v>
      </c>
      <c r="Q2773" s="13">
        <v>61</v>
      </c>
      <c r="R2773" s="13">
        <v>0</v>
      </c>
      <c r="S2773" s="13">
        <v>1</v>
      </c>
      <c r="T2773" s="23">
        <v>46247.788726851853</v>
      </c>
      <c r="U2773" s="55">
        <f t="shared" si="129"/>
        <v>1</v>
      </c>
      <c r="V2773" s="55">
        <f t="shared" si="130"/>
        <v>0</v>
      </c>
      <c r="W2773" s="56">
        <f t="shared" si="131"/>
        <v>1526</v>
      </c>
    </row>
    <row r="2774" spans="1:23" x14ac:dyDescent="0.3">
      <c r="A2774" s="13" t="str" cm="1">
        <f t="array" ref="A2774:B2774">INDEX(BenchmarkResults!$B$1:$D$35,SUMPRODUCT((T2774&gt;=BenchmarkResults!$F$3:$F$35)*(mongodb_hardware_log!T2774&lt;BenchmarkResults!$G$3:$G$35)*ROW(BenchmarkResults!$F$3:$F$35)),{1,3})</f>
        <v>q6_inactive_customers</v>
      </c>
      <c r="B2774">
        <v>2</v>
      </c>
      <c r="C2774" s="13">
        <v>1</v>
      </c>
      <c r="D2774" s="13">
        <v>0</v>
      </c>
      <c r="E2774" s="13">
        <v>194560</v>
      </c>
      <c r="F2774" s="13">
        <v>157248</v>
      </c>
      <c r="G2774" s="13">
        <v>7104</v>
      </c>
      <c r="H2774" s="13">
        <v>2223128</v>
      </c>
      <c r="I2774" s="13">
        <v>0</v>
      </c>
      <c r="J2774" s="13">
        <v>0</v>
      </c>
      <c r="K2774" s="13">
        <v>1043</v>
      </c>
      <c r="L2774" s="13">
        <v>426</v>
      </c>
      <c r="M2774" s="13">
        <v>725</v>
      </c>
      <c r="N2774" s="13">
        <v>219</v>
      </c>
      <c r="O2774" s="13">
        <v>36</v>
      </c>
      <c r="P2774" s="13">
        <v>2</v>
      </c>
      <c r="Q2774" s="13">
        <v>61</v>
      </c>
      <c r="R2774" s="13">
        <v>0</v>
      </c>
      <c r="S2774" s="13">
        <v>0</v>
      </c>
      <c r="T2774" s="23">
        <v>46247.78875</v>
      </c>
      <c r="U2774" s="55">
        <f t="shared" si="129"/>
        <v>1</v>
      </c>
      <c r="V2774" s="55">
        <f t="shared" si="130"/>
        <v>0</v>
      </c>
      <c r="W2774" s="56">
        <f t="shared" si="131"/>
        <v>1433.8333333333333</v>
      </c>
    </row>
    <row r="2775" spans="1:23" x14ac:dyDescent="0.3">
      <c r="A2775" s="13" t="str" cm="1">
        <f t="array" ref="A2775:B2775">INDEX(BenchmarkResults!$B$1:$D$35,SUMPRODUCT((T2775&gt;=BenchmarkResults!$F$3:$F$35)*(mongodb_hardware_log!T2775&lt;BenchmarkResults!$G$3:$G$35)*ROW(BenchmarkResults!$F$3:$F$35)),{1,3})</f>
        <v>q6_inactive_customers</v>
      </c>
      <c r="B2775">
        <v>2</v>
      </c>
      <c r="C2775" s="13">
        <v>1</v>
      </c>
      <c r="D2775" s="13">
        <v>0</v>
      </c>
      <c r="E2775" s="13">
        <v>194560</v>
      </c>
      <c r="F2775" s="13">
        <v>141624</v>
      </c>
      <c r="G2775" s="13">
        <v>7120</v>
      </c>
      <c r="H2775" s="13">
        <v>2235848</v>
      </c>
      <c r="I2775" s="13">
        <v>0</v>
      </c>
      <c r="J2775" s="13">
        <v>0</v>
      </c>
      <c r="K2775" s="13">
        <v>1606</v>
      </c>
      <c r="L2775" s="13">
        <v>1604</v>
      </c>
      <c r="M2775" s="13">
        <v>788</v>
      </c>
      <c r="N2775" s="13">
        <v>270</v>
      </c>
      <c r="O2775" s="13">
        <v>36</v>
      </c>
      <c r="P2775" s="13">
        <v>1</v>
      </c>
      <c r="Q2775" s="13">
        <v>61</v>
      </c>
      <c r="R2775" s="13">
        <v>1</v>
      </c>
      <c r="S2775" s="13">
        <v>1</v>
      </c>
      <c r="T2775" s="23">
        <v>46247.788842592592</v>
      </c>
      <c r="U2775" s="55">
        <f t="shared" si="129"/>
        <v>1</v>
      </c>
      <c r="V2775" s="55">
        <f t="shared" si="130"/>
        <v>0</v>
      </c>
      <c r="W2775" s="56">
        <f t="shared" si="131"/>
        <v>1447.1666666666667</v>
      </c>
    </row>
    <row r="2776" spans="1:23" x14ac:dyDescent="0.3">
      <c r="A2776" s="13" t="str" cm="1">
        <f t="array" ref="A2776:B2776">INDEX(BenchmarkResults!$B$1:$D$35,SUMPRODUCT((T2776&gt;=BenchmarkResults!$F$3:$F$35)*(mongodb_hardware_log!T2776&lt;BenchmarkResults!$G$3:$G$35)*ROW(BenchmarkResults!$F$3:$F$35)),{1,3})</f>
        <v>q6_inactive_customers</v>
      </c>
      <c r="B2776">
        <v>2</v>
      </c>
      <c r="C2776" s="13">
        <v>1</v>
      </c>
      <c r="D2776" s="13">
        <v>0</v>
      </c>
      <c r="E2776" s="13">
        <v>194560</v>
      </c>
      <c r="F2776" s="13">
        <v>141624</v>
      </c>
      <c r="G2776" s="13">
        <v>7120</v>
      </c>
      <c r="H2776" s="13">
        <v>2238588</v>
      </c>
      <c r="I2776" s="13">
        <v>0</v>
      </c>
      <c r="J2776" s="13">
        <v>0</v>
      </c>
      <c r="K2776" s="13">
        <v>1550</v>
      </c>
      <c r="L2776" s="13">
        <v>1190</v>
      </c>
      <c r="M2776" s="13">
        <v>777</v>
      </c>
      <c r="N2776" s="13">
        <v>260</v>
      </c>
      <c r="O2776" s="13">
        <v>36</v>
      </c>
      <c r="P2776" s="13">
        <v>1</v>
      </c>
      <c r="Q2776" s="13">
        <v>61</v>
      </c>
      <c r="R2776" s="13">
        <v>1</v>
      </c>
      <c r="S2776" s="13">
        <v>1</v>
      </c>
      <c r="T2776" s="23">
        <v>46247.788865740738</v>
      </c>
      <c r="U2776" s="55">
        <f t="shared" si="129"/>
        <v>1</v>
      </c>
      <c r="V2776" s="55">
        <f t="shared" si="130"/>
        <v>0</v>
      </c>
      <c r="W2776" s="56">
        <f t="shared" si="131"/>
        <v>1451.3333333333333</v>
      </c>
    </row>
    <row r="2777" spans="1:23" x14ac:dyDescent="0.3">
      <c r="A2777" s="13" t="str" cm="1">
        <f t="array" ref="A2777:B2777">INDEX(BenchmarkResults!$B$1:$D$35,SUMPRODUCT((T2777&gt;=BenchmarkResults!$F$3:$F$35)*(mongodb_hardware_log!T2777&lt;BenchmarkResults!$G$3:$G$35)*ROW(BenchmarkResults!$F$3:$F$35)),{1,3})</f>
        <v>q6_inactive_customers</v>
      </c>
      <c r="B2777">
        <v>2</v>
      </c>
      <c r="C2777" s="13">
        <v>1</v>
      </c>
      <c r="D2777" s="13">
        <v>0</v>
      </c>
      <c r="E2777" s="13">
        <v>194560</v>
      </c>
      <c r="F2777" s="13">
        <v>126504</v>
      </c>
      <c r="G2777" s="13">
        <v>7128</v>
      </c>
      <c r="H2777" s="13">
        <v>2250152</v>
      </c>
      <c r="I2777" s="13">
        <v>0</v>
      </c>
      <c r="J2777" s="13">
        <v>0</v>
      </c>
      <c r="K2777" s="13">
        <v>1427</v>
      </c>
      <c r="L2777" s="13">
        <v>5</v>
      </c>
      <c r="M2777" s="13">
        <v>803</v>
      </c>
      <c r="N2777" s="13">
        <v>273</v>
      </c>
      <c r="O2777" s="13">
        <v>36</v>
      </c>
      <c r="P2777" s="13">
        <v>1</v>
      </c>
      <c r="Q2777" s="13">
        <v>61</v>
      </c>
      <c r="R2777" s="13">
        <v>1</v>
      </c>
      <c r="S2777" s="13">
        <v>1</v>
      </c>
      <c r="T2777" s="23">
        <v>46247.788958333331</v>
      </c>
      <c r="U2777" s="55">
        <f t="shared" si="129"/>
        <v>1</v>
      </c>
      <c r="V2777" s="55">
        <f t="shared" si="130"/>
        <v>0</v>
      </c>
      <c r="W2777" s="56">
        <f t="shared" si="131"/>
        <v>1363.6666666666667</v>
      </c>
    </row>
    <row r="2778" spans="1:23" x14ac:dyDescent="0.3">
      <c r="A2778" s="13" t="str" cm="1">
        <f t="array" ref="A2778:B2778">INDEX(BenchmarkResults!$B$1:$D$35,SUMPRODUCT((T2778&gt;=BenchmarkResults!$F$3:$F$35)*(mongodb_hardware_log!T2778&lt;BenchmarkResults!$G$3:$G$35)*ROW(BenchmarkResults!$F$3:$F$35)),{1,3})</f>
        <v>q6_inactive_customers</v>
      </c>
      <c r="B2778">
        <v>2</v>
      </c>
      <c r="C2778" s="13">
        <v>1</v>
      </c>
      <c r="D2778" s="13">
        <v>0</v>
      </c>
      <c r="E2778" s="13">
        <v>194560</v>
      </c>
      <c r="F2778" s="13">
        <v>126504</v>
      </c>
      <c r="G2778" s="13">
        <v>7136</v>
      </c>
      <c r="H2778" s="13">
        <v>2253288</v>
      </c>
      <c r="I2778" s="13">
        <v>0</v>
      </c>
      <c r="J2778" s="13">
        <v>0</v>
      </c>
      <c r="K2778" s="13">
        <v>1470</v>
      </c>
      <c r="L2778" s="13">
        <v>11</v>
      </c>
      <c r="M2778" s="13">
        <v>803</v>
      </c>
      <c r="N2778" s="13">
        <v>275</v>
      </c>
      <c r="O2778" s="13">
        <v>37</v>
      </c>
      <c r="P2778" s="13">
        <v>1</v>
      </c>
      <c r="Q2778" s="13">
        <v>61</v>
      </c>
      <c r="R2778" s="13">
        <v>1</v>
      </c>
      <c r="S2778" s="13">
        <v>1</v>
      </c>
      <c r="T2778" s="23">
        <v>46247.788981481484</v>
      </c>
      <c r="U2778" s="55">
        <f t="shared" si="129"/>
        <v>1</v>
      </c>
      <c r="V2778" s="55">
        <f t="shared" si="130"/>
        <v>0</v>
      </c>
      <c r="W2778" s="56">
        <f t="shared" si="131"/>
        <v>1323.3333333333333</v>
      </c>
    </row>
    <row r="2779" spans="1:23" x14ac:dyDescent="0.3">
      <c r="A2779" s="13" t="str" cm="1">
        <f t="array" ref="A2779:B2779">INDEX(BenchmarkResults!$B$1:$D$35,SUMPRODUCT((T2779&gt;=BenchmarkResults!$F$3:$F$35)*(mongodb_hardware_log!T2779&lt;BenchmarkResults!$G$3:$G$35)*ROW(BenchmarkResults!$F$3:$F$35)),{1,3})</f>
        <v>q6_inactive_customers</v>
      </c>
      <c r="B2779">
        <v>2</v>
      </c>
      <c r="C2779" s="13">
        <v>1</v>
      </c>
      <c r="D2779" s="13">
        <v>0</v>
      </c>
      <c r="E2779" s="13">
        <v>194560</v>
      </c>
      <c r="F2779" s="13">
        <v>110628</v>
      </c>
      <c r="G2779" s="13">
        <v>7160</v>
      </c>
      <c r="H2779" s="13">
        <v>2266300</v>
      </c>
      <c r="I2779" s="13">
        <v>0</v>
      </c>
      <c r="J2779" s="13">
        <v>0</v>
      </c>
      <c r="K2779" s="13">
        <v>1619</v>
      </c>
      <c r="L2779" s="13">
        <v>28</v>
      </c>
      <c r="M2779" s="13">
        <v>739</v>
      </c>
      <c r="N2779" s="13">
        <v>223</v>
      </c>
      <c r="O2779" s="13">
        <v>37</v>
      </c>
      <c r="P2779" s="13">
        <v>1</v>
      </c>
      <c r="Q2779" s="13">
        <v>61</v>
      </c>
      <c r="R2779" s="13">
        <v>1</v>
      </c>
      <c r="S2779" s="13">
        <v>0</v>
      </c>
      <c r="T2779" s="23">
        <v>46247.789074074077</v>
      </c>
      <c r="U2779" s="55">
        <f t="shared" si="129"/>
        <v>1</v>
      </c>
      <c r="V2779" s="55">
        <f t="shared" si="130"/>
        <v>0</v>
      </c>
      <c r="W2779" s="56">
        <f t="shared" si="131"/>
        <v>1452.5</v>
      </c>
    </row>
    <row r="2780" spans="1:23" x14ac:dyDescent="0.3">
      <c r="A2780" s="13" t="str" cm="1">
        <f t="array" ref="A2780:B2780">INDEX(BenchmarkResults!$B$1:$D$35,SUMPRODUCT((T2780&gt;=BenchmarkResults!$F$3:$F$35)*(mongodb_hardware_log!T2780&lt;BenchmarkResults!$G$3:$G$35)*ROW(BenchmarkResults!$F$3:$F$35)),{1,3})</f>
        <v>q6_inactive_customers</v>
      </c>
      <c r="B2780">
        <v>2</v>
      </c>
      <c r="C2780" s="13">
        <v>1</v>
      </c>
      <c r="D2780" s="13">
        <v>0</v>
      </c>
      <c r="E2780" s="13">
        <v>194560</v>
      </c>
      <c r="F2780" s="13">
        <v>110628</v>
      </c>
      <c r="G2780" s="13">
        <v>7160</v>
      </c>
      <c r="H2780" s="13">
        <v>2267888</v>
      </c>
      <c r="I2780" s="13">
        <v>0</v>
      </c>
      <c r="J2780" s="13">
        <v>0</v>
      </c>
      <c r="K2780" s="13">
        <v>1455</v>
      </c>
      <c r="L2780" s="13">
        <v>23</v>
      </c>
      <c r="M2780" s="13">
        <v>738</v>
      </c>
      <c r="N2780" s="13">
        <v>223</v>
      </c>
      <c r="O2780" s="13">
        <v>37</v>
      </c>
      <c r="P2780" s="13">
        <v>1</v>
      </c>
      <c r="Q2780" s="13">
        <v>61</v>
      </c>
      <c r="R2780" s="13">
        <v>1</v>
      </c>
      <c r="S2780" s="13">
        <v>0</v>
      </c>
      <c r="T2780" s="23">
        <v>46247.789097222223</v>
      </c>
      <c r="U2780" s="55">
        <f t="shared" si="129"/>
        <v>1</v>
      </c>
      <c r="V2780" s="55">
        <f t="shared" si="130"/>
        <v>0</v>
      </c>
      <c r="W2780" s="56">
        <f t="shared" si="131"/>
        <v>1521.1666666666667</v>
      </c>
    </row>
    <row r="2781" spans="1:23" x14ac:dyDescent="0.3">
      <c r="A2781" s="13" t="str" cm="1">
        <f t="array" ref="A2781:B2781">INDEX(BenchmarkResults!$B$1:$D$35,SUMPRODUCT((T2781&gt;=BenchmarkResults!$F$3:$F$35)*(mongodb_hardware_log!T2781&lt;BenchmarkResults!$G$3:$G$35)*ROW(BenchmarkResults!$F$3:$F$35)),{1,3})</f>
        <v>q6_inactive_customers</v>
      </c>
      <c r="B2781">
        <v>2</v>
      </c>
      <c r="C2781" s="13">
        <v>1</v>
      </c>
      <c r="D2781" s="13">
        <v>0</v>
      </c>
      <c r="E2781" s="13">
        <v>194560</v>
      </c>
      <c r="F2781" s="13">
        <v>156532</v>
      </c>
      <c r="G2781" s="13">
        <v>7168</v>
      </c>
      <c r="H2781" s="13">
        <v>2227080</v>
      </c>
      <c r="I2781" s="13">
        <v>0</v>
      </c>
      <c r="J2781" s="13">
        <v>0</v>
      </c>
      <c r="K2781" s="13">
        <v>1555</v>
      </c>
      <c r="L2781" s="13">
        <v>12</v>
      </c>
      <c r="M2781" s="13">
        <v>732</v>
      </c>
      <c r="N2781" s="13">
        <v>216</v>
      </c>
      <c r="O2781" s="13">
        <v>36</v>
      </c>
      <c r="P2781" s="13">
        <v>1</v>
      </c>
      <c r="Q2781" s="13">
        <v>62</v>
      </c>
      <c r="R2781" s="13">
        <v>1</v>
      </c>
      <c r="S2781" s="13">
        <v>0</v>
      </c>
      <c r="T2781" s="23">
        <v>46247.789189814815</v>
      </c>
      <c r="U2781" s="55">
        <f t="shared" si="129"/>
        <v>1</v>
      </c>
      <c r="V2781" s="55">
        <f t="shared" si="130"/>
        <v>0</v>
      </c>
      <c r="W2781" s="56">
        <f t="shared" si="131"/>
        <v>1512.6666666666667</v>
      </c>
    </row>
    <row r="2782" spans="1:23" x14ac:dyDescent="0.3">
      <c r="A2782" s="13" t="str" cm="1">
        <f t="array" ref="A2782:B2782">INDEX(BenchmarkResults!$B$1:$D$35,SUMPRODUCT((T2782&gt;=BenchmarkResults!$F$3:$F$35)*(mongodb_hardware_log!T2782&lt;BenchmarkResults!$G$3:$G$35)*ROW(BenchmarkResults!$F$3:$F$35)),{1,3})</f>
        <v>q6_inactive_customers</v>
      </c>
      <c r="B2782">
        <v>2</v>
      </c>
      <c r="C2782" s="13">
        <v>1</v>
      </c>
      <c r="D2782" s="13">
        <v>0</v>
      </c>
      <c r="E2782" s="13">
        <v>194560</v>
      </c>
      <c r="F2782" s="13">
        <v>152248</v>
      </c>
      <c r="G2782" s="13">
        <v>7176</v>
      </c>
      <c r="H2782" s="13">
        <v>2230424</v>
      </c>
      <c r="I2782" s="13">
        <v>0</v>
      </c>
      <c r="J2782" s="13">
        <v>0</v>
      </c>
      <c r="K2782" s="13">
        <v>1742</v>
      </c>
      <c r="L2782" s="13">
        <v>17</v>
      </c>
      <c r="M2782" s="13">
        <v>737</v>
      </c>
      <c r="N2782" s="13">
        <v>221</v>
      </c>
      <c r="O2782" s="13">
        <v>36</v>
      </c>
      <c r="P2782" s="13">
        <v>1</v>
      </c>
      <c r="Q2782" s="13">
        <v>62</v>
      </c>
      <c r="R2782" s="13">
        <v>1</v>
      </c>
      <c r="S2782" s="13">
        <v>0</v>
      </c>
      <c r="T2782" s="23">
        <v>46247.789212962962</v>
      </c>
      <c r="U2782" s="55">
        <f t="shared" si="129"/>
        <v>1</v>
      </c>
      <c r="V2782" s="55">
        <f t="shared" si="130"/>
        <v>0</v>
      </c>
      <c r="W2782" s="56">
        <f t="shared" si="131"/>
        <v>1544.6666666666667</v>
      </c>
    </row>
    <row r="2783" spans="1:23" x14ac:dyDescent="0.3">
      <c r="A2783" s="13" t="str" cm="1">
        <f t="array" ref="A2783:B2783">INDEX(BenchmarkResults!$B$1:$D$35,SUMPRODUCT((T2783&gt;=BenchmarkResults!$F$3:$F$35)*(mongodb_hardware_log!T2783&lt;BenchmarkResults!$G$3:$G$35)*ROW(BenchmarkResults!$F$3:$F$35)),{1,3})</f>
        <v>q6_inactive_customers</v>
      </c>
      <c r="B2783">
        <v>2</v>
      </c>
      <c r="C2783" s="13">
        <v>1</v>
      </c>
      <c r="D2783" s="13">
        <v>0</v>
      </c>
      <c r="E2783" s="13">
        <v>194560</v>
      </c>
      <c r="F2783" s="13">
        <v>141160</v>
      </c>
      <c r="G2783" s="13">
        <v>7184</v>
      </c>
      <c r="H2783" s="13">
        <v>2242812</v>
      </c>
      <c r="I2783" s="13">
        <v>0</v>
      </c>
      <c r="J2783" s="13">
        <v>0</v>
      </c>
      <c r="K2783" s="13">
        <v>1573</v>
      </c>
      <c r="L2783" s="13">
        <v>20</v>
      </c>
      <c r="M2783" s="13">
        <v>721</v>
      </c>
      <c r="N2783" s="13">
        <v>208</v>
      </c>
      <c r="O2783" s="13">
        <v>36</v>
      </c>
      <c r="P2783" s="13">
        <v>1</v>
      </c>
      <c r="Q2783" s="13">
        <v>62</v>
      </c>
      <c r="R2783" s="13">
        <v>1</v>
      </c>
      <c r="S2783" s="13">
        <v>0</v>
      </c>
      <c r="T2783" s="23">
        <v>46247.789305555554</v>
      </c>
      <c r="U2783" s="55">
        <f t="shared" si="129"/>
        <v>1</v>
      </c>
      <c r="V2783" s="55">
        <f t="shared" si="130"/>
        <v>0</v>
      </c>
      <c r="W2783" s="56">
        <f t="shared" si="131"/>
        <v>1569</v>
      </c>
    </row>
    <row r="2784" spans="1:23" x14ac:dyDescent="0.3">
      <c r="A2784" s="13" t="str" cm="1">
        <f t="array" ref="A2784:B2784">INDEX(BenchmarkResults!$B$1:$D$35,SUMPRODUCT((T2784&gt;=BenchmarkResults!$F$3:$F$35)*(mongodb_hardware_log!T2784&lt;BenchmarkResults!$G$3:$G$35)*ROW(BenchmarkResults!$F$3:$F$35)),{1,3})</f>
        <v>q6_inactive_customers</v>
      </c>
      <c r="B2784">
        <v>2</v>
      </c>
      <c r="C2784" s="13">
        <v>1</v>
      </c>
      <c r="D2784" s="13">
        <v>0</v>
      </c>
      <c r="E2784" s="13">
        <v>194560</v>
      </c>
      <c r="F2784" s="13">
        <v>137128</v>
      </c>
      <c r="G2784" s="13">
        <v>7184</v>
      </c>
      <c r="H2784" s="13">
        <v>2246288</v>
      </c>
      <c r="I2784" s="13">
        <v>0</v>
      </c>
      <c r="J2784" s="13">
        <v>0</v>
      </c>
      <c r="K2784" s="13">
        <v>1582</v>
      </c>
      <c r="L2784" s="13">
        <v>18</v>
      </c>
      <c r="M2784" s="13">
        <v>717</v>
      </c>
      <c r="N2784" s="13">
        <v>206</v>
      </c>
      <c r="O2784" s="13">
        <v>36</v>
      </c>
      <c r="P2784" s="13">
        <v>1</v>
      </c>
      <c r="Q2784" s="13">
        <v>62</v>
      </c>
      <c r="R2784" s="13">
        <v>0</v>
      </c>
      <c r="S2784" s="13">
        <v>0</v>
      </c>
      <c r="T2784" s="23">
        <v>46247.7893287037</v>
      </c>
      <c r="U2784" s="55">
        <f t="shared" si="129"/>
        <v>1</v>
      </c>
      <c r="V2784" s="55">
        <f t="shared" si="130"/>
        <v>0</v>
      </c>
      <c r="W2784" s="56">
        <f t="shared" si="131"/>
        <v>1587.6666666666667</v>
      </c>
    </row>
    <row r="2785" spans="1:23" x14ac:dyDescent="0.3">
      <c r="A2785" s="13" t="str" cm="1">
        <f t="array" ref="A2785:B2785">INDEX(BenchmarkResults!$B$1:$D$35,SUMPRODUCT((T2785&gt;=BenchmarkResults!$F$3:$F$35)*(mongodb_hardware_log!T2785&lt;BenchmarkResults!$G$3:$G$35)*ROW(BenchmarkResults!$F$3:$F$35)),{1,3})</f>
        <v>q6_inactive_customers</v>
      </c>
      <c r="B2785">
        <v>2</v>
      </c>
      <c r="C2785" s="13">
        <v>1</v>
      </c>
      <c r="D2785" s="13">
        <v>0</v>
      </c>
      <c r="E2785" s="13">
        <v>194560</v>
      </c>
      <c r="F2785" s="13">
        <v>104624</v>
      </c>
      <c r="G2785" s="13">
        <v>7192</v>
      </c>
      <c r="H2785" s="13">
        <v>2270600</v>
      </c>
      <c r="I2785" s="13">
        <v>0</v>
      </c>
      <c r="J2785" s="13">
        <v>0</v>
      </c>
      <c r="K2785" s="13">
        <v>1194</v>
      </c>
      <c r="L2785" s="13">
        <v>830</v>
      </c>
      <c r="M2785" s="13">
        <v>699</v>
      </c>
      <c r="N2785" s="13">
        <v>189</v>
      </c>
      <c r="O2785" s="13">
        <v>36</v>
      </c>
      <c r="P2785" s="13">
        <v>1</v>
      </c>
      <c r="Q2785" s="13">
        <v>61</v>
      </c>
      <c r="R2785" s="13">
        <v>2</v>
      </c>
      <c r="S2785" s="13">
        <v>0</v>
      </c>
      <c r="T2785" s="23">
        <v>46247.789421296293</v>
      </c>
      <c r="U2785" s="55">
        <f t="shared" si="129"/>
        <v>1</v>
      </c>
      <c r="V2785" s="55">
        <f t="shared" si="130"/>
        <v>0</v>
      </c>
      <c r="W2785" s="56">
        <f t="shared" si="131"/>
        <v>1516.8333333333333</v>
      </c>
    </row>
    <row r="2786" spans="1:23" x14ac:dyDescent="0.3">
      <c r="A2786" s="13" t="str" cm="1">
        <f t="array" ref="A2786:B2786">INDEX(BenchmarkResults!$B$1:$D$35,SUMPRODUCT((T2786&gt;=BenchmarkResults!$F$3:$F$35)*(mongodb_hardware_log!T2786&lt;BenchmarkResults!$G$3:$G$35)*ROW(BenchmarkResults!$F$3:$F$35)),{1,3})</f>
        <v>q6_inactive_customers</v>
      </c>
      <c r="B2786">
        <v>2</v>
      </c>
      <c r="C2786" s="13">
        <v>1</v>
      </c>
      <c r="D2786" s="13">
        <v>0</v>
      </c>
      <c r="E2786" s="13">
        <v>194560</v>
      </c>
      <c r="F2786" s="13">
        <v>156156</v>
      </c>
      <c r="G2786" s="13">
        <v>7200</v>
      </c>
      <c r="H2786" s="13">
        <v>2219724</v>
      </c>
      <c r="I2786" s="13">
        <v>0</v>
      </c>
      <c r="J2786" s="13">
        <v>0</v>
      </c>
      <c r="K2786" s="13">
        <v>1091</v>
      </c>
      <c r="L2786" s="13">
        <v>833</v>
      </c>
      <c r="M2786" s="13">
        <v>702</v>
      </c>
      <c r="N2786" s="13">
        <v>193</v>
      </c>
      <c r="O2786" s="13">
        <v>36</v>
      </c>
      <c r="P2786" s="13">
        <v>1</v>
      </c>
      <c r="Q2786" s="13">
        <v>61</v>
      </c>
      <c r="R2786" s="13">
        <v>2</v>
      </c>
      <c r="S2786" s="13">
        <v>0</v>
      </c>
      <c r="T2786" s="23">
        <v>46247.789444444446</v>
      </c>
      <c r="U2786" s="55">
        <f t="shared" si="129"/>
        <v>1</v>
      </c>
      <c r="V2786" s="55">
        <f t="shared" si="130"/>
        <v>0</v>
      </c>
      <c r="W2786" s="56">
        <f t="shared" si="131"/>
        <v>1456.1666666666667</v>
      </c>
    </row>
    <row r="2787" spans="1:23" x14ac:dyDescent="0.3">
      <c r="A2787" s="13" t="str" cm="1">
        <f t="array" ref="A2787:B2787">INDEX(BenchmarkResults!$B$1:$D$35,SUMPRODUCT((T2787&gt;=BenchmarkResults!$F$3:$F$35)*(mongodb_hardware_log!T2787&lt;BenchmarkResults!$G$3:$G$35)*ROW(BenchmarkResults!$F$3:$F$35)),{1,3})</f>
        <v>q6_inactive_customers</v>
      </c>
      <c r="B2787">
        <v>2</v>
      </c>
      <c r="C2787" s="13">
        <v>1</v>
      </c>
      <c r="D2787" s="13">
        <v>0</v>
      </c>
      <c r="E2787" s="13">
        <v>194560</v>
      </c>
      <c r="F2787" s="13">
        <v>142324</v>
      </c>
      <c r="G2787" s="13">
        <v>7208</v>
      </c>
      <c r="H2787" s="13">
        <v>2232928</v>
      </c>
      <c r="I2787" s="13">
        <v>0</v>
      </c>
      <c r="J2787" s="13">
        <v>0</v>
      </c>
      <c r="K2787" s="13">
        <v>1568</v>
      </c>
      <c r="L2787" s="13">
        <v>758</v>
      </c>
      <c r="M2787" s="13">
        <v>734</v>
      </c>
      <c r="N2787" s="13">
        <v>221</v>
      </c>
      <c r="O2787" s="13">
        <v>37</v>
      </c>
      <c r="P2787" s="13">
        <v>1</v>
      </c>
      <c r="Q2787" s="13">
        <v>61</v>
      </c>
      <c r="R2787" s="13">
        <v>1</v>
      </c>
      <c r="S2787" s="13">
        <v>0</v>
      </c>
      <c r="T2787" s="23">
        <v>46247.789537037039</v>
      </c>
      <c r="U2787" s="55">
        <f t="shared" si="129"/>
        <v>1</v>
      </c>
      <c r="V2787" s="55">
        <f t="shared" si="130"/>
        <v>0</v>
      </c>
      <c r="W2787" s="56">
        <f t="shared" si="131"/>
        <v>1458.3333333333333</v>
      </c>
    </row>
    <row r="2788" spans="1:23" x14ac:dyDescent="0.3">
      <c r="A2788" s="13" t="str" cm="1">
        <f t="array" ref="A2788:B2788">INDEX(BenchmarkResults!$B$1:$D$35,SUMPRODUCT((T2788&gt;=BenchmarkResults!$F$3:$F$35)*(mongodb_hardware_log!T2788&lt;BenchmarkResults!$G$3:$G$35)*ROW(BenchmarkResults!$F$3:$F$35)),{1,3})</f>
        <v>q6_inactive_customers</v>
      </c>
      <c r="B2788">
        <v>2</v>
      </c>
      <c r="C2788" s="13">
        <v>1</v>
      </c>
      <c r="D2788" s="13">
        <v>0</v>
      </c>
      <c r="E2788" s="13">
        <v>194560</v>
      </c>
      <c r="F2788" s="13">
        <v>140560</v>
      </c>
      <c r="G2788" s="13">
        <v>7208</v>
      </c>
      <c r="H2788" s="13">
        <v>2235092</v>
      </c>
      <c r="I2788" s="13">
        <v>0</v>
      </c>
      <c r="J2788" s="13">
        <v>0</v>
      </c>
      <c r="K2788" s="13">
        <v>1532</v>
      </c>
      <c r="L2788" s="13">
        <v>752</v>
      </c>
      <c r="M2788" s="13">
        <v>731</v>
      </c>
      <c r="N2788" s="13">
        <v>217</v>
      </c>
      <c r="O2788" s="13">
        <v>37</v>
      </c>
      <c r="P2788" s="13">
        <v>1</v>
      </c>
      <c r="Q2788" s="13">
        <v>61</v>
      </c>
      <c r="R2788" s="13">
        <v>1</v>
      </c>
      <c r="S2788" s="13">
        <v>0</v>
      </c>
      <c r="T2788" s="23">
        <v>46247.789560185185</v>
      </c>
      <c r="U2788" s="55">
        <f t="shared" si="129"/>
        <v>1</v>
      </c>
      <c r="V2788" s="55">
        <f t="shared" si="130"/>
        <v>0</v>
      </c>
      <c r="W2788" s="56">
        <f t="shared" si="131"/>
        <v>1423.3333333333333</v>
      </c>
    </row>
    <row r="2789" spans="1:23" x14ac:dyDescent="0.3">
      <c r="A2789" s="13" t="str" cm="1">
        <f t="array" ref="A2789:B2789">INDEX(BenchmarkResults!$B$1:$D$35,SUMPRODUCT((T2789&gt;=BenchmarkResults!$F$3:$F$35)*(mongodb_hardware_log!T2789&lt;BenchmarkResults!$G$3:$G$35)*ROW(BenchmarkResults!$F$3:$F$35)),{1,3})</f>
        <v>q6_inactive_customers</v>
      </c>
      <c r="B2789">
        <v>2</v>
      </c>
      <c r="C2789" s="13">
        <v>1</v>
      </c>
      <c r="D2789" s="13">
        <v>0</v>
      </c>
      <c r="E2789" s="13">
        <v>194560</v>
      </c>
      <c r="F2789" s="13">
        <v>126448</v>
      </c>
      <c r="G2789" s="13">
        <v>7216</v>
      </c>
      <c r="H2789" s="13">
        <v>2248988</v>
      </c>
      <c r="I2789" s="13">
        <v>0</v>
      </c>
      <c r="J2789" s="13">
        <v>0</v>
      </c>
      <c r="K2789" s="13">
        <v>1606</v>
      </c>
      <c r="L2789" s="13">
        <v>7</v>
      </c>
      <c r="M2789" s="13">
        <v>737</v>
      </c>
      <c r="N2789" s="13">
        <v>211</v>
      </c>
      <c r="O2789" s="13">
        <v>37</v>
      </c>
      <c r="P2789" s="13">
        <v>1</v>
      </c>
      <c r="Q2789" s="13">
        <v>61</v>
      </c>
      <c r="R2789" s="13">
        <v>0</v>
      </c>
      <c r="S2789" s="13">
        <v>0</v>
      </c>
      <c r="T2789" s="23">
        <v>46247.789652777778</v>
      </c>
      <c r="U2789" s="55">
        <f t="shared" si="129"/>
        <v>1</v>
      </c>
      <c r="V2789" s="55">
        <f t="shared" si="130"/>
        <v>0</v>
      </c>
      <c r="W2789" s="56">
        <f t="shared" si="131"/>
        <v>1428.8333333333333</v>
      </c>
    </row>
    <row r="2790" spans="1:23" x14ac:dyDescent="0.3">
      <c r="A2790" s="13" t="str" cm="1">
        <f t="array" ref="A2790:B2790">INDEX(BenchmarkResults!$B$1:$D$35,SUMPRODUCT((T2790&gt;=BenchmarkResults!$F$3:$F$35)*(mongodb_hardware_log!T2790&lt;BenchmarkResults!$G$3:$G$35)*ROW(BenchmarkResults!$F$3:$F$35)),{1,3})</f>
        <v>q6_inactive_customers</v>
      </c>
      <c r="B2790">
        <v>2</v>
      </c>
      <c r="C2790" s="13">
        <v>1</v>
      </c>
      <c r="D2790" s="13">
        <v>0</v>
      </c>
      <c r="E2790" s="13">
        <v>194560</v>
      </c>
      <c r="F2790" s="13">
        <v>133000</v>
      </c>
      <c r="G2790" s="13">
        <v>7224</v>
      </c>
      <c r="H2790" s="13">
        <v>2251448</v>
      </c>
      <c r="I2790" s="13">
        <v>0</v>
      </c>
      <c r="J2790" s="13">
        <v>0</v>
      </c>
      <c r="K2790" s="13">
        <v>1639</v>
      </c>
      <c r="L2790" s="13">
        <v>12</v>
      </c>
      <c r="M2790" s="13">
        <v>743</v>
      </c>
      <c r="N2790" s="13">
        <v>211</v>
      </c>
      <c r="O2790" s="13">
        <v>36</v>
      </c>
      <c r="P2790" s="13">
        <v>1</v>
      </c>
      <c r="Q2790" s="13">
        <v>62</v>
      </c>
      <c r="R2790" s="13">
        <v>0</v>
      </c>
      <c r="S2790" s="13">
        <v>1</v>
      </c>
      <c r="T2790" s="23">
        <v>46247.789675925924</v>
      </c>
      <c r="U2790" s="55">
        <f t="shared" si="129"/>
        <v>1</v>
      </c>
      <c r="V2790" s="55">
        <f t="shared" si="130"/>
        <v>0</v>
      </c>
      <c r="W2790" s="56">
        <f t="shared" si="131"/>
        <v>1438.3333333333333</v>
      </c>
    </row>
    <row r="2791" spans="1:23" x14ac:dyDescent="0.3">
      <c r="A2791" s="13" t="str" cm="1">
        <f t="array" ref="A2791:B2791">INDEX(BenchmarkResults!$B$1:$D$35,SUMPRODUCT((T2791&gt;=BenchmarkResults!$F$3:$F$35)*(mongodb_hardware_log!T2791&lt;BenchmarkResults!$G$3:$G$35)*ROW(BenchmarkResults!$F$3:$F$35)),{1,3})</f>
        <v>q6_inactive_customers</v>
      </c>
      <c r="B2791">
        <v>2</v>
      </c>
      <c r="C2791" s="13">
        <v>1</v>
      </c>
      <c r="D2791" s="13">
        <v>0</v>
      </c>
      <c r="E2791" s="13">
        <v>194560</v>
      </c>
      <c r="F2791" s="13">
        <v>119684</v>
      </c>
      <c r="G2791" s="13">
        <v>7248</v>
      </c>
      <c r="H2791" s="13">
        <v>2262772</v>
      </c>
      <c r="I2791" s="13">
        <v>0</v>
      </c>
      <c r="J2791" s="13">
        <v>0</v>
      </c>
      <c r="K2791" s="13">
        <v>1378</v>
      </c>
      <c r="L2791" s="13">
        <v>29</v>
      </c>
      <c r="M2791" s="13">
        <v>746</v>
      </c>
      <c r="N2791" s="13">
        <v>231</v>
      </c>
      <c r="O2791" s="13">
        <v>35</v>
      </c>
      <c r="P2791" s="13">
        <v>1</v>
      </c>
      <c r="Q2791" s="13">
        <v>62</v>
      </c>
      <c r="R2791" s="13">
        <v>1</v>
      </c>
      <c r="S2791" s="13">
        <v>1</v>
      </c>
      <c r="T2791" s="23">
        <v>46247.789768518516</v>
      </c>
      <c r="U2791" s="55">
        <f t="shared" si="129"/>
        <v>1</v>
      </c>
      <c r="V2791" s="55">
        <f t="shared" si="130"/>
        <v>0</v>
      </c>
      <c r="W2791" s="56">
        <f t="shared" si="131"/>
        <v>1469</v>
      </c>
    </row>
    <row r="2792" spans="1:23" x14ac:dyDescent="0.3">
      <c r="A2792" s="13" t="str" cm="1">
        <f t="array" ref="A2792:B2792">INDEX(BenchmarkResults!$B$1:$D$35,SUMPRODUCT((T2792&gt;=BenchmarkResults!$F$3:$F$35)*(mongodb_hardware_log!T2792&lt;BenchmarkResults!$G$3:$G$35)*ROW(BenchmarkResults!$F$3:$F$35)),{1,3})</f>
        <v>q6_inactive_customers</v>
      </c>
      <c r="B2792">
        <v>2</v>
      </c>
      <c r="C2792" s="13">
        <v>1</v>
      </c>
      <c r="D2792" s="13">
        <v>0</v>
      </c>
      <c r="E2792" s="13">
        <v>194560</v>
      </c>
      <c r="F2792" s="13">
        <v>116156</v>
      </c>
      <c r="G2792" s="13">
        <v>7248</v>
      </c>
      <c r="H2792" s="13">
        <v>2265824</v>
      </c>
      <c r="I2792" s="13">
        <v>0</v>
      </c>
      <c r="J2792" s="13">
        <v>0</v>
      </c>
      <c r="K2792" s="13">
        <v>1433</v>
      </c>
      <c r="L2792" s="13">
        <v>24</v>
      </c>
      <c r="M2792" s="13">
        <v>739</v>
      </c>
      <c r="N2792" s="13">
        <v>229</v>
      </c>
      <c r="O2792" s="13">
        <v>36</v>
      </c>
      <c r="P2792" s="13">
        <v>1</v>
      </c>
      <c r="Q2792" s="13">
        <v>62</v>
      </c>
      <c r="R2792" s="13">
        <v>1</v>
      </c>
      <c r="S2792" s="13">
        <v>0</v>
      </c>
      <c r="T2792" s="23">
        <v>46247.78979166667</v>
      </c>
      <c r="U2792" s="55">
        <f t="shared" si="129"/>
        <v>1</v>
      </c>
      <c r="V2792" s="55">
        <f t="shared" si="130"/>
        <v>0</v>
      </c>
      <c r="W2792" s="56">
        <f t="shared" si="131"/>
        <v>1526</v>
      </c>
    </row>
    <row r="2793" spans="1:23" x14ac:dyDescent="0.3">
      <c r="A2793" s="13" t="str" cm="1">
        <f t="array" ref="A2793:B2793">INDEX(BenchmarkResults!$B$1:$D$35,SUMPRODUCT((T2793&gt;=BenchmarkResults!$F$3:$F$35)*(mongodb_hardware_log!T2793&lt;BenchmarkResults!$G$3:$G$35)*ROW(BenchmarkResults!$F$3:$F$35)),{1,3})</f>
        <v>q6_inactive_customers</v>
      </c>
      <c r="B2793">
        <v>2</v>
      </c>
      <c r="C2793" s="13">
        <v>1</v>
      </c>
      <c r="D2793" s="13">
        <v>0</v>
      </c>
      <c r="E2793" s="13">
        <v>194560</v>
      </c>
      <c r="F2793" s="13">
        <v>156276</v>
      </c>
      <c r="G2793" s="13">
        <v>7256</v>
      </c>
      <c r="H2793" s="13">
        <v>2223388</v>
      </c>
      <c r="I2793" s="13">
        <v>0</v>
      </c>
      <c r="J2793" s="13">
        <v>0</v>
      </c>
      <c r="K2793" s="13">
        <v>1608</v>
      </c>
      <c r="L2793" s="13">
        <v>14</v>
      </c>
      <c r="M2793" s="13">
        <v>746</v>
      </c>
      <c r="N2793" s="13">
        <v>225</v>
      </c>
      <c r="O2793" s="13">
        <v>36</v>
      </c>
      <c r="P2793" s="13">
        <v>1</v>
      </c>
      <c r="Q2793" s="13">
        <v>62</v>
      </c>
      <c r="R2793" s="13">
        <v>1</v>
      </c>
      <c r="S2793" s="13">
        <v>1</v>
      </c>
      <c r="T2793" s="23">
        <v>46247.789884259262</v>
      </c>
      <c r="U2793" s="55">
        <f t="shared" si="129"/>
        <v>1</v>
      </c>
      <c r="V2793" s="55">
        <f t="shared" si="130"/>
        <v>0</v>
      </c>
      <c r="W2793" s="56">
        <f t="shared" si="131"/>
        <v>1532.6666666666667</v>
      </c>
    </row>
    <row r="2794" spans="1:23" x14ac:dyDescent="0.3">
      <c r="A2794" s="13" t="str" cm="1">
        <f t="array" ref="A2794:B2794">INDEX(BenchmarkResults!$B$1:$D$35,SUMPRODUCT((T2794&gt;=BenchmarkResults!$F$3:$F$35)*(mongodb_hardware_log!T2794&lt;BenchmarkResults!$G$3:$G$35)*ROW(BenchmarkResults!$F$3:$F$35)),{1,3})</f>
        <v>q6_inactive_customers</v>
      </c>
      <c r="B2794">
        <v>2</v>
      </c>
      <c r="C2794" s="13">
        <v>1</v>
      </c>
      <c r="D2794" s="13">
        <v>0</v>
      </c>
      <c r="E2794" s="13">
        <v>194560</v>
      </c>
      <c r="F2794" s="13">
        <v>147960</v>
      </c>
      <c r="G2794" s="13">
        <v>7264</v>
      </c>
      <c r="H2794" s="13">
        <v>2227112</v>
      </c>
      <c r="I2794" s="13">
        <v>0</v>
      </c>
      <c r="J2794" s="13">
        <v>0</v>
      </c>
      <c r="K2794" s="13">
        <v>1682</v>
      </c>
      <c r="L2794" s="13">
        <v>19</v>
      </c>
      <c r="M2794" s="13">
        <v>755</v>
      </c>
      <c r="N2794" s="13">
        <v>233</v>
      </c>
      <c r="O2794" s="13">
        <v>35</v>
      </c>
      <c r="P2794" s="13">
        <v>1</v>
      </c>
      <c r="Q2794" s="13">
        <v>62</v>
      </c>
      <c r="R2794" s="13">
        <v>1</v>
      </c>
      <c r="S2794" s="13">
        <v>1</v>
      </c>
      <c r="T2794" s="23">
        <v>46247.789907407408</v>
      </c>
      <c r="U2794" s="55">
        <f t="shared" si="129"/>
        <v>1</v>
      </c>
      <c r="V2794" s="55">
        <f t="shared" si="130"/>
        <v>0</v>
      </c>
      <c r="W2794" s="56">
        <f t="shared" si="131"/>
        <v>1557.6666666666667</v>
      </c>
    </row>
    <row r="2795" spans="1:23" x14ac:dyDescent="0.3">
      <c r="A2795" s="13" t="str" cm="1">
        <f t="array" ref="A2795:B2795">INDEX(BenchmarkResults!$B$1:$D$35,SUMPRODUCT((T2795&gt;=BenchmarkResults!$F$3:$F$35)*(mongodb_hardware_log!T2795&lt;BenchmarkResults!$G$3:$G$35)*ROW(BenchmarkResults!$F$3:$F$35)),{1,3})</f>
        <v>q6_inactive_customers</v>
      </c>
      <c r="B2795">
        <v>2</v>
      </c>
      <c r="C2795" s="13">
        <v>1</v>
      </c>
      <c r="D2795" s="13">
        <v>0</v>
      </c>
      <c r="E2795" s="13">
        <v>194560</v>
      </c>
      <c r="F2795" s="13">
        <v>132084</v>
      </c>
      <c r="G2795" s="13">
        <v>7272</v>
      </c>
      <c r="H2795" s="13">
        <v>2250016</v>
      </c>
      <c r="I2795" s="13">
        <v>0</v>
      </c>
      <c r="J2795" s="13">
        <v>0</v>
      </c>
      <c r="K2795" s="13">
        <v>1116</v>
      </c>
      <c r="L2795" s="13">
        <v>17</v>
      </c>
      <c r="M2795" s="13">
        <v>694</v>
      </c>
      <c r="N2795" s="13">
        <v>185</v>
      </c>
      <c r="O2795" s="13">
        <v>37</v>
      </c>
      <c r="P2795" s="13">
        <v>1</v>
      </c>
      <c r="Q2795" s="13">
        <v>62</v>
      </c>
      <c r="R2795" s="13">
        <v>0</v>
      </c>
      <c r="S2795" s="13">
        <v>0</v>
      </c>
      <c r="T2795" s="23">
        <v>46247.79</v>
      </c>
      <c r="U2795" s="55">
        <f t="shared" si="129"/>
        <v>1</v>
      </c>
      <c r="V2795" s="55">
        <f t="shared" si="130"/>
        <v>0</v>
      </c>
      <c r="W2795" s="56">
        <f t="shared" si="131"/>
        <v>1476</v>
      </c>
    </row>
    <row r="2796" spans="1:23" x14ac:dyDescent="0.3">
      <c r="A2796" s="13" t="str" cm="1">
        <f t="array" ref="A2796:B2796">INDEX(BenchmarkResults!$B$1:$D$35,SUMPRODUCT((T2796&gt;=BenchmarkResults!$F$3:$F$35)*(mongodb_hardware_log!T2796&lt;BenchmarkResults!$G$3:$G$35)*ROW(BenchmarkResults!$F$3:$F$35)),{1,3})</f>
        <v>q6_inactive_customers</v>
      </c>
      <c r="B2796">
        <v>2</v>
      </c>
      <c r="C2796" s="13">
        <v>1</v>
      </c>
      <c r="D2796" s="13">
        <v>0</v>
      </c>
      <c r="E2796" s="13">
        <v>194560</v>
      </c>
      <c r="F2796" s="13">
        <v>126540</v>
      </c>
      <c r="G2796" s="13">
        <v>7272</v>
      </c>
      <c r="H2796" s="13">
        <v>2253376</v>
      </c>
      <c r="I2796" s="13">
        <v>0</v>
      </c>
      <c r="J2796" s="13">
        <v>0</v>
      </c>
      <c r="K2796" s="13">
        <v>1043</v>
      </c>
      <c r="L2796" s="13">
        <v>12</v>
      </c>
      <c r="M2796" s="13">
        <v>687</v>
      </c>
      <c r="N2796" s="13">
        <v>178</v>
      </c>
      <c r="O2796" s="13">
        <v>37</v>
      </c>
      <c r="P2796" s="13">
        <v>1</v>
      </c>
      <c r="Q2796" s="13">
        <v>61</v>
      </c>
      <c r="R2796" s="13">
        <v>0</v>
      </c>
      <c r="S2796" s="13">
        <v>0</v>
      </c>
      <c r="T2796" s="23">
        <v>46247.790023148147</v>
      </c>
      <c r="U2796" s="55">
        <f t="shared" si="129"/>
        <v>1</v>
      </c>
      <c r="V2796" s="55">
        <f t="shared" si="130"/>
        <v>0</v>
      </c>
      <c r="W2796" s="56">
        <f t="shared" si="131"/>
        <v>1376.6666666666667</v>
      </c>
    </row>
    <row r="2797" spans="1:23" x14ac:dyDescent="0.3">
      <c r="A2797" s="13" t="str" cm="1">
        <f t="array" ref="A2797:B2797">INDEX(BenchmarkResults!$B$1:$D$35,SUMPRODUCT((T2797&gt;=BenchmarkResults!$F$3:$F$35)*(mongodb_hardware_log!T2797&lt;BenchmarkResults!$G$3:$G$35)*ROW(BenchmarkResults!$F$3:$F$35)),{1,3})</f>
        <v>q6_inactive_customers</v>
      </c>
      <c r="B2797">
        <v>2</v>
      </c>
      <c r="C2797" s="13">
        <v>1</v>
      </c>
      <c r="D2797" s="13">
        <v>0</v>
      </c>
      <c r="E2797" s="13">
        <v>194560</v>
      </c>
      <c r="F2797" s="13">
        <v>112428</v>
      </c>
      <c r="G2797" s="13">
        <v>7280</v>
      </c>
      <c r="H2797" s="13">
        <v>2266764</v>
      </c>
      <c r="I2797" s="13">
        <v>0</v>
      </c>
      <c r="J2797" s="13">
        <v>0</v>
      </c>
      <c r="K2797" s="13">
        <v>1633</v>
      </c>
      <c r="L2797" s="13">
        <v>8</v>
      </c>
      <c r="M2797" s="13">
        <v>729</v>
      </c>
      <c r="N2797" s="13">
        <v>214</v>
      </c>
      <c r="O2797" s="13">
        <v>37</v>
      </c>
      <c r="P2797" s="13">
        <v>1</v>
      </c>
      <c r="Q2797" s="13">
        <v>62</v>
      </c>
      <c r="R2797" s="13">
        <v>1</v>
      </c>
      <c r="S2797" s="13">
        <v>0</v>
      </c>
      <c r="T2797" s="23">
        <v>46247.79011574074</v>
      </c>
      <c r="U2797" s="55">
        <f t="shared" si="129"/>
        <v>1</v>
      </c>
      <c r="V2797" s="55">
        <f t="shared" si="130"/>
        <v>0</v>
      </c>
      <c r="W2797" s="56">
        <f t="shared" si="131"/>
        <v>1419.1666666666667</v>
      </c>
    </row>
    <row r="2798" spans="1:23" x14ac:dyDescent="0.3">
      <c r="A2798" s="13" t="str" cm="1">
        <f t="array" ref="A2798:B2798">INDEX(BenchmarkResults!$B$1:$D$35,SUMPRODUCT((T2798&gt;=BenchmarkResults!$F$3:$F$35)*(mongodb_hardware_log!T2798&lt;BenchmarkResults!$G$3:$G$35)*ROW(BenchmarkResults!$F$3:$F$35)),{1,3})</f>
        <v>q6_inactive_customers</v>
      </c>
      <c r="B2798">
        <v>2</v>
      </c>
      <c r="C2798" s="13">
        <v>1</v>
      </c>
      <c r="D2798" s="13">
        <v>0</v>
      </c>
      <c r="E2798" s="13">
        <v>194560</v>
      </c>
      <c r="F2798" s="13">
        <v>153512</v>
      </c>
      <c r="G2798" s="13">
        <v>7288</v>
      </c>
      <c r="H2798" s="13">
        <v>2228832</v>
      </c>
      <c r="I2798" s="13">
        <v>0</v>
      </c>
      <c r="J2798" s="13">
        <v>0</v>
      </c>
      <c r="K2798" s="13">
        <v>1536</v>
      </c>
      <c r="L2798" s="13">
        <v>13</v>
      </c>
      <c r="M2798" s="13">
        <v>732</v>
      </c>
      <c r="N2798" s="13">
        <v>218</v>
      </c>
      <c r="O2798" s="13">
        <v>37</v>
      </c>
      <c r="P2798" s="13">
        <v>1</v>
      </c>
      <c r="Q2798" s="13">
        <v>61</v>
      </c>
      <c r="R2798" s="13">
        <v>1</v>
      </c>
      <c r="S2798" s="13">
        <v>0</v>
      </c>
      <c r="T2798" s="23">
        <v>46247.790138888886</v>
      </c>
      <c r="U2798" s="55">
        <f t="shared" si="129"/>
        <v>1</v>
      </c>
      <c r="V2798" s="55">
        <f t="shared" si="130"/>
        <v>0</v>
      </c>
      <c r="W2798" s="56">
        <f t="shared" si="131"/>
        <v>1436.3333333333333</v>
      </c>
    </row>
    <row r="2799" spans="1:23" x14ac:dyDescent="0.3">
      <c r="A2799" s="13" t="str" cm="1">
        <f t="array" ref="A2799:B2799">INDEX(BenchmarkResults!$B$1:$D$35,SUMPRODUCT((T2799&gt;=BenchmarkResults!$F$3:$F$35)*(mongodb_hardware_log!T2799&lt;BenchmarkResults!$G$3:$G$35)*ROW(BenchmarkResults!$F$3:$F$35)),{1,3})</f>
        <v>q6_inactive_customers</v>
      </c>
      <c r="B2799">
        <v>2</v>
      </c>
      <c r="C2799" s="13">
        <v>1</v>
      </c>
      <c r="D2799" s="13">
        <v>0</v>
      </c>
      <c r="E2799" s="13">
        <v>194560</v>
      </c>
      <c r="F2799" s="13">
        <v>137412</v>
      </c>
      <c r="G2799" s="13">
        <v>7296</v>
      </c>
      <c r="H2799" s="13">
        <v>2242540</v>
      </c>
      <c r="I2799" s="13">
        <v>0</v>
      </c>
      <c r="J2799" s="13">
        <v>0</v>
      </c>
      <c r="K2799" s="13">
        <v>1568</v>
      </c>
      <c r="L2799" s="13">
        <v>22</v>
      </c>
      <c r="M2799" s="13">
        <v>740</v>
      </c>
      <c r="N2799" s="13">
        <v>217</v>
      </c>
      <c r="O2799" s="13">
        <v>36</v>
      </c>
      <c r="P2799" s="13">
        <v>1</v>
      </c>
      <c r="Q2799" s="13">
        <v>61</v>
      </c>
      <c r="R2799" s="13">
        <v>2</v>
      </c>
      <c r="S2799" s="13">
        <v>0</v>
      </c>
      <c r="T2799" s="23">
        <v>46247.790231481478</v>
      </c>
      <c r="U2799" s="55">
        <f t="shared" si="129"/>
        <v>1</v>
      </c>
      <c r="V2799" s="55">
        <f t="shared" si="130"/>
        <v>0</v>
      </c>
      <c r="W2799" s="56">
        <f t="shared" si="131"/>
        <v>1429.6666666666667</v>
      </c>
    </row>
    <row r="2800" spans="1:23" x14ac:dyDescent="0.3">
      <c r="A2800" s="13" t="str" cm="1">
        <f t="array" ref="A2800:B2800">INDEX(BenchmarkResults!$B$1:$D$35,SUMPRODUCT((T2800&gt;=BenchmarkResults!$F$3:$F$35)*(mongodb_hardware_log!T2800&lt;BenchmarkResults!$G$3:$G$35)*ROW(BenchmarkResults!$F$3:$F$35)),{1,3})</f>
        <v>q6_inactive_customers</v>
      </c>
      <c r="B2800">
        <v>2</v>
      </c>
      <c r="C2800" s="13">
        <v>1</v>
      </c>
      <c r="D2800" s="13">
        <v>0</v>
      </c>
      <c r="E2800" s="13">
        <v>194560</v>
      </c>
      <c r="F2800" s="13">
        <v>137412</v>
      </c>
      <c r="G2800" s="13">
        <v>7296</v>
      </c>
      <c r="H2800" s="13">
        <v>2245448</v>
      </c>
      <c r="I2800" s="13">
        <v>0</v>
      </c>
      <c r="J2800" s="13">
        <v>0</v>
      </c>
      <c r="K2800" s="13">
        <v>1653</v>
      </c>
      <c r="L2800" s="13">
        <v>16</v>
      </c>
      <c r="M2800" s="13">
        <v>737</v>
      </c>
      <c r="N2800" s="13">
        <v>214</v>
      </c>
      <c r="O2800" s="13">
        <v>36</v>
      </c>
      <c r="P2800" s="13">
        <v>1</v>
      </c>
      <c r="Q2800" s="13">
        <v>62</v>
      </c>
      <c r="R2800" s="13">
        <v>1</v>
      </c>
      <c r="S2800" s="13">
        <v>0</v>
      </c>
      <c r="T2800" s="23">
        <v>46247.790254629632</v>
      </c>
      <c r="U2800" s="55">
        <f t="shared" si="129"/>
        <v>1</v>
      </c>
      <c r="V2800" s="55">
        <f t="shared" si="130"/>
        <v>0</v>
      </c>
      <c r="W2800" s="56">
        <f t="shared" si="131"/>
        <v>1424.8333333333333</v>
      </c>
    </row>
    <row r="2801" spans="1:23" x14ac:dyDescent="0.3">
      <c r="A2801" s="13" t="str" cm="1">
        <f t="array" ref="A2801:B2801">INDEX(BenchmarkResults!$B$1:$D$35,SUMPRODUCT((T2801&gt;=BenchmarkResults!$F$3:$F$35)*(mongodb_hardware_log!T2801&lt;BenchmarkResults!$G$3:$G$35)*ROW(BenchmarkResults!$F$3:$F$35)),{1,3})</f>
        <v>q6_inactive_customers</v>
      </c>
      <c r="B2801">
        <v>2</v>
      </c>
      <c r="C2801" s="13">
        <v>1</v>
      </c>
      <c r="D2801" s="13">
        <v>1</v>
      </c>
      <c r="E2801" s="13">
        <v>194560</v>
      </c>
      <c r="F2801" s="13">
        <v>129600</v>
      </c>
      <c r="G2801" s="13">
        <v>7304</v>
      </c>
      <c r="H2801" s="13">
        <v>2258724</v>
      </c>
      <c r="I2801" s="13">
        <v>0</v>
      </c>
      <c r="J2801" s="13">
        <v>0</v>
      </c>
      <c r="K2801" s="13">
        <v>1622</v>
      </c>
      <c r="L2801" s="13">
        <v>417</v>
      </c>
      <c r="M2801" s="13">
        <v>733</v>
      </c>
      <c r="N2801" s="13">
        <v>208</v>
      </c>
      <c r="O2801" s="13">
        <v>36</v>
      </c>
      <c r="P2801" s="13">
        <v>1</v>
      </c>
      <c r="Q2801" s="13">
        <v>62</v>
      </c>
      <c r="R2801" s="13">
        <v>1</v>
      </c>
      <c r="S2801" s="13">
        <v>0</v>
      </c>
      <c r="T2801" s="23">
        <v>46247.790347222224</v>
      </c>
      <c r="U2801" s="55">
        <f t="shared" si="129"/>
        <v>1</v>
      </c>
      <c r="V2801" s="55">
        <f t="shared" si="130"/>
        <v>0.16666666666666666</v>
      </c>
      <c r="W2801" s="56">
        <f t="shared" si="131"/>
        <v>1509.1666666666667</v>
      </c>
    </row>
    <row r="2802" spans="1:23" x14ac:dyDescent="0.3">
      <c r="A2802" s="13" t="str" cm="1">
        <f t="array" ref="A2802:B2802">INDEX(BenchmarkResults!$B$1:$D$35,SUMPRODUCT((T2802&gt;=BenchmarkResults!$F$3:$F$35)*(mongodb_hardware_log!T2802&lt;BenchmarkResults!$G$3:$G$35)*ROW(BenchmarkResults!$F$3:$F$35)),{1,3})</f>
        <v>q6_inactive_customers</v>
      </c>
      <c r="B2802">
        <v>2</v>
      </c>
      <c r="C2802" s="13">
        <v>1</v>
      </c>
      <c r="D2802" s="13">
        <v>0</v>
      </c>
      <c r="E2802" s="13">
        <v>194560</v>
      </c>
      <c r="F2802" s="13">
        <v>127080</v>
      </c>
      <c r="G2802" s="13">
        <v>7312</v>
      </c>
      <c r="H2802" s="13">
        <v>2261680</v>
      </c>
      <c r="I2802" s="13">
        <v>0</v>
      </c>
      <c r="J2802" s="13">
        <v>0</v>
      </c>
      <c r="K2802" s="13">
        <v>1626</v>
      </c>
      <c r="L2802" s="13">
        <v>1574</v>
      </c>
      <c r="M2802" s="13">
        <v>743</v>
      </c>
      <c r="N2802" s="13">
        <v>213</v>
      </c>
      <c r="O2802" s="13">
        <v>36</v>
      </c>
      <c r="P2802" s="13">
        <v>1</v>
      </c>
      <c r="Q2802" s="13">
        <v>61</v>
      </c>
      <c r="R2802" s="13">
        <v>1</v>
      </c>
      <c r="S2802" s="13">
        <v>0</v>
      </c>
      <c r="T2802" s="23">
        <v>46247.790370370371</v>
      </c>
      <c r="U2802" s="55">
        <f t="shared" si="129"/>
        <v>1</v>
      </c>
      <c r="V2802" s="55">
        <f t="shared" si="130"/>
        <v>0.16666666666666666</v>
      </c>
      <c r="W2802" s="56">
        <f t="shared" si="131"/>
        <v>1606.3333333333333</v>
      </c>
    </row>
    <row r="2803" spans="1:23" x14ac:dyDescent="0.3">
      <c r="A2803" s="13" t="str" cm="1">
        <f t="array" ref="A2803:B2803">INDEX(BenchmarkResults!$B$1:$D$35,SUMPRODUCT((T2803&gt;=BenchmarkResults!$F$3:$F$35)*(mongodb_hardware_log!T2803&lt;BenchmarkResults!$G$3:$G$35)*ROW(BenchmarkResults!$F$3:$F$35)),{1,3})</f>
        <v>q6_inactive_customers</v>
      </c>
      <c r="B2803">
        <v>2</v>
      </c>
      <c r="C2803" s="13">
        <v>1</v>
      </c>
      <c r="D2803" s="13">
        <v>0</v>
      </c>
      <c r="E2803" s="13">
        <v>194560</v>
      </c>
      <c r="F2803" s="13">
        <v>109692</v>
      </c>
      <c r="G2803" s="13">
        <v>7336</v>
      </c>
      <c r="H2803" s="13">
        <v>2273532</v>
      </c>
      <c r="I2803" s="13">
        <v>0</v>
      </c>
      <c r="J2803" s="13">
        <v>0</v>
      </c>
      <c r="K2803" s="13">
        <v>1477</v>
      </c>
      <c r="L2803" s="13">
        <v>1181</v>
      </c>
      <c r="M2803" s="13">
        <v>747</v>
      </c>
      <c r="N2803" s="13">
        <v>226</v>
      </c>
      <c r="O2803" s="13">
        <v>36</v>
      </c>
      <c r="P2803" s="13">
        <v>1</v>
      </c>
      <c r="Q2803" s="13">
        <v>61</v>
      </c>
      <c r="R2803" s="13">
        <v>1</v>
      </c>
      <c r="S2803" s="13">
        <v>0</v>
      </c>
      <c r="T2803" s="23">
        <v>46247.790462962963</v>
      </c>
      <c r="U2803" s="55">
        <f t="shared" si="129"/>
        <v>1</v>
      </c>
      <c r="V2803" s="55">
        <f t="shared" si="130"/>
        <v>0.16666666666666666</v>
      </c>
      <c r="W2803" s="56">
        <f t="shared" si="131"/>
        <v>1580.3333333333333</v>
      </c>
    </row>
    <row r="2804" spans="1:23" x14ac:dyDescent="0.3">
      <c r="A2804" s="13" t="str" cm="1">
        <f t="array" ref="A2804:B2804">INDEX(BenchmarkResults!$B$1:$D$35,SUMPRODUCT((T2804&gt;=BenchmarkResults!$F$3:$F$35)*(mongodb_hardware_log!T2804&lt;BenchmarkResults!$G$3:$G$35)*ROW(BenchmarkResults!$F$3:$F$35)),{1,3})</f>
        <v>q6_inactive_customers</v>
      </c>
      <c r="B2804">
        <v>2</v>
      </c>
      <c r="C2804" s="13">
        <v>1</v>
      </c>
      <c r="D2804" s="13">
        <v>0</v>
      </c>
      <c r="E2804" s="13">
        <v>194560</v>
      </c>
      <c r="F2804" s="13">
        <v>109692</v>
      </c>
      <c r="G2804" s="13">
        <v>7336</v>
      </c>
      <c r="H2804" s="13">
        <v>2276472</v>
      </c>
      <c r="I2804" s="13">
        <v>0</v>
      </c>
      <c r="J2804" s="13">
        <v>0</v>
      </c>
      <c r="K2804" s="13">
        <v>1476</v>
      </c>
      <c r="L2804" s="13">
        <v>24</v>
      </c>
      <c r="M2804" s="13">
        <v>738</v>
      </c>
      <c r="N2804" s="13">
        <v>221</v>
      </c>
      <c r="O2804" s="13">
        <v>36</v>
      </c>
      <c r="P2804" s="13">
        <v>1</v>
      </c>
      <c r="Q2804" s="13">
        <v>62</v>
      </c>
      <c r="R2804" s="13">
        <v>1</v>
      </c>
      <c r="S2804" s="13">
        <v>0</v>
      </c>
      <c r="T2804" s="23">
        <v>46247.790486111109</v>
      </c>
      <c r="U2804" s="55">
        <f t="shared" si="129"/>
        <v>1</v>
      </c>
      <c r="V2804" s="55">
        <f t="shared" si="130"/>
        <v>0.16666666666666666</v>
      </c>
      <c r="W2804" s="56">
        <f t="shared" si="131"/>
        <v>1570.3333333333333</v>
      </c>
    </row>
    <row r="2805" spans="1:23" x14ac:dyDescent="0.3">
      <c r="A2805" s="13" t="str" cm="1">
        <f t="array" ref="A2805:B2805">INDEX(BenchmarkResults!$B$1:$D$35,SUMPRODUCT((T2805&gt;=BenchmarkResults!$F$3:$F$35)*(mongodb_hardware_log!T2805&lt;BenchmarkResults!$G$3:$G$35)*ROW(BenchmarkResults!$F$3:$F$35)),{1,3})</f>
        <v>q6_inactive_customers</v>
      </c>
      <c r="B2805">
        <v>2</v>
      </c>
      <c r="C2805" s="13">
        <v>1</v>
      </c>
      <c r="D2805" s="13">
        <v>0</v>
      </c>
      <c r="E2805" s="13">
        <v>194560</v>
      </c>
      <c r="F2805" s="13">
        <v>152944</v>
      </c>
      <c r="G2805" s="13">
        <v>7344</v>
      </c>
      <c r="H2805" s="13">
        <v>2234904</v>
      </c>
      <c r="I2805" s="13">
        <v>0</v>
      </c>
      <c r="J2805" s="13">
        <v>0</v>
      </c>
      <c r="K2805" s="13">
        <v>1670</v>
      </c>
      <c r="L2805" s="13">
        <v>8</v>
      </c>
      <c r="M2805" s="13">
        <v>737</v>
      </c>
      <c r="N2805" s="13">
        <v>222</v>
      </c>
      <c r="O2805" s="13">
        <v>36</v>
      </c>
      <c r="P2805" s="13">
        <v>1</v>
      </c>
      <c r="Q2805" s="13">
        <v>62</v>
      </c>
      <c r="R2805" s="13">
        <v>0</v>
      </c>
      <c r="S2805" s="13">
        <v>0</v>
      </c>
      <c r="T2805" s="23">
        <v>46247.790578703702</v>
      </c>
      <c r="U2805" s="55">
        <f t="shared" si="129"/>
        <v>1</v>
      </c>
      <c r="V2805" s="55">
        <f t="shared" si="130"/>
        <v>0.16666666666666666</v>
      </c>
      <c r="W2805" s="56">
        <f t="shared" si="131"/>
        <v>1587.3333333333333</v>
      </c>
    </row>
    <row r="2806" spans="1:23" x14ac:dyDescent="0.3">
      <c r="A2806" s="13" t="str" cm="1">
        <f t="array" ref="A2806:B2806">INDEX(BenchmarkResults!$B$1:$D$35,SUMPRODUCT((T2806&gt;=BenchmarkResults!$F$3:$F$35)*(mongodb_hardware_log!T2806&lt;BenchmarkResults!$G$3:$G$35)*ROW(BenchmarkResults!$F$3:$F$35)),{1,3})</f>
        <v>q6_inactive_customers</v>
      </c>
      <c r="B2806">
        <v>2</v>
      </c>
      <c r="C2806" s="13">
        <v>1</v>
      </c>
      <c r="D2806" s="13">
        <v>0</v>
      </c>
      <c r="E2806" s="13">
        <v>194560</v>
      </c>
      <c r="F2806" s="13">
        <v>144880</v>
      </c>
      <c r="G2806" s="13">
        <v>7352</v>
      </c>
      <c r="H2806" s="13">
        <v>2239200</v>
      </c>
      <c r="I2806" s="13">
        <v>0</v>
      </c>
      <c r="J2806" s="13">
        <v>0</v>
      </c>
      <c r="K2806" s="13">
        <v>1439</v>
      </c>
      <c r="L2806" s="13">
        <v>17</v>
      </c>
      <c r="M2806" s="13">
        <v>725</v>
      </c>
      <c r="N2806" s="13">
        <v>212</v>
      </c>
      <c r="O2806" s="13">
        <v>36</v>
      </c>
      <c r="P2806" s="13">
        <v>1</v>
      </c>
      <c r="Q2806" s="13">
        <v>62</v>
      </c>
      <c r="R2806" s="13">
        <v>0</v>
      </c>
      <c r="S2806" s="13">
        <v>0</v>
      </c>
      <c r="T2806" s="23">
        <v>46247.790601851855</v>
      </c>
      <c r="U2806" s="55">
        <f t="shared" si="129"/>
        <v>1</v>
      </c>
      <c r="V2806" s="55">
        <f t="shared" si="130"/>
        <v>0.16666666666666666</v>
      </c>
      <c r="W2806" s="56">
        <f t="shared" si="131"/>
        <v>1551.6666666666667</v>
      </c>
    </row>
    <row r="2807" spans="1:23" x14ac:dyDescent="0.3">
      <c r="A2807" s="13" t="str" cm="1">
        <f t="array" ref="A2807:B2807">INDEX(BenchmarkResults!$B$1:$D$35,SUMPRODUCT((T2807&gt;=BenchmarkResults!$F$3:$F$35)*(mongodb_hardware_log!T2807&lt;BenchmarkResults!$G$3:$G$35)*ROW(BenchmarkResults!$F$3:$F$35)),{1,3})</f>
        <v>q6_inactive_customers</v>
      </c>
      <c r="B2807">
        <v>2</v>
      </c>
      <c r="C2807" s="13">
        <v>1</v>
      </c>
      <c r="D2807" s="13">
        <v>0</v>
      </c>
      <c r="E2807" s="13">
        <v>194560</v>
      </c>
      <c r="F2807" s="13">
        <v>121696</v>
      </c>
      <c r="G2807" s="13">
        <v>7360</v>
      </c>
      <c r="H2807" s="13">
        <v>2262632</v>
      </c>
      <c r="I2807" s="13">
        <v>0</v>
      </c>
      <c r="J2807" s="13">
        <v>0</v>
      </c>
      <c r="K2807" s="13">
        <v>1189</v>
      </c>
      <c r="L2807" s="13">
        <v>21</v>
      </c>
      <c r="M2807" s="13">
        <v>700</v>
      </c>
      <c r="N2807" s="13">
        <v>190</v>
      </c>
      <c r="O2807" s="13">
        <v>37</v>
      </c>
      <c r="P2807" s="13">
        <v>1</v>
      </c>
      <c r="Q2807" s="13">
        <v>62</v>
      </c>
      <c r="R2807" s="13">
        <v>0</v>
      </c>
      <c r="S2807" s="13">
        <v>0</v>
      </c>
      <c r="T2807" s="23">
        <v>46247.790694444448</v>
      </c>
      <c r="U2807" s="55">
        <f t="shared" si="129"/>
        <v>1</v>
      </c>
      <c r="V2807" s="55">
        <f t="shared" si="130"/>
        <v>0</v>
      </c>
      <c r="W2807" s="56">
        <f t="shared" si="131"/>
        <v>1479.5</v>
      </c>
    </row>
    <row r="2808" spans="1:23" x14ac:dyDescent="0.3">
      <c r="A2808" s="13" t="str" cm="1">
        <f t="array" ref="A2808:B2808">INDEX(BenchmarkResults!$B$1:$D$35,SUMPRODUCT((T2808&gt;=BenchmarkResults!$F$3:$F$35)*(mongodb_hardware_log!T2808&lt;BenchmarkResults!$G$3:$G$35)*ROW(BenchmarkResults!$F$3:$F$35)),{1,3})</f>
        <v>q6_inactive_customers</v>
      </c>
      <c r="B2808">
        <v>2</v>
      </c>
      <c r="C2808" s="13">
        <v>2</v>
      </c>
      <c r="D2808" s="13">
        <v>0</v>
      </c>
      <c r="E2808" s="13">
        <v>194560</v>
      </c>
      <c r="F2808" s="13">
        <v>115648</v>
      </c>
      <c r="G2808" s="13">
        <v>7360</v>
      </c>
      <c r="H2808" s="13">
        <v>2265640</v>
      </c>
      <c r="I2808" s="13">
        <v>0</v>
      </c>
      <c r="J2808" s="13">
        <v>0</v>
      </c>
      <c r="K2808" s="13">
        <v>1426</v>
      </c>
      <c r="L2808" s="13">
        <v>12</v>
      </c>
      <c r="M2808" s="13">
        <v>709</v>
      </c>
      <c r="N2808" s="13">
        <v>198</v>
      </c>
      <c r="O2808" s="13">
        <v>36</v>
      </c>
      <c r="P2808" s="13">
        <v>1</v>
      </c>
      <c r="Q2808" s="13">
        <v>62</v>
      </c>
      <c r="R2808" s="13">
        <v>0</v>
      </c>
      <c r="S2808" s="13">
        <v>0</v>
      </c>
      <c r="T2808" s="23">
        <v>46247.790717592594</v>
      </c>
      <c r="U2808" s="55">
        <f t="shared" si="129"/>
        <v>1.1666666666666667</v>
      </c>
      <c r="V2808" s="55">
        <f t="shared" si="130"/>
        <v>0</v>
      </c>
      <c r="W2808" s="56">
        <f t="shared" si="131"/>
        <v>1446.1666666666667</v>
      </c>
    </row>
    <row r="2809" spans="1:23" x14ac:dyDescent="0.3">
      <c r="A2809" s="13" t="str" cm="1">
        <f t="array" ref="A2809:B2809">INDEX(BenchmarkResults!$B$1:$D$35,SUMPRODUCT((T2809&gt;=BenchmarkResults!$F$3:$F$35)*(mongodb_hardware_log!T2809&lt;BenchmarkResults!$G$3:$G$35)*ROW(BenchmarkResults!$F$3:$F$35)),{1,3})</f>
        <v>q6_inactive_customers</v>
      </c>
      <c r="B2809">
        <v>2</v>
      </c>
      <c r="C2809" s="13">
        <v>1</v>
      </c>
      <c r="D2809" s="13">
        <v>0</v>
      </c>
      <c r="E2809" s="13">
        <v>194560</v>
      </c>
      <c r="F2809" s="13">
        <v>106828</v>
      </c>
      <c r="G2809" s="13">
        <v>7368</v>
      </c>
      <c r="H2809" s="13">
        <v>2278436</v>
      </c>
      <c r="I2809" s="13">
        <v>0</v>
      </c>
      <c r="J2809" s="13">
        <v>0</v>
      </c>
      <c r="K2809" s="13">
        <v>1574</v>
      </c>
      <c r="L2809" s="13">
        <v>8</v>
      </c>
      <c r="M2809" s="13">
        <v>722</v>
      </c>
      <c r="N2809" s="13">
        <v>212</v>
      </c>
      <c r="O2809" s="13">
        <v>36</v>
      </c>
      <c r="P2809" s="13">
        <v>1</v>
      </c>
      <c r="Q2809" s="13">
        <v>62</v>
      </c>
      <c r="R2809" s="13">
        <v>1</v>
      </c>
      <c r="S2809" s="13">
        <v>0</v>
      </c>
      <c r="T2809" s="23">
        <v>46247.790810185186</v>
      </c>
      <c r="U2809" s="55">
        <f t="shared" si="129"/>
        <v>1.1666666666666667</v>
      </c>
      <c r="V2809" s="55">
        <f t="shared" si="130"/>
        <v>0</v>
      </c>
      <c r="W2809" s="56">
        <f t="shared" si="131"/>
        <v>1462.3333333333333</v>
      </c>
    </row>
    <row r="2810" spans="1:23" x14ac:dyDescent="0.3">
      <c r="A2810" s="13" t="str" cm="1">
        <f t="array" ref="A2810:B2810">INDEX(BenchmarkResults!$B$1:$D$35,SUMPRODUCT((T2810&gt;=BenchmarkResults!$F$3:$F$35)*(mongodb_hardware_log!T2810&lt;BenchmarkResults!$G$3:$G$35)*ROW(BenchmarkResults!$F$3:$F$35)),{1,3})</f>
        <v>q6_inactive_customers</v>
      </c>
      <c r="B2810">
        <v>2</v>
      </c>
      <c r="C2810" s="13">
        <v>1</v>
      </c>
      <c r="D2810" s="13">
        <v>0</v>
      </c>
      <c r="E2810" s="13">
        <v>194560</v>
      </c>
      <c r="F2810" s="13">
        <v>146548</v>
      </c>
      <c r="G2810" s="13">
        <v>7376</v>
      </c>
      <c r="H2810" s="13">
        <v>2241432</v>
      </c>
      <c r="I2810" s="13">
        <v>0</v>
      </c>
      <c r="J2810" s="13">
        <v>0</v>
      </c>
      <c r="K2810" s="13">
        <v>1545</v>
      </c>
      <c r="L2810" s="13">
        <v>14</v>
      </c>
      <c r="M2810" s="13">
        <v>724</v>
      </c>
      <c r="N2810" s="13">
        <v>215</v>
      </c>
      <c r="O2810" s="13">
        <v>36</v>
      </c>
      <c r="P2810" s="13">
        <v>1</v>
      </c>
      <c r="Q2810" s="13">
        <v>61</v>
      </c>
      <c r="R2810" s="13">
        <v>1</v>
      </c>
      <c r="S2810" s="13">
        <v>0</v>
      </c>
      <c r="T2810" s="23">
        <v>46247.790833333333</v>
      </c>
      <c r="U2810" s="55">
        <f t="shared" si="129"/>
        <v>1.1666666666666667</v>
      </c>
      <c r="V2810" s="55">
        <f t="shared" si="130"/>
        <v>0</v>
      </c>
      <c r="W2810" s="56">
        <f t="shared" si="131"/>
        <v>1473.8333333333333</v>
      </c>
    </row>
    <row r="2811" spans="1:23" x14ac:dyDescent="0.3">
      <c r="A2811" s="13" t="str" cm="1">
        <f t="array" ref="A2811:B2811">INDEX(BenchmarkResults!$B$1:$D$35,SUMPRODUCT((T2811&gt;=BenchmarkResults!$F$3:$F$35)*(mongodb_hardware_log!T2811&lt;BenchmarkResults!$G$3:$G$35)*ROW(BenchmarkResults!$F$3:$F$35)),{1,3})</f>
        <v>q6_inactive_customers</v>
      </c>
      <c r="B2811">
        <v>2</v>
      </c>
      <c r="C2811" s="13">
        <v>1</v>
      </c>
      <c r="D2811" s="13">
        <v>0</v>
      </c>
      <c r="E2811" s="13">
        <v>194560</v>
      </c>
      <c r="F2811" s="13">
        <v>774980</v>
      </c>
      <c r="G2811" s="13">
        <v>7380</v>
      </c>
      <c r="H2811" s="13">
        <v>1596824</v>
      </c>
      <c r="I2811" s="13">
        <v>0</v>
      </c>
      <c r="J2811" s="13">
        <v>0</v>
      </c>
      <c r="K2811" s="13">
        <v>1183</v>
      </c>
      <c r="L2811" s="13">
        <v>17</v>
      </c>
      <c r="M2811" s="13">
        <v>1036</v>
      </c>
      <c r="N2811" s="13">
        <v>455</v>
      </c>
      <c r="O2811" s="13">
        <v>40</v>
      </c>
      <c r="P2811" s="13">
        <v>12</v>
      </c>
      <c r="Q2811" s="13">
        <v>47</v>
      </c>
      <c r="R2811" s="13">
        <v>0</v>
      </c>
      <c r="S2811" s="13">
        <v>0</v>
      </c>
      <c r="T2811" s="23">
        <v>46247.790925925925</v>
      </c>
      <c r="U2811" s="55">
        <f t="shared" si="129"/>
        <v>1.1666666666666667</v>
      </c>
      <c r="V2811" s="55">
        <f t="shared" si="130"/>
        <v>0</v>
      </c>
      <c r="W2811" s="56">
        <f t="shared" si="131"/>
        <v>1392.6666666666667</v>
      </c>
    </row>
    <row r="2812" spans="1:23" x14ac:dyDescent="0.3">
      <c r="A2812" s="13" t="str" cm="1">
        <f t="array" ref="A2812:B2812">INDEX(BenchmarkResults!$B$1:$D$35,SUMPRODUCT((T2812&gt;=BenchmarkResults!$F$3:$F$35)*(mongodb_hardware_log!T2812&lt;BenchmarkResults!$G$3:$G$35)*ROW(BenchmarkResults!$F$3:$F$35)),{1,3})</f>
        <v>q6_inactive_customers</v>
      </c>
      <c r="B2812">
        <v>2</v>
      </c>
      <c r="C2812" s="13">
        <v>1</v>
      </c>
      <c r="D2812" s="13">
        <v>1</v>
      </c>
      <c r="E2812" s="13">
        <v>194560</v>
      </c>
      <c r="F2812" s="13">
        <v>773828</v>
      </c>
      <c r="G2812" s="13">
        <v>7380</v>
      </c>
      <c r="H2812" s="13">
        <v>1599736</v>
      </c>
      <c r="I2812" s="13">
        <v>0</v>
      </c>
      <c r="J2812" s="13">
        <v>0</v>
      </c>
      <c r="K2812" s="13">
        <v>1206</v>
      </c>
      <c r="L2812" s="13">
        <v>681</v>
      </c>
      <c r="M2812" s="13">
        <v>1041</v>
      </c>
      <c r="N2812" s="13">
        <v>459</v>
      </c>
      <c r="O2812" s="13">
        <v>40</v>
      </c>
      <c r="P2812" s="13">
        <v>12</v>
      </c>
      <c r="Q2812" s="13">
        <v>47</v>
      </c>
      <c r="R2812" s="13">
        <v>1</v>
      </c>
      <c r="S2812" s="13">
        <v>0</v>
      </c>
      <c r="T2812" s="23">
        <v>46247.790949074071</v>
      </c>
      <c r="U2812" s="55">
        <f t="shared" si="129"/>
        <v>1.1666666666666667</v>
      </c>
      <c r="V2812" s="55">
        <f t="shared" si="130"/>
        <v>0.16666666666666666</v>
      </c>
      <c r="W2812" s="56">
        <f t="shared" si="131"/>
        <v>1353.8333333333333</v>
      </c>
    </row>
    <row r="2813" spans="1:23" x14ac:dyDescent="0.3">
      <c r="A2813" s="13" t="str" cm="1">
        <f t="array" ref="A2813:B2813">INDEX(BenchmarkResults!$B$1:$D$35,SUMPRODUCT((T2813&gt;=BenchmarkResults!$F$3:$F$35)*(mongodb_hardware_log!T2813&lt;BenchmarkResults!$G$3:$G$35)*ROW(BenchmarkResults!$F$3:$F$35)),{1,3})</f>
        <v>q6_inactive_customers</v>
      </c>
      <c r="B2813">
        <v>2</v>
      </c>
      <c r="C2813" s="13">
        <v>1</v>
      </c>
      <c r="D2813" s="13">
        <v>0</v>
      </c>
      <c r="E2813" s="13">
        <v>194560</v>
      </c>
      <c r="F2813" s="13">
        <v>757952</v>
      </c>
      <c r="G2813" s="13">
        <v>7388</v>
      </c>
      <c r="H2813" s="13">
        <v>1613632</v>
      </c>
      <c r="I2813" s="13">
        <v>0</v>
      </c>
      <c r="J2813" s="13">
        <v>0</v>
      </c>
      <c r="K2813" s="13">
        <v>1679</v>
      </c>
      <c r="L2813" s="13">
        <v>1574</v>
      </c>
      <c r="M2813" s="13">
        <v>847</v>
      </c>
      <c r="N2813" s="13">
        <v>316</v>
      </c>
      <c r="O2813" s="13">
        <v>35</v>
      </c>
      <c r="P2813" s="13">
        <v>2</v>
      </c>
      <c r="Q2813" s="13">
        <v>60</v>
      </c>
      <c r="R2813" s="13">
        <v>2</v>
      </c>
      <c r="S2813" s="13">
        <v>0</v>
      </c>
      <c r="T2813" s="23">
        <v>46247.791041666664</v>
      </c>
      <c r="U2813" s="55">
        <f t="shared" si="129"/>
        <v>1.1666666666666667</v>
      </c>
      <c r="V2813" s="55">
        <f t="shared" si="130"/>
        <v>0.16666666666666666</v>
      </c>
      <c r="W2813" s="56">
        <f t="shared" si="131"/>
        <v>1435.5</v>
      </c>
    </row>
    <row r="2814" spans="1:23" x14ac:dyDescent="0.3">
      <c r="A2814" s="13" t="str" cm="1">
        <f t="array" ref="A2814:B2814">INDEX(BenchmarkResults!$B$1:$D$35,SUMPRODUCT((T2814&gt;=BenchmarkResults!$F$3:$F$35)*(mongodb_hardware_log!T2814&lt;BenchmarkResults!$G$3:$G$35)*ROW(BenchmarkResults!$F$3:$F$35)),{1,3})</f>
        <v>q6_inactive_customers</v>
      </c>
      <c r="B2814">
        <v>2</v>
      </c>
      <c r="C2814" s="13">
        <v>1</v>
      </c>
      <c r="D2814" s="13">
        <v>0</v>
      </c>
      <c r="E2814" s="13">
        <v>194560</v>
      </c>
      <c r="F2814" s="13">
        <v>757952</v>
      </c>
      <c r="G2814" s="13">
        <v>7396</v>
      </c>
      <c r="H2814" s="13">
        <v>1615784</v>
      </c>
      <c r="I2814" s="13">
        <v>0</v>
      </c>
      <c r="J2814" s="13">
        <v>0</v>
      </c>
      <c r="K2814" s="13">
        <v>1605</v>
      </c>
      <c r="L2814" s="13">
        <v>906</v>
      </c>
      <c r="M2814" s="13">
        <v>842</v>
      </c>
      <c r="N2814" s="13">
        <v>311</v>
      </c>
      <c r="O2814" s="13">
        <v>35</v>
      </c>
      <c r="P2814" s="13">
        <v>2</v>
      </c>
      <c r="Q2814" s="13">
        <v>60</v>
      </c>
      <c r="R2814" s="13">
        <v>2</v>
      </c>
      <c r="S2814" s="13">
        <v>0</v>
      </c>
      <c r="T2814" s="23">
        <v>46247.791064814817</v>
      </c>
      <c r="U2814" s="55">
        <f t="shared" si="129"/>
        <v>1</v>
      </c>
      <c r="V2814" s="55">
        <f t="shared" si="130"/>
        <v>0.16666666666666666</v>
      </c>
      <c r="W2814" s="56">
        <f t="shared" si="131"/>
        <v>1465.3333333333333</v>
      </c>
    </row>
    <row r="2815" spans="1:23" x14ac:dyDescent="0.3">
      <c r="A2815" s="13" t="str" cm="1">
        <f t="array" ref="A2815:B2815">INDEX(BenchmarkResults!$B$1:$D$35,SUMPRODUCT((T2815&gt;=BenchmarkResults!$F$3:$F$35)*(mongodb_hardware_log!T2815&lt;BenchmarkResults!$G$3:$G$35)*ROW(BenchmarkResults!$F$3:$F$35)),{1,3})</f>
        <v>q6_inactive_customers</v>
      </c>
      <c r="B2815">
        <v>2</v>
      </c>
      <c r="C2815" s="13">
        <v>1</v>
      </c>
      <c r="D2815" s="13">
        <v>0</v>
      </c>
      <c r="E2815" s="13">
        <v>194560</v>
      </c>
      <c r="F2815" s="13">
        <v>738800</v>
      </c>
      <c r="G2815" s="13">
        <v>7452</v>
      </c>
      <c r="H2815" s="13">
        <v>1628164</v>
      </c>
      <c r="I2815" s="13">
        <v>0</v>
      </c>
      <c r="J2815" s="13">
        <v>0</v>
      </c>
      <c r="K2815" s="13">
        <v>1444</v>
      </c>
      <c r="L2815" s="13">
        <v>33</v>
      </c>
      <c r="M2815" s="13">
        <v>766</v>
      </c>
      <c r="N2815" s="13">
        <v>253</v>
      </c>
      <c r="O2815" s="13">
        <v>35</v>
      </c>
      <c r="P2815" s="13">
        <v>1</v>
      </c>
      <c r="Q2815" s="13">
        <v>61</v>
      </c>
      <c r="R2815" s="13">
        <v>2</v>
      </c>
      <c r="S2815" s="13">
        <v>0</v>
      </c>
      <c r="T2815" s="23">
        <v>46247.79115740741</v>
      </c>
      <c r="U2815" s="55">
        <f t="shared" si="129"/>
        <v>1</v>
      </c>
      <c r="V2815" s="55">
        <f t="shared" si="130"/>
        <v>0.16666666666666666</v>
      </c>
      <c r="W2815" s="56">
        <f t="shared" si="131"/>
        <v>1443.6666666666667</v>
      </c>
    </row>
    <row r="2816" spans="1:23" x14ac:dyDescent="0.3">
      <c r="A2816" s="13" t="str" cm="1">
        <f t="array" ref="A2816:B2816">INDEX(BenchmarkResults!$B$1:$D$35,SUMPRODUCT((T2816&gt;=BenchmarkResults!$F$3:$F$35)*(mongodb_hardware_log!T2816&lt;BenchmarkResults!$G$3:$G$35)*ROW(BenchmarkResults!$F$3:$F$35)),{1,3})</f>
        <v>q6_inactive_customers</v>
      </c>
      <c r="B2816">
        <v>2</v>
      </c>
      <c r="C2816" s="13">
        <v>1</v>
      </c>
      <c r="D2816" s="13">
        <v>0</v>
      </c>
      <c r="E2816" s="13">
        <v>194560</v>
      </c>
      <c r="F2816" s="13">
        <v>735776</v>
      </c>
      <c r="G2816" s="13">
        <v>7452</v>
      </c>
      <c r="H2816" s="13">
        <v>1630336</v>
      </c>
      <c r="I2816" s="13">
        <v>0</v>
      </c>
      <c r="J2816" s="13">
        <v>0</v>
      </c>
      <c r="K2816" s="13">
        <v>1442</v>
      </c>
      <c r="L2816" s="13">
        <v>32</v>
      </c>
      <c r="M2816" s="13">
        <v>762</v>
      </c>
      <c r="N2816" s="13">
        <v>250</v>
      </c>
      <c r="O2816" s="13">
        <v>35</v>
      </c>
      <c r="P2816" s="13">
        <v>1</v>
      </c>
      <c r="Q2816" s="13">
        <v>61</v>
      </c>
      <c r="R2816" s="13">
        <v>2</v>
      </c>
      <c r="S2816" s="13">
        <v>0</v>
      </c>
      <c r="T2816" s="23">
        <v>46247.791180555556</v>
      </c>
      <c r="U2816" s="55">
        <f t="shared" si="129"/>
        <v>1</v>
      </c>
      <c r="V2816" s="55">
        <f t="shared" si="130"/>
        <v>0.16666666666666666</v>
      </c>
      <c r="W2816" s="56">
        <f t="shared" si="131"/>
        <v>1426.5</v>
      </c>
    </row>
    <row r="2817" spans="1:23" x14ac:dyDescent="0.3">
      <c r="A2817" s="13" t="str" cm="1">
        <f t="array" ref="A2817:B2817">INDEX(BenchmarkResults!$B$1:$D$35,SUMPRODUCT((T2817&gt;=BenchmarkResults!$F$3:$F$35)*(mongodb_hardware_log!T2817&lt;BenchmarkResults!$G$3:$G$35)*ROW(BenchmarkResults!$F$3:$F$35)),{1,3})</f>
        <v>q6_inactive_customers</v>
      </c>
      <c r="B2817">
        <v>2</v>
      </c>
      <c r="C2817" s="13">
        <v>1</v>
      </c>
      <c r="D2817" s="13">
        <v>0</v>
      </c>
      <c r="E2817" s="13">
        <v>194560</v>
      </c>
      <c r="F2817" s="13">
        <v>717380</v>
      </c>
      <c r="G2817" s="13">
        <v>7460</v>
      </c>
      <c r="H2817" s="13">
        <v>1649364</v>
      </c>
      <c r="I2817" s="13">
        <v>0</v>
      </c>
      <c r="J2817" s="13">
        <v>0</v>
      </c>
      <c r="K2817" s="13">
        <v>1178</v>
      </c>
      <c r="L2817" s="13">
        <v>5</v>
      </c>
      <c r="M2817" s="13">
        <v>796</v>
      </c>
      <c r="N2817" s="13">
        <v>301</v>
      </c>
      <c r="O2817" s="13">
        <v>36</v>
      </c>
      <c r="P2817" s="13">
        <v>2</v>
      </c>
      <c r="Q2817" s="13">
        <v>62</v>
      </c>
      <c r="R2817" s="13">
        <v>0</v>
      </c>
      <c r="S2817" s="13">
        <v>0</v>
      </c>
      <c r="T2817" s="23">
        <v>46247.791273148148</v>
      </c>
      <c r="U2817" s="55">
        <f t="shared" si="129"/>
        <v>1</v>
      </c>
      <c r="V2817" s="55">
        <f t="shared" si="130"/>
        <v>0.16666666666666666</v>
      </c>
      <c r="W2817" s="56">
        <f t="shared" si="131"/>
        <v>1425.6666666666667</v>
      </c>
    </row>
    <row r="2818" spans="1:23" x14ac:dyDescent="0.3">
      <c r="A2818" s="13" t="str" cm="1">
        <f t="array" ref="A2818:B2818">INDEX(BenchmarkResults!$B$1:$D$35,SUMPRODUCT((T2818&gt;=BenchmarkResults!$F$3:$F$35)*(mongodb_hardware_log!T2818&lt;BenchmarkResults!$G$3:$G$35)*ROW(BenchmarkResults!$F$3:$F$35)),{1,3})</f>
        <v>q6_inactive_customers</v>
      </c>
      <c r="B2818">
        <v>2</v>
      </c>
      <c r="C2818" s="13">
        <v>1</v>
      </c>
      <c r="D2818" s="13">
        <v>0</v>
      </c>
      <c r="E2818" s="13">
        <v>194560</v>
      </c>
      <c r="F2818" s="13">
        <v>717184</v>
      </c>
      <c r="G2818" s="13">
        <v>7460</v>
      </c>
      <c r="H2818" s="13">
        <v>1656532</v>
      </c>
      <c r="I2818" s="13">
        <v>0</v>
      </c>
      <c r="J2818" s="13">
        <v>0</v>
      </c>
      <c r="K2818" s="13">
        <v>1060</v>
      </c>
      <c r="L2818" s="13">
        <v>4</v>
      </c>
      <c r="M2818" s="13">
        <v>788</v>
      </c>
      <c r="N2818" s="13">
        <v>293</v>
      </c>
      <c r="O2818" s="13">
        <v>36</v>
      </c>
      <c r="P2818" s="13">
        <v>2</v>
      </c>
      <c r="Q2818" s="13">
        <v>62</v>
      </c>
      <c r="R2818" s="13">
        <v>0</v>
      </c>
      <c r="S2818" s="13">
        <v>0</v>
      </c>
      <c r="T2818" s="23">
        <v>46247.791296296295</v>
      </c>
      <c r="U2818" s="55">
        <f t="shared" si="129"/>
        <v>1</v>
      </c>
      <c r="V2818" s="55">
        <f t="shared" si="130"/>
        <v>0</v>
      </c>
      <c r="W2818" s="56">
        <f t="shared" si="131"/>
        <v>1401.3333333333333</v>
      </c>
    </row>
    <row r="2819" spans="1:23" x14ac:dyDescent="0.3">
      <c r="A2819" s="13" t="str" cm="1">
        <f t="array" ref="A2819:B2819">INDEX(BenchmarkResults!$B$1:$D$35,SUMPRODUCT((T2819&gt;=BenchmarkResults!$F$3:$F$35)*(mongodb_hardware_log!T2819&lt;BenchmarkResults!$G$3:$G$35)*ROW(BenchmarkResults!$F$3:$F$35)),{1,3})</f>
        <v>q6_inactive_customers</v>
      </c>
      <c r="B2819">
        <v>2</v>
      </c>
      <c r="C2819" s="13">
        <v>1</v>
      </c>
      <c r="D2819" s="13">
        <v>0</v>
      </c>
      <c r="E2819" s="13">
        <v>194560</v>
      </c>
      <c r="F2819" s="13">
        <v>708672</v>
      </c>
      <c r="G2819" s="13">
        <v>7468</v>
      </c>
      <c r="H2819" s="13">
        <v>1670440</v>
      </c>
      <c r="I2819" s="13">
        <v>0</v>
      </c>
      <c r="J2819" s="13">
        <v>0</v>
      </c>
      <c r="K2819" s="13">
        <v>1496</v>
      </c>
      <c r="L2819" s="13">
        <v>22</v>
      </c>
      <c r="M2819" s="13">
        <v>710</v>
      </c>
      <c r="N2819" s="13">
        <v>197</v>
      </c>
      <c r="O2819" s="13">
        <v>36</v>
      </c>
      <c r="P2819" s="13">
        <v>2</v>
      </c>
      <c r="Q2819" s="13">
        <v>62</v>
      </c>
      <c r="R2819" s="13">
        <v>0</v>
      </c>
      <c r="S2819" s="13">
        <v>0</v>
      </c>
      <c r="T2819" s="23">
        <v>46247.791388888887</v>
      </c>
      <c r="U2819" s="55">
        <f t="shared" si="129"/>
        <v>1</v>
      </c>
      <c r="V2819" s="55">
        <f t="shared" si="130"/>
        <v>0</v>
      </c>
      <c r="W2819" s="56">
        <f t="shared" si="131"/>
        <v>1370.8333333333333</v>
      </c>
    </row>
    <row r="2820" spans="1:23" x14ac:dyDescent="0.3">
      <c r="A2820" s="13" t="str" cm="1">
        <f t="array" ref="A2820:B2820">INDEX(BenchmarkResults!$B$1:$D$35,SUMPRODUCT((T2820&gt;=BenchmarkResults!$F$3:$F$35)*(mongodb_hardware_log!T2820&lt;BenchmarkResults!$G$3:$G$35)*ROW(BenchmarkResults!$F$3:$F$35)),{1,3})</f>
        <v>q6_inactive_customers</v>
      </c>
      <c r="B2820">
        <v>2</v>
      </c>
      <c r="C2820" s="13">
        <v>0</v>
      </c>
      <c r="D2820" s="13">
        <v>1</v>
      </c>
      <c r="E2820" s="13">
        <v>194560</v>
      </c>
      <c r="F2820" s="13">
        <v>708672</v>
      </c>
      <c r="G2820" s="13">
        <v>7476</v>
      </c>
      <c r="H2820" s="13">
        <v>1673736</v>
      </c>
      <c r="I2820" s="13">
        <v>0</v>
      </c>
      <c r="J2820" s="13">
        <v>0</v>
      </c>
      <c r="K2820" s="13">
        <v>1724</v>
      </c>
      <c r="L2820" s="13">
        <v>29</v>
      </c>
      <c r="M2820" s="13">
        <v>723</v>
      </c>
      <c r="N2820" s="13">
        <v>209</v>
      </c>
      <c r="O2820" s="13">
        <v>36</v>
      </c>
      <c r="P2820" s="13">
        <v>2</v>
      </c>
      <c r="Q2820" s="13">
        <v>62</v>
      </c>
      <c r="R2820" s="13">
        <v>0</v>
      </c>
      <c r="S2820" s="13">
        <v>0</v>
      </c>
      <c r="T2820" s="23">
        <v>46247.791412037041</v>
      </c>
      <c r="U2820" s="55">
        <f t="shared" si="129"/>
        <v>0.83333333333333337</v>
      </c>
      <c r="V2820" s="55">
        <f t="shared" si="130"/>
        <v>0.16666666666666666</v>
      </c>
      <c r="W2820" s="56">
        <f t="shared" si="131"/>
        <v>1390.6666666666667</v>
      </c>
    </row>
    <row r="2821" spans="1:23" x14ac:dyDescent="0.3">
      <c r="A2821" s="13" t="str" cm="1">
        <f t="array" ref="A2821:B2821">INDEX(BenchmarkResults!$B$1:$D$35,SUMPRODUCT((T2821&gt;=BenchmarkResults!$F$3:$F$35)*(mongodb_hardware_log!T2821&lt;BenchmarkResults!$G$3:$G$35)*ROW(BenchmarkResults!$F$3:$F$35)),{1,3})</f>
        <v>q6_inactive_customers</v>
      </c>
      <c r="B2821">
        <v>2</v>
      </c>
      <c r="C2821" s="13">
        <v>1</v>
      </c>
      <c r="D2821" s="13">
        <v>0</v>
      </c>
      <c r="E2821" s="13">
        <v>194560</v>
      </c>
      <c r="F2821" s="13">
        <v>693552</v>
      </c>
      <c r="G2821" s="13">
        <v>7484</v>
      </c>
      <c r="H2821" s="13">
        <v>1686556</v>
      </c>
      <c r="I2821" s="13">
        <v>0</v>
      </c>
      <c r="J2821" s="13">
        <v>0</v>
      </c>
      <c r="K2821" s="13">
        <v>1604</v>
      </c>
      <c r="L2821" s="13">
        <v>15</v>
      </c>
      <c r="M2821" s="13">
        <v>726</v>
      </c>
      <c r="N2821" s="13">
        <v>217</v>
      </c>
      <c r="O2821" s="13">
        <v>36</v>
      </c>
      <c r="P2821" s="13">
        <v>2</v>
      </c>
      <c r="Q2821" s="13">
        <v>62</v>
      </c>
      <c r="R2821" s="13">
        <v>1</v>
      </c>
      <c r="S2821" s="13">
        <v>1</v>
      </c>
      <c r="T2821" s="23">
        <v>46247.791504629633</v>
      </c>
      <c r="U2821" s="55">
        <f t="shared" si="129"/>
        <v>0.83333333333333337</v>
      </c>
      <c r="V2821" s="55">
        <f t="shared" si="130"/>
        <v>0.16666666666666666</v>
      </c>
      <c r="W2821" s="56">
        <f t="shared" si="131"/>
        <v>1417.3333333333333</v>
      </c>
    </row>
    <row r="2822" spans="1:23" x14ac:dyDescent="0.3">
      <c r="A2822" s="13" t="str" cm="1">
        <f t="array" ref="A2822:B2822">INDEX(BenchmarkResults!$B$1:$D$35,SUMPRODUCT((T2822&gt;=BenchmarkResults!$F$3:$F$35)*(mongodb_hardware_log!T2822&lt;BenchmarkResults!$G$3:$G$35)*ROW(BenchmarkResults!$F$3:$F$35)),{1,3})</f>
        <v>q6_inactive_customers</v>
      </c>
      <c r="B2822">
        <v>2</v>
      </c>
      <c r="C2822" s="13">
        <v>1</v>
      </c>
      <c r="D2822" s="13">
        <v>0</v>
      </c>
      <c r="E2822" s="13">
        <v>194560</v>
      </c>
      <c r="F2822" s="13">
        <v>693552</v>
      </c>
      <c r="G2822" s="13">
        <v>7484</v>
      </c>
      <c r="H2822" s="13">
        <v>1689740</v>
      </c>
      <c r="I2822" s="13">
        <v>0</v>
      </c>
      <c r="J2822" s="13">
        <v>0</v>
      </c>
      <c r="K2822" s="13">
        <v>1599</v>
      </c>
      <c r="L2822" s="13">
        <v>8</v>
      </c>
      <c r="M2822" s="13">
        <v>725</v>
      </c>
      <c r="N2822" s="13">
        <v>215</v>
      </c>
      <c r="O2822" s="13">
        <v>36</v>
      </c>
      <c r="P2822" s="13">
        <v>2</v>
      </c>
      <c r="Q2822" s="13">
        <v>62</v>
      </c>
      <c r="R2822" s="13">
        <v>1</v>
      </c>
      <c r="S2822" s="13">
        <v>0</v>
      </c>
      <c r="T2822" s="23">
        <v>46247.791527777779</v>
      </c>
      <c r="U2822" s="55">
        <f t="shared" si="129"/>
        <v>0.83333333333333337</v>
      </c>
      <c r="V2822" s="55">
        <f t="shared" si="130"/>
        <v>0.16666666666666666</v>
      </c>
      <c r="W2822" s="56">
        <f t="shared" si="131"/>
        <v>1443.5</v>
      </c>
    </row>
    <row r="2823" spans="1:23" x14ac:dyDescent="0.3">
      <c r="A2823" s="13" t="str" cm="1">
        <f t="array" ref="A2823:B2823">INDEX(BenchmarkResults!$B$1:$D$35,SUMPRODUCT((T2823&gt;=BenchmarkResults!$F$3:$F$35)*(mongodb_hardware_log!T2823&lt;BenchmarkResults!$G$3:$G$35)*ROW(BenchmarkResults!$F$3:$F$35)),{1,3})</f>
        <v>q6_inactive_customers</v>
      </c>
      <c r="B2823">
        <v>2</v>
      </c>
      <c r="C2823" s="13">
        <v>1</v>
      </c>
      <c r="D2823" s="13">
        <v>0</v>
      </c>
      <c r="E2823" s="13">
        <v>194560</v>
      </c>
      <c r="F2823" s="13">
        <v>676920</v>
      </c>
      <c r="G2823" s="13">
        <v>7492</v>
      </c>
      <c r="H2823" s="13">
        <v>1701692</v>
      </c>
      <c r="I2823" s="13">
        <v>0</v>
      </c>
      <c r="J2823" s="13">
        <v>0</v>
      </c>
      <c r="K2823" s="13">
        <v>1506</v>
      </c>
      <c r="L2823" s="13">
        <v>1566</v>
      </c>
      <c r="M2823" s="13">
        <v>730</v>
      </c>
      <c r="N2823" s="13">
        <v>216</v>
      </c>
      <c r="O2823" s="13">
        <v>35</v>
      </c>
      <c r="P2823" s="13">
        <v>2</v>
      </c>
      <c r="Q2823" s="13">
        <v>60</v>
      </c>
      <c r="R2823" s="13">
        <v>3</v>
      </c>
      <c r="S2823" s="13">
        <v>1</v>
      </c>
      <c r="T2823" s="23">
        <v>46247.791620370372</v>
      </c>
      <c r="U2823" s="55">
        <f t="shared" si="129"/>
        <v>0.83333333333333337</v>
      </c>
      <c r="V2823" s="55">
        <f t="shared" si="130"/>
        <v>0.16666666666666666</v>
      </c>
      <c r="W2823" s="56">
        <f t="shared" si="131"/>
        <v>1498.1666666666667</v>
      </c>
    </row>
    <row r="2824" spans="1:23" x14ac:dyDescent="0.3">
      <c r="A2824" s="13" t="str" cm="1">
        <f t="array" ref="A2824:B2824">INDEX(BenchmarkResults!$B$1:$D$35,SUMPRODUCT((T2824&gt;=BenchmarkResults!$F$3:$F$35)*(mongodb_hardware_log!T2824&lt;BenchmarkResults!$G$3:$G$35)*ROW(BenchmarkResults!$F$3:$F$35)),{1,3})</f>
        <v>q6_inactive_customers</v>
      </c>
      <c r="B2824">
        <v>2</v>
      </c>
      <c r="C2824" s="13">
        <v>1</v>
      </c>
      <c r="D2824" s="13">
        <v>0</v>
      </c>
      <c r="E2824" s="13">
        <v>194560</v>
      </c>
      <c r="F2824" s="13">
        <v>676920</v>
      </c>
      <c r="G2824" s="13">
        <v>7500</v>
      </c>
      <c r="H2824" s="13">
        <v>1704984</v>
      </c>
      <c r="I2824" s="13">
        <v>0</v>
      </c>
      <c r="J2824" s="13">
        <v>0</v>
      </c>
      <c r="K2824" s="13">
        <v>1521</v>
      </c>
      <c r="L2824" s="13">
        <v>1573</v>
      </c>
      <c r="M2824" s="13">
        <v>729</v>
      </c>
      <c r="N2824" s="13">
        <v>214</v>
      </c>
      <c r="O2824" s="13">
        <v>35</v>
      </c>
      <c r="P2824" s="13">
        <v>2</v>
      </c>
      <c r="Q2824" s="13">
        <v>60</v>
      </c>
      <c r="R2824" s="13">
        <v>3</v>
      </c>
      <c r="S2824" s="13">
        <v>0</v>
      </c>
      <c r="T2824" s="23">
        <v>46247.791643518518</v>
      </c>
      <c r="U2824" s="55">
        <f t="shared" si="129"/>
        <v>0.83333333333333337</v>
      </c>
      <c r="V2824" s="55">
        <f t="shared" si="130"/>
        <v>0.16666666666666666</v>
      </c>
      <c r="W2824" s="56">
        <f t="shared" si="131"/>
        <v>1575</v>
      </c>
    </row>
    <row r="2825" spans="1:23" x14ac:dyDescent="0.3">
      <c r="A2825" s="13" t="str" cm="1">
        <f t="array" ref="A2825:B2825">INDEX(BenchmarkResults!$B$1:$D$35,SUMPRODUCT((T2825&gt;=BenchmarkResults!$F$3:$F$35)*(mongodb_hardware_log!T2825&lt;BenchmarkResults!$G$3:$G$35)*ROW(BenchmarkResults!$F$3:$F$35)),{1,3})</f>
        <v>q6_inactive_customers</v>
      </c>
      <c r="B2825">
        <v>2</v>
      </c>
      <c r="C2825" s="13">
        <v>1</v>
      </c>
      <c r="D2825" s="13">
        <v>0</v>
      </c>
      <c r="E2825" s="13">
        <v>194560</v>
      </c>
      <c r="F2825" s="13">
        <v>665328</v>
      </c>
      <c r="G2825" s="13">
        <v>7508</v>
      </c>
      <c r="H2825" s="13">
        <v>1717776</v>
      </c>
      <c r="I2825" s="13">
        <v>0</v>
      </c>
      <c r="J2825" s="13">
        <v>0</v>
      </c>
      <c r="K2825" s="13">
        <v>1619</v>
      </c>
      <c r="L2825" s="13">
        <v>15</v>
      </c>
      <c r="M2825" s="13">
        <v>743</v>
      </c>
      <c r="N2825" s="13">
        <v>213</v>
      </c>
      <c r="O2825" s="13">
        <v>35</v>
      </c>
      <c r="P2825" s="13">
        <v>2</v>
      </c>
      <c r="Q2825" s="13">
        <v>61</v>
      </c>
      <c r="R2825" s="13">
        <v>1</v>
      </c>
      <c r="S2825" s="13">
        <v>1</v>
      </c>
      <c r="T2825" s="23">
        <v>46247.79173611111</v>
      </c>
      <c r="U2825" s="55">
        <f t="shared" ref="U2825:U2888" si="132">AVERAGE(C2820:C2825)</f>
        <v>0.83333333333333337</v>
      </c>
      <c r="V2825" s="55">
        <f t="shared" ref="V2825:V2888" si="133">AVERAGE(D2820:D2825)</f>
        <v>0.16666666666666666</v>
      </c>
      <c r="W2825" s="56">
        <f t="shared" ref="W2825:W2888" si="134">AVERAGE(K2820:K2825)</f>
        <v>1595.5</v>
      </c>
    </row>
    <row r="2826" spans="1:23" x14ac:dyDescent="0.3">
      <c r="A2826" s="13" t="str" cm="1">
        <f t="array" ref="A2826:B2826">INDEX(BenchmarkResults!$B$1:$D$35,SUMPRODUCT((T2826&gt;=BenchmarkResults!$F$3:$F$35)*(mongodb_hardware_log!T2826&lt;BenchmarkResults!$G$3:$G$35)*ROW(BenchmarkResults!$F$3:$F$35)),{1,3})</f>
        <v>q6_inactive_customers</v>
      </c>
      <c r="B2826">
        <v>2</v>
      </c>
      <c r="C2826" s="13">
        <v>1</v>
      </c>
      <c r="D2826" s="13">
        <v>0</v>
      </c>
      <c r="E2826" s="13">
        <v>194560</v>
      </c>
      <c r="F2826" s="13">
        <v>661296</v>
      </c>
      <c r="G2826" s="13">
        <v>7508</v>
      </c>
      <c r="H2826" s="13">
        <v>1720108</v>
      </c>
      <c r="I2826" s="13">
        <v>0</v>
      </c>
      <c r="J2826" s="13">
        <v>0</v>
      </c>
      <c r="K2826" s="13">
        <v>1518</v>
      </c>
      <c r="L2826" s="13">
        <v>9</v>
      </c>
      <c r="M2826" s="13">
        <v>742</v>
      </c>
      <c r="N2826" s="13">
        <v>212</v>
      </c>
      <c r="O2826" s="13">
        <v>35</v>
      </c>
      <c r="P2826" s="13">
        <v>1</v>
      </c>
      <c r="Q2826" s="13">
        <v>62</v>
      </c>
      <c r="R2826" s="13">
        <v>0</v>
      </c>
      <c r="S2826" s="13">
        <v>1</v>
      </c>
      <c r="T2826" s="23">
        <v>46247.791759259257</v>
      </c>
      <c r="U2826" s="55">
        <f t="shared" si="132"/>
        <v>1</v>
      </c>
      <c r="V2826" s="55">
        <f t="shared" si="133"/>
        <v>0</v>
      </c>
      <c r="W2826" s="56">
        <f t="shared" si="134"/>
        <v>1561.1666666666667</v>
      </c>
    </row>
    <row r="2827" spans="1:23" x14ac:dyDescent="0.3">
      <c r="A2827" s="13" t="str" cm="1">
        <f t="array" ref="A2827:B2827">INDEX(BenchmarkResults!$B$1:$D$35,SUMPRODUCT((T2827&gt;=BenchmarkResults!$F$3:$F$35)*(mongodb_hardware_log!T2827&lt;BenchmarkResults!$G$3:$G$35)*ROW(BenchmarkResults!$F$3:$F$35)),{1,3})</f>
        <v>q6_inactive_customers</v>
      </c>
      <c r="B2827">
        <v>2</v>
      </c>
      <c r="C2827" s="13">
        <v>1</v>
      </c>
      <c r="D2827" s="13">
        <v>0</v>
      </c>
      <c r="E2827" s="13">
        <v>194560</v>
      </c>
      <c r="F2827" s="13">
        <v>653988</v>
      </c>
      <c r="G2827" s="13">
        <v>7532</v>
      </c>
      <c r="H2827" s="13">
        <v>1732036</v>
      </c>
      <c r="I2827" s="13">
        <v>0</v>
      </c>
      <c r="J2827" s="13">
        <v>0</v>
      </c>
      <c r="K2827" s="13">
        <v>1424</v>
      </c>
      <c r="L2827" s="13">
        <v>28</v>
      </c>
      <c r="M2827" s="13">
        <v>736</v>
      </c>
      <c r="N2827" s="13">
        <v>220</v>
      </c>
      <c r="O2827" s="13">
        <v>35</v>
      </c>
      <c r="P2827" s="13">
        <v>1</v>
      </c>
      <c r="Q2827" s="13">
        <v>62</v>
      </c>
      <c r="R2827" s="13">
        <v>0</v>
      </c>
      <c r="S2827" s="13">
        <v>1</v>
      </c>
      <c r="T2827" s="23">
        <v>46247.791851851849</v>
      </c>
      <c r="U2827" s="55">
        <f t="shared" si="132"/>
        <v>1</v>
      </c>
      <c r="V2827" s="55">
        <f t="shared" si="133"/>
        <v>0</v>
      </c>
      <c r="W2827" s="56">
        <f t="shared" si="134"/>
        <v>1531.1666666666667</v>
      </c>
    </row>
    <row r="2828" spans="1:23" x14ac:dyDescent="0.3">
      <c r="A2828" s="13" t="str" cm="1">
        <f t="array" ref="A2828:B2828">INDEX(BenchmarkResults!$B$1:$D$35,SUMPRODUCT((T2828&gt;=BenchmarkResults!$F$3:$F$35)*(mongodb_hardware_log!T2828&lt;BenchmarkResults!$G$3:$G$35)*ROW(BenchmarkResults!$F$3:$F$35)),{1,3})</f>
        <v>q6_inactive_customers</v>
      </c>
      <c r="B2828">
        <v>2</v>
      </c>
      <c r="C2828" s="13">
        <v>1</v>
      </c>
      <c r="D2828" s="13">
        <v>0</v>
      </c>
      <c r="E2828" s="13">
        <v>194560</v>
      </c>
      <c r="F2828" s="13">
        <v>646932</v>
      </c>
      <c r="G2828" s="13">
        <v>7532</v>
      </c>
      <c r="H2828" s="13">
        <v>1736016</v>
      </c>
      <c r="I2828" s="13">
        <v>0</v>
      </c>
      <c r="J2828" s="13">
        <v>0</v>
      </c>
      <c r="K2828" s="13">
        <v>1592</v>
      </c>
      <c r="L2828" s="13">
        <v>28</v>
      </c>
      <c r="M2828" s="13">
        <v>740</v>
      </c>
      <c r="N2828" s="13">
        <v>223</v>
      </c>
      <c r="O2828" s="13">
        <v>35</v>
      </c>
      <c r="P2828" s="13">
        <v>2</v>
      </c>
      <c r="Q2828" s="13">
        <v>62</v>
      </c>
      <c r="R2828" s="13">
        <v>1</v>
      </c>
      <c r="S2828" s="13">
        <v>1</v>
      </c>
      <c r="T2828" s="23">
        <v>46247.791875000003</v>
      </c>
      <c r="U2828" s="55">
        <f t="shared" si="132"/>
        <v>1</v>
      </c>
      <c r="V2828" s="55">
        <f t="shared" si="133"/>
        <v>0</v>
      </c>
      <c r="W2828" s="56">
        <f t="shared" si="134"/>
        <v>1530</v>
      </c>
    </row>
    <row r="2829" spans="1:23" x14ac:dyDescent="0.3">
      <c r="A2829" s="13" t="str" cm="1">
        <f t="array" ref="A2829:B2829">INDEX(BenchmarkResults!$B$1:$D$35,SUMPRODUCT((T2829&gt;=BenchmarkResults!$F$3:$F$35)*(mongodb_hardware_log!T2829&lt;BenchmarkResults!$G$3:$G$35)*ROW(BenchmarkResults!$F$3:$F$35)),{1,3})</f>
        <v>q6_inactive_customers</v>
      </c>
      <c r="B2829">
        <v>2</v>
      </c>
      <c r="C2829" s="13">
        <v>1</v>
      </c>
      <c r="D2829" s="13">
        <v>0</v>
      </c>
      <c r="E2829" s="13">
        <v>194560</v>
      </c>
      <c r="F2829" s="13">
        <v>622996</v>
      </c>
      <c r="G2829" s="13">
        <v>7540</v>
      </c>
      <c r="H2829" s="13">
        <v>1759488</v>
      </c>
      <c r="I2829" s="13">
        <v>0</v>
      </c>
      <c r="J2829" s="13">
        <v>0</v>
      </c>
      <c r="K2829" s="13">
        <v>1160</v>
      </c>
      <c r="L2829" s="13">
        <v>6</v>
      </c>
      <c r="M2829" s="13">
        <v>691</v>
      </c>
      <c r="N2829" s="13">
        <v>181</v>
      </c>
      <c r="O2829" s="13">
        <v>35</v>
      </c>
      <c r="P2829" s="13">
        <v>2</v>
      </c>
      <c r="Q2829" s="13">
        <v>62</v>
      </c>
      <c r="R2829" s="13">
        <v>0</v>
      </c>
      <c r="S2829" s="13">
        <v>0</v>
      </c>
      <c r="T2829" s="23">
        <v>46247.791967592595</v>
      </c>
      <c r="U2829" s="55">
        <f t="shared" si="132"/>
        <v>1</v>
      </c>
      <c r="V2829" s="55">
        <f t="shared" si="133"/>
        <v>0</v>
      </c>
      <c r="W2829" s="56">
        <f t="shared" si="134"/>
        <v>1472.3333333333333</v>
      </c>
    </row>
    <row r="2830" spans="1:23" x14ac:dyDescent="0.3">
      <c r="A2830" s="13" t="str" cm="1">
        <f t="array" ref="A2830:B2830">INDEX(BenchmarkResults!$B$1:$D$35,SUMPRODUCT((T2830&gt;=BenchmarkResults!$F$3:$F$35)*(mongodb_hardware_log!T2830&lt;BenchmarkResults!$G$3:$G$35)*ROW(BenchmarkResults!$F$3:$F$35)),{1,3})</f>
        <v>q6_inactive_customers</v>
      </c>
      <c r="B2830">
        <v>2</v>
      </c>
      <c r="C2830" s="13">
        <v>1</v>
      </c>
      <c r="D2830" s="13">
        <v>0</v>
      </c>
      <c r="E2830" s="13">
        <v>194560</v>
      </c>
      <c r="F2830" s="13">
        <v>622996</v>
      </c>
      <c r="G2830" s="13">
        <v>7548</v>
      </c>
      <c r="H2830" s="13">
        <v>1762780</v>
      </c>
      <c r="I2830" s="13">
        <v>0</v>
      </c>
      <c r="J2830" s="13">
        <v>0</v>
      </c>
      <c r="K2830" s="13">
        <v>1090</v>
      </c>
      <c r="L2830" s="13">
        <v>11</v>
      </c>
      <c r="M2830" s="13">
        <v>700</v>
      </c>
      <c r="N2830" s="13">
        <v>191</v>
      </c>
      <c r="O2830" s="13">
        <v>35</v>
      </c>
      <c r="P2830" s="13">
        <v>2</v>
      </c>
      <c r="Q2830" s="13">
        <v>62</v>
      </c>
      <c r="R2830" s="13">
        <v>1</v>
      </c>
      <c r="S2830" s="13">
        <v>0</v>
      </c>
      <c r="T2830" s="23">
        <v>46247.791990740741</v>
      </c>
      <c r="U2830" s="55">
        <f t="shared" si="132"/>
        <v>1</v>
      </c>
      <c r="V2830" s="55">
        <f t="shared" si="133"/>
        <v>0</v>
      </c>
      <c r="W2830" s="56">
        <f t="shared" si="134"/>
        <v>1400.5</v>
      </c>
    </row>
    <row r="2831" spans="1:23" x14ac:dyDescent="0.3">
      <c r="A2831" s="13" t="str" cm="1">
        <f t="array" ref="A2831:B2831">INDEX(BenchmarkResults!$B$1:$D$35,SUMPRODUCT((T2831&gt;=BenchmarkResults!$F$3:$F$35)*(mongodb_hardware_log!T2831&lt;BenchmarkResults!$G$3:$G$35)*ROW(BenchmarkResults!$F$3:$F$35)),{1,3})</f>
        <v>q6_inactive_customers</v>
      </c>
      <c r="B2831">
        <v>2</v>
      </c>
      <c r="C2831" s="13">
        <v>1</v>
      </c>
      <c r="D2831" s="13">
        <v>0</v>
      </c>
      <c r="E2831" s="13">
        <v>194560</v>
      </c>
      <c r="F2831" s="13">
        <v>617200</v>
      </c>
      <c r="G2831" s="13">
        <v>7556</v>
      </c>
      <c r="H2831" s="13">
        <v>1775332</v>
      </c>
      <c r="I2831" s="13">
        <v>0</v>
      </c>
      <c r="J2831" s="13">
        <v>0</v>
      </c>
      <c r="K2831" s="13">
        <v>1590</v>
      </c>
      <c r="L2831" s="13">
        <v>15</v>
      </c>
      <c r="M2831" s="13">
        <v>745</v>
      </c>
      <c r="N2831" s="13">
        <v>228</v>
      </c>
      <c r="O2831" s="13">
        <v>36</v>
      </c>
      <c r="P2831" s="13">
        <v>1</v>
      </c>
      <c r="Q2831" s="13">
        <v>62</v>
      </c>
      <c r="R2831" s="13">
        <v>1</v>
      </c>
      <c r="S2831" s="13">
        <v>0</v>
      </c>
      <c r="T2831" s="23">
        <v>46247.792083333334</v>
      </c>
      <c r="U2831" s="55">
        <f t="shared" si="132"/>
        <v>1</v>
      </c>
      <c r="V2831" s="55">
        <f t="shared" si="133"/>
        <v>0</v>
      </c>
      <c r="W2831" s="56">
        <f t="shared" si="134"/>
        <v>1395.6666666666667</v>
      </c>
    </row>
    <row r="2832" spans="1:23" x14ac:dyDescent="0.3">
      <c r="A2832" s="13" t="str" cm="1">
        <f t="array" ref="A2832:B2832">INDEX(BenchmarkResults!$B$1:$D$35,SUMPRODUCT((T2832&gt;=BenchmarkResults!$F$3:$F$35)*(mongodb_hardware_log!T2832&lt;BenchmarkResults!$G$3:$G$35)*ROW(BenchmarkResults!$F$3:$F$35)),{1,3})</f>
        <v>q6_inactive_customers</v>
      </c>
      <c r="B2832">
        <v>2</v>
      </c>
      <c r="C2832" s="13">
        <v>1</v>
      </c>
      <c r="D2832" s="13">
        <v>0</v>
      </c>
      <c r="E2832" s="13">
        <v>194560</v>
      </c>
      <c r="F2832" s="13">
        <v>610648</v>
      </c>
      <c r="G2832" s="13">
        <v>7556</v>
      </c>
      <c r="H2832" s="13">
        <v>1779012</v>
      </c>
      <c r="I2832" s="13">
        <v>0</v>
      </c>
      <c r="J2832" s="13">
        <v>0</v>
      </c>
      <c r="K2832" s="13">
        <v>1621</v>
      </c>
      <c r="L2832" s="13">
        <v>426</v>
      </c>
      <c r="M2832" s="13">
        <v>741</v>
      </c>
      <c r="N2832" s="13">
        <v>220</v>
      </c>
      <c r="O2832" s="13">
        <v>36</v>
      </c>
      <c r="P2832" s="13">
        <v>1</v>
      </c>
      <c r="Q2832" s="13">
        <v>62</v>
      </c>
      <c r="R2832" s="13">
        <v>1</v>
      </c>
      <c r="S2832" s="13">
        <v>0</v>
      </c>
      <c r="T2832" s="23">
        <v>46247.79210648148</v>
      </c>
      <c r="U2832" s="55">
        <f t="shared" si="132"/>
        <v>1</v>
      </c>
      <c r="V2832" s="55">
        <f t="shared" si="133"/>
        <v>0</v>
      </c>
      <c r="W2832" s="56">
        <f t="shared" si="134"/>
        <v>1412.8333333333333</v>
      </c>
    </row>
    <row r="2833" spans="1:23" x14ac:dyDescent="0.3">
      <c r="A2833" s="13" t="str" cm="1">
        <f t="array" ref="A2833:B2833">INDEX(BenchmarkResults!$B$1:$D$35,SUMPRODUCT((T2833&gt;=BenchmarkResults!$F$3:$F$35)*(mongodb_hardware_log!T2833&lt;BenchmarkResults!$G$3:$G$35)*ROW(BenchmarkResults!$F$3:$F$35)),{1,3})</f>
        <v>q6_inactive_customers</v>
      </c>
      <c r="B2833">
        <v>2</v>
      </c>
      <c r="C2833" s="13">
        <v>1</v>
      </c>
      <c r="D2833" s="13">
        <v>0</v>
      </c>
      <c r="E2833" s="13">
        <v>194560</v>
      </c>
      <c r="F2833" s="13">
        <v>597796</v>
      </c>
      <c r="G2833" s="13">
        <v>7572</v>
      </c>
      <c r="H2833" s="13">
        <v>1792368</v>
      </c>
      <c r="I2833" s="13">
        <v>0</v>
      </c>
      <c r="J2833" s="13">
        <v>0</v>
      </c>
      <c r="K2833" s="13">
        <v>1703</v>
      </c>
      <c r="L2833" s="13">
        <v>1579</v>
      </c>
      <c r="M2833" s="13">
        <v>753</v>
      </c>
      <c r="N2833" s="13">
        <v>234</v>
      </c>
      <c r="O2833" s="13">
        <v>36</v>
      </c>
      <c r="P2833" s="13">
        <v>1</v>
      </c>
      <c r="Q2833" s="13">
        <v>61</v>
      </c>
      <c r="R2833" s="13">
        <v>1</v>
      </c>
      <c r="S2833" s="13">
        <v>0</v>
      </c>
      <c r="T2833" s="23">
        <v>46247.792199074072</v>
      </c>
      <c r="U2833" s="55">
        <f t="shared" si="132"/>
        <v>1</v>
      </c>
      <c r="V2833" s="55">
        <f t="shared" si="133"/>
        <v>0</v>
      </c>
      <c r="W2833" s="56">
        <f t="shared" si="134"/>
        <v>1459.3333333333333</v>
      </c>
    </row>
    <row r="2834" spans="1:23" x14ac:dyDescent="0.3">
      <c r="A2834" s="13" t="str" cm="1">
        <f t="array" ref="A2834:B2834">INDEX(BenchmarkResults!$B$1:$D$35,SUMPRODUCT((T2834&gt;=BenchmarkResults!$F$3:$F$35)*(mongodb_hardware_log!T2834&lt;BenchmarkResults!$G$3:$G$35)*ROW(BenchmarkResults!$F$3:$F$35)),{1,3})</f>
        <v>q6_inactive_customers</v>
      </c>
      <c r="B2834">
        <v>2</v>
      </c>
      <c r="C2834" s="13">
        <v>1</v>
      </c>
      <c r="D2834" s="13">
        <v>0</v>
      </c>
      <c r="E2834" s="13">
        <v>194560</v>
      </c>
      <c r="F2834" s="13">
        <v>595780</v>
      </c>
      <c r="G2834" s="13">
        <v>7572</v>
      </c>
      <c r="H2834" s="13">
        <v>1794768</v>
      </c>
      <c r="I2834" s="13">
        <v>0</v>
      </c>
      <c r="J2834" s="13">
        <v>0</v>
      </c>
      <c r="K2834" s="13">
        <v>1572</v>
      </c>
      <c r="L2834" s="13">
        <v>1163</v>
      </c>
      <c r="M2834" s="13">
        <v>749</v>
      </c>
      <c r="N2834" s="13">
        <v>235</v>
      </c>
      <c r="O2834" s="13">
        <v>36</v>
      </c>
      <c r="P2834" s="13">
        <v>1</v>
      </c>
      <c r="Q2834" s="13">
        <v>61</v>
      </c>
      <c r="R2834" s="13">
        <v>1</v>
      </c>
      <c r="S2834" s="13">
        <v>0</v>
      </c>
      <c r="T2834" s="23">
        <v>46247.792222222219</v>
      </c>
      <c r="U2834" s="55">
        <f t="shared" si="132"/>
        <v>1</v>
      </c>
      <c r="V2834" s="55">
        <f t="shared" si="133"/>
        <v>0</v>
      </c>
      <c r="W2834" s="56">
        <f t="shared" si="134"/>
        <v>1456</v>
      </c>
    </row>
    <row r="2835" spans="1:23" x14ac:dyDescent="0.3">
      <c r="A2835" s="13" t="str" cm="1">
        <f t="array" ref="A2835:B2835">INDEX(BenchmarkResults!$B$1:$D$35,SUMPRODUCT((T2835&gt;=BenchmarkResults!$F$3:$F$35)*(mongodb_hardware_log!T2835&lt;BenchmarkResults!$G$3:$G$35)*ROW(BenchmarkResults!$F$3:$F$35)),{1,3})</f>
        <v>q6_inactive_customers</v>
      </c>
      <c r="B2835">
        <v>2</v>
      </c>
      <c r="C2835" s="13">
        <v>1</v>
      </c>
      <c r="D2835" s="13">
        <v>0</v>
      </c>
      <c r="E2835" s="13">
        <v>194560</v>
      </c>
      <c r="F2835" s="13">
        <v>580912</v>
      </c>
      <c r="G2835" s="13">
        <v>7580</v>
      </c>
      <c r="H2835" s="13">
        <v>1809164</v>
      </c>
      <c r="I2835" s="13">
        <v>0</v>
      </c>
      <c r="J2835" s="13">
        <v>0</v>
      </c>
      <c r="K2835" s="13">
        <v>1673</v>
      </c>
      <c r="L2835" s="13">
        <v>6</v>
      </c>
      <c r="M2835" s="13">
        <v>750</v>
      </c>
      <c r="N2835" s="13">
        <v>232</v>
      </c>
      <c r="O2835" s="13">
        <v>36</v>
      </c>
      <c r="P2835" s="13">
        <v>1</v>
      </c>
      <c r="Q2835" s="13">
        <v>62</v>
      </c>
      <c r="R2835" s="13">
        <v>1</v>
      </c>
      <c r="S2835" s="13">
        <v>0</v>
      </c>
      <c r="T2835" s="23">
        <v>46247.792314814818</v>
      </c>
      <c r="U2835" s="55">
        <f t="shared" si="132"/>
        <v>1</v>
      </c>
      <c r="V2835" s="55">
        <f t="shared" si="133"/>
        <v>0</v>
      </c>
      <c r="W2835" s="56">
        <f t="shared" si="134"/>
        <v>1541.5</v>
      </c>
    </row>
    <row r="2836" spans="1:23" x14ac:dyDescent="0.3">
      <c r="A2836" s="13" t="str" cm="1">
        <f t="array" ref="A2836:B2836">INDEX(BenchmarkResults!$B$1:$D$35,SUMPRODUCT((T2836&gt;=BenchmarkResults!$F$3:$F$35)*(mongodb_hardware_log!T2836&lt;BenchmarkResults!$G$3:$G$35)*ROW(BenchmarkResults!$F$3:$F$35)),{1,3})</f>
        <v>q6_inactive_customers</v>
      </c>
      <c r="B2836">
        <v>2</v>
      </c>
      <c r="C2836" s="13">
        <v>1</v>
      </c>
      <c r="D2836" s="13">
        <v>0</v>
      </c>
      <c r="E2836" s="13">
        <v>194560</v>
      </c>
      <c r="F2836" s="13">
        <v>579400</v>
      </c>
      <c r="G2836" s="13">
        <v>7588</v>
      </c>
      <c r="H2836" s="13">
        <v>1811364</v>
      </c>
      <c r="I2836" s="13">
        <v>0</v>
      </c>
      <c r="J2836" s="13">
        <v>0</v>
      </c>
      <c r="K2836" s="13">
        <v>1662</v>
      </c>
      <c r="L2836" s="13">
        <v>12</v>
      </c>
      <c r="M2836" s="13">
        <v>751</v>
      </c>
      <c r="N2836" s="13">
        <v>228</v>
      </c>
      <c r="O2836" s="13">
        <v>35</v>
      </c>
      <c r="P2836" s="13">
        <v>1</v>
      </c>
      <c r="Q2836" s="13">
        <v>62</v>
      </c>
      <c r="R2836" s="13">
        <v>1</v>
      </c>
      <c r="S2836" s="13">
        <v>0</v>
      </c>
      <c r="T2836" s="23">
        <v>46247.792337962965</v>
      </c>
      <c r="U2836" s="55">
        <f t="shared" si="132"/>
        <v>1</v>
      </c>
      <c r="V2836" s="55">
        <f t="shared" si="133"/>
        <v>0</v>
      </c>
      <c r="W2836" s="56">
        <f t="shared" si="134"/>
        <v>1636.8333333333333</v>
      </c>
    </row>
    <row r="2837" spans="1:23" x14ac:dyDescent="0.3">
      <c r="A2837" s="13" t="str" cm="1">
        <f t="array" ref="A2837:B2837">INDEX(BenchmarkResults!$B$1:$D$35,SUMPRODUCT((T2837&gt;=BenchmarkResults!$F$3:$F$35)*(mongodb_hardware_log!T2837&lt;BenchmarkResults!$G$3:$G$35)*ROW(BenchmarkResults!$F$3:$F$35)),{1,3})</f>
        <v>q6_inactive_customers</v>
      </c>
      <c r="B2837">
        <v>2</v>
      </c>
      <c r="C2837" s="13">
        <v>1</v>
      </c>
      <c r="D2837" s="13">
        <v>0</v>
      </c>
      <c r="E2837" s="13">
        <v>194560</v>
      </c>
      <c r="F2837" s="13">
        <v>566044</v>
      </c>
      <c r="G2837" s="13">
        <v>7596</v>
      </c>
      <c r="H2837" s="13">
        <v>1825608</v>
      </c>
      <c r="I2837" s="13">
        <v>0</v>
      </c>
      <c r="J2837" s="13">
        <v>0</v>
      </c>
      <c r="K2837" s="13">
        <v>1644</v>
      </c>
      <c r="L2837" s="13">
        <v>14</v>
      </c>
      <c r="M2837" s="13">
        <v>746</v>
      </c>
      <c r="N2837" s="13">
        <v>218</v>
      </c>
      <c r="O2837" s="13">
        <v>35</v>
      </c>
      <c r="P2837" s="13">
        <v>2</v>
      </c>
      <c r="Q2837" s="13">
        <v>62</v>
      </c>
      <c r="R2837" s="13">
        <v>0</v>
      </c>
      <c r="S2837" s="13">
        <v>0</v>
      </c>
      <c r="T2837" s="23">
        <v>46247.792430555557</v>
      </c>
      <c r="U2837" s="55">
        <f t="shared" si="132"/>
        <v>1</v>
      </c>
      <c r="V2837" s="55">
        <f t="shared" si="133"/>
        <v>0</v>
      </c>
      <c r="W2837" s="56">
        <f t="shared" si="134"/>
        <v>1645.8333333333333</v>
      </c>
    </row>
    <row r="2838" spans="1:23" x14ac:dyDescent="0.3">
      <c r="A2838" s="13" t="str" cm="1">
        <f t="array" ref="A2838:B2838">INDEX(BenchmarkResults!$B$1:$D$35,SUMPRODUCT((T2838&gt;=BenchmarkResults!$F$3:$F$35)*(mongodb_hardware_log!T2838&lt;BenchmarkResults!$G$3:$G$35)*ROW(BenchmarkResults!$F$3:$F$35)),{1,3})</f>
        <v>q6_inactive_customers</v>
      </c>
      <c r="B2838">
        <v>2</v>
      </c>
      <c r="C2838" s="13">
        <v>1</v>
      </c>
      <c r="D2838" s="13">
        <v>0</v>
      </c>
      <c r="E2838" s="13">
        <v>194560</v>
      </c>
      <c r="F2838" s="13">
        <v>562012</v>
      </c>
      <c r="G2838" s="13">
        <v>7596</v>
      </c>
      <c r="H2838" s="13">
        <v>1827036</v>
      </c>
      <c r="I2838" s="13">
        <v>0</v>
      </c>
      <c r="J2838" s="13">
        <v>0</v>
      </c>
      <c r="K2838" s="13">
        <v>1570</v>
      </c>
      <c r="L2838" s="13">
        <v>9</v>
      </c>
      <c r="M2838" s="13">
        <v>746</v>
      </c>
      <c r="N2838" s="13">
        <v>217</v>
      </c>
      <c r="O2838" s="13">
        <v>35</v>
      </c>
      <c r="P2838" s="13">
        <v>1</v>
      </c>
      <c r="Q2838" s="13">
        <v>62</v>
      </c>
      <c r="R2838" s="13">
        <v>0</v>
      </c>
      <c r="S2838" s="13">
        <v>1</v>
      </c>
      <c r="T2838" s="23">
        <v>46247.792453703703</v>
      </c>
      <c r="U2838" s="55">
        <f t="shared" si="132"/>
        <v>1</v>
      </c>
      <c r="V2838" s="55">
        <f t="shared" si="133"/>
        <v>0</v>
      </c>
      <c r="W2838" s="56">
        <f t="shared" si="134"/>
        <v>1637.3333333333333</v>
      </c>
    </row>
    <row r="2839" spans="1:23" x14ac:dyDescent="0.3">
      <c r="A2839" s="13" t="str" cm="1">
        <f t="array" ref="A2839:B2839">INDEX(BenchmarkResults!$B$1:$D$35,SUMPRODUCT((T2839&gt;=BenchmarkResults!$F$3:$F$35)*(mongodb_hardware_log!T2839&lt;BenchmarkResults!$G$3:$G$35)*ROW(BenchmarkResults!$F$3:$F$35)),{1,3})</f>
        <v>q6_inactive_customers</v>
      </c>
      <c r="B2839">
        <v>2</v>
      </c>
      <c r="C2839" s="13">
        <v>1</v>
      </c>
      <c r="D2839" s="13">
        <v>0</v>
      </c>
      <c r="E2839" s="13">
        <v>194560</v>
      </c>
      <c r="F2839" s="13">
        <v>546136</v>
      </c>
      <c r="G2839" s="13">
        <v>7628</v>
      </c>
      <c r="H2839" s="13">
        <v>1841064</v>
      </c>
      <c r="I2839" s="13">
        <v>0</v>
      </c>
      <c r="J2839" s="13">
        <v>0</v>
      </c>
      <c r="K2839" s="13">
        <v>1556</v>
      </c>
      <c r="L2839" s="13">
        <v>27</v>
      </c>
      <c r="M2839" s="13">
        <v>738</v>
      </c>
      <c r="N2839" s="13">
        <v>217</v>
      </c>
      <c r="O2839" s="13">
        <v>36</v>
      </c>
      <c r="P2839" s="13">
        <v>2</v>
      </c>
      <c r="Q2839" s="13">
        <v>61</v>
      </c>
      <c r="R2839" s="13">
        <v>0</v>
      </c>
      <c r="S2839" s="13">
        <v>1</v>
      </c>
      <c r="T2839" s="23">
        <v>46247.792546296296</v>
      </c>
      <c r="U2839" s="55">
        <f t="shared" si="132"/>
        <v>1</v>
      </c>
      <c r="V2839" s="55">
        <f t="shared" si="133"/>
        <v>0</v>
      </c>
      <c r="W2839" s="56">
        <f t="shared" si="134"/>
        <v>1612.8333333333333</v>
      </c>
    </row>
    <row r="2840" spans="1:23" x14ac:dyDescent="0.3">
      <c r="A2840" s="13" t="str" cm="1">
        <f t="array" ref="A2840:B2840">INDEX(BenchmarkResults!$B$1:$D$35,SUMPRODUCT((T2840&gt;=BenchmarkResults!$F$3:$F$35)*(mongodb_hardware_log!T2840&lt;BenchmarkResults!$G$3:$G$35)*ROW(BenchmarkResults!$F$3:$F$35)),{1,3})</f>
        <v>q6_inactive_customers</v>
      </c>
      <c r="B2840">
        <v>2</v>
      </c>
      <c r="C2840" s="13">
        <v>1</v>
      </c>
      <c r="D2840" s="13">
        <v>0</v>
      </c>
      <c r="E2840" s="13">
        <v>194560</v>
      </c>
      <c r="F2840" s="13">
        <v>546136</v>
      </c>
      <c r="G2840" s="13">
        <v>7628</v>
      </c>
      <c r="H2840" s="13">
        <v>1845004</v>
      </c>
      <c r="I2840" s="13">
        <v>0</v>
      </c>
      <c r="J2840" s="13">
        <v>0</v>
      </c>
      <c r="K2840" s="13">
        <v>1456</v>
      </c>
      <c r="L2840" s="13">
        <v>27</v>
      </c>
      <c r="M2840" s="13">
        <v>720</v>
      </c>
      <c r="N2840" s="13">
        <v>203</v>
      </c>
      <c r="O2840" s="13">
        <v>36</v>
      </c>
      <c r="P2840" s="13">
        <v>2</v>
      </c>
      <c r="Q2840" s="13">
        <v>61</v>
      </c>
      <c r="R2840" s="13">
        <v>0</v>
      </c>
      <c r="S2840" s="13">
        <v>1</v>
      </c>
      <c r="T2840" s="23">
        <v>46247.792569444442</v>
      </c>
      <c r="U2840" s="55">
        <f t="shared" si="132"/>
        <v>1</v>
      </c>
      <c r="V2840" s="55">
        <f t="shared" si="133"/>
        <v>0</v>
      </c>
      <c r="W2840" s="56">
        <f t="shared" si="134"/>
        <v>1593.5</v>
      </c>
    </row>
    <row r="2841" spans="1:23" x14ac:dyDescent="0.3">
      <c r="A2841" s="13" t="str" cm="1">
        <f t="array" ref="A2841:B2841">INDEX(BenchmarkResults!$B$1:$D$35,SUMPRODUCT((T2841&gt;=BenchmarkResults!$F$3:$F$35)*(mongodb_hardware_log!T2841&lt;BenchmarkResults!$G$3:$G$35)*ROW(BenchmarkResults!$F$3:$F$35)),{1,3})</f>
        <v>q6_inactive_customers</v>
      </c>
      <c r="B2841">
        <v>2</v>
      </c>
      <c r="C2841" s="13">
        <v>1</v>
      </c>
      <c r="D2841" s="13">
        <v>0</v>
      </c>
      <c r="E2841" s="13">
        <v>194560</v>
      </c>
      <c r="F2841" s="13">
        <v>524716</v>
      </c>
      <c r="G2841" s="13">
        <v>7644</v>
      </c>
      <c r="H2841" s="13">
        <v>1867332</v>
      </c>
      <c r="I2841" s="13">
        <v>1</v>
      </c>
      <c r="J2841" s="13">
        <v>0</v>
      </c>
      <c r="K2841" s="13">
        <v>1023</v>
      </c>
      <c r="L2841" s="13">
        <v>11</v>
      </c>
      <c r="M2841" s="13">
        <v>688</v>
      </c>
      <c r="N2841" s="13">
        <v>181</v>
      </c>
      <c r="O2841" s="13">
        <v>36</v>
      </c>
      <c r="P2841" s="13">
        <v>2</v>
      </c>
      <c r="Q2841" s="13">
        <v>62</v>
      </c>
      <c r="R2841" s="13">
        <v>0</v>
      </c>
      <c r="S2841" s="13">
        <v>0</v>
      </c>
      <c r="T2841" s="23">
        <v>46247.792662037034</v>
      </c>
      <c r="U2841" s="55">
        <f t="shared" si="132"/>
        <v>1</v>
      </c>
      <c r="V2841" s="55">
        <f t="shared" si="133"/>
        <v>0</v>
      </c>
      <c r="W2841" s="56">
        <f t="shared" si="134"/>
        <v>1485.1666666666667</v>
      </c>
    </row>
    <row r="2842" spans="1:23" x14ac:dyDescent="0.3">
      <c r="A2842" s="13" t="str" cm="1">
        <f t="array" ref="A2842:B2842">INDEX(BenchmarkResults!$B$1:$D$35,SUMPRODUCT((T2842&gt;=BenchmarkResults!$F$3:$F$35)*(mongodb_hardware_log!T2842&lt;BenchmarkResults!$G$3:$G$35)*ROW(BenchmarkResults!$F$3:$F$35)),{1,3})</f>
        <v>q6_inactive_customers</v>
      </c>
      <c r="B2842">
        <v>2</v>
      </c>
      <c r="C2842" s="13">
        <v>1</v>
      </c>
      <c r="D2842" s="13">
        <v>0</v>
      </c>
      <c r="E2842" s="13">
        <v>194560</v>
      </c>
      <c r="F2842" s="13">
        <v>520936</v>
      </c>
      <c r="G2842" s="13">
        <v>7644</v>
      </c>
      <c r="H2842" s="13">
        <v>1871392</v>
      </c>
      <c r="I2842" s="13">
        <v>1</v>
      </c>
      <c r="J2842" s="13">
        <v>0</v>
      </c>
      <c r="K2842" s="13">
        <v>1373</v>
      </c>
      <c r="L2842" s="13">
        <v>12</v>
      </c>
      <c r="M2842" s="13">
        <v>707</v>
      </c>
      <c r="N2842" s="13">
        <v>198</v>
      </c>
      <c r="O2842" s="13">
        <v>36</v>
      </c>
      <c r="P2842" s="13">
        <v>2</v>
      </c>
      <c r="Q2842" s="13">
        <v>62</v>
      </c>
      <c r="R2842" s="13">
        <v>0</v>
      </c>
      <c r="S2842" s="13">
        <v>0</v>
      </c>
      <c r="T2842" s="23">
        <v>46247.792685185188</v>
      </c>
      <c r="U2842" s="55">
        <f t="shared" si="132"/>
        <v>1</v>
      </c>
      <c r="V2842" s="55">
        <f t="shared" si="133"/>
        <v>0</v>
      </c>
      <c r="W2842" s="56">
        <f t="shared" si="134"/>
        <v>1437</v>
      </c>
    </row>
    <row r="2843" spans="1:23" x14ac:dyDescent="0.3">
      <c r="A2843" s="13" t="str" cm="1">
        <f t="array" ref="A2843:B2843">INDEX(BenchmarkResults!$B$1:$D$35,SUMPRODUCT((T2843&gt;=BenchmarkResults!$F$3:$F$35)*(mongodb_hardware_log!T2843&lt;BenchmarkResults!$G$3:$G$35)*ROW(BenchmarkResults!$F$3:$F$35)),{1,3})</f>
        <v>q6_inactive_customers</v>
      </c>
      <c r="B2843">
        <v>2</v>
      </c>
      <c r="C2843" s="13">
        <v>1</v>
      </c>
      <c r="D2843" s="13">
        <v>0</v>
      </c>
      <c r="E2843" s="13">
        <v>194560</v>
      </c>
      <c r="F2843" s="13">
        <v>501280</v>
      </c>
      <c r="G2843" s="13">
        <v>7652</v>
      </c>
      <c r="H2843" s="13">
        <v>1886036</v>
      </c>
      <c r="I2843" s="13">
        <v>0</v>
      </c>
      <c r="J2843" s="13">
        <v>0</v>
      </c>
      <c r="K2843" s="13">
        <v>1865</v>
      </c>
      <c r="L2843" s="13">
        <v>8</v>
      </c>
      <c r="M2843" s="13">
        <v>736</v>
      </c>
      <c r="N2843" s="13">
        <v>221</v>
      </c>
      <c r="O2843" s="13">
        <v>36</v>
      </c>
      <c r="P2843" s="13">
        <v>2</v>
      </c>
      <c r="Q2843" s="13">
        <v>62</v>
      </c>
      <c r="R2843" s="13">
        <v>0</v>
      </c>
      <c r="S2843" s="13">
        <v>0</v>
      </c>
      <c r="T2843" s="23">
        <v>46247.79277777778</v>
      </c>
      <c r="U2843" s="55">
        <f t="shared" si="132"/>
        <v>1</v>
      </c>
      <c r="V2843" s="55">
        <f t="shared" si="133"/>
        <v>0</v>
      </c>
      <c r="W2843" s="56">
        <f t="shared" si="134"/>
        <v>1473.8333333333333</v>
      </c>
    </row>
    <row r="2844" spans="1:23" x14ac:dyDescent="0.3">
      <c r="A2844" s="13" t="str" cm="1">
        <f t="array" ref="A2844:B2844">INDEX(BenchmarkResults!$B$1:$D$35,SUMPRODUCT((T2844&gt;=BenchmarkResults!$F$3:$F$35)*(mongodb_hardware_log!T2844&lt;BenchmarkResults!$G$3:$G$35)*ROW(BenchmarkResults!$F$3:$F$35)),{1,3})</f>
        <v>q6_inactive_customers</v>
      </c>
      <c r="B2844">
        <v>2</v>
      </c>
      <c r="C2844" s="13">
        <v>1</v>
      </c>
      <c r="D2844" s="13">
        <v>0</v>
      </c>
      <c r="E2844" s="13">
        <v>194560</v>
      </c>
      <c r="F2844" s="13">
        <v>501280</v>
      </c>
      <c r="G2844" s="13">
        <v>7660</v>
      </c>
      <c r="H2844" s="13">
        <v>1889832</v>
      </c>
      <c r="I2844" s="13">
        <v>0</v>
      </c>
      <c r="J2844" s="13">
        <v>0</v>
      </c>
      <c r="K2844" s="13">
        <v>1854</v>
      </c>
      <c r="L2844" s="13">
        <v>12</v>
      </c>
      <c r="M2844" s="13">
        <v>733</v>
      </c>
      <c r="N2844" s="13">
        <v>216</v>
      </c>
      <c r="O2844" s="13">
        <v>36</v>
      </c>
      <c r="P2844" s="13">
        <v>2</v>
      </c>
      <c r="Q2844" s="13">
        <v>62</v>
      </c>
      <c r="R2844" s="13">
        <v>0</v>
      </c>
      <c r="S2844" s="13">
        <v>0</v>
      </c>
      <c r="T2844" s="23">
        <v>46247.792800925927</v>
      </c>
      <c r="U2844" s="55">
        <f t="shared" si="132"/>
        <v>1</v>
      </c>
      <c r="V2844" s="55">
        <f t="shared" si="133"/>
        <v>0</v>
      </c>
      <c r="W2844" s="56">
        <f t="shared" si="134"/>
        <v>1521.1666666666667</v>
      </c>
    </row>
    <row r="2845" spans="1:23" x14ac:dyDescent="0.3">
      <c r="A2845" s="13" t="str" cm="1">
        <f t="array" ref="A2845:B2845">INDEX(BenchmarkResults!$B$1:$D$35,SUMPRODUCT((T2845&gt;=BenchmarkResults!$F$3:$F$35)*(mongodb_hardware_log!T2845&lt;BenchmarkResults!$G$3:$G$35)*ROW(BenchmarkResults!$F$3:$F$35)),{1,3})</f>
        <v>q6_inactive_customers</v>
      </c>
      <c r="B2845">
        <v>2</v>
      </c>
      <c r="C2845" s="13">
        <v>1</v>
      </c>
      <c r="D2845" s="13">
        <v>0</v>
      </c>
      <c r="E2845" s="13">
        <v>194560</v>
      </c>
      <c r="F2845" s="13">
        <v>489436</v>
      </c>
      <c r="G2845" s="13">
        <v>7668</v>
      </c>
      <c r="H2845" s="13">
        <v>1902272</v>
      </c>
      <c r="I2845" s="13">
        <v>0</v>
      </c>
      <c r="J2845" s="13">
        <v>0</v>
      </c>
      <c r="K2845" s="13">
        <v>1622</v>
      </c>
      <c r="L2845" s="13">
        <v>434</v>
      </c>
      <c r="M2845" s="13">
        <v>744</v>
      </c>
      <c r="N2845" s="13">
        <v>227</v>
      </c>
      <c r="O2845" s="13">
        <v>36</v>
      </c>
      <c r="P2845" s="13">
        <v>2</v>
      </c>
      <c r="Q2845" s="13">
        <v>61</v>
      </c>
      <c r="R2845" s="13">
        <v>1</v>
      </c>
      <c r="S2845" s="13">
        <v>0</v>
      </c>
      <c r="T2845" s="23">
        <v>46247.792893518519</v>
      </c>
      <c r="U2845" s="55">
        <f t="shared" si="132"/>
        <v>1</v>
      </c>
      <c r="V2845" s="55">
        <f t="shared" si="133"/>
        <v>0</v>
      </c>
      <c r="W2845" s="56">
        <f t="shared" si="134"/>
        <v>1532.1666666666667</v>
      </c>
    </row>
    <row r="2846" spans="1:23" x14ac:dyDescent="0.3">
      <c r="A2846" s="13" t="str" cm="1">
        <f t="array" ref="A2846:B2846">INDEX(BenchmarkResults!$B$1:$D$35,SUMPRODUCT((T2846&gt;=BenchmarkResults!$F$3:$F$35)*(mongodb_hardware_log!T2846&lt;BenchmarkResults!$G$3:$G$35)*ROW(BenchmarkResults!$F$3:$F$35)),{1,3})</f>
        <v>q6_inactive_customers</v>
      </c>
      <c r="B2846">
        <v>2</v>
      </c>
      <c r="C2846" s="13">
        <v>1</v>
      </c>
      <c r="D2846" s="13">
        <v>0</v>
      </c>
      <c r="E2846" s="13">
        <v>194560</v>
      </c>
      <c r="F2846" s="13">
        <v>485404</v>
      </c>
      <c r="G2846" s="13">
        <v>7668</v>
      </c>
      <c r="H2846" s="13">
        <v>1905540</v>
      </c>
      <c r="I2846" s="13">
        <v>0</v>
      </c>
      <c r="J2846" s="13">
        <v>0</v>
      </c>
      <c r="K2846" s="13">
        <v>1567</v>
      </c>
      <c r="L2846" s="13">
        <v>429</v>
      </c>
      <c r="M2846" s="13">
        <v>752</v>
      </c>
      <c r="N2846" s="13">
        <v>234</v>
      </c>
      <c r="O2846" s="13">
        <v>36</v>
      </c>
      <c r="P2846" s="13">
        <v>2</v>
      </c>
      <c r="Q2846" s="13">
        <v>61</v>
      </c>
      <c r="R2846" s="13">
        <v>1</v>
      </c>
      <c r="S2846" s="13">
        <v>0</v>
      </c>
      <c r="T2846" s="23">
        <v>46247.792916666665</v>
      </c>
      <c r="U2846" s="55">
        <f t="shared" si="132"/>
        <v>1</v>
      </c>
      <c r="V2846" s="55">
        <f t="shared" si="133"/>
        <v>0</v>
      </c>
      <c r="W2846" s="56">
        <f t="shared" si="134"/>
        <v>1550.6666666666667</v>
      </c>
    </row>
    <row r="2847" spans="1:23" x14ac:dyDescent="0.3">
      <c r="A2847" s="13" t="str" cm="1">
        <f t="array" ref="A2847:B2847">INDEX(BenchmarkResults!$B$1:$D$35,SUMPRODUCT((T2847&gt;=BenchmarkResults!$F$3:$F$35)*(mongodb_hardware_log!T2847&lt;BenchmarkResults!$G$3:$G$35)*ROW(BenchmarkResults!$F$3:$F$35)),{1,3})</f>
        <v>q6_inactive_customers</v>
      </c>
      <c r="B2847">
        <v>2</v>
      </c>
      <c r="C2847" s="13">
        <v>2</v>
      </c>
      <c r="D2847" s="13">
        <v>0</v>
      </c>
      <c r="E2847" s="13">
        <v>194560</v>
      </c>
      <c r="F2847" s="13">
        <v>475576</v>
      </c>
      <c r="G2847" s="13">
        <v>7684</v>
      </c>
      <c r="H2847" s="13">
        <v>1916632</v>
      </c>
      <c r="I2847" s="13">
        <v>0</v>
      </c>
      <c r="J2847" s="13">
        <v>0</v>
      </c>
      <c r="K2847" s="13">
        <v>1436</v>
      </c>
      <c r="L2847" s="13">
        <v>1163</v>
      </c>
      <c r="M2847" s="13">
        <v>749</v>
      </c>
      <c r="N2847" s="13">
        <v>224</v>
      </c>
      <c r="O2847" s="13">
        <v>35</v>
      </c>
      <c r="P2847" s="13">
        <v>2</v>
      </c>
      <c r="Q2847" s="13">
        <v>61</v>
      </c>
      <c r="R2847" s="13">
        <v>2</v>
      </c>
      <c r="S2847" s="13">
        <v>1</v>
      </c>
      <c r="T2847" s="23">
        <v>46247.793009259258</v>
      </c>
      <c r="U2847" s="55">
        <f t="shared" si="132"/>
        <v>1.1666666666666667</v>
      </c>
      <c r="V2847" s="55">
        <f t="shared" si="133"/>
        <v>0</v>
      </c>
      <c r="W2847" s="56">
        <f t="shared" si="134"/>
        <v>1619.5</v>
      </c>
    </row>
    <row r="2848" spans="1:23" x14ac:dyDescent="0.3">
      <c r="A2848" s="13" t="str" cm="1">
        <f t="array" ref="A2848:B2848">INDEX(BenchmarkResults!$B$1:$D$35,SUMPRODUCT((T2848&gt;=BenchmarkResults!$F$3:$F$35)*(mongodb_hardware_log!T2848&lt;BenchmarkResults!$G$3:$G$35)*ROW(BenchmarkResults!$F$3:$F$35)),{1,3})</f>
        <v>q6_inactive_customers</v>
      </c>
      <c r="B2848">
        <v>2</v>
      </c>
      <c r="C2848" s="13">
        <v>1</v>
      </c>
      <c r="D2848" s="13">
        <v>0</v>
      </c>
      <c r="E2848" s="13">
        <v>194560</v>
      </c>
      <c r="F2848" s="13">
        <v>471544</v>
      </c>
      <c r="G2848" s="13">
        <v>7684</v>
      </c>
      <c r="H2848" s="13">
        <v>1918432</v>
      </c>
      <c r="I2848" s="13">
        <v>0</v>
      </c>
      <c r="J2848" s="13">
        <v>0</v>
      </c>
      <c r="K2848" s="13">
        <v>1290</v>
      </c>
      <c r="L2848" s="13">
        <v>1163</v>
      </c>
      <c r="M2848" s="13">
        <v>739</v>
      </c>
      <c r="N2848" s="13">
        <v>217</v>
      </c>
      <c r="O2848" s="13">
        <v>35</v>
      </c>
      <c r="P2848" s="13">
        <v>1</v>
      </c>
      <c r="Q2848" s="13">
        <v>61</v>
      </c>
      <c r="R2848" s="13">
        <v>2</v>
      </c>
      <c r="S2848" s="13">
        <v>1</v>
      </c>
      <c r="T2848" s="23">
        <v>46247.793032407404</v>
      </c>
      <c r="U2848" s="55">
        <f t="shared" si="132"/>
        <v>1.1666666666666667</v>
      </c>
      <c r="V2848" s="55">
        <f t="shared" si="133"/>
        <v>0</v>
      </c>
      <c r="W2848" s="56">
        <f t="shared" si="134"/>
        <v>1605.6666666666667</v>
      </c>
    </row>
    <row r="2849" spans="1:23" x14ac:dyDescent="0.3">
      <c r="A2849" s="13" t="str" cm="1">
        <f t="array" ref="A2849:B2849">INDEX(BenchmarkResults!$B$1:$D$35,SUMPRODUCT((T2849&gt;=BenchmarkResults!$F$3:$F$35)*(mongodb_hardware_log!T2849&lt;BenchmarkResults!$G$3:$G$35)*ROW(BenchmarkResults!$F$3:$F$35)),{1,3})</f>
        <v>q6_inactive_customers</v>
      </c>
      <c r="B2849">
        <v>2</v>
      </c>
      <c r="C2849" s="13">
        <v>1</v>
      </c>
      <c r="D2849" s="13">
        <v>0</v>
      </c>
      <c r="E2849" s="13">
        <v>194560</v>
      </c>
      <c r="F2849" s="13">
        <v>460204</v>
      </c>
      <c r="G2849" s="13">
        <v>7692</v>
      </c>
      <c r="H2849" s="13">
        <v>1928960</v>
      </c>
      <c r="I2849" s="13">
        <v>0</v>
      </c>
      <c r="J2849" s="13">
        <v>0</v>
      </c>
      <c r="K2849" s="13">
        <v>1240</v>
      </c>
      <c r="L2849" s="13">
        <v>7</v>
      </c>
      <c r="M2849" s="13">
        <v>750</v>
      </c>
      <c r="N2849" s="13">
        <v>215</v>
      </c>
      <c r="O2849" s="13">
        <v>35</v>
      </c>
      <c r="P2849" s="13">
        <v>1</v>
      </c>
      <c r="Q2849" s="13">
        <v>61</v>
      </c>
      <c r="R2849" s="13">
        <v>1</v>
      </c>
      <c r="S2849" s="13">
        <v>2</v>
      </c>
      <c r="T2849" s="23">
        <v>46247.793124999997</v>
      </c>
      <c r="U2849" s="55">
        <f t="shared" si="132"/>
        <v>1.1666666666666667</v>
      </c>
      <c r="V2849" s="55">
        <f t="shared" si="133"/>
        <v>0</v>
      </c>
      <c r="W2849" s="56">
        <f t="shared" si="134"/>
        <v>1501.5</v>
      </c>
    </row>
    <row r="2850" spans="1:23" x14ac:dyDescent="0.3">
      <c r="A2850" s="13" t="str" cm="1">
        <f t="array" ref="A2850:B2850">INDEX(BenchmarkResults!$B$1:$D$35,SUMPRODUCT((T2850&gt;=BenchmarkResults!$F$3:$F$35)*(mongodb_hardware_log!T2850&lt;BenchmarkResults!$G$3:$G$35)*ROW(BenchmarkResults!$F$3:$F$35)),{1,3})</f>
        <v>q6_inactive_customers</v>
      </c>
      <c r="B2850">
        <v>2</v>
      </c>
      <c r="C2850" s="13">
        <v>1</v>
      </c>
      <c r="D2850" s="13">
        <v>0</v>
      </c>
      <c r="E2850" s="13">
        <v>194560</v>
      </c>
      <c r="F2850" s="13">
        <v>459700</v>
      </c>
      <c r="G2850" s="13">
        <v>7700</v>
      </c>
      <c r="H2850" s="13">
        <v>1930612</v>
      </c>
      <c r="I2850" s="13">
        <v>0</v>
      </c>
      <c r="J2850" s="13">
        <v>0</v>
      </c>
      <c r="K2850" s="13">
        <v>1221</v>
      </c>
      <c r="L2850" s="13">
        <v>12</v>
      </c>
      <c r="M2850" s="13">
        <v>751</v>
      </c>
      <c r="N2850" s="13">
        <v>216</v>
      </c>
      <c r="O2850" s="13">
        <v>35</v>
      </c>
      <c r="P2850" s="13">
        <v>1</v>
      </c>
      <c r="Q2850" s="13">
        <v>61</v>
      </c>
      <c r="R2850" s="13">
        <v>1</v>
      </c>
      <c r="S2850" s="13">
        <v>2</v>
      </c>
      <c r="T2850" s="23">
        <v>46247.79314814815</v>
      </c>
      <c r="U2850" s="55">
        <f t="shared" si="132"/>
        <v>1.1666666666666667</v>
      </c>
      <c r="V2850" s="55">
        <f t="shared" si="133"/>
        <v>0</v>
      </c>
      <c r="W2850" s="56">
        <f t="shared" si="134"/>
        <v>1396</v>
      </c>
    </row>
    <row r="2851" spans="1:23" x14ac:dyDescent="0.3">
      <c r="A2851" s="13" t="str" cm="1">
        <f t="array" ref="A2851:B2851">INDEX(BenchmarkResults!$B$1:$D$35,SUMPRODUCT((T2851&gt;=BenchmarkResults!$F$3:$F$35)*(mongodb_hardware_log!T2851&lt;BenchmarkResults!$G$3:$G$35)*ROW(BenchmarkResults!$F$3:$F$35)),{1,3})</f>
        <v>q6_inactive_customers</v>
      </c>
      <c r="B2851">
        <v>2</v>
      </c>
      <c r="C2851" s="13">
        <v>1</v>
      </c>
      <c r="D2851" s="13">
        <v>0</v>
      </c>
      <c r="E2851" s="13">
        <v>194560</v>
      </c>
      <c r="F2851" s="13">
        <v>435256</v>
      </c>
      <c r="G2851" s="13">
        <v>7724</v>
      </c>
      <c r="H2851" s="13">
        <v>1953856</v>
      </c>
      <c r="I2851" s="13">
        <v>0</v>
      </c>
      <c r="J2851" s="13">
        <v>0</v>
      </c>
      <c r="K2851" s="13">
        <v>1039</v>
      </c>
      <c r="L2851" s="13">
        <v>30</v>
      </c>
      <c r="M2851" s="13">
        <v>701</v>
      </c>
      <c r="N2851" s="13">
        <v>189</v>
      </c>
      <c r="O2851" s="13">
        <v>36</v>
      </c>
      <c r="P2851" s="13">
        <v>2</v>
      </c>
      <c r="Q2851" s="13">
        <v>62</v>
      </c>
      <c r="R2851" s="13">
        <v>0</v>
      </c>
      <c r="S2851" s="13">
        <v>0</v>
      </c>
      <c r="T2851" s="23">
        <v>46247.793240740742</v>
      </c>
      <c r="U2851" s="55">
        <f t="shared" si="132"/>
        <v>1.1666666666666667</v>
      </c>
      <c r="V2851" s="55">
        <f t="shared" si="133"/>
        <v>0</v>
      </c>
      <c r="W2851" s="56">
        <f t="shared" si="134"/>
        <v>1298.8333333333333</v>
      </c>
    </row>
    <row r="2852" spans="1:23" x14ac:dyDescent="0.3">
      <c r="A2852" s="13" t="str" cm="1">
        <f t="array" ref="A2852:B2852">INDEX(BenchmarkResults!$B$1:$D$35,SUMPRODUCT((T2852&gt;=BenchmarkResults!$F$3:$F$35)*(mongodb_hardware_log!T2852&lt;BenchmarkResults!$G$3:$G$35)*ROW(BenchmarkResults!$F$3:$F$35)),{1,3})</f>
        <v>q6_inactive_customers</v>
      </c>
      <c r="B2852">
        <v>2</v>
      </c>
      <c r="C2852" s="13">
        <v>1</v>
      </c>
      <c r="D2852" s="13">
        <v>0</v>
      </c>
      <c r="E2852" s="13">
        <v>194560</v>
      </c>
      <c r="F2852" s="13">
        <v>435256</v>
      </c>
      <c r="G2852" s="13">
        <v>7724</v>
      </c>
      <c r="H2852" s="13">
        <v>1958412</v>
      </c>
      <c r="I2852" s="13">
        <v>0</v>
      </c>
      <c r="J2852" s="13">
        <v>0</v>
      </c>
      <c r="K2852" s="13">
        <v>1166</v>
      </c>
      <c r="L2852" s="13">
        <v>24</v>
      </c>
      <c r="M2852" s="13">
        <v>696</v>
      </c>
      <c r="N2852" s="13">
        <v>183</v>
      </c>
      <c r="O2852" s="13">
        <v>36</v>
      </c>
      <c r="P2852" s="13">
        <v>2</v>
      </c>
      <c r="Q2852" s="13">
        <v>62</v>
      </c>
      <c r="R2852" s="13">
        <v>0</v>
      </c>
      <c r="S2852" s="13">
        <v>0</v>
      </c>
      <c r="T2852" s="23">
        <v>46247.793263888889</v>
      </c>
      <c r="U2852" s="55">
        <f t="shared" si="132"/>
        <v>1.1666666666666667</v>
      </c>
      <c r="V2852" s="55">
        <f t="shared" si="133"/>
        <v>0</v>
      </c>
      <c r="W2852" s="56">
        <f t="shared" si="134"/>
        <v>1232</v>
      </c>
    </row>
    <row r="2853" spans="1:23" x14ac:dyDescent="0.3">
      <c r="A2853" s="13" t="str" cm="1">
        <f t="array" ref="A2853:B2853">INDEX(BenchmarkResults!$B$1:$D$35,SUMPRODUCT((T2853&gt;=BenchmarkResults!$F$3:$F$35)*(mongodb_hardware_log!T2853&lt;BenchmarkResults!$G$3:$G$35)*ROW(BenchmarkResults!$F$3:$F$35)),{1,3})</f>
        <v>q6_inactive_customers</v>
      </c>
      <c r="B2853">
        <v>2</v>
      </c>
      <c r="C2853" s="13">
        <v>1</v>
      </c>
      <c r="D2853" s="13">
        <v>0</v>
      </c>
      <c r="E2853" s="13">
        <v>194560</v>
      </c>
      <c r="F2853" s="13">
        <v>419128</v>
      </c>
      <c r="G2853" s="13">
        <v>7732</v>
      </c>
      <c r="H2853" s="13">
        <v>1972612</v>
      </c>
      <c r="I2853" s="13">
        <v>0</v>
      </c>
      <c r="J2853" s="13">
        <v>0</v>
      </c>
      <c r="K2853" s="13">
        <v>1724</v>
      </c>
      <c r="L2853" s="13">
        <v>15</v>
      </c>
      <c r="M2853" s="13">
        <v>720</v>
      </c>
      <c r="N2853" s="13">
        <v>207</v>
      </c>
      <c r="O2853" s="13">
        <v>35</v>
      </c>
      <c r="P2853" s="13">
        <v>2</v>
      </c>
      <c r="Q2853" s="13">
        <v>62</v>
      </c>
      <c r="R2853" s="13">
        <v>0</v>
      </c>
      <c r="S2853" s="13">
        <v>0</v>
      </c>
      <c r="T2853" s="23">
        <v>46247.793356481481</v>
      </c>
      <c r="U2853" s="55">
        <f t="shared" si="132"/>
        <v>1</v>
      </c>
      <c r="V2853" s="55">
        <f t="shared" si="133"/>
        <v>0</v>
      </c>
      <c r="W2853" s="56">
        <f t="shared" si="134"/>
        <v>1280</v>
      </c>
    </row>
    <row r="2854" spans="1:23" x14ac:dyDescent="0.3">
      <c r="A2854" s="13" t="str" cm="1">
        <f t="array" ref="A2854:B2854">INDEX(BenchmarkResults!$B$1:$D$35,SUMPRODUCT((T2854&gt;=BenchmarkResults!$F$3:$F$35)*(mongodb_hardware_log!T2854&lt;BenchmarkResults!$G$3:$G$35)*ROW(BenchmarkResults!$F$3:$F$35)),{1,3})</f>
        <v>q6_inactive_customers</v>
      </c>
      <c r="B2854">
        <v>2</v>
      </c>
      <c r="C2854" s="13">
        <v>1</v>
      </c>
      <c r="D2854" s="13">
        <v>0</v>
      </c>
      <c r="E2854" s="13">
        <v>194560</v>
      </c>
      <c r="F2854" s="13">
        <v>419128</v>
      </c>
      <c r="G2854" s="13">
        <v>7740</v>
      </c>
      <c r="H2854" s="13">
        <v>1974264</v>
      </c>
      <c r="I2854" s="13">
        <v>0</v>
      </c>
      <c r="J2854" s="13">
        <v>0</v>
      </c>
      <c r="K2854" s="13">
        <v>1594</v>
      </c>
      <c r="L2854" s="13">
        <v>20</v>
      </c>
      <c r="M2854" s="13">
        <v>724</v>
      </c>
      <c r="N2854" s="13">
        <v>210</v>
      </c>
      <c r="O2854" s="13">
        <v>36</v>
      </c>
      <c r="P2854" s="13">
        <v>2</v>
      </c>
      <c r="Q2854" s="13">
        <v>62</v>
      </c>
      <c r="R2854" s="13">
        <v>1</v>
      </c>
      <c r="S2854" s="13">
        <v>0</v>
      </c>
      <c r="T2854" s="23">
        <v>46247.793379629627</v>
      </c>
      <c r="U2854" s="55">
        <f t="shared" si="132"/>
        <v>1</v>
      </c>
      <c r="V2854" s="55">
        <f t="shared" si="133"/>
        <v>0</v>
      </c>
      <c r="W2854" s="56">
        <f t="shared" si="134"/>
        <v>1330.6666666666667</v>
      </c>
    </row>
    <row r="2855" spans="1:23" x14ac:dyDescent="0.3">
      <c r="A2855" s="13" t="str" cm="1">
        <f t="array" ref="A2855:B2855">INDEX(BenchmarkResults!$B$1:$D$35,SUMPRODUCT((T2855&gt;=BenchmarkResults!$F$3:$F$35)*(mongodb_hardware_log!T2855&lt;BenchmarkResults!$G$3:$G$35)*ROW(BenchmarkResults!$F$3:$F$35)),{1,3})</f>
        <v>q6_inactive_customers</v>
      </c>
      <c r="B2855">
        <v>2</v>
      </c>
      <c r="C2855" s="13">
        <v>1</v>
      </c>
      <c r="D2855" s="13">
        <v>0</v>
      </c>
      <c r="E2855" s="13">
        <v>194560</v>
      </c>
      <c r="F2855" s="13">
        <v>404512</v>
      </c>
      <c r="G2855" s="13">
        <v>7748</v>
      </c>
      <c r="H2855" s="13">
        <v>1989720</v>
      </c>
      <c r="I2855" s="13">
        <v>0</v>
      </c>
      <c r="J2855" s="13">
        <v>0</v>
      </c>
      <c r="K2855" s="13">
        <v>1711</v>
      </c>
      <c r="L2855" s="13">
        <v>15</v>
      </c>
      <c r="M2855" s="13">
        <v>723</v>
      </c>
      <c r="N2855" s="13">
        <v>209</v>
      </c>
      <c r="O2855" s="13">
        <v>36</v>
      </c>
      <c r="P2855" s="13">
        <v>2</v>
      </c>
      <c r="Q2855" s="13">
        <v>62</v>
      </c>
      <c r="R2855" s="13">
        <v>0</v>
      </c>
      <c r="S2855" s="13">
        <v>0</v>
      </c>
      <c r="T2855" s="23">
        <v>46247.79347222222</v>
      </c>
      <c r="U2855" s="55">
        <f t="shared" si="132"/>
        <v>1</v>
      </c>
      <c r="V2855" s="55">
        <f t="shared" si="133"/>
        <v>0</v>
      </c>
      <c r="W2855" s="56">
        <f t="shared" si="134"/>
        <v>1409.1666666666667</v>
      </c>
    </row>
    <row r="2856" spans="1:23" x14ac:dyDescent="0.3">
      <c r="A2856" s="13" t="str" cm="1">
        <f t="array" ref="A2856:B2856">INDEX(BenchmarkResults!$B$1:$D$35,SUMPRODUCT((T2856&gt;=BenchmarkResults!$F$3:$F$35)*(mongodb_hardware_log!T2856&lt;BenchmarkResults!$G$3:$G$35)*ROW(BenchmarkResults!$F$3:$F$35)),{1,3})</f>
        <v>q6_inactive_customers</v>
      </c>
      <c r="B2856">
        <v>2</v>
      </c>
      <c r="C2856" s="13">
        <v>1</v>
      </c>
      <c r="D2856" s="13">
        <v>0</v>
      </c>
      <c r="E2856" s="13">
        <v>194560</v>
      </c>
      <c r="F2856" s="13">
        <v>400480</v>
      </c>
      <c r="G2856" s="13">
        <v>7748</v>
      </c>
      <c r="H2856" s="13">
        <v>1992304</v>
      </c>
      <c r="I2856" s="13">
        <v>0</v>
      </c>
      <c r="J2856" s="13">
        <v>0</v>
      </c>
      <c r="K2856" s="13">
        <v>1801</v>
      </c>
      <c r="L2856" s="13">
        <v>11</v>
      </c>
      <c r="M2856" s="13">
        <v>721</v>
      </c>
      <c r="N2856" s="13">
        <v>206</v>
      </c>
      <c r="O2856" s="13">
        <v>36</v>
      </c>
      <c r="P2856" s="13">
        <v>2</v>
      </c>
      <c r="Q2856" s="13">
        <v>62</v>
      </c>
      <c r="R2856" s="13">
        <v>0</v>
      </c>
      <c r="S2856" s="13">
        <v>0</v>
      </c>
      <c r="T2856" s="23">
        <v>46247.793495370373</v>
      </c>
      <c r="U2856" s="55">
        <f t="shared" si="132"/>
        <v>1</v>
      </c>
      <c r="V2856" s="55">
        <f t="shared" si="133"/>
        <v>0</v>
      </c>
      <c r="W2856" s="56">
        <f t="shared" si="134"/>
        <v>1505.8333333333333</v>
      </c>
    </row>
    <row r="2857" spans="1:23" x14ac:dyDescent="0.3">
      <c r="A2857" s="13" t="str" cm="1">
        <f t="array" ref="A2857:B2857">INDEX(BenchmarkResults!$B$1:$D$35,SUMPRODUCT((T2857&gt;=BenchmarkResults!$F$3:$F$35)*(mongodb_hardware_log!T2857&lt;BenchmarkResults!$G$3:$G$35)*ROW(BenchmarkResults!$F$3:$F$35)),{1,3})</f>
        <v>q6_inactive_customers</v>
      </c>
      <c r="B2857">
        <v>2</v>
      </c>
      <c r="C2857" s="13">
        <v>1</v>
      </c>
      <c r="D2857" s="13">
        <v>0</v>
      </c>
      <c r="E2857" s="13">
        <v>194560</v>
      </c>
      <c r="F2857" s="13">
        <v>376792</v>
      </c>
      <c r="G2857" s="13">
        <v>7756</v>
      </c>
      <c r="H2857" s="13">
        <v>2008256</v>
      </c>
      <c r="I2857" s="13">
        <v>0</v>
      </c>
      <c r="J2857" s="13">
        <v>0</v>
      </c>
      <c r="K2857" s="13">
        <v>1846</v>
      </c>
      <c r="L2857" s="13">
        <v>8</v>
      </c>
      <c r="M2857" s="13">
        <v>721</v>
      </c>
      <c r="N2857" s="13">
        <v>212</v>
      </c>
      <c r="O2857" s="13">
        <v>36</v>
      </c>
      <c r="P2857" s="13">
        <v>2</v>
      </c>
      <c r="Q2857" s="13">
        <v>62</v>
      </c>
      <c r="R2857" s="13">
        <v>0</v>
      </c>
      <c r="S2857" s="13">
        <v>0</v>
      </c>
      <c r="T2857" s="23">
        <v>46247.793587962966</v>
      </c>
      <c r="U2857" s="55">
        <f t="shared" si="132"/>
        <v>1</v>
      </c>
      <c r="V2857" s="55">
        <f t="shared" si="133"/>
        <v>0</v>
      </c>
      <c r="W2857" s="56">
        <f t="shared" si="134"/>
        <v>1640.3333333333333</v>
      </c>
    </row>
    <row r="2858" spans="1:23" x14ac:dyDescent="0.3">
      <c r="A2858" s="13" t="str" cm="1">
        <f t="array" ref="A2858:B2858">INDEX(BenchmarkResults!$B$1:$D$35,SUMPRODUCT((T2858&gt;=BenchmarkResults!$F$3:$F$35)*(mongodb_hardware_log!T2858&lt;BenchmarkResults!$G$3:$G$35)*ROW(BenchmarkResults!$F$3:$F$35)),{1,3})</f>
        <v>q6_inactive_customers</v>
      </c>
      <c r="B2858">
        <v>2</v>
      </c>
      <c r="C2858" s="13">
        <v>1</v>
      </c>
      <c r="D2858" s="13">
        <v>0</v>
      </c>
      <c r="E2858" s="13">
        <v>194560</v>
      </c>
      <c r="F2858" s="13">
        <v>376792</v>
      </c>
      <c r="G2858" s="13">
        <v>7764</v>
      </c>
      <c r="H2858" s="13">
        <v>2012232</v>
      </c>
      <c r="I2858" s="13">
        <v>0</v>
      </c>
      <c r="J2858" s="13">
        <v>0</v>
      </c>
      <c r="K2858" s="13">
        <v>1992</v>
      </c>
      <c r="L2858" s="13">
        <v>1576</v>
      </c>
      <c r="M2858" s="13">
        <v>732</v>
      </c>
      <c r="N2858" s="13">
        <v>222</v>
      </c>
      <c r="O2858" s="13">
        <v>36</v>
      </c>
      <c r="P2858" s="13">
        <v>2</v>
      </c>
      <c r="Q2858" s="13">
        <v>60</v>
      </c>
      <c r="R2858" s="13">
        <v>2</v>
      </c>
      <c r="S2858" s="13">
        <v>0</v>
      </c>
      <c r="T2858" s="23">
        <v>46247.793611111112</v>
      </c>
      <c r="U2858" s="55">
        <f t="shared" si="132"/>
        <v>1</v>
      </c>
      <c r="V2858" s="55">
        <f t="shared" si="133"/>
        <v>0</v>
      </c>
      <c r="W2858" s="56">
        <f t="shared" si="134"/>
        <v>1778</v>
      </c>
    </row>
    <row r="2859" spans="1:23" x14ac:dyDescent="0.3">
      <c r="A2859" s="13" t="str" cm="1">
        <f t="array" ref="A2859:B2859">INDEX(BenchmarkResults!$B$1:$D$35,SUMPRODUCT((T2859&gt;=BenchmarkResults!$F$3:$F$35)*(mongodb_hardware_log!T2859&lt;BenchmarkResults!$G$3:$G$35)*ROW(BenchmarkResults!$F$3:$F$35)),{1,3})</f>
        <v>q6_inactive_customers</v>
      </c>
      <c r="B2859">
        <v>2</v>
      </c>
      <c r="C2859" s="13">
        <v>1</v>
      </c>
      <c r="D2859" s="13">
        <v>0</v>
      </c>
      <c r="E2859" s="13">
        <v>194560</v>
      </c>
      <c r="F2859" s="13">
        <v>365452</v>
      </c>
      <c r="G2859" s="13">
        <v>7772</v>
      </c>
      <c r="H2859" s="13">
        <v>2028004</v>
      </c>
      <c r="I2859" s="13">
        <v>0</v>
      </c>
      <c r="J2859" s="13">
        <v>0</v>
      </c>
      <c r="K2859" s="13">
        <v>1975</v>
      </c>
      <c r="L2859" s="13">
        <v>1580</v>
      </c>
      <c r="M2859" s="13">
        <v>742</v>
      </c>
      <c r="N2859" s="13">
        <v>226</v>
      </c>
      <c r="O2859" s="13">
        <v>36</v>
      </c>
      <c r="P2859" s="13">
        <v>2</v>
      </c>
      <c r="Q2859" s="13">
        <v>60</v>
      </c>
      <c r="R2859" s="13">
        <v>2</v>
      </c>
      <c r="S2859" s="13">
        <v>0</v>
      </c>
      <c r="T2859" s="23">
        <v>46247.793703703705</v>
      </c>
      <c r="U2859" s="55">
        <f t="shared" si="132"/>
        <v>1</v>
      </c>
      <c r="V2859" s="55">
        <f t="shared" si="133"/>
        <v>0</v>
      </c>
      <c r="W2859" s="56">
        <f t="shared" si="134"/>
        <v>1819.8333333333333</v>
      </c>
    </row>
    <row r="2860" spans="1:23" x14ac:dyDescent="0.3">
      <c r="A2860" s="13" t="str" cm="1">
        <f t="array" ref="A2860:B2860">INDEX(BenchmarkResults!$B$1:$D$35,SUMPRODUCT((T2860&gt;=BenchmarkResults!$F$3:$F$35)*(mongodb_hardware_log!T2860&lt;BenchmarkResults!$G$3:$G$35)*ROW(BenchmarkResults!$F$3:$F$35)),{1,3})</f>
        <v>q6_inactive_customers</v>
      </c>
      <c r="B2860">
        <v>2</v>
      </c>
      <c r="C2860" s="13">
        <v>1</v>
      </c>
      <c r="D2860" s="13">
        <v>0</v>
      </c>
      <c r="E2860" s="13">
        <v>194560</v>
      </c>
      <c r="F2860" s="13">
        <v>357640</v>
      </c>
      <c r="G2860" s="13">
        <v>7772</v>
      </c>
      <c r="H2860" s="13">
        <v>2032860</v>
      </c>
      <c r="I2860" s="13">
        <v>0</v>
      </c>
      <c r="J2860" s="13">
        <v>0</v>
      </c>
      <c r="K2860" s="13">
        <v>2058</v>
      </c>
      <c r="L2860" s="13">
        <v>10</v>
      </c>
      <c r="M2860" s="13">
        <v>747</v>
      </c>
      <c r="N2860" s="13">
        <v>229</v>
      </c>
      <c r="O2860" s="13">
        <v>36</v>
      </c>
      <c r="P2860" s="13">
        <v>2</v>
      </c>
      <c r="Q2860" s="13">
        <v>62</v>
      </c>
      <c r="R2860" s="13">
        <v>1</v>
      </c>
      <c r="S2860" s="13">
        <v>0</v>
      </c>
      <c r="T2860" s="23">
        <v>46247.793726851851</v>
      </c>
      <c r="U2860" s="55">
        <f t="shared" si="132"/>
        <v>1</v>
      </c>
      <c r="V2860" s="55">
        <f t="shared" si="133"/>
        <v>0</v>
      </c>
      <c r="W2860" s="56">
        <f t="shared" si="134"/>
        <v>1897.1666666666667</v>
      </c>
    </row>
    <row r="2861" spans="1:23" x14ac:dyDescent="0.3">
      <c r="A2861" s="13" t="str" cm="1">
        <f t="array" ref="A2861:B2861">INDEX(BenchmarkResults!$B$1:$D$35,SUMPRODUCT((T2861&gt;=BenchmarkResults!$F$3:$F$35)*(mongodb_hardware_log!T2861&lt;BenchmarkResults!$G$3:$G$35)*ROW(BenchmarkResults!$F$3:$F$35)),{1,3})</f>
        <v>q6_inactive_customers</v>
      </c>
      <c r="B2861">
        <v>2</v>
      </c>
      <c r="C2861" s="13">
        <v>1</v>
      </c>
      <c r="D2861" s="13">
        <v>0</v>
      </c>
      <c r="E2861" s="13">
        <v>194560</v>
      </c>
      <c r="F2861" s="13">
        <v>340756</v>
      </c>
      <c r="G2861" s="13">
        <v>7780</v>
      </c>
      <c r="H2861" s="13">
        <v>2048116</v>
      </c>
      <c r="I2861" s="13">
        <v>0</v>
      </c>
      <c r="J2861" s="13">
        <v>0</v>
      </c>
      <c r="K2861" s="13">
        <v>2016</v>
      </c>
      <c r="L2861" s="13">
        <v>11</v>
      </c>
      <c r="M2861" s="13">
        <v>748</v>
      </c>
      <c r="N2861" s="13">
        <v>215</v>
      </c>
      <c r="O2861" s="13">
        <v>35</v>
      </c>
      <c r="P2861" s="13">
        <v>1</v>
      </c>
      <c r="Q2861" s="13">
        <v>62</v>
      </c>
      <c r="R2861" s="13">
        <v>1</v>
      </c>
      <c r="S2861" s="13">
        <v>0</v>
      </c>
      <c r="T2861" s="23">
        <v>46247.793819444443</v>
      </c>
      <c r="U2861" s="55">
        <f t="shared" si="132"/>
        <v>1</v>
      </c>
      <c r="V2861" s="55">
        <f t="shared" si="133"/>
        <v>0</v>
      </c>
      <c r="W2861" s="56">
        <f t="shared" si="134"/>
        <v>1948</v>
      </c>
    </row>
    <row r="2862" spans="1:23" x14ac:dyDescent="0.3">
      <c r="A2862" s="13" t="str" cm="1">
        <f t="array" ref="A2862:B2862">INDEX(BenchmarkResults!$B$1:$D$35,SUMPRODUCT((T2862&gt;=BenchmarkResults!$F$3:$F$35)*(mongodb_hardware_log!T2862&lt;BenchmarkResults!$G$3:$G$35)*ROW(BenchmarkResults!$F$3:$F$35)),{1,3})</f>
        <v>q6_inactive_customers</v>
      </c>
      <c r="B2862">
        <v>2</v>
      </c>
      <c r="C2862" s="13">
        <v>1</v>
      </c>
      <c r="D2862" s="13">
        <v>0</v>
      </c>
      <c r="E2862" s="13">
        <v>194560</v>
      </c>
      <c r="F2862" s="13">
        <v>340756</v>
      </c>
      <c r="G2862" s="13">
        <v>7788</v>
      </c>
      <c r="H2862" s="13">
        <v>2049980</v>
      </c>
      <c r="I2862" s="13">
        <v>0</v>
      </c>
      <c r="J2862" s="13">
        <v>0</v>
      </c>
      <c r="K2862" s="13">
        <v>1712</v>
      </c>
      <c r="L2862" s="13">
        <v>16</v>
      </c>
      <c r="M2862" s="13">
        <v>732</v>
      </c>
      <c r="N2862" s="13">
        <v>203</v>
      </c>
      <c r="O2862" s="13">
        <v>36</v>
      </c>
      <c r="P2862" s="13">
        <v>1</v>
      </c>
      <c r="Q2862" s="13">
        <v>61</v>
      </c>
      <c r="R2862" s="13">
        <v>1</v>
      </c>
      <c r="S2862" s="13">
        <v>0</v>
      </c>
      <c r="T2862" s="23">
        <v>46247.793842592589</v>
      </c>
      <c r="U2862" s="55">
        <f t="shared" si="132"/>
        <v>1</v>
      </c>
      <c r="V2862" s="55">
        <f t="shared" si="133"/>
        <v>0</v>
      </c>
      <c r="W2862" s="56">
        <f t="shared" si="134"/>
        <v>1933.1666666666667</v>
      </c>
    </row>
    <row r="2863" spans="1:23" x14ac:dyDescent="0.3">
      <c r="A2863" s="13" t="str" cm="1">
        <f t="array" ref="A2863:B2863">INDEX(BenchmarkResults!$B$1:$D$35,SUMPRODUCT((T2863&gt;=BenchmarkResults!$F$3:$F$35)*(mongodb_hardware_log!T2863&lt;BenchmarkResults!$G$3:$G$35)*ROW(BenchmarkResults!$F$3:$F$35)),{1,3})</f>
        <v>q6_inactive_customers</v>
      </c>
      <c r="B2863">
        <v>2</v>
      </c>
      <c r="C2863" s="13">
        <v>1</v>
      </c>
      <c r="D2863" s="13">
        <v>0</v>
      </c>
      <c r="E2863" s="13">
        <v>194560</v>
      </c>
      <c r="F2863" s="13">
        <v>315556</v>
      </c>
      <c r="G2863" s="13">
        <v>7820</v>
      </c>
      <c r="H2863" s="13">
        <v>2077980</v>
      </c>
      <c r="I2863" s="13">
        <v>0</v>
      </c>
      <c r="J2863" s="13">
        <v>0</v>
      </c>
      <c r="K2863" s="13">
        <v>1376</v>
      </c>
      <c r="L2863" s="13">
        <v>33</v>
      </c>
      <c r="M2863" s="13">
        <v>778</v>
      </c>
      <c r="N2863" s="13">
        <v>275</v>
      </c>
      <c r="O2863" s="13">
        <v>35</v>
      </c>
      <c r="P2863" s="13">
        <v>2</v>
      </c>
      <c r="Q2863" s="13">
        <v>61</v>
      </c>
      <c r="R2863" s="13">
        <v>1</v>
      </c>
      <c r="S2863" s="13">
        <v>0</v>
      </c>
      <c r="T2863" s="23">
        <v>46247.793935185182</v>
      </c>
      <c r="U2863" s="55">
        <f t="shared" si="132"/>
        <v>1</v>
      </c>
      <c r="V2863" s="55">
        <f t="shared" si="133"/>
        <v>0</v>
      </c>
      <c r="W2863" s="56">
        <f t="shared" si="134"/>
        <v>1854.8333333333333</v>
      </c>
    </row>
    <row r="2864" spans="1:23" x14ac:dyDescent="0.3">
      <c r="A2864" s="13" t="str" cm="1">
        <f t="array" ref="A2864:B2864">INDEX(BenchmarkResults!$B$1:$D$35,SUMPRODUCT((T2864&gt;=BenchmarkResults!$F$3:$F$35)*(mongodb_hardware_log!T2864&lt;BenchmarkResults!$G$3:$G$35)*ROW(BenchmarkResults!$F$3:$F$35)),{1,3})</f>
        <v>q6_inactive_customers</v>
      </c>
      <c r="B2864">
        <v>2</v>
      </c>
      <c r="C2864" s="13">
        <v>1</v>
      </c>
      <c r="D2864" s="13">
        <v>0</v>
      </c>
      <c r="E2864" s="13">
        <v>194560</v>
      </c>
      <c r="F2864" s="13">
        <v>311524</v>
      </c>
      <c r="G2864" s="13">
        <v>7820</v>
      </c>
      <c r="H2864" s="13">
        <v>2081108</v>
      </c>
      <c r="I2864" s="13">
        <v>0</v>
      </c>
      <c r="J2864" s="13">
        <v>0</v>
      </c>
      <c r="K2864" s="13">
        <v>1508</v>
      </c>
      <c r="L2864" s="13">
        <v>27</v>
      </c>
      <c r="M2864" s="13">
        <v>781</v>
      </c>
      <c r="N2864" s="13">
        <v>281</v>
      </c>
      <c r="O2864" s="13">
        <v>35</v>
      </c>
      <c r="P2864" s="13">
        <v>2</v>
      </c>
      <c r="Q2864" s="13">
        <v>62</v>
      </c>
      <c r="R2864" s="13">
        <v>0</v>
      </c>
      <c r="S2864" s="13">
        <v>0</v>
      </c>
      <c r="T2864" s="23">
        <v>46247.793958333335</v>
      </c>
      <c r="U2864" s="55">
        <f t="shared" si="132"/>
        <v>1</v>
      </c>
      <c r="V2864" s="55">
        <f t="shared" si="133"/>
        <v>0</v>
      </c>
      <c r="W2864" s="56">
        <f t="shared" si="134"/>
        <v>1774.1666666666667</v>
      </c>
    </row>
    <row r="2865" spans="1:23" x14ac:dyDescent="0.3">
      <c r="A2865" s="13" t="str" cm="1">
        <f t="array" ref="A2865:B2865">INDEX(BenchmarkResults!$B$1:$D$35,SUMPRODUCT((T2865&gt;=BenchmarkResults!$F$3:$F$35)*(mongodb_hardware_log!T2865&lt;BenchmarkResults!$G$3:$G$35)*ROW(BenchmarkResults!$F$3:$F$35)),{1,3})</f>
        <v>q6_inactive_customers</v>
      </c>
      <c r="B2865">
        <v>2</v>
      </c>
      <c r="C2865" s="13">
        <v>1</v>
      </c>
      <c r="D2865" s="13">
        <v>0</v>
      </c>
      <c r="E2865" s="13">
        <v>194560</v>
      </c>
      <c r="F2865" s="13">
        <v>295396</v>
      </c>
      <c r="G2865" s="13">
        <v>7828</v>
      </c>
      <c r="H2865" s="13">
        <v>2097012</v>
      </c>
      <c r="I2865" s="13">
        <v>0</v>
      </c>
      <c r="J2865" s="13">
        <v>0</v>
      </c>
      <c r="K2865" s="13">
        <v>1905</v>
      </c>
      <c r="L2865" s="13">
        <v>8</v>
      </c>
      <c r="M2865" s="13">
        <v>719</v>
      </c>
      <c r="N2865" s="13">
        <v>215</v>
      </c>
      <c r="O2865" s="13">
        <v>36</v>
      </c>
      <c r="P2865" s="13">
        <v>2</v>
      </c>
      <c r="Q2865" s="13">
        <v>61</v>
      </c>
      <c r="R2865" s="13">
        <v>0</v>
      </c>
      <c r="S2865" s="13">
        <v>0</v>
      </c>
      <c r="T2865" s="23">
        <v>46247.794050925928</v>
      </c>
      <c r="U2865" s="55">
        <f t="shared" si="132"/>
        <v>1</v>
      </c>
      <c r="V2865" s="55">
        <f t="shared" si="133"/>
        <v>0</v>
      </c>
      <c r="W2865" s="56">
        <f t="shared" si="134"/>
        <v>1762.5</v>
      </c>
    </row>
    <row r="2866" spans="1:23" x14ac:dyDescent="0.3">
      <c r="A2866" s="13" t="str" cm="1">
        <f t="array" ref="A2866:B2866">INDEX(BenchmarkResults!$B$1:$D$35,SUMPRODUCT((T2866&gt;=BenchmarkResults!$F$3:$F$35)*(mongodb_hardware_log!T2866&lt;BenchmarkResults!$G$3:$G$35)*ROW(BenchmarkResults!$F$3:$F$35)),{1,3})</f>
        <v>q6_inactive_customers</v>
      </c>
      <c r="B2866">
        <v>2</v>
      </c>
      <c r="C2866" s="13">
        <v>1</v>
      </c>
      <c r="D2866" s="13">
        <v>0</v>
      </c>
      <c r="E2866" s="13">
        <v>194560</v>
      </c>
      <c r="F2866" s="13">
        <v>287332</v>
      </c>
      <c r="G2866" s="13">
        <v>7836</v>
      </c>
      <c r="H2866" s="13">
        <v>2099616</v>
      </c>
      <c r="I2866" s="13">
        <v>0</v>
      </c>
      <c r="J2866" s="13">
        <v>0</v>
      </c>
      <c r="K2866" s="13">
        <v>1854</v>
      </c>
      <c r="L2866" s="13">
        <v>12</v>
      </c>
      <c r="M2866" s="13">
        <v>720</v>
      </c>
      <c r="N2866" s="13">
        <v>216</v>
      </c>
      <c r="O2866" s="13">
        <v>37</v>
      </c>
      <c r="P2866" s="13">
        <v>2</v>
      </c>
      <c r="Q2866" s="13">
        <v>61</v>
      </c>
      <c r="R2866" s="13">
        <v>0</v>
      </c>
      <c r="S2866" s="13">
        <v>0</v>
      </c>
      <c r="T2866" s="23">
        <v>46247.794074074074</v>
      </c>
      <c r="U2866" s="55">
        <f t="shared" si="132"/>
        <v>1</v>
      </c>
      <c r="V2866" s="55">
        <f t="shared" si="133"/>
        <v>0</v>
      </c>
      <c r="W2866" s="56">
        <f t="shared" si="134"/>
        <v>1728.5</v>
      </c>
    </row>
    <row r="2867" spans="1:23" x14ac:dyDescent="0.3">
      <c r="A2867" s="13" t="str" cm="1">
        <f t="array" ref="A2867:B2867">INDEX(BenchmarkResults!$B$1:$D$35,SUMPRODUCT((T2867&gt;=BenchmarkResults!$F$3:$F$35)*(mongodb_hardware_log!T2867&lt;BenchmarkResults!$G$3:$G$35)*ROW(BenchmarkResults!$F$3:$F$35)),{1,3})</f>
        <v>q6_inactive_customers</v>
      </c>
      <c r="B2867">
        <v>2</v>
      </c>
      <c r="C2867" s="13">
        <v>1</v>
      </c>
      <c r="D2867" s="13">
        <v>0</v>
      </c>
      <c r="E2867" s="13">
        <v>194560</v>
      </c>
      <c r="F2867" s="13">
        <v>269944</v>
      </c>
      <c r="G2867" s="13">
        <v>7844</v>
      </c>
      <c r="H2867" s="13">
        <v>2118396</v>
      </c>
      <c r="I2867" s="13">
        <v>0</v>
      </c>
      <c r="J2867" s="13">
        <v>0</v>
      </c>
      <c r="K2867" s="13">
        <v>2139</v>
      </c>
      <c r="L2867" s="13">
        <v>17</v>
      </c>
      <c r="M2867" s="13">
        <v>735</v>
      </c>
      <c r="N2867" s="13">
        <v>224</v>
      </c>
      <c r="O2867" s="13">
        <v>36</v>
      </c>
      <c r="P2867" s="13">
        <v>1</v>
      </c>
      <c r="Q2867" s="13">
        <v>62</v>
      </c>
      <c r="R2867" s="13">
        <v>0</v>
      </c>
      <c r="S2867" s="13">
        <v>0</v>
      </c>
      <c r="T2867" s="23">
        <v>46247.794166666667</v>
      </c>
      <c r="U2867" s="55">
        <f t="shared" si="132"/>
        <v>1</v>
      </c>
      <c r="V2867" s="55">
        <f t="shared" si="133"/>
        <v>0</v>
      </c>
      <c r="W2867" s="56">
        <f t="shared" si="134"/>
        <v>1749</v>
      </c>
    </row>
    <row r="2868" spans="1:23" x14ac:dyDescent="0.3">
      <c r="A2868" s="13" t="str" cm="1">
        <f t="array" ref="A2868:B2868">INDEX(BenchmarkResults!$B$1:$D$35,SUMPRODUCT((T2868&gt;=BenchmarkResults!$F$3:$F$35)*(mongodb_hardware_log!T2868&lt;BenchmarkResults!$G$3:$G$35)*ROW(BenchmarkResults!$F$3:$F$35)),{1,3})</f>
        <v>q6_inactive_customers</v>
      </c>
      <c r="B2868">
        <v>2</v>
      </c>
      <c r="C2868" s="13">
        <v>1</v>
      </c>
      <c r="D2868" s="13">
        <v>0</v>
      </c>
      <c r="E2868" s="13">
        <v>194560</v>
      </c>
      <c r="F2868" s="13">
        <v>269692</v>
      </c>
      <c r="G2868" s="13">
        <v>7844</v>
      </c>
      <c r="H2868" s="13">
        <v>2121644</v>
      </c>
      <c r="I2868" s="13">
        <v>0</v>
      </c>
      <c r="J2868" s="13">
        <v>0</v>
      </c>
      <c r="K2868" s="13">
        <v>2198</v>
      </c>
      <c r="L2868" s="13">
        <v>12</v>
      </c>
      <c r="M2868" s="13">
        <v>736</v>
      </c>
      <c r="N2868" s="13">
        <v>221</v>
      </c>
      <c r="O2868" s="13">
        <v>36</v>
      </c>
      <c r="P2868" s="13">
        <v>2</v>
      </c>
      <c r="Q2868" s="13">
        <v>62</v>
      </c>
      <c r="R2868" s="13">
        <v>0</v>
      </c>
      <c r="S2868" s="13">
        <v>0</v>
      </c>
      <c r="T2868" s="23">
        <v>46247.794189814813</v>
      </c>
      <c r="U2868" s="55">
        <f t="shared" si="132"/>
        <v>1</v>
      </c>
      <c r="V2868" s="55">
        <f t="shared" si="133"/>
        <v>0</v>
      </c>
      <c r="W2868" s="56">
        <f t="shared" si="134"/>
        <v>1830</v>
      </c>
    </row>
    <row r="2869" spans="1:23" x14ac:dyDescent="0.3">
      <c r="A2869" s="13" t="str" cm="1">
        <f t="array" ref="A2869:B2869">INDEX(BenchmarkResults!$B$1:$D$35,SUMPRODUCT((T2869&gt;=BenchmarkResults!$F$3:$F$35)*(mongodb_hardware_log!T2869&lt;BenchmarkResults!$G$3:$G$35)*ROW(BenchmarkResults!$F$3:$F$35)),{1,3})</f>
        <v>q6_inactive_customers</v>
      </c>
      <c r="B2869">
        <v>2</v>
      </c>
      <c r="C2869" s="13">
        <v>1</v>
      </c>
      <c r="D2869" s="13">
        <v>0</v>
      </c>
      <c r="E2869" s="13">
        <v>194560</v>
      </c>
      <c r="F2869" s="13">
        <v>250288</v>
      </c>
      <c r="G2869" s="13">
        <v>7852</v>
      </c>
      <c r="H2869" s="13">
        <v>2137612</v>
      </c>
      <c r="I2869" s="13">
        <v>0</v>
      </c>
      <c r="J2869" s="13">
        <v>0</v>
      </c>
      <c r="K2869" s="13">
        <v>1924</v>
      </c>
      <c r="L2869" s="13">
        <v>1576</v>
      </c>
      <c r="M2869" s="13">
        <v>747</v>
      </c>
      <c r="N2869" s="13">
        <v>229</v>
      </c>
      <c r="O2869" s="13">
        <v>36</v>
      </c>
      <c r="P2869" s="13">
        <v>2</v>
      </c>
      <c r="Q2869" s="13">
        <v>60</v>
      </c>
      <c r="R2869" s="13">
        <v>2</v>
      </c>
      <c r="S2869" s="13">
        <v>0</v>
      </c>
      <c r="T2869" s="23">
        <v>46247.794282407405</v>
      </c>
      <c r="U2869" s="55">
        <f t="shared" si="132"/>
        <v>1</v>
      </c>
      <c r="V2869" s="55">
        <f t="shared" si="133"/>
        <v>0</v>
      </c>
      <c r="W2869" s="56">
        <f t="shared" si="134"/>
        <v>1921.3333333333333</v>
      </c>
    </row>
    <row r="2870" spans="1:23" x14ac:dyDescent="0.3">
      <c r="A2870" s="13" t="str" cm="1">
        <f t="array" ref="A2870:B2870">INDEX(BenchmarkResults!$B$1:$D$35,SUMPRODUCT((T2870&gt;=BenchmarkResults!$F$3:$F$35)*(mongodb_hardware_log!T2870&lt;BenchmarkResults!$G$3:$G$35)*ROW(BenchmarkResults!$F$3:$F$35)),{1,3})</f>
        <v>q6_inactive_customers</v>
      </c>
      <c r="B2870">
        <v>2</v>
      </c>
      <c r="C2870" s="13">
        <v>1</v>
      </c>
      <c r="D2870" s="13">
        <v>0</v>
      </c>
      <c r="E2870" s="13">
        <v>194560</v>
      </c>
      <c r="F2870" s="13">
        <v>250288</v>
      </c>
      <c r="G2870" s="13">
        <v>7860</v>
      </c>
      <c r="H2870" s="13">
        <v>2140756</v>
      </c>
      <c r="I2870" s="13">
        <v>0</v>
      </c>
      <c r="J2870" s="13">
        <v>0</v>
      </c>
      <c r="K2870" s="13">
        <v>1914</v>
      </c>
      <c r="L2870" s="13">
        <v>1583</v>
      </c>
      <c r="M2870" s="13">
        <v>749</v>
      </c>
      <c r="N2870" s="13">
        <v>231</v>
      </c>
      <c r="O2870" s="13">
        <v>36</v>
      </c>
      <c r="P2870" s="13">
        <v>2</v>
      </c>
      <c r="Q2870" s="13">
        <v>60</v>
      </c>
      <c r="R2870" s="13">
        <v>2</v>
      </c>
      <c r="S2870" s="13">
        <v>0</v>
      </c>
      <c r="T2870" s="23">
        <v>46247.794305555559</v>
      </c>
      <c r="U2870" s="55">
        <f t="shared" si="132"/>
        <v>1</v>
      </c>
      <c r="V2870" s="55">
        <f t="shared" si="133"/>
        <v>0</v>
      </c>
      <c r="W2870" s="56">
        <f t="shared" si="134"/>
        <v>1989</v>
      </c>
    </row>
    <row r="2871" spans="1:23" x14ac:dyDescent="0.3">
      <c r="A2871" s="13" t="str" cm="1">
        <f t="array" ref="A2871:B2871">INDEX(BenchmarkResults!$B$1:$D$35,SUMPRODUCT((T2871&gt;=BenchmarkResults!$F$3:$F$35)*(mongodb_hardware_log!T2871&lt;BenchmarkResults!$G$3:$G$35)*ROW(BenchmarkResults!$F$3:$F$35)),{1,3})</f>
        <v>q6_inactive_customers</v>
      </c>
      <c r="B2871">
        <v>2</v>
      </c>
      <c r="C2871" s="13">
        <v>1</v>
      </c>
      <c r="D2871" s="13">
        <v>0</v>
      </c>
      <c r="E2871" s="13">
        <v>194560</v>
      </c>
      <c r="F2871" s="13">
        <v>233908</v>
      </c>
      <c r="G2871" s="13">
        <v>7868</v>
      </c>
      <c r="H2871" s="13">
        <v>2157256</v>
      </c>
      <c r="I2871" s="13">
        <v>0</v>
      </c>
      <c r="J2871" s="13">
        <v>0</v>
      </c>
      <c r="K2871" s="13">
        <v>1960</v>
      </c>
      <c r="L2871" s="13">
        <v>18</v>
      </c>
      <c r="M2871" s="13">
        <v>715</v>
      </c>
      <c r="N2871" s="13">
        <v>199</v>
      </c>
      <c r="O2871" s="13">
        <v>36</v>
      </c>
      <c r="P2871" s="13">
        <v>1</v>
      </c>
      <c r="Q2871" s="13">
        <v>62</v>
      </c>
      <c r="R2871" s="13">
        <v>0</v>
      </c>
      <c r="S2871" s="13">
        <v>0</v>
      </c>
      <c r="T2871" s="23">
        <v>46247.794398148151</v>
      </c>
      <c r="U2871" s="55">
        <f t="shared" si="132"/>
        <v>1</v>
      </c>
      <c r="V2871" s="55">
        <f t="shared" si="133"/>
        <v>0</v>
      </c>
      <c r="W2871" s="56">
        <f t="shared" si="134"/>
        <v>1998.1666666666667</v>
      </c>
    </row>
    <row r="2872" spans="1:23" x14ac:dyDescent="0.3">
      <c r="A2872" s="13" t="str" cm="1">
        <f t="array" ref="A2872:B2872">INDEX(BenchmarkResults!$B$1:$D$35,SUMPRODUCT((T2872&gt;=BenchmarkResults!$F$3:$F$35)*(mongodb_hardware_log!T2872&lt;BenchmarkResults!$G$3:$G$35)*ROW(BenchmarkResults!$F$3:$F$35)),{1,3})</f>
        <v>q6_inactive_customers</v>
      </c>
      <c r="B2872">
        <v>2</v>
      </c>
      <c r="C2872" s="13">
        <v>0</v>
      </c>
      <c r="D2872" s="13">
        <v>1</v>
      </c>
      <c r="E2872" s="13">
        <v>194560</v>
      </c>
      <c r="F2872" s="13">
        <v>230128</v>
      </c>
      <c r="G2872" s="13">
        <v>7868</v>
      </c>
      <c r="H2872" s="13">
        <v>2161396</v>
      </c>
      <c r="I2872" s="13">
        <v>0</v>
      </c>
      <c r="J2872" s="13">
        <v>0</v>
      </c>
      <c r="K2872" s="13">
        <v>2061</v>
      </c>
      <c r="L2872" s="13">
        <v>12</v>
      </c>
      <c r="M2872" s="13">
        <v>720</v>
      </c>
      <c r="N2872" s="13">
        <v>203</v>
      </c>
      <c r="O2872" s="13">
        <v>36</v>
      </c>
      <c r="P2872" s="13">
        <v>2</v>
      </c>
      <c r="Q2872" s="13">
        <v>62</v>
      </c>
      <c r="R2872" s="13">
        <v>0</v>
      </c>
      <c r="S2872" s="13">
        <v>0</v>
      </c>
      <c r="T2872" s="23">
        <v>46247.794421296298</v>
      </c>
      <c r="U2872" s="55">
        <f t="shared" si="132"/>
        <v>0.83333333333333337</v>
      </c>
      <c r="V2872" s="55">
        <f t="shared" si="133"/>
        <v>0.16666666666666666</v>
      </c>
      <c r="W2872" s="56">
        <f t="shared" si="134"/>
        <v>2032.6666666666667</v>
      </c>
    </row>
    <row r="2873" spans="1:23" x14ac:dyDescent="0.3">
      <c r="A2873" s="13" t="str" cm="1">
        <f t="array" ref="A2873:B2873">INDEX(BenchmarkResults!$B$1:$D$35,SUMPRODUCT((T2873&gt;=BenchmarkResults!$F$3:$F$35)*(mongodb_hardware_log!T2873&lt;BenchmarkResults!$G$3:$G$35)*ROW(BenchmarkResults!$F$3:$F$35)),{1,3})</f>
        <v>q6_inactive_customers</v>
      </c>
      <c r="B2873">
        <v>2</v>
      </c>
      <c r="C2873" s="13">
        <v>1</v>
      </c>
      <c r="D2873" s="13">
        <v>0</v>
      </c>
      <c r="E2873" s="13">
        <v>194560</v>
      </c>
      <c r="F2873" s="13">
        <v>202664</v>
      </c>
      <c r="G2873" s="13">
        <v>7876</v>
      </c>
      <c r="H2873" s="13">
        <v>2186000</v>
      </c>
      <c r="I2873" s="13">
        <v>0</v>
      </c>
      <c r="J2873" s="13">
        <v>0</v>
      </c>
      <c r="K2873" s="13">
        <v>1274</v>
      </c>
      <c r="L2873" s="13">
        <v>5</v>
      </c>
      <c r="M2873" s="13">
        <v>702</v>
      </c>
      <c r="N2873" s="13">
        <v>181</v>
      </c>
      <c r="O2873" s="13">
        <v>35</v>
      </c>
      <c r="P2873" s="13">
        <v>1</v>
      </c>
      <c r="Q2873" s="13">
        <v>63</v>
      </c>
      <c r="R2873" s="13">
        <v>0</v>
      </c>
      <c r="S2873" s="13">
        <v>0</v>
      </c>
      <c r="T2873" s="23">
        <v>46247.79451388889</v>
      </c>
      <c r="U2873" s="55">
        <f t="shared" si="132"/>
        <v>0.83333333333333337</v>
      </c>
      <c r="V2873" s="55">
        <f t="shared" si="133"/>
        <v>0.16666666666666666</v>
      </c>
      <c r="W2873" s="56">
        <f t="shared" si="134"/>
        <v>1888.5</v>
      </c>
    </row>
    <row r="2874" spans="1:23" x14ac:dyDescent="0.3">
      <c r="A2874" s="13" t="str" cm="1">
        <f t="array" ref="A2874:B2874">INDEX(BenchmarkResults!$B$1:$D$35,SUMPRODUCT((T2874&gt;=BenchmarkResults!$F$3:$F$35)*(mongodb_hardware_log!T2874&lt;BenchmarkResults!$G$3:$G$35)*ROW(BenchmarkResults!$F$3:$F$35)),{1,3})</f>
        <v>q6_inactive_customers</v>
      </c>
      <c r="B2874">
        <v>2</v>
      </c>
      <c r="C2874" s="13">
        <v>1</v>
      </c>
      <c r="D2874" s="13">
        <v>0</v>
      </c>
      <c r="E2874" s="13">
        <v>194560</v>
      </c>
      <c r="F2874" s="13">
        <v>202664</v>
      </c>
      <c r="G2874" s="13">
        <v>7884</v>
      </c>
      <c r="H2874" s="13">
        <v>2189128</v>
      </c>
      <c r="I2874" s="13">
        <v>0</v>
      </c>
      <c r="J2874" s="13">
        <v>0</v>
      </c>
      <c r="K2874" s="13">
        <v>1177</v>
      </c>
      <c r="L2874" s="13">
        <v>7</v>
      </c>
      <c r="M2874" s="13">
        <v>696</v>
      </c>
      <c r="N2874" s="13">
        <v>177</v>
      </c>
      <c r="O2874" s="13">
        <v>36</v>
      </c>
      <c r="P2874" s="13">
        <v>1</v>
      </c>
      <c r="Q2874" s="13">
        <v>62</v>
      </c>
      <c r="R2874" s="13">
        <v>0</v>
      </c>
      <c r="S2874" s="13">
        <v>0</v>
      </c>
      <c r="T2874" s="23">
        <v>46247.794537037036</v>
      </c>
      <c r="U2874" s="55">
        <f t="shared" si="132"/>
        <v>0.83333333333333337</v>
      </c>
      <c r="V2874" s="55">
        <f t="shared" si="133"/>
        <v>0.16666666666666666</v>
      </c>
      <c r="W2874" s="56">
        <f t="shared" si="134"/>
        <v>1718.3333333333333</v>
      </c>
    </row>
    <row r="2875" spans="1:23" x14ac:dyDescent="0.3">
      <c r="A2875" s="13" t="str" cm="1">
        <f t="array" ref="A2875:B2875">INDEX(BenchmarkResults!$B$1:$D$35,SUMPRODUCT((T2875&gt;=BenchmarkResults!$F$3:$F$35)*(mongodb_hardware_log!T2875&lt;BenchmarkResults!$G$3:$G$35)*ROW(BenchmarkResults!$F$3:$F$35)),{1,3})</f>
        <v>q6_inactive_customers</v>
      </c>
      <c r="B2875">
        <v>2</v>
      </c>
      <c r="C2875" s="13">
        <v>1</v>
      </c>
      <c r="D2875" s="13">
        <v>0</v>
      </c>
      <c r="E2875" s="13">
        <v>194560</v>
      </c>
      <c r="F2875" s="13">
        <v>184520</v>
      </c>
      <c r="G2875" s="13">
        <v>7908</v>
      </c>
      <c r="H2875" s="13">
        <v>2206492</v>
      </c>
      <c r="I2875" s="13">
        <v>0</v>
      </c>
      <c r="J2875" s="13">
        <v>0</v>
      </c>
      <c r="K2875" s="13">
        <v>2051</v>
      </c>
      <c r="L2875" s="13">
        <v>32</v>
      </c>
      <c r="M2875" s="13">
        <v>738</v>
      </c>
      <c r="N2875" s="13">
        <v>226</v>
      </c>
      <c r="O2875" s="13">
        <v>36</v>
      </c>
      <c r="P2875" s="13">
        <v>1</v>
      </c>
      <c r="Q2875" s="13">
        <v>62</v>
      </c>
      <c r="R2875" s="13">
        <v>1</v>
      </c>
      <c r="S2875" s="13">
        <v>0</v>
      </c>
      <c r="T2875" s="23">
        <v>46247.794629629629</v>
      </c>
      <c r="U2875" s="55">
        <f t="shared" si="132"/>
        <v>0.83333333333333337</v>
      </c>
      <c r="V2875" s="55">
        <f t="shared" si="133"/>
        <v>0.16666666666666666</v>
      </c>
      <c r="W2875" s="56">
        <f t="shared" si="134"/>
        <v>1739.5</v>
      </c>
    </row>
    <row r="2876" spans="1:23" x14ac:dyDescent="0.3">
      <c r="A2876" s="13" t="str" cm="1">
        <f t="array" ref="A2876:B2876">INDEX(BenchmarkResults!$B$1:$D$35,SUMPRODUCT((T2876&gt;=BenchmarkResults!$F$3:$F$35)*(mongodb_hardware_log!T2876&lt;BenchmarkResults!$G$3:$G$35)*ROW(BenchmarkResults!$F$3:$F$35)),{1,3})</f>
        <v>q6_inactive_customers</v>
      </c>
      <c r="B2876">
        <v>2</v>
      </c>
      <c r="C2876" s="13">
        <v>1</v>
      </c>
      <c r="D2876" s="13">
        <v>0</v>
      </c>
      <c r="E2876" s="13">
        <v>194560</v>
      </c>
      <c r="F2876" s="13">
        <v>178472</v>
      </c>
      <c r="G2876" s="13">
        <v>7908</v>
      </c>
      <c r="H2876" s="13">
        <v>2209300</v>
      </c>
      <c r="I2876" s="13">
        <v>0</v>
      </c>
      <c r="J2876" s="13">
        <v>0</v>
      </c>
      <c r="K2876" s="13">
        <v>2014</v>
      </c>
      <c r="L2876" s="13">
        <v>30</v>
      </c>
      <c r="M2876" s="13">
        <v>742</v>
      </c>
      <c r="N2876" s="13">
        <v>229</v>
      </c>
      <c r="O2876" s="13">
        <v>36</v>
      </c>
      <c r="P2876" s="13">
        <v>1</v>
      </c>
      <c r="Q2876" s="13">
        <v>62</v>
      </c>
      <c r="R2876" s="13">
        <v>0</v>
      </c>
      <c r="S2876" s="13">
        <v>0</v>
      </c>
      <c r="T2876" s="23">
        <v>46247.794652777775</v>
      </c>
      <c r="U2876" s="55">
        <f t="shared" si="132"/>
        <v>0.83333333333333337</v>
      </c>
      <c r="V2876" s="55">
        <f t="shared" si="133"/>
        <v>0.16666666666666666</v>
      </c>
      <c r="W2876" s="56">
        <f t="shared" si="134"/>
        <v>1756.1666666666667</v>
      </c>
    </row>
    <row r="2877" spans="1:23" x14ac:dyDescent="0.3">
      <c r="A2877" s="13" t="str" cm="1">
        <f t="array" ref="A2877:B2877">INDEX(BenchmarkResults!$B$1:$D$35,SUMPRODUCT((T2877&gt;=BenchmarkResults!$F$3:$F$35)*(mongodb_hardware_log!T2877&lt;BenchmarkResults!$G$3:$G$35)*ROW(BenchmarkResults!$F$3:$F$35)),{1,3})</f>
        <v>q6_inactive_customers</v>
      </c>
      <c r="B2877">
        <v>2</v>
      </c>
      <c r="C2877" s="13">
        <v>1</v>
      </c>
      <c r="D2877" s="13">
        <v>0</v>
      </c>
      <c r="E2877" s="13">
        <v>194560</v>
      </c>
      <c r="F2877" s="13">
        <v>163352</v>
      </c>
      <c r="G2877" s="13">
        <v>7916</v>
      </c>
      <c r="H2877" s="13">
        <v>2225248</v>
      </c>
      <c r="I2877" s="13">
        <v>0</v>
      </c>
      <c r="J2877" s="13">
        <v>0</v>
      </c>
      <c r="K2877" s="13">
        <v>1869</v>
      </c>
      <c r="L2877" s="13">
        <v>5</v>
      </c>
      <c r="M2877" s="13">
        <v>741</v>
      </c>
      <c r="N2877" s="13">
        <v>234</v>
      </c>
      <c r="O2877" s="13">
        <v>36</v>
      </c>
      <c r="P2877" s="13">
        <v>1</v>
      </c>
      <c r="Q2877" s="13">
        <v>62</v>
      </c>
      <c r="R2877" s="13">
        <v>1</v>
      </c>
      <c r="S2877" s="13">
        <v>0</v>
      </c>
      <c r="T2877" s="23">
        <v>46247.794745370367</v>
      </c>
      <c r="U2877" s="55">
        <f t="shared" si="132"/>
        <v>0.83333333333333337</v>
      </c>
      <c r="V2877" s="55">
        <f t="shared" si="133"/>
        <v>0.16666666666666666</v>
      </c>
      <c r="W2877" s="56">
        <f t="shared" si="134"/>
        <v>1741</v>
      </c>
    </row>
    <row r="2878" spans="1:23" x14ac:dyDescent="0.3">
      <c r="A2878" s="13" t="str" cm="1">
        <f t="array" ref="A2878:B2878">INDEX(BenchmarkResults!$B$1:$D$35,SUMPRODUCT((T2878&gt;=BenchmarkResults!$F$3:$F$35)*(mongodb_hardware_log!T2878&lt;BenchmarkResults!$G$3:$G$35)*ROW(BenchmarkResults!$F$3:$F$35)),{1,3})</f>
        <v>q6_inactive_customers</v>
      </c>
      <c r="B2878">
        <v>2</v>
      </c>
      <c r="C2878" s="13">
        <v>1</v>
      </c>
      <c r="D2878" s="13">
        <v>0</v>
      </c>
      <c r="E2878" s="13">
        <v>194560</v>
      </c>
      <c r="F2878" s="13">
        <v>162596</v>
      </c>
      <c r="G2878" s="13">
        <v>7916</v>
      </c>
      <c r="H2878" s="13">
        <v>2229320</v>
      </c>
      <c r="I2878" s="13">
        <v>0</v>
      </c>
      <c r="J2878" s="13">
        <v>0</v>
      </c>
      <c r="K2878" s="13">
        <v>2005</v>
      </c>
      <c r="L2878" s="13">
        <v>5</v>
      </c>
      <c r="M2878" s="13">
        <v>744</v>
      </c>
      <c r="N2878" s="13">
        <v>236</v>
      </c>
      <c r="O2878" s="13">
        <v>36</v>
      </c>
      <c r="P2878" s="13">
        <v>1</v>
      </c>
      <c r="Q2878" s="13">
        <v>62</v>
      </c>
      <c r="R2878" s="13">
        <v>1</v>
      </c>
      <c r="S2878" s="13">
        <v>0</v>
      </c>
      <c r="T2878" s="23">
        <v>46247.794768518521</v>
      </c>
      <c r="U2878" s="55">
        <f t="shared" si="132"/>
        <v>1</v>
      </c>
      <c r="V2878" s="55">
        <f t="shared" si="133"/>
        <v>0</v>
      </c>
      <c r="W2878" s="56">
        <f t="shared" si="134"/>
        <v>1731.6666666666667</v>
      </c>
    </row>
    <row r="2879" spans="1:23" x14ac:dyDescent="0.3">
      <c r="A2879" s="13" t="str" cm="1">
        <f t="array" ref="A2879:B2879">INDEX(BenchmarkResults!$B$1:$D$35,SUMPRODUCT((T2879&gt;=BenchmarkResults!$F$3:$F$35)*(mongodb_hardware_log!T2879&lt;BenchmarkResults!$G$3:$G$35)*ROW(BenchmarkResults!$F$3:$F$35)),{1,3})</f>
        <v>q6_inactive_customers</v>
      </c>
      <c r="B2879">
        <v>2</v>
      </c>
      <c r="C2879" s="13">
        <v>1</v>
      </c>
      <c r="D2879" s="13">
        <v>0</v>
      </c>
      <c r="E2879" s="13">
        <v>194560</v>
      </c>
      <c r="F2879" s="13">
        <v>144704</v>
      </c>
      <c r="G2879" s="13">
        <v>7932</v>
      </c>
      <c r="H2879" s="13">
        <v>2247708</v>
      </c>
      <c r="I2879" s="13">
        <v>0</v>
      </c>
      <c r="J2879" s="13">
        <v>0</v>
      </c>
      <c r="K2879" s="13">
        <v>2244</v>
      </c>
      <c r="L2879" s="13">
        <v>1578</v>
      </c>
      <c r="M2879" s="13">
        <v>783</v>
      </c>
      <c r="N2879" s="13">
        <v>266</v>
      </c>
      <c r="O2879" s="13">
        <v>36</v>
      </c>
      <c r="P2879" s="13">
        <v>1</v>
      </c>
      <c r="Q2879" s="13">
        <v>60</v>
      </c>
      <c r="R2879" s="13">
        <v>2</v>
      </c>
      <c r="S2879" s="13">
        <v>0</v>
      </c>
      <c r="T2879" s="23">
        <v>46247.794861111113</v>
      </c>
      <c r="U2879" s="55">
        <f t="shared" si="132"/>
        <v>1</v>
      </c>
      <c r="V2879" s="55">
        <f t="shared" si="133"/>
        <v>0</v>
      </c>
      <c r="W2879" s="56">
        <f t="shared" si="134"/>
        <v>1893.3333333333333</v>
      </c>
    </row>
    <row r="2880" spans="1:23" x14ac:dyDescent="0.3">
      <c r="A2880" s="13" t="str" cm="1">
        <f t="array" ref="A2880:B2880">INDEX(BenchmarkResults!$B$1:$D$35,SUMPRODUCT((T2880&gt;=BenchmarkResults!$F$3:$F$35)*(mongodb_hardware_log!T2880&lt;BenchmarkResults!$G$3:$G$35)*ROW(BenchmarkResults!$F$3:$F$35)),{1,3})</f>
        <v>q6_inactive_customers</v>
      </c>
      <c r="B2880">
        <v>2</v>
      </c>
      <c r="C2880" s="13">
        <v>1</v>
      </c>
      <c r="D2880" s="13">
        <v>0</v>
      </c>
      <c r="E2880" s="13">
        <v>194560</v>
      </c>
      <c r="F2880" s="13">
        <v>140672</v>
      </c>
      <c r="G2880" s="13">
        <v>7932</v>
      </c>
      <c r="H2880" s="13">
        <v>2250740</v>
      </c>
      <c r="I2880" s="13">
        <v>0</v>
      </c>
      <c r="J2880" s="13">
        <v>0</v>
      </c>
      <c r="K2880" s="13">
        <v>2133</v>
      </c>
      <c r="L2880" s="13">
        <v>1578</v>
      </c>
      <c r="M2880" s="13">
        <v>819</v>
      </c>
      <c r="N2880" s="13">
        <v>306</v>
      </c>
      <c r="O2880" s="13">
        <v>36</v>
      </c>
      <c r="P2880" s="13">
        <v>2</v>
      </c>
      <c r="Q2880" s="13">
        <v>60</v>
      </c>
      <c r="R2880" s="13">
        <v>2</v>
      </c>
      <c r="S2880" s="13">
        <v>0</v>
      </c>
      <c r="T2880" s="23">
        <v>46247.79488425926</v>
      </c>
      <c r="U2880" s="55">
        <f t="shared" si="132"/>
        <v>1</v>
      </c>
      <c r="V2880" s="55">
        <f t="shared" si="133"/>
        <v>0</v>
      </c>
      <c r="W2880" s="56">
        <f t="shared" si="134"/>
        <v>2052.6666666666665</v>
      </c>
    </row>
    <row r="2881" spans="1:23" x14ac:dyDescent="0.3">
      <c r="A2881" s="13" t="str" cm="1">
        <f t="array" ref="A2881:B2881">INDEX(BenchmarkResults!$B$1:$D$35,SUMPRODUCT((T2881&gt;=BenchmarkResults!$F$3:$F$35)*(mongodb_hardware_log!T2881&lt;BenchmarkResults!$G$3:$G$35)*ROW(BenchmarkResults!$F$3:$F$35)),{1,3})</f>
        <v>q6_inactive_customers</v>
      </c>
      <c r="B2881">
        <v>2</v>
      </c>
      <c r="C2881" s="13">
        <v>1</v>
      </c>
      <c r="D2881" s="13">
        <v>0</v>
      </c>
      <c r="E2881" s="13">
        <v>194560</v>
      </c>
      <c r="F2881" s="13">
        <v>125300</v>
      </c>
      <c r="G2881" s="13">
        <v>7940</v>
      </c>
      <c r="H2881" s="13">
        <v>2266648</v>
      </c>
      <c r="I2881" s="13">
        <v>0</v>
      </c>
      <c r="J2881" s="13">
        <v>0</v>
      </c>
      <c r="K2881" s="13">
        <v>1901</v>
      </c>
      <c r="L2881" s="13">
        <v>8</v>
      </c>
      <c r="M2881" s="13">
        <v>772</v>
      </c>
      <c r="N2881" s="13">
        <v>263</v>
      </c>
      <c r="O2881" s="13">
        <v>36</v>
      </c>
      <c r="P2881" s="13">
        <v>1</v>
      </c>
      <c r="Q2881" s="13">
        <v>62</v>
      </c>
      <c r="R2881" s="13">
        <v>1</v>
      </c>
      <c r="S2881" s="13">
        <v>0</v>
      </c>
      <c r="T2881" s="23">
        <v>46247.794976851852</v>
      </c>
      <c r="U2881" s="55">
        <f t="shared" si="132"/>
        <v>1</v>
      </c>
      <c r="V2881" s="55">
        <f t="shared" si="133"/>
        <v>0</v>
      </c>
      <c r="W2881" s="56">
        <f t="shared" si="134"/>
        <v>2027.6666666666667</v>
      </c>
    </row>
    <row r="2882" spans="1:23" x14ac:dyDescent="0.3">
      <c r="A2882" s="13" t="str" cm="1">
        <f t="array" ref="A2882:B2882">INDEX(BenchmarkResults!$B$1:$D$35,SUMPRODUCT((T2882&gt;=BenchmarkResults!$F$3:$F$35)*(mongodb_hardware_log!T2882&lt;BenchmarkResults!$G$3:$G$35)*ROW(BenchmarkResults!$F$3:$F$35)),{1,3})</f>
        <v>q6_inactive_customers</v>
      </c>
      <c r="B2882">
        <v>2</v>
      </c>
      <c r="C2882" s="13">
        <v>1</v>
      </c>
      <c r="D2882" s="13">
        <v>0</v>
      </c>
      <c r="E2882" s="13">
        <v>194560</v>
      </c>
      <c r="F2882" s="13">
        <v>117236</v>
      </c>
      <c r="G2882" s="13">
        <v>7940</v>
      </c>
      <c r="H2882" s="13">
        <v>2270132</v>
      </c>
      <c r="I2882" s="13">
        <v>0</v>
      </c>
      <c r="J2882" s="13">
        <v>0</v>
      </c>
      <c r="K2882" s="13">
        <v>1940</v>
      </c>
      <c r="L2882" s="13">
        <v>8</v>
      </c>
      <c r="M2882" s="13">
        <v>729</v>
      </c>
      <c r="N2882" s="13">
        <v>217</v>
      </c>
      <c r="O2882" s="13">
        <v>36</v>
      </c>
      <c r="P2882" s="13">
        <v>1</v>
      </c>
      <c r="Q2882" s="13">
        <v>62</v>
      </c>
      <c r="R2882" s="13">
        <v>1</v>
      </c>
      <c r="S2882" s="13">
        <v>0</v>
      </c>
      <c r="T2882" s="23">
        <v>46247.794999999998</v>
      </c>
      <c r="U2882" s="55">
        <f t="shared" si="132"/>
        <v>1</v>
      </c>
      <c r="V2882" s="55">
        <f t="shared" si="133"/>
        <v>0</v>
      </c>
      <c r="W2882" s="56">
        <f t="shared" si="134"/>
        <v>2015.3333333333333</v>
      </c>
    </row>
    <row r="2883" spans="1:23" x14ac:dyDescent="0.3">
      <c r="A2883" s="13" t="str" cm="1">
        <f t="array" ref="A2883:B2883">INDEX(BenchmarkResults!$B$1:$D$35,SUMPRODUCT((T2883&gt;=BenchmarkResults!$F$3:$F$35)*(mongodb_hardware_log!T2883&lt;BenchmarkResults!$G$3:$G$35)*ROW(BenchmarkResults!$F$3:$F$35)),{1,3})</f>
        <v>q6_inactive_customers</v>
      </c>
      <c r="B2883">
        <v>2</v>
      </c>
      <c r="C2883" s="13">
        <v>1</v>
      </c>
      <c r="D2883" s="13">
        <v>0</v>
      </c>
      <c r="E2883" s="13">
        <v>194560</v>
      </c>
      <c r="F2883" s="13">
        <v>159024</v>
      </c>
      <c r="G2883" s="13">
        <v>7948</v>
      </c>
      <c r="H2883" s="13">
        <v>2238352</v>
      </c>
      <c r="I2883" s="13">
        <v>0</v>
      </c>
      <c r="J2883" s="13">
        <v>0</v>
      </c>
      <c r="K2883" s="13">
        <v>1574</v>
      </c>
      <c r="L2883" s="13">
        <v>17</v>
      </c>
      <c r="M2883" s="13">
        <v>695</v>
      </c>
      <c r="N2883" s="13">
        <v>184</v>
      </c>
      <c r="O2883" s="13">
        <v>37</v>
      </c>
      <c r="P2883" s="13">
        <v>1</v>
      </c>
      <c r="Q2883" s="13">
        <v>62</v>
      </c>
      <c r="R2883" s="13">
        <v>0</v>
      </c>
      <c r="S2883" s="13">
        <v>0</v>
      </c>
      <c r="T2883" s="23">
        <v>46247.795092592591</v>
      </c>
      <c r="U2883" s="55">
        <f t="shared" si="132"/>
        <v>1</v>
      </c>
      <c r="V2883" s="55">
        <f t="shared" si="133"/>
        <v>0</v>
      </c>
      <c r="W2883" s="56">
        <f t="shared" si="134"/>
        <v>1966.1666666666667</v>
      </c>
    </row>
    <row r="2884" spans="1:23" x14ac:dyDescent="0.3">
      <c r="A2884" s="13" t="str" cm="1">
        <f t="array" ref="A2884:B2884">INDEX(BenchmarkResults!$B$1:$D$35,SUMPRODUCT((T2884&gt;=BenchmarkResults!$F$3:$F$35)*(mongodb_hardware_log!T2884&lt;BenchmarkResults!$G$3:$G$35)*ROW(BenchmarkResults!$F$3:$F$35)),{1,3})</f>
        <v>q6_inactive_customers</v>
      </c>
      <c r="B2884">
        <v>2</v>
      </c>
      <c r="C2884" s="13">
        <v>1</v>
      </c>
      <c r="D2884" s="13">
        <v>0</v>
      </c>
      <c r="E2884" s="13">
        <v>194560</v>
      </c>
      <c r="F2884" s="13">
        <v>145948</v>
      </c>
      <c r="G2884" s="13">
        <v>7956</v>
      </c>
      <c r="H2884" s="13">
        <v>2245816</v>
      </c>
      <c r="I2884" s="13">
        <v>0</v>
      </c>
      <c r="J2884" s="13">
        <v>0</v>
      </c>
      <c r="K2884" s="13">
        <v>1510</v>
      </c>
      <c r="L2884" s="13">
        <v>23</v>
      </c>
      <c r="M2884" s="13">
        <v>687</v>
      </c>
      <c r="N2884" s="13">
        <v>178</v>
      </c>
      <c r="O2884" s="13">
        <v>36</v>
      </c>
      <c r="P2884" s="13">
        <v>1</v>
      </c>
      <c r="Q2884" s="13">
        <v>62</v>
      </c>
      <c r="R2884" s="13">
        <v>0</v>
      </c>
      <c r="S2884" s="13">
        <v>0</v>
      </c>
      <c r="T2884" s="23">
        <v>46247.795115740744</v>
      </c>
      <c r="U2884" s="55">
        <f t="shared" si="132"/>
        <v>1</v>
      </c>
      <c r="V2884" s="55">
        <f t="shared" si="133"/>
        <v>0</v>
      </c>
      <c r="W2884" s="56">
        <f t="shared" si="134"/>
        <v>1883.6666666666667</v>
      </c>
    </row>
    <row r="2885" spans="1:23" x14ac:dyDescent="0.3">
      <c r="A2885" s="13" t="str" cm="1">
        <f t="array" ref="A2885:B2885">INDEX(BenchmarkResults!$B$1:$D$35,SUMPRODUCT((T2885&gt;=BenchmarkResults!$F$3:$F$35)*(mongodb_hardware_log!T2885&lt;BenchmarkResults!$G$3:$G$35)*ROW(BenchmarkResults!$F$3:$F$35)),{1,3})</f>
        <v>q6_inactive_customers</v>
      </c>
      <c r="B2885">
        <v>2</v>
      </c>
      <c r="C2885" s="13">
        <v>1</v>
      </c>
      <c r="D2885" s="13">
        <v>0</v>
      </c>
      <c r="E2885" s="13">
        <v>194560</v>
      </c>
      <c r="F2885" s="13">
        <v>138864</v>
      </c>
      <c r="G2885" s="13">
        <v>7972</v>
      </c>
      <c r="H2885" s="13">
        <v>2258700</v>
      </c>
      <c r="I2885" s="13">
        <v>0</v>
      </c>
      <c r="J2885" s="13">
        <v>0</v>
      </c>
      <c r="K2885" s="13">
        <v>1572</v>
      </c>
      <c r="L2885" s="13">
        <v>33</v>
      </c>
      <c r="M2885" s="13">
        <v>740</v>
      </c>
      <c r="N2885" s="13">
        <v>216</v>
      </c>
      <c r="O2885" s="13">
        <v>36</v>
      </c>
      <c r="P2885" s="13">
        <v>1</v>
      </c>
      <c r="Q2885" s="13">
        <v>61</v>
      </c>
      <c r="R2885" s="13">
        <v>0</v>
      </c>
      <c r="S2885" s="13">
        <v>2</v>
      </c>
      <c r="T2885" s="23">
        <v>46247.795208333337</v>
      </c>
      <c r="U2885" s="55">
        <f t="shared" si="132"/>
        <v>1</v>
      </c>
      <c r="V2885" s="55">
        <f t="shared" si="133"/>
        <v>0</v>
      </c>
      <c r="W2885" s="56">
        <f t="shared" si="134"/>
        <v>1771.6666666666667</v>
      </c>
    </row>
    <row r="2886" spans="1:23" x14ac:dyDescent="0.3">
      <c r="A2886" s="13" t="str" cm="1">
        <f t="array" ref="A2886:B2886">INDEX(BenchmarkResults!$B$1:$D$35,SUMPRODUCT((T2886&gt;=BenchmarkResults!$F$3:$F$35)*(mongodb_hardware_log!T2886&lt;BenchmarkResults!$G$3:$G$35)*ROW(BenchmarkResults!$F$3:$F$35)),{1,3})</f>
        <v>q6_inactive_customers</v>
      </c>
      <c r="B2886">
        <v>2</v>
      </c>
      <c r="C2886" s="13">
        <v>4</v>
      </c>
      <c r="D2886" s="13">
        <v>0</v>
      </c>
      <c r="E2886" s="13">
        <v>194560</v>
      </c>
      <c r="F2886" s="13">
        <v>137100</v>
      </c>
      <c r="G2886" s="13">
        <v>7972</v>
      </c>
      <c r="H2886" s="13">
        <v>2261248</v>
      </c>
      <c r="I2886" s="13">
        <v>0</v>
      </c>
      <c r="J2886" s="13">
        <v>0</v>
      </c>
      <c r="K2886" s="13">
        <v>1548</v>
      </c>
      <c r="L2886" s="13">
        <v>27</v>
      </c>
      <c r="M2886" s="13">
        <v>751</v>
      </c>
      <c r="N2886" s="13">
        <v>224</v>
      </c>
      <c r="O2886" s="13">
        <v>36</v>
      </c>
      <c r="P2886" s="13">
        <v>1</v>
      </c>
      <c r="Q2886" s="13">
        <v>61</v>
      </c>
      <c r="R2886" s="13">
        <v>0</v>
      </c>
      <c r="S2886" s="13">
        <v>2</v>
      </c>
      <c r="T2886" s="23">
        <v>46247.795231481483</v>
      </c>
      <c r="U2886" s="55">
        <f t="shared" si="132"/>
        <v>1.5</v>
      </c>
      <c r="V2886" s="55">
        <f t="shared" si="133"/>
        <v>0</v>
      </c>
      <c r="W2886" s="56">
        <f t="shared" si="134"/>
        <v>1674.1666666666667</v>
      </c>
    </row>
    <row r="2887" spans="1:23" x14ac:dyDescent="0.3">
      <c r="A2887" s="13" t="str" cm="1">
        <f t="array" ref="A2887:B2887">INDEX(BenchmarkResults!$B$1:$D$35,SUMPRODUCT((T2887&gt;=BenchmarkResults!$F$3:$F$35)*(mongodb_hardware_log!T2887&lt;BenchmarkResults!$G$3:$G$35)*ROW(BenchmarkResults!$F$3:$F$35)),{1,3})</f>
        <v>q6_inactive_customers</v>
      </c>
      <c r="B2887">
        <v>2</v>
      </c>
      <c r="C2887" s="13">
        <v>1</v>
      </c>
      <c r="D2887" s="13">
        <v>0</v>
      </c>
      <c r="E2887" s="13">
        <v>194560</v>
      </c>
      <c r="F2887" s="13">
        <v>115176</v>
      </c>
      <c r="G2887" s="13">
        <v>8004</v>
      </c>
      <c r="H2887" s="13">
        <v>2277928</v>
      </c>
      <c r="I2887" s="13">
        <v>0</v>
      </c>
      <c r="J2887" s="13">
        <v>0</v>
      </c>
      <c r="K2887" s="13">
        <v>1918</v>
      </c>
      <c r="L2887" s="13">
        <v>24</v>
      </c>
      <c r="M2887" s="13">
        <v>738</v>
      </c>
      <c r="N2887" s="13">
        <v>223</v>
      </c>
      <c r="O2887" s="13">
        <v>35</v>
      </c>
      <c r="P2887" s="13">
        <v>1</v>
      </c>
      <c r="Q2887" s="13">
        <v>62</v>
      </c>
      <c r="R2887" s="13">
        <v>1</v>
      </c>
      <c r="S2887" s="13">
        <v>1</v>
      </c>
      <c r="T2887" s="23">
        <v>46247.795324074075</v>
      </c>
      <c r="U2887" s="55">
        <f t="shared" si="132"/>
        <v>1.5</v>
      </c>
      <c r="V2887" s="55">
        <f t="shared" si="133"/>
        <v>0</v>
      </c>
      <c r="W2887" s="56">
        <f t="shared" si="134"/>
        <v>1677</v>
      </c>
    </row>
    <row r="2888" spans="1:23" x14ac:dyDescent="0.3">
      <c r="A2888" s="13" t="str" cm="1">
        <f t="array" ref="A2888:B2888">INDEX(BenchmarkResults!$B$1:$D$35,SUMPRODUCT((T2888&gt;=BenchmarkResults!$F$3:$F$35)*(mongodb_hardware_log!T2888&lt;BenchmarkResults!$G$3:$G$35)*ROW(BenchmarkResults!$F$3:$F$35)),{1,3})</f>
        <v>q6_inactive_customers</v>
      </c>
      <c r="B2888">
        <v>2</v>
      </c>
      <c r="C2888" s="13">
        <v>2</v>
      </c>
      <c r="D2888" s="13">
        <v>0</v>
      </c>
      <c r="E2888" s="13">
        <v>194560</v>
      </c>
      <c r="F2888" s="13">
        <v>115176</v>
      </c>
      <c r="G2888" s="13">
        <v>8004</v>
      </c>
      <c r="H2888" s="13">
        <v>2279944</v>
      </c>
      <c r="I2888" s="13">
        <v>0</v>
      </c>
      <c r="J2888" s="13">
        <v>0</v>
      </c>
      <c r="K2888" s="13">
        <v>1865</v>
      </c>
      <c r="L2888" s="13">
        <v>24</v>
      </c>
      <c r="M2888" s="13">
        <v>731</v>
      </c>
      <c r="N2888" s="13">
        <v>219</v>
      </c>
      <c r="O2888" s="13">
        <v>36</v>
      </c>
      <c r="P2888" s="13">
        <v>1</v>
      </c>
      <c r="Q2888" s="13">
        <v>61</v>
      </c>
      <c r="R2888" s="13">
        <v>1</v>
      </c>
      <c r="S2888" s="13">
        <v>1</v>
      </c>
      <c r="T2888" s="23">
        <v>46247.795347222222</v>
      </c>
      <c r="U2888" s="55">
        <f t="shared" si="132"/>
        <v>1.6666666666666667</v>
      </c>
      <c r="V2888" s="55">
        <f t="shared" si="133"/>
        <v>0</v>
      </c>
      <c r="W2888" s="56">
        <f t="shared" si="134"/>
        <v>1664.5</v>
      </c>
    </row>
    <row r="2889" spans="1:23" x14ac:dyDescent="0.3">
      <c r="A2889" s="13" t="str" cm="1">
        <f t="array" ref="A2889:B2889">INDEX(BenchmarkResults!$B$1:$D$35,SUMPRODUCT((T2889&gt;=BenchmarkResults!$F$3:$F$35)*(mongodb_hardware_log!T2889&lt;BenchmarkResults!$G$3:$G$35)*ROW(BenchmarkResults!$F$3:$F$35)),{1,3})</f>
        <v>q6_inactive_customers</v>
      </c>
      <c r="B2889">
        <v>2</v>
      </c>
      <c r="C2889" s="13">
        <v>2</v>
      </c>
      <c r="D2889" s="13">
        <v>0</v>
      </c>
      <c r="E2889" s="13">
        <v>194560</v>
      </c>
      <c r="F2889" s="13">
        <v>146436</v>
      </c>
      <c r="G2889" s="13">
        <v>8012</v>
      </c>
      <c r="H2889" s="13">
        <v>2252156</v>
      </c>
      <c r="I2889" s="13">
        <v>2</v>
      </c>
      <c r="J2889" s="13">
        <v>0</v>
      </c>
      <c r="K2889" s="13">
        <v>1874</v>
      </c>
      <c r="L2889" s="13">
        <v>6</v>
      </c>
      <c r="M2889" s="13">
        <v>723</v>
      </c>
      <c r="N2889" s="13">
        <v>222</v>
      </c>
      <c r="O2889" s="13">
        <v>37</v>
      </c>
      <c r="P2889" s="13">
        <v>1</v>
      </c>
      <c r="Q2889" s="13">
        <v>62</v>
      </c>
      <c r="R2889" s="13">
        <v>0</v>
      </c>
      <c r="S2889" s="13">
        <v>0</v>
      </c>
      <c r="T2889" s="23">
        <v>46247.795439814814</v>
      </c>
      <c r="U2889" s="55">
        <f t="shared" ref="U2889:U2952" si="135">AVERAGE(C2884:C2889)</f>
        <v>1.8333333333333333</v>
      </c>
      <c r="V2889" s="55">
        <f t="shared" ref="V2889:V2952" si="136">AVERAGE(D2884:D2889)</f>
        <v>0</v>
      </c>
      <c r="W2889" s="56">
        <f t="shared" ref="W2889:W2952" si="137">AVERAGE(K2884:K2889)</f>
        <v>1714.5</v>
      </c>
    </row>
    <row r="2890" spans="1:23" x14ac:dyDescent="0.3">
      <c r="A2890" s="13" t="str" cm="1">
        <f t="array" ref="A2890:B2890">INDEX(BenchmarkResults!$B$1:$D$35,SUMPRODUCT((T2890&gt;=BenchmarkResults!$F$3:$F$35)*(mongodb_hardware_log!T2890&lt;BenchmarkResults!$G$3:$G$35)*ROW(BenchmarkResults!$F$3:$F$35)),{1,3})</f>
        <v>q6_inactive_customers</v>
      </c>
      <c r="B2890">
        <v>2</v>
      </c>
      <c r="C2890" s="13">
        <v>3</v>
      </c>
      <c r="D2890" s="13">
        <v>0</v>
      </c>
      <c r="E2890" s="13">
        <v>194560</v>
      </c>
      <c r="F2890" s="13">
        <v>137616</v>
      </c>
      <c r="G2890" s="13">
        <v>8020</v>
      </c>
      <c r="H2890" s="13">
        <v>2255940</v>
      </c>
      <c r="I2890" s="13">
        <v>2</v>
      </c>
      <c r="J2890" s="13">
        <v>0</v>
      </c>
      <c r="K2890" s="13">
        <v>2058</v>
      </c>
      <c r="L2890" s="13">
        <v>1574</v>
      </c>
      <c r="M2890" s="13">
        <v>734</v>
      </c>
      <c r="N2890" s="13">
        <v>232</v>
      </c>
      <c r="O2890" s="13">
        <v>37</v>
      </c>
      <c r="P2890" s="13">
        <v>1</v>
      </c>
      <c r="Q2890" s="13">
        <v>61</v>
      </c>
      <c r="R2890" s="13">
        <v>1</v>
      </c>
      <c r="S2890" s="13">
        <v>0</v>
      </c>
      <c r="T2890" s="23">
        <v>46247.79546296296</v>
      </c>
      <c r="U2890" s="55">
        <f t="shared" si="135"/>
        <v>2.1666666666666665</v>
      </c>
      <c r="V2890" s="55">
        <f t="shared" si="136"/>
        <v>0</v>
      </c>
      <c r="W2890" s="56">
        <f t="shared" si="137"/>
        <v>1805.8333333333333</v>
      </c>
    </row>
    <row r="2891" spans="1:23" x14ac:dyDescent="0.3">
      <c r="A2891" s="13" t="str" cm="1">
        <f t="array" ref="A2891:B2891">INDEX(BenchmarkResults!$B$1:$D$35,SUMPRODUCT((T2891&gt;=BenchmarkResults!$F$3:$F$35)*(mongodb_hardware_log!T2891&lt;BenchmarkResults!$G$3:$G$35)*ROW(BenchmarkResults!$F$3:$F$35)),{1,3})</f>
        <v>q6_inactive_customers</v>
      </c>
      <c r="B2891">
        <v>2</v>
      </c>
      <c r="C2891" s="13">
        <v>1</v>
      </c>
      <c r="D2891" s="13">
        <v>0</v>
      </c>
      <c r="E2891" s="13">
        <v>194560</v>
      </c>
      <c r="F2891" s="13">
        <v>121992</v>
      </c>
      <c r="G2891" s="13">
        <v>8028</v>
      </c>
      <c r="H2891" s="13">
        <v>2272640</v>
      </c>
      <c r="I2891" s="13">
        <v>0</v>
      </c>
      <c r="J2891" s="13">
        <v>0</v>
      </c>
      <c r="K2891" s="13">
        <v>2051</v>
      </c>
      <c r="L2891" s="13">
        <v>1583</v>
      </c>
      <c r="M2891" s="13">
        <v>724</v>
      </c>
      <c r="N2891" s="13">
        <v>214</v>
      </c>
      <c r="O2891" s="13">
        <v>37</v>
      </c>
      <c r="P2891" s="13">
        <v>1</v>
      </c>
      <c r="Q2891" s="13">
        <v>60</v>
      </c>
      <c r="R2891" s="13">
        <v>1</v>
      </c>
      <c r="S2891" s="13">
        <v>0</v>
      </c>
      <c r="T2891" s="23">
        <v>46247.795555555553</v>
      </c>
      <c r="U2891" s="55">
        <f t="shared" si="135"/>
        <v>2.1666666666666665</v>
      </c>
      <c r="V2891" s="55">
        <f t="shared" si="136"/>
        <v>0</v>
      </c>
      <c r="W2891" s="56">
        <f t="shared" si="137"/>
        <v>1885.6666666666667</v>
      </c>
    </row>
    <row r="2892" spans="1:23" x14ac:dyDescent="0.3">
      <c r="A2892" s="13" t="str" cm="1">
        <f t="array" ref="A2892:B2892">INDEX(BenchmarkResults!$B$1:$D$35,SUMPRODUCT((T2892&gt;=BenchmarkResults!$F$3:$F$35)*(mongodb_hardware_log!T2892&lt;BenchmarkResults!$G$3:$G$35)*ROW(BenchmarkResults!$F$3:$F$35)),{1,3})</f>
        <v>q6_inactive_customers</v>
      </c>
      <c r="B2892">
        <v>2</v>
      </c>
      <c r="C2892" s="13">
        <v>1</v>
      </c>
      <c r="D2892" s="13">
        <v>0</v>
      </c>
      <c r="E2892" s="13">
        <v>194560</v>
      </c>
      <c r="F2892" s="13">
        <v>113928</v>
      </c>
      <c r="G2892" s="13">
        <v>8028</v>
      </c>
      <c r="H2892" s="13">
        <v>2276336</v>
      </c>
      <c r="I2892" s="13">
        <v>0</v>
      </c>
      <c r="J2892" s="13">
        <v>0</v>
      </c>
      <c r="K2892" s="13">
        <v>2037</v>
      </c>
      <c r="L2892" s="13">
        <v>14</v>
      </c>
      <c r="M2892" s="13">
        <v>714</v>
      </c>
      <c r="N2892" s="13">
        <v>202</v>
      </c>
      <c r="O2892" s="13">
        <v>37</v>
      </c>
      <c r="P2892" s="13">
        <v>1</v>
      </c>
      <c r="Q2892" s="13">
        <v>62</v>
      </c>
      <c r="R2892" s="13">
        <v>0</v>
      </c>
      <c r="S2892" s="13">
        <v>0</v>
      </c>
      <c r="T2892" s="23">
        <v>46247.795578703706</v>
      </c>
      <c r="U2892" s="55">
        <f t="shared" si="135"/>
        <v>1.6666666666666667</v>
      </c>
      <c r="V2892" s="55">
        <f t="shared" si="136"/>
        <v>0</v>
      </c>
      <c r="W2892" s="56">
        <f t="shared" si="137"/>
        <v>1967.1666666666667</v>
      </c>
    </row>
    <row r="2893" spans="1:23" x14ac:dyDescent="0.3">
      <c r="A2893" s="13" t="str" cm="1">
        <f t="array" ref="A2893:B2893">INDEX(BenchmarkResults!$B$1:$D$35,SUMPRODUCT((T2893&gt;=BenchmarkResults!$F$3:$F$35)*(mongodb_hardware_log!T2893&lt;BenchmarkResults!$G$3:$G$35)*ROW(BenchmarkResults!$F$3:$F$35)),{1,3})</f>
        <v>q6_inactive_customers</v>
      </c>
      <c r="B2893">
        <v>2</v>
      </c>
      <c r="C2893" s="13">
        <v>1</v>
      </c>
      <c r="D2893" s="13">
        <v>0</v>
      </c>
      <c r="E2893" s="13">
        <v>194560</v>
      </c>
      <c r="F2893" s="13">
        <v>105108</v>
      </c>
      <c r="G2893" s="13">
        <v>8036</v>
      </c>
      <c r="H2893" s="13">
        <v>2292360</v>
      </c>
      <c r="I2893" s="13">
        <v>0</v>
      </c>
      <c r="J2893" s="13">
        <v>0</v>
      </c>
      <c r="K2893" s="13">
        <v>1972</v>
      </c>
      <c r="L2893" s="13">
        <v>6</v>
      </c>
      <c r="M2893" s="13">
        <v>720</v>
      </c>
      <c r="N2893" s="13">
        <v>202</v>
      </c>
      <c r="O2893" s="13">
        <v>37</v>
      </c>
      <c r="P2893" s="13">
        <v>1</v>
      </c>
      <c r="Q2893" s="13">
        <v>62</v>
      </c>
      <c r="R2893" s="13">
        <v>0</v>
      </c>
      <c r="S2893" s="13">
        <v>0</v>
      </c>
      <c r="T2893" s="23">
        <v>46247.795671296299</v>
      </c>
      <c r="U2893" s="55">
        <f t="shared" si="135"/>
        <v>1.6666666666666667</v>
      </c>
      <c r="V2893" s="55">
        <f t="shared" si="136"/>
        <v>0</v>
      </c>
      <c r="W2893" s="56">
        <f t="shared" si="137"/>
        <v>1976.1666666666667</v>
      </c>
    </row>
    <row r="2894" spans="1:23" x14ac:dyDescent="0.3">
      <c r="A2894" s="13" t="str" cm="1">
        <f t="array" ref="A2894:B2894">INDEX(BenchmarkResults!$B$1:$D$35,SUMPRODUCT((T2894&gt;=BenchmarkResults!$F$3:$F$35)*(mongodb_hardware_log!T2894&lt;BenchmarkResults!$G$3:$G$35)*ROW(BenchmarkResults!$F$3:$F$35)),{1,3})</f>
        <v>q6_inactive_customers</v>
      </c>
      <c r="B2894">
        <v>2</v>
      </c>
      <c r="C2894" s="13">
        <v>3</v>
      </c>
      <c r="D2894" s="13">
        <v>0</v>
      </c>
      <c r="E2894" s="13">
        <v>194560</v>
      </c>
      <c r="F2894" s="13">
        <v>154436</v>
      </c>
      <c r="G2894" s="13">
        <v>8044</v>
      </c>
      <c r="H2894" s="13">
        <v>2240864</v>
      </c>
      <c r="I2894" s="13">
        <v>0</v>
      </c>
      <c r="J2894" s="13">
        <v>0</v>
      </c>
      <c r="K2894" s="13">
        <v>2041</v>
      </c>
      <c r="L2894" s="13">
        <v>11</v>
      </c>
      <c r="M2894" s="13">
        <v>749</v>
      </c>
      <c r="N2894" s="13">
        <v>242</v>
      </c>
      <c r="O2894" s="13">
        <v>37</v>
      </c>
      <c r="P2894" s="13">
        <v>2</v>
      </c>
      <c r="Q2894" s="13">
        <v>61</v>
      </c>
      <c r="R2894" s="13">
        <v>0</v>
      </c>
      <c r="S2894" s="13">
        <v>0</v>
      </c>
      <c r="T2894" s="23">
        <v>46247.795694444445</v>
      </c>
      <c r="U2894" s="55">
        <f t="shared" si="135"/>
        <v>1.8333333333333333</v>
      </c>
      <c r="V2894" s="55">
        <f t="shared" si="136"/>
        <v>0</v>
      </c>
      <c r="W2894" s="56">
        <f t="shared" si="137"/>
        <v>2005.5</v>
      </c>
    </row>
    <row r="2895" spans="1:23" x14ac:dyDescent="0.3">
      <c r="A2895" s="13" t="str" cm="1">
        <f t="array" ref="A2895:B2895">INDEX(BenchmarkResults!$B$1:$D$35,SUMPRODUCT((T2895&gt;=BenchmarkResults!$F$3:$F$35)*(mongodb_hardware_log!T2895&lt;BenchmarkResults!$G$3:$G$35)*ROW(BenchmarkResults!$F$3:$F$35)),{1,3})</f>
        <v>q6_inactive_customers</v>
      </c>
      <c r="B2895">
        <v>2</v>
      </c>
      <c r="C2895" s="13">
        <v>1</v>
      </c>
      <c r="D2895" s="13">
        <v>0</v>
      </c>
      <c r="E2895" s="13">
        <v>194560</v>
      </c>
      <c r="F2895" s="13">
        <v>115692</v>
      </c>
      <c r="G2895" s="13">
        <v>8056</v>
      </c>
      <c r="H2895" s="13">
        <v>2266668</v>
      </c>
      <c r="I2895" s="13">
        <v>0</v>
      </c>
      <c r="J2895" s="13">
        <v>0</v>
      </c>
      <c r="K2895" s="13">
        <v>1446</v>
      </c>
      <c r="L2895" s="13">
        <v>19</v>
      </c>
      <c r="M2895" s="13">
        <v>723</v>
      </c>
      <c r="N2895" s="13">
        <v>228</v>
      </c>
      <c r="O2895" s="13">
        <v>36</v>
      </c>
      <c r="P2895" s="13">
        <v>2</v>
      </c>
      <c r="Q2895" s="13">
        <v>61</v>
      </c>
      <c r="R2895" s="13">
        <v>0</v>
      </c>
      <c r="S2895" s="13">
        <v>0</v>
      </c>
      <c r="T2895" s="23">
        <v>46247.795787037037</v>
      </c>
      <c r="U2895" s="55">
        <f t="shared" si="135"/>
        <v>1.6666666666666667</v>
      </c>
      <c r="V2895" s="55">
        <f t="shared" si="136"/>
        <v>0</v>
      </c>
      <c r="W2895" s="56">
        <f t="shared" si="137"/>
        <v>1934.1666666666667</v>
      </c>
    </row>
    <row r="2896" spans="1:23" x14ac:dyDescent="0.3">
      <c r="A2896" s="13" t="str" cm="1">
        <f t="array" ref="A2896:B2896">INDEX(BenchmarkResults!$B$1:$D$35,SUMPRODUCT((T2896&gt;=BenchmarkResults!$F$3:$F$35)*(mongodb_hardware_log!T2896&lt;BenchmarkResults!$G$3:$G$35)*ROW(BenchmarkResults!$F$3:$F$35)),{1,3})</f>
        <v>q6_inactive_customers</v>
      </c>
      <c r="B2896">
        <v>2</v>
      </c>
      <c r="C2896" s="13">
        <v>1</v>
      </c>
      <c r="D2896" s="13">
        <v>0</v>
      </c>
      <c r="E2896" s="13">
        <v>194560</v>
      </c>
      <c r="F2896" s="13">
        <v>111660</v>
      </c>
      <c r="G2896" s="13">
        <v>8056</v>
      </c>
      <c r="H2896" s="13">
        <v>2270368</v>
      </c>
      <c r="I2896" s="13">
        <v>0</v>
      </c>
      <c r="J2896" s="13">
        <v>0</v>
      </c>
      <c r="K2896" s="13">
        <v>1373</v>
      </c>
      <c r="L2896" s="13">
        <v>13</v>
      </c>
      <c r="M2896" s="13">
        <v>696</v>
      </c>
      <c r="N2896" s="13">
        <v>191</v>
      </c>
      <c r="O2896" s="13">
        <v>36</v>
      </c>
      <c r="P2896" s="13">
        <v>1</v>
      </c>
      <c r="Q2896" s="13">
        <v>62</v>
      </c>
      <c r="R2896" s="13">
        <v>0</v>
      </c>
      <c r="S2896" s="13">
        <v>0</v>
      </c>
      <c r="T2896" s="23">
        <v>46247.795810185184</v>
      </c>
      <c r="U2896" s="55">
        <f t="shared" si="135"/>
        <v>1.3333333333333333</v>
      </c>
      <c r="V2896" s="55">
        <f t="shared" si="136"/>
        <v>0</v>
      </c>
      <c r="W2896" s="56">
        <f t="shared" si="137"/>
        <v>1820</v>
      </c>
    </row>
    <row r="2897" spans="1:23" x14ac:dyDescent="0.3">
      <c r="A2897" s="13" t="str" cm="1">
        <f t="array" ref="A2897:B2897">INDEX(BenchmarkResults!$B$1:$D$35,SUMPRODUCT((T2897&gt;=BenchmarkResults!$F$3:$F$35)*(mongodb_hardware_log!T2897&lt;BenchmarkResults!$G$3:$G$35)*ROW(BenchmarkResults!$F$3:$F$35)),{1,3})</f>
        <v>q6_inactive_customers</v>
      </c>
      <c r="B2897">
        <v>2</v>
      </c>
      <c r="C2897" s="13">
        <v>1</v>
      </c>
      <c r="D2897" s="13">
        <v>0</v>
      </c>
      <c r="E2897" s="13">
        <v>194560</v>
      </c>
      <c r="F2897" s="13">
        <v>143696</v>
      </c>
      <c r="G2897" s="13">
        <v>8064</v>
      </c>
      <c r="H2897" s="13">
        <v>2248060</v>
      </c>
      <c r="I2897" s="13">
        <v>0</v>
      </c>
      <c r="J2897" s="13">
        <v>0</v>
      </c>
      <c r="K2897" s="13">
        <v>2124</v>
      </c>
      <c r="L2897" s="13">
        <v>8</v>
      </c>
      <c r="M2897" s="13">
        <v>733</v>
      </c>
      <c r="N2897" s="13">
        <v>209</v>
      </c>
      <c r="O2897" s="13">
        <v>36</v>
      </c>
      <c r="P2897" s="13">
        <v>1</v>
      </c>
      <c r="Q2897" s="13">
        <v>62</v>
      </c>
      <c r="R2897" s="13">
        <v>0</v>
      </c>
      <c r="S2897" s="13">
        <v>0</v>
      </c>
      <c r="T2897" s="23">
        <v>46247.795902777776</v>
      </c>
      <c r="U2897" s="55">
        <f t="shared" si="135"/>
        <v>1.3333333333333333</v>
      </c>
      <c r="V2897" s="55">
        <f t="shared" si="136"/>
        <v>0</v>
      </c>
      <c r="W2897" s="56">
        <f t="shared" si="137"/>
        <v>1832.1666666666667</v>
      </c>
    </row>
    <row r="2898" spans="1:23" x14ac:dyDescent="0.3">
      <c r="A2898" s="13" t="str" cm="1">
        <f t="array" ref="A2898:B2898">INDEX(BenchmarkResults!$B$1:$D$35,SUMPRODUCT((T2898&gt;=BenchmarkResults!$F$3:$F$35)*(mongodb_hardware_log!T2898&lt;BenchmarkResults!$G$3:$G$35)*ROW(BenchmarkResults!$F$3:$F$35)),{1,3})</f>
        <v>q6_inactive_customers</v>
      </c>
      <c r="B2898">
        <v>2</v>
      </c>
      <c r="C2898" s="13">
        <v>1</v>
      </c>
      <c r="D2898" s="13">
        <v>0</v>
      </c>
      <c r="E2898" s="13">
        <v>194560</v>
      </c>
      <c r="F2898" s="13">
        <v>140168</v>
      </c>
      <c r="G2898" s="13">
        <v>8072</v>
      </c>
      <c r="H2898" s="13">
        <v>2251184</v>
      </c>
      <c r="I2898" s="13">
        <v>0</v>
      </c>
      <c r="J2898" s="13">
        <v>0</v>
      </c>
      <c r="K2898" s="13">
        <v>2072</v>
      </c>
      <c r="L2898" s="13">
        <v>14</v>
      </c>
      <c r="M2898" s="13">
        <v>738</v>
      </c>
      <c r="N2898" s="13">
        <v>213</v>
      </c>
      <c r="O2898" s="13">
        <v>36</v>
      </c>
      <c r="P2898" s="13">
        <v>1</v>
      </c>
      <c r="Q2898" s="13">
        <v>62</v>
      </c>
      <c r="R2898" s="13">
        <v>0</v>
      </c>
      <c r="S2898" s="13">
        <v>0</v>
      </c>
      <c r="T2898" s="23">
        <v>46247.795925925922</v>
      </c>
      <c r="U2898" s="55">
        <f t="shared" si="135"/>
        <v>1.3333333333333333</v>
      </c>
      <c r="V2898" s="55">
        <f t="shared" si="136"/>
        <v>0</v>
      </c>
      <c r="W2898" s="56">
        <f t="shared" si="137"/>
        <v>1838</v>
      </c>
    </row>
    <row r="2899" spans="1:23" x14ac:dyDescent="0.3">
      <c r="A2899" s="13" t="str" cm="1">
        <f t="array" ref="A2899:B2899">INDEX(BenchmarkResults!$B$1:$D$35,SUMPRODUCT((T2899&gt;=BenchmarkResults!$F$3:$F$35)*(mongodb_hardware_log!T2899&lt;BenchmarkResults!$G$3:$G$35)*ROW(BenchmarkResults!$F$3:$F$35)),{1,3})</f>
        <v>q6_inactive_customers</v>
      </c>
      <c r="B2899">
        <v>2</v>
      </c>
      <c r="C2899" s="13">
        <v>1</v>
      </c>
      <c r="D2899" s="13">
        <v>0</v>
      </c>
      <c r="E2899" s="13">
        <v>194560</v>
      </c>
      <c r="F2899" s="13">
        <v>125048</v>
      </c>
      <c r="G2899" s="13">
        <v>8104</v>
      </c>
      <c r="H2899" s="13">
        <v>2267260</v>
      </c>
      <c r="I2899" s="13">
        <v>0</v>
      </c>
      <c r="J2899" s="13">
        <v>0</v>
      </c>
      <c r="K2899" s="13">
        <v>1922</v>
      </c>
      <c r="L2899" s="13">
        <v>29</v>
      </c>
      <c r="M2899" s="13">
        <v>734</v>
      </c>
      <c r="N2899" s="13">
        <v>220</v>
      </c>
      <c r="O2899" s="13">
        <v>36</v>
      </c>
      <c r="P2899" s="13">
        <v>1</v>
      </c>
      <c r="Q2899" s="13">
        <v>62</v>
      </c>
      <c r="R2899" s="13">
        <v>1</v>
      </c>
      <c r="S2899" s="13">
        <v>1</v>
      </c>
      <c r="T2899" s="23">
        <v>46247.796018518522</v>
      </c>
      <c r="U2899" s="55">
        <f t="shared" si="135"/>
        <v>1.3333333333333333</v>
      </c>
      <c r="V2899" s="55">
        <f t="shared" si="136"/>
        <v>0</v>
      </c>
      <c r="W2899" s="56">
        <f t="shared" si="137"/>
        <v>1829.6666666666667</v>
      </c>
    </row>
    <row r="2900" spans="1:23" x14ac:dyDescent="0.3">
      <c r="A2900" s="13" t="str" cm="1">
        <f t="array" ref="A2900:B2900">INDEX(BenchmarkResults!$B$1:$D$35,SUMPRODUCT((T2900&gt;=BenchmarkResults!$F$3:$F$35)*(mongodb_hardware_log!T2900&lt;BenchmarkResults!$G$3:$G$35)*ROW(BenchmarkResults!$F$3:$F$35)),{1,3})</f>
        <v>q6_inactive_customers</v>
      </c>
      <c r="B2900">
        <v>2</v>
      </c>
      <c r="C2900" s="13">
        <v>1</v>
      </c>
      <c r="D2900" s="13">
        <v>0</v>
      </c>
      <c r="E2900" s="13">
        <v>194560</v>
      </c>
      <c r="F2900" s="13">
        <v>121520</v>
      </c>
      <c r="G2900" s="13">
        <v>8104</v>
      </c>
      <c r="H2900" s="13">
        <v>2269788</v>
      </c>
      <c r="I2900" s="13">
        <v>0</v>
      </c>
      <c r="J2900" s="13">
        <v>0</v>
      </c>
      <c r="K2900" s="13">
        <v>1862</v>
      </c>
      <c r="L2900" s="13">
        <v>24</v>
      </c>
      <c r="M2900" s="13">
        <v>727</v>
      </c>
      <c r="N2900" s="13">
        <v>215</v>
      </c>
      <c r="O2900" s="13">
        <v>36</v>
      </c>
      <c r="P2900" s="13">
        <v>1</v>
      </c>
      <c r="Q2900" s="13">
        <v>62</v>
      </c>
      <c r="R2900" s="13">
        <v>0</v>
      </c>
      <c r="S2900" s="13">
        <v>1</v>
      </c>
      <c r="T2900" s="23">
        <v>46247.796041666668</v>
      </c>
      <c r="U2900" s="55">
        <f t="shared" si="135"/>
        <v>1</v>
      </c>
      <c r="V2900" s="55">
        <f t="shared" si="136"/>
        <v>0</v>
      </c>
      <c r="W2900" s="56">
        <f t="shared" si="137"/>
        <v>1799.8333333333333</v>
      </c>
    </row>
    <row r="2901" spans="1:23" x14ac:dyDescent="0.3">
      <c r="A2901" s="13" t="str" cm="1">
        <f t="array" ref="A2901:B2901">INDEX(BenchmarkResults!$B$1:$D$35,SUMPRODUCT((T2901&gt;=BenchmarkResults!$F$3:$F$35)*(mongodb_hardware_log!T2901&lt;BenchmarkResults!$G$3:$G$35)*ROW(BenchmarkResults!$F$3:$F$35)),{1,3})</f>
        <v>q6_inactive_customers</v>
      </c>
      <c r="B2901">
        <v>2</v>
      </c>
      <c r="C2901" s="13">
        <v>1</v>
      </c>
      <c r="D2901" s="13">
        <v>0</v>
      </c>
      <c r="E2901" s="13">
        <v>194560</v>
      </c>
      <c r="F2901" s="13">
        <v>106904</v>
      </c>
      <c r="G2901" s="13">
        <v>8112</v>
      </c>
      <c r="H2901" s="13">
        <v>2287420</v>
      </c>
      <c r="I2901" s="13">
        <v>0</v>
      </c>
      <c r="J2901" s="13">
        <v>0</v>
      </c>
      <c r="K2901" s="13">
        <v>2014</v>
      </c>
      <c r="L2901" s="13">
        <v>1594</v>
      </c>
      <c r="M2901" s="13">
        <v>739</v>
      </c>
      <c r="N2901" s="13">
        <v>227</v>
      </c>
      <c r="O2901" s="13">
        <v>37</v>
      </c>
      <c r="P2901" s="13">
        <v>1</v>
      </c>
      <c r="Q2901" s="13">
        <v>61</v>
      </c>
      <c r="R2901" s="13">
        <v>1</v>
      </c>
      <c r="S2901" s="13">
        <v>0</v>
      </c>
      <c r="T2901" s="23">
        <v>46247.796134259261</v>
      </c>
      <c r="U2901" s="55">
        <f t="shared" si="135"/>
        <v>1</v>
      </c>
      <c r="V2901" s="55">
        <f t="shared" si="136"/>
        <v>0</v>
      </c>
      <c r="W2901" s="56">
        <f t="shared" si="137"/>
        <v>1894.5</v>
      </c>
    </row>
    <row r="2902" spans="1:23" x14ac:dyDescent="0.3">
      <c r="A2902" s="13" t="str" cm="1">
        <f t="array" ref="A2902:B2902">INDEX(BenchmarkResults!$B$1:$D$35,SUMPRODUCT((T2902&gt;=BenchmarkResults!$F$3:$F$35)*(mongodb_hardware_log!T2902&lt;BenchmarkResults!$G$3:$G$35)*ROW(BenchmarkResults!$F$3:$F$35)),{1,3})</f>
        <v>q6_inactive_customers</v>
      </c>
      <c r="B2902">
        <v>2</v>
      </c>
      <c r="C2902" s="13">
        <v>1</v>
      </c>
      <c r="D2902" s="13">
        <v>0</v>
      </c>
      <c r="E2902" s="13">
        <v>194560</v>
      </c>
      <c r="F2902" s="13">
        <v>106904</v>
      </c>
      <c r="G2902" s="13">
        <v>8120</v>
      </c>
      <c r="H2902" s="13">
        <v>2290196</v>
      </c>
      <c r="I2902" s="13">
        <v>0</v>
      </c>
      <c r="J2902" s="13">
        <v>0</v>
      </c>
      <c r="K2902" s="13">
        <v>2036</v>
      </c>
      <c r="L2902" s="13">
        <v>1602</v>
      </c>
      <c r="M2902" s="13">
        <v>745</v>
      </c>
      <c r="N2902" s="13">
        <v>235</v>
      </c>
      <c r="O2902" s="13">
        <v>37</v>
      </c>
      <c r="P2902" s="13">
        <v>1</v>
      </c>
      <c r="Q2902" s="13">
        <v>61</v>
      </c>
      <c r="R2902" s="13">
        <v>1</v>
      </c>
      <c r="S2902" s="13">
        <v>0</v>
      </c>
      <c r="T2902" s="23">
        <v>46247.796157407407</v>
      </c>
      <c r="U2902" s="55">
        <f t="shared" si="135"/>
        <v>1</v>
      </c>
      <c r="V2902" s="55">
        <f t="shared" si="136"/>
        <v>0</v>
      </c>
      <c r="W2902" s="56">
        <f t="shared" si="137"/>
        <v>2005</v>
      </c>
    </row>
    <row r="2903" spans="1:23" x14ac:dyDescent="0.3">
      <c r="A2903" s="13" t="str" cm="1">
        <f t="array" ref="A2903:B2903">INDEX(BenchmarkResults!$B$1:$D$35,SUMPRODUCT((T2903&gt;=BenchmarkResults!$F$3:$F$35)*(mongodb_hardware_log!T2903&lt;BenchmarkResults!$G$3:$G$35)*ROW(BenchmarkResults!$F$3:$F$35)),{1,3})</f>
        <v>q6_inactive_customers</v>
      </c>
      <c r="B2903">
        <v>2</v>
      </c>
      <c r="C2903" s="13">
        <v>1</v>
      </c>
      <c r="D2903" s="13">
        <v>0</v>
      </c>
      <c r="E2903" s="13">
        <v>194560</v>
      </c>
      <c r="F2903" s="13">
        <v>141676</v>
      </c>
      <c r="G2903" s="13">
        <v>8128</v>
      </c>
      <c r="H2903" s="13">
        <v>2249860</v>
      </c>
      <c r="I2903" s="13">
        <v>0</v>
      </c>
      <c r="J2903" s="13">
        <v>0</v>
      </c>
      <c r="K2903" s="13">
        <v>1815</v>
      </c>
      <c r="L2903" s="13">
        <v>17</v>
      </c>
      <c r="M2903" s="13">
        <v>749</v>
      </c>
      <c r="N2903" s="13">
        <v>230</v>
      </c>
      <c r="O2903" s="13">
        <v>37</v>
      </c>
      <c r="P2903" s="13">
        <v>1</v>
      </c>
      <c r="Q2903" s="13">
        <v>61</v>
      </c>
      <c r="R2903" s="13">
        <v>1</v>
      </c>
      <c r="S2903" s="13">
        <v>0</v>
      </c>
      <c r="T2903" s="23">
        <v>46247.796249999999</v>
      </c>
      <c r="U2903" s="55">
        <f t="shared" si="135"/>
        <v>1</v>
      </c>
      <c r="V2903" s="55">
        <f t="shared" si="136"/>
        <v>0</v>
      </c>
      <c r="W2903" s="56">
        <f t="shared" si="137"/>
        <v>1953.5</v>
      </c>
    </row>
    <row r="2904" spans="1:23" x14ac:dyDescent="0.3">
      <c r="A2904" s="13" t="str" cm="1">
        <f t="array" ref="A2904:B2904">INDEX(BenchmarkResults!$B$1:$D$35,SUMPRODUCT((T2904&gt;=BenchmarkResults!$F$3:$F$35)*(mongodb_hardware_log!T2904&lt;BenchmarkResults!$G$3:$G$35)*ROW(BenchmarkResults!$F$3:$F$35)),{1,3})</f>
        <v>q6_inactive_customers</v>
      </c>
      <c r="B2904">
        <v>2</v>
      </c>
      <c r="C2904" s="13">
        <v>1</v>
      </c>
      <c r="D2904" s="13">
        <v>0</v>
      </c>
      <c r="E2904" s="13">
        <v>194560</v>
      </c>
      <c r="F2904" s="13">
        <v>137644</v>
      </c>
      <c r="G2904" s="13">
        <v>8128</v>
      </c>
      <c r="H2904" s="13">
        <v>2254076</v>
      </c>
      <c r="I2904" s="13">
        <v>0</v>
      </c>
      <c r="J2904" s="13">
        <v>0</v>
      </c>
      <c r="K2904" s="13">
        <v>1950</v>
      </c>
      <c r="L2904" s="13">
        <v>10</v>
      </c>
      <c r="M2904" s="13">
        <v>748</v>
      </c>
      <c r="N2904" s="13">
        <v>226</v>
      </c>
      <c r="O2904" s="13">
        <v>36</v>
      </c>
      <c r="P2904" s="13">
        <v>1</v>
      </c>
      <c r="Q2904" s="13">
        <v>62</v>
      </c>
      <c r="R2904" s="13">
        <v>1</v>
      </c>
      <c r="S2904" s="13">
        <v>0</v>
      </c>
      <c r="T2904" s="23">
        <v>46247.796273148146</v>
      </c>
      <c r="U2904" s="55">
        <f t="shared" si="135"/>
        <v>1</v>
      </c>
      <c r="V2904" s="55">
        <f t="shared" si="136"/>
        <v>0</v>
      </c>
      <c r="W2904" s="56">
        <f t="shared" si="137"/>
        <v>1933.1666666666667</v>
      </c>
    </row>
    <row r="2905" spans="1:23" x14ac:dyDescent="0.3">
      <c r="A2905" s="13" t="str" cm="1">
        <f t="array" ref="A2905:B2905">INDEX(BenchmarkResults!$B$1:$D$35,SUMPRODUCT((T2905&gt;=BenchmarkResults!$F$3:$F$35)*(mongodb_hardware_log!T2905&lt;BenchmarkResults!$G$3:$G$35)*ROW(BenchmarkResults!$F$3:$F$35)),{1,3})</f>
        <v>q6_inactive_customers</v>
      </c>
      <c r="B2905">
        <v>2</v>
      </c>
      <c r="C2905" s="13">
        <v>1</v>
      </c>
      <c r="D2905" s="13">
        <v>0</v>
      </c>
      <c r="E2905" s="13">
        <v>194560</v>
      </c>
      <c r="F2905" s="13">
        <v>113960</v>
      </c>
      <c r="G2905" s="13">
        <v>8136</v>
      </c>
      <c r="H2905" s="13">
        <v>2276856</v>
      </c>
      <c r="I2905" s="13">
        <v>0</v>
      </c>
      <c r="J2905" s="13">
        <v>0</v>
      </c>
      <c r="K2905" s="13">
        <v>1570</v>
      </c>
      <c r="L2905" s="13">
        <v>6</v>
      </c>
      <c r="M2905" s="13">
        <v>706</v>
      </c>
      <c r="N2905" s="13">
        <v>191</v>
      </c>
      <c r="O2905" s="13">
        <v>36</v>
      </c>
      <c r="P2905" s="13">
        <v>1</v>
      </c>
      <c r="Q2905" s="13">
        <v>62</v>
      </c>
      <c r="R2905" s="13">
        <v>1</v>
      </c>
      <c r="S2905" s="13">
        <v>0</v>
      </c>
      <c r="T2905" s="23">
        <v>46247.796365740738</v>
      </c>
      <c r="U2905" s="55">
        <f t="shared" si="135"/>
        <v>1</v>
      </c>
      <c r="V2905" s="55">
        <f t="shared" si="136"/>
        <v>0</v>
      </c>
      <c r="W2905" s="56">
        <f t="shared" si="137"/>
        <v>1874.5</v>
      </c>
    </row>
    <row r="2906" spans="1:23" x14ac:dyDescent="0.3">
      <c r="A2906" s="13" t="str" cm="1">
        <f t="array" ref="A2906:B2906">INDEX(BenchmarkResults!$B$1:$D$35,SUMPRODUCT((T2906&gt;=BenchmarkResults!$F$3:$F$35)*(mongodb_hardware_log!T2906&lt;BenchmarkResults!$G$3:$G$35)*ROW(BenchmarkResults!$F$3:$F$35)),{1,3})</f>
        <v>q6_inactive_customers</v>
      </c>
      <c r="B2906">
        <v>2</v>
      </c>
      <c r="C2906" s="13">
        <v>1</v>
      </c>
      <c r="D2906" s="13">
        <v>0</v>
      </c>
      <c r="E2906" s="13">
        <v>194560</v>
      </c>
      <c r="F2906" s="13">
        <v>152048</v>
      </c>
      <c r="G2906" s="13">
        <v>8144</v>
      </c>
      <c r="H2906" s="13">
        <v>2236140</v>
      </c>
      <c r="I2906" s="13">
        <v>0</v>
      </c>
      <c r="J2906" s="13">
        <v>0</v>
      </c>
      <c r="K2906" s="13">
        <v>1358</v>
      </c>
      <c r="L2906" s="13">
        <v>12</v>
      </c>
      <c r="M2906" s="13">
        <v>701</v>
      </c>
      <c r="N2906" s="13">
        <v>188</v>
      </c>
      <c r="O2906" s="13">
        <v>36</v>
      </c>
      <c r="P2906" s="13">
        <v>1</v>
      </c>
      <c r="Q2906" s="13">
        <v>62</v>
      </c>
      <c r="R2906" s="13">
        <v>0</v>
      </c>
      <c r="S2906" s="13">
        <v>0</v>
      </c>
      <c r="T2906" s="23">
        <v>46247.796388888892</v>
      </c>
      <c r="U2906" s="55">
        <f t="shared" si="135"/>
        <v>1</v>
      </c>
      <c r="V2906" s="55">
        <f t="shared" si="136"/>
        <v>0</v>
      </c>
      <c r="W2906" s="56">
        <f t="shared" si="137"/>
        <v>1790.5</v>
      </c>
    </row>
    <row r="2907" spans="1:23" x14ac:dyDescent="0.3">
      <c r="A2907" s="13" t="str" cm="1">
        <f t="array" ref="A2907:B2907">INDEX(BenchmarkResults!$B$1:$D$35,SUMPRODUCT((T2907&gt;=BenchmarkResults!$F$3:$F$35)*(mongodb_hardware_log!T2907&lt;BenchmarkResults!$G$3:$G$35)*ROW(BenchmarkResults!$F$3:$F$35)),{1,3})</f>
        <v>q6_inactive_customers</v>
      </c>
      <c r="B2907">
        <v>2</v>
      </c>
      <c r="C2907" s="13">
        <v>1</v>
      </c>
      <c r="D2907" s="13">
        <v>0</v>
      </c>
      <c r="E2907" s="13">
        <v>194560</v>
      </c>
      <c r="F2907" s="13">
        <v>136724</v>
      </c>
      <c r="G2907" s="13">
        <v>8152</v>
      </c>
      <c r="H2907" s="13">
        <v>2253576</v>
      </c>
      <c r="I2907" s="13">
        <v>0</v>
      </c>
      <c r="J2907" s="13">
        <v>0</v>
      </c>
      <c r="K2907" s="13">
        <v>1941</v>
      </c>
      <c r="L2907" s="13">
        <v>24</v>
      </c>
      <c r="M2907" s="13">
        <v>717</v>
      </c>
      <c r="N2907" s="13">
        <v>202</v>
      </c>
      <c r="O2907" s="13">
        <v>37</v>
      </c>
      <c r="P2907" s="13">
        <v>1</v>
      </c>
      <c r="Q2907" s="13">
        <v>62</v>
      </c>
      <c r="R2907" s="13">
        <v>0</v>
      </c>
      <c r="S2907" s="13">
        <v>0</v>
      </c>
      <c r="T2907" s="23">
        <v>46247.796481481484</v>
      </c>
      <c r="U2907" s="55">
        <f t="shared" si="135"/>
        <v>1</v>
      </c>
      <c r="V2907" s="55">
        <f t="shared" si="136"/>
        <v>0</v>
      </c>
      <c r="W2907" s="56">
        <f t="shared" si="137"/>
        <v>1778.3333333333333</v>
      </c>
    </row>
    <row r="2908" spans="1:23" x14ac:dyDescent="0.3">
      <c r="A2908" s="13" t="str" cm="1">
        <f t="array" ref="A2908:B2908">INDEX(BenchmarkResults!$B$1:$D$35,SUMPRODUCT((T2908&gt;=BenchmarkResults!$F$3:$F$35)*(mongodb_hardware_log!T2908&lt;BenchmarkResults!$G$3:$G$35)*ROW(BenchmarkResults!$F$3:$F$35)),{1,3})</f>
        <v>q6_inactive_customers</v>
      </c>
      <c r="B2908">
        <v>2</v>
      </c>
      <c r="C2908" s="13">
        <v>1</v>
      </c>
      <c r="D2908" s="13">
        <v>0</v>
      </c>
      <c r="E2908" s="13">
        <v>194560</v>
      </c>
      <c r="F2908" s="13">
        <v>132720</v>
      </c>
      <c r="G2908" s="13">
        <v>8152</v>
      </c>
      <c r="H2908" s="13">
        <v>2256452</v>
      </c>
      <c r="I2908" s="13">
        <v>0</v>
      </c>
      <c r="J2908" s="13">
        <v>0</v>
      </c>
      <c r="K2908" s="13">
        <v>2030</v>
      </c>
      <c r="L2908" s="13">
        <v>18</v>
      </c>
      <c r="M2908" s="13">
        <v>718</v>
      </c>
      <c r="N2908" s="13">
        <v>202</v>
      </c>
      <c r="O2908" s="13">
        <v>37</v>
      </c>
      <c r="P2908" s="13">
        <v>1</v>
      </c>
      <c r="Q2908" s="13">
        <v>62</v>
      </c>
      <c r="R2908" s="13">
        <v>0</v>
      </c>
      <c r="S2908" s="13">
        <v>0</v>
      </c>
      <c r="T2908" s="23">
        <v>46247.79650462963</v>
      </c>
      <c r="U2908" s="55">
        <f t="shared" si="135"/>
        <v>1</v>
      </c>
      <c r="V2908" s="55">
        <f t="shared" si="136"/>
        <v>0</v>
      </c>
      <c r="W2908" s="56">
        <f t="shared" si="137"/>
        <v>1777.3333333333333</v>
      </c>
    </row>
    <row r="2909" spans="1:23" x14ac:dyDescent="0.3">
      <c r="A2909" s="13" t="str" cm="1">
        <f t="array" ref="A2909:B2909">INDEX(BenchmarkResults!$B$1:$D$35,SUMPRODUCT((T2909&gt;=BenchmarkResults!$F$3:$F$35)*(mongodb_hardware_log!T2909&lt;BenchmarkResults!$G$3:$G$35)*ROW(BenchmarkResults!$F$3:$F$35)),{1,3})</f>
        <v>q6_inactive_customers</v>
      </c>
      <c r="B2909">
        <v>2</v>
      </c>
      <c r="C2909" s="13">
        <v>1</v>
      </c>
      <c r="D2909" s="13">
        <v>0</v>
      </c>
      <c r="E2909" s="13">
        <v>194560</v>
      </c>
      <c r="F2909" s="13">
        <v>116340</v>
      </c>
      <c r="G2909" s="13">
        <v>8160</v>
      </c>
      <c r="H2909" s="13">
        <v>2272924</v>
      </c>
      <c r="I2909" s="13">
        <v>0</v>
      </c>
      <c r="J2909" s="13">
        <v>0</v>
      </c>
      <c r="K2909" s="13">
        <v>1936</v>
      </c>
      <c r="L2909" s="13">
        <v>7</v>
      </c>
      <c r="M2909" s="13">
        <v>726</v>
      </c>
      <c r="N2909" s="13">
        <v>204</v>
      </c>
      <c r="O2909" s="13">
        <v>37</v>
      </c>
      <c r="P2909" s="13">
        <v>1</v>
      </c>
      <c r="Q2909" s="13">
        <v>62</v>
      </c>
      <c r="R2909" s="13">
        <v>0</v>
      </c>
      <c r="S2909" s="13">
        <v>0</v>
      </c>
      <c r="T2909" s="23">
        <v>46247.796597222223</v>
      </c>
      <c r="U2909" s="55">
        <f t="shared" si="135"/>
        <v>1</v>
      </c>
      <c r="V2909" s="55">
        <f t="shared" si="136"/>
        <v>0</v>
      </c>
      <c r="W2909" s="56">
        <f t="shared" si="137"/>
        <v>1797.5</v>
      </c>
    </row>
    <row r="2910" spans="1:23" x14ac:dyDescent="0.3">
      <c r="A2910" s="13" t="str" cm="1">
        <f t="array" ref="A2910:B2910">INDEX(BenchmarkResults!$B$1:$D$35,SUMPRODUCT((T2910&gt;=BenchmarkResults!$F$3:$F$35)*(mongodb_hardware_log!T2910&lt;BenchmarkResults!$G$3:$G$35)*ROW(BenchmarkResults!$F$3:$F$35)),{1,3})</f>
        <v>q6_inactive_customers</v>
      </c>
      <c r="B2910">
        <v>2</v>
      </c>
      <c r="C2910" s="13">
        <v>1</v>
      </c>
      <c r="D2910" s="13">
        <v>0</v>
      </c>
      <c r="E2910" s="13">
        <v>194560</v>
      </c>
      <c r="F2910" s="13">
        <v>106512</v>
      </c>
      <c r="G2910" s="13">
        <v>8168</v>
      </c>
      <c r="H2910" s="13">
        <v>2276628</v>
      </c>
      <c r="I2910" s="13">
        <v>0</v>
      </c>
      <c r="J2910" s="13">
        <v>0</v>
      </c>
      <c r="K2910" s="13">
        <v>2016</v>
      </c>
      <c r="L2910" s="13">
        <v>13</v>
      </c>
      <c r="M2910" s="13">
        <v>730</v>
      </c>
      <c r="N2910" s="13">
        <v>207</v>
      </c>
      <c r="O2910" s="13">
        <v>37</v>
      </c>
      <c r="P2910" s="13">
        <v>1</v>
      </c>
      <c r="Q2910" s="13">
        <v>62</v>
      </c>
      <c r="R2910" s="13">
        <v>0</v>
      </c>
      <c r="S2910" s="13">
        <v>0</v>
      </c>
      <c r="T2910" s="23">
        <v>46247.796620370369</v>
      </c>
      <c r="U2910" s="55">
        <f t="shared" si="135"/>
        <v>1</v>
      </c>
      <c r="V2910" s="55">
        <f t="shared" si="136"/>
        <v>0</v>
      </c>
      <c r="W2910" s="56">
        <f t="shared" si="137"/>
        <v>1808.5</v>
      </c>
    </row>
    <row r="2911" spans="1:23" x14ac:dyDescent="0.3">
      <c r="A2911" s="13" t="str" cm="1">
        <f t="array" ref="A2911:B2911">INDEX(BenchmarkResults!$B$1:$D$35,SUMPRODUCT((T2911&gt;=BenchmarkResults!$F$3:$F$35)*(mongodb_hardware_log!T2911&lt;BenchmarkResults!$G$3:$G$35)*ROW(BenchmarkResults!$F$3:$F$35)),{1,3})</f>
        <v>q6_inactive_customers</v>
      </c>
      <c r="B2911">
        <v>2</v>
      </c>
      <c r="C2911" s="13">
        <v>1</v>
      </c>
      <c r="D2911" s="13">
        <v>1</v>
      </c>
      <c r="E2911" s="13">
        <v>194560</v>
      </c>
      <c r="F2911" s="13">
        <v>170888</v>
      </c>
      <c r="G2911" s="13">
        <v>8192</v>
      </c>
      <c r="H2911" s="13">
        <v>2240848</v>
      </c>
      <c r="I2911" s="13">
        <v>0</v>
      </c>
      <c r="J2911" s="13">
        <v>0</v>
      </c>
      <c r="K2911" s="13">
        <v>2241</v>
      </c>
      <c r="L2911" s="13">
        <v>848</v>
      </c>
      <c r="M2911" s="13">
        <v>738</v>
      </c>
      <c r="N2911" s="13">
        <v>223</v>
      </c>
      <c r="O2911" s="13">
        <v>37</v>
      </c>
      <c r="P2911" s="13">
        <v>1</v>
      </c>
      <c r="Q2911" s="13">
        <v>61</v>
      </c>
      <c r="R2911" s="13">
        <v>1</v>
      </c>
      <c r="S2911" s="13">
        <v>0</v>
      </c>
      <c r="T2911" s="23">
        <v>46247.796712962961</v>
      </c>
      <c r="U2911" s="55">
        <f t="shared" si="135"/>
        <v>1</v>
      </c>
      <c r="V2911" s="55">
        <f t="shared" si="136"/>
        <v>0.16666666666666666</v>
      </c>
      <c r="W2911" s="56">
        <f t="shared" si="137"/>
        <v>1920.3333333333333</v>
      </c>
    </row>
    <row r="2912" spans="1:23" x14ac:dyDescent="0.3">
      <c r="A2912" s="13" t="str" cm="1">
        <f t="array" ref="A2912:B2912">INDEX(BenchmarkResults!$B$1:$D$35,SUMPRODUCT((T2912&gt;=BenchmarkResults!$F$3:$F$35)*(mongodb_hardware_log!T2912&lt;BenchmarkResults!$G$3:$G$35)*ROW(BenchmarkResults!$F$3:$F$35)),{1,3})</f>
        <v>q6_inactive_customers</v>
      </c>
      <c r="B2912">
        <v>2</v>
      </c>
      <c r="C2912" s="13">
        <v>1</v>
      </c>
      <c r="D2912" s="13">
        <v>0</v>
      </c>
      <c r="E2912" s="13">
        <v>194560</v>
      </c>
      <c r="F2912" s="13">
        <v>164840</v>
      </c>
      <c r="G2912" s="13">
        <v>8192</v>
      </c>
      <c r="H2912" s="13">
        <v>2243908</v>
      </c>
      <c r="I2912" s="13">
        <v>0</v>
      </c>
      <c r="J2912" s="13">
        <v>0</v>
      </c>
      <c r="K2912" s="13">
        <v>2177</v>
      </c>
      <c r="L2912" s="13">
        <v>1596</v>
      </c>
      <c r="M2912" s="13">
        <v>745</v>
      </c>
      <c r="N2912" s="13">
        <v>225</v>
      </c>
      <c r="O2912" s="13">
        <v>36</v>
      </c>
      <c r="P2912" s="13">
        <v>1</v>
      </c>
      <c r="Q2912" s="13">
        <v>61</v>
      </c>
      <c r="R2912" s="13">
        <v>2</v>
      </c>
      <c r="S2912" s="13">
        <v>0</v>
      </c>
      <c r="T2912" s="23">
        <v>46247.796736111108</v>
      </c>
      <c r="U2912" s="55">
        <f t="shared" si="135"/>
        <v>1</v>
      </c>
      <c r="V2912" s="55">
        <f t="shared" si="136"/>
        <v>0.16666666666666666</v>
      </c>
      <c r="W2912" s="56">
        <f t="shared" si="137"/>
        <v>2056.8333333333335</v>
      </c>
    </row>
    <row r="2913" spans="1:23" x14ac:dyDescent="0.3">
      <c r="A2913" s="13" t="str" cm="1">
        <f t="array" ref="A2913:B2913">INDEX(BenchmarkResults!$B$1:$D$35,SUMPRODUCT((T2913&gt;=BenchmarkResults!$F$3:$F$35)*(mongodb_hardware_log!T2913&lt;BenchmarkResults!$G$3:$G$35)*ROW(BenchmarkResults!$F$3:$F$35)),{1,3})</f>
        <v>q6_inactive_customers</v>
      </c>
      <c r="B2913">
        <v>2</v>
      </c>
      <c r="C2913" s="13">
        <v>1</v>
      </c>
      <c r="D2913" s="13">
        <v>0</v>
      </c>
      <c r="E2913" s="13">
        <v>194560</v>
      </c>
      <c r="F2913" s="13">
        <v>147452</v>
      </c>
      <c r="G2913" s="13">
        <v>8200</v>
      </c>
      <c r="H2913" s="13">
        <v>2262024</v>
      </c>
      <c r="I2913" s="13">
        <v>0</v>
      </c>
      <c r="J2913" s="13">
        <v>0</v>
      </c>
      <c r="K2913" s="13">
        <v>2119</v>
      </c>
      <c r="L2913" s="13">
        <v>763</v>
      </c>
      <c r="M2913" s="13">
        <v>737</v>
      </c>
      <c r="N2913" s="13">
        <v>219</v>
      </c>
      <c r="O2913" s="13">
        <v>36</v>
      </c>
      <c r="P2913" s="13">
        <v>1</v>
      </c>
      <c r="Q2913" s="13">
        <v>62</v>
      </c>
      <c r="R2913" s="13">
        <v>1</v>
      </c>
      <c r="S2913" s="13">
        <v>0</v>
      </c>
      <c r="T2913" s="23">
        <v>46247.7968287037</v>
      </c>
      <c r="U2913" s="55">
        <f t="shared" si="135"/>
        <v>1</v>
      </c>
      <c r="V2913" s="55">
        <f t="shared" si="136"/>
        <v>0.16666666666666666</v>
      </c>
      <c r="W2913" s="56">
        <f t="shared" si="137"/>
        <v>2086.5</v>
      </c>
    </row>
    <row r="2914" spans="1:23" x14ac:dyDescent="0.3">
      <c r="A2914" s="13" t="str" cm="1">
        <f t="array" ref="A2914:B2914">INDEX(BenchmarkResults!$B$1:$D$35,SUMPRODUCT((T2914&gt;=BenchmarkResults!$F$3:$F$35)*(mongodb_hardware_log!T2914&lt;BenchmarkResults!$G$3:$G$35)*ROW(BenchmarkResults!$F$3:$F$35)),{1,3})</f>
        <v>q6_inactive_customers</v>
      </c>
      <c r="B2914">
        <v>2</v>
      </c>
      <c r="C2914" s="13">
        <v>1</v>
      </c>
      <c r="D2914" s="13">
        <v>0</v>
      </c>
      <c r="E2914" s="13">
        <v>194560</v>
      </c>
      <c r="F2914" s="13">
        <v>139388</v>
      </c>
      <c r="G2914" s="13">
        <v>8208</v>
      </c>
      <c r="H2914" s="13">
        <v>2263868</v>
      </c>
      <c r="I2914" s="13">
        <v>0</v>
      </c>
      <c r="J2914" s="13">
        <v>0</v>
      </c>
      <c r="K2914" s="13">
        <v>2000</v>
      </c>
      <c r="L2914" s="13">
        <v>13</v>
      </c>
      <c r="M2914" s="13">
        <v>731</v>
      </c>
      <c r="N2914" s="13">
        <v>219</v>
      </c>
      <c r="O2914" s="13">
        <v>36</v>
      </c>
      <c r="P2914" s="13">
        <v>1</v>
      </c>
      <c r="Q2914" s="13">
        <v>62</v>
      </c>
      <c r="R2914" s="13">
        <v>1</v>
      </c>
      <c r="S2914" s="13">
        <v>0</v>
      </c>
      <c r="T2914" s="23">
        <v>46247.796851851854</v>
      </c>
      <c r="U2914" s="55">
        <f t="shared" si="135"/>
        <v>1</v>
      </c>
      <c r="V2914" s="55">
        <f t="shared" si="136"/>
        <v>0.16666666666666666</v>
      </c>
      <c r="W2914" s="56">
        <f t="shared" si="137"/>
        <v>2081.5</v>
      </c>
    </row>
    <row r="2915" spans="1:23" x14ac:dyDescent="0.3">
      <c r="A2915" s="13" t="str" cm="1">
        <f t="array" ref="A2915:B2915">INDEX(BenchmarkResults!$B$1:$D$35,SUMPRODUCT((T2915&gt;=BenchmarkResults!$F$3:$F$35)*(mongodb_hardware_log!T2915&lt;BenchmarkResults!$G$3:$G$35)*ROW(BenchmarkResults!$F$3:$F$35)),{1,3})</f>
        <v>q6_inactive_customers</v>
      </c>
      <c r="B2915">
        <v>2</v>
      </c>
      <c r="C2915" s="13">
        <v>1</v>
      </c>
      <c r="D2915" s="13">
        <v>0</v>
      </c>
      <c r="E2915" s="13">
        <v>194560</v>
      </c>
      <c r="F2915" s="13">
        <v>128552</v>
      </c>
      <c r="G2915" s="13">
        <v>8216</v>
      </c>
      <c r="H2915" s="13">
        <v>2280904</v>
      </c>
      <c r="I2915" s="13">
        <v>0</v>
      </c>
      <c r="J2915" s="13">
        <v>0</v>
      </c>
      <c r="K2915" s="13">
        <v>1889</v>
      </c>
      <c r="L2915" s="13">
        <v>22</v>
      </c>
      <c r="M2915" s="13">
        <v>721</v>
      </c>
      <c r="N2915" s="13">
        <v>217</v>
      </c>
      <c r="O2915" s="13">
        <v>37</v>
      </c>
      <c r="P2915" s="13">
        <v>1</v>
      </c>
      <c r="Q2915" s="13">
        <v>62</v>
      </c>
      <c r="R2915" s="13">
        <v>0</v>
      </c>
      <c r="S2915" s="13">
        <v>0</v>
      </c>
      <c r="T2915" s="23">
        <v>46247.796944444446</v>
      </c>
      <c r="U2915" s="55">
        <f t="shared" si="135"/>
        <v>1</v>
      </c>
      <c r="V2915" s="55">
        <f t="shared" si="136"/>
        <v>0.16666666666666666</v>
      </c>
      <c r="W2915" s="56">
        <f t="shared" si="137"/>
        <v>2073.6666666666665</v>
      </c>
    </row>
    <row r="2916" spans="1:23" x14ac:dyDescent="0.3">
      <c r="A2916" s="13" t="str" cm="1">
        <f t="array" ref="A2916:B2916">INDEX(BenchmarkResults!$B$1:$D$35,SUMPRODUCT((T2916&gt;=BenchmarkResults!$F$3:$F$35)*(mongodb_hardware_log!T2916&lt;BenchmarkResults!$G$3:$G$35)*ROW(BenchmarkResults!$F$3:$F$35)),{1,3})</f>
        <v>q6_inactive_customers</v>
      </c>
      <c r="B2916">
        <v>2</v>
      </c>
      <c r="C2916" s="13">
        <v>1</v>
      </c>
      <c r="D2916" s="13">
        <v>0</v>
      </c>
      <c r="E2916" s="13">
        <v>194560</v>
      </c>
      <c r="F2916" s="13">
        <v>110136</v>
      </c>
      <c r="G2916" s="13">
        <v>8216</v>
      </c>
      <c r="H2916" s="13">
        <v>2289760</v>
      </c>
      <c r="I2916" s="13">
        <v>0</v>
      </c>
      <c r="J2916" s="13">
        <v>0</v>
      </c>
      <c r="K2916" s="13">
        <v>1701</v>
      </c>
      <c r="L2916" s="13">
        <v>19</v>
      </c>
      <c r="M2916" s="13">
        <v>699</v>
      </c>
      <c r="N2916" s="13">
        <v>195</v>
      </c>
      <c r="O2916" s="13">
        <v>37</v>
      </c>
      <c r="P2916" s="13">
        <v>1</v>
      </c>
      <c r="Q2916" s="13">
        <v>62</v>
      </c>
      <c r="R2916" s="13">
        <v>0</v>
      </c>
      <c r="S2916" s="13">
        <v>0</v>
      </c>
      <c r="T2916" s="23">
        <v>46247.796967592592</v>
      </c>
      <c r="U2916" s="55">
        <f t="shared" si="135"/>
        <v>1</v>
      </c>
      <c r="V2916" s="55">
        <f t="shared" si="136"/>
        <v>0.16666666666666666</v>
      </c>
      <c r="W2916" s="56">
        <f t="shared" si="137"/>
        <v>2021.1666666666667</v>
      </c>
    </row>
    <row r="2917" spans="1:23" x14ac:dyDescent="0.3">
      <c r="A2917" s="13" t="str" cm="1">
        <f t="array" ref="A2917:B2917">INDEX(BenchmarkResults!$B$1:$D$35,SUMPRODUCT((T2917&gt;=BenchmarkResults!$F$3:$F$35)*(mongodb_hardware_log!T2917&lt;BenchmarkResults!$G$3:$G$35)*ROW(BenchmarkResults!$F$3:$F$35)),{1,3})</f>
        <v>q6_inactive_customers</v>
      </c>
      <c r="B2917">
        <v>2</v>
      </c>
      <c r="C2917" s="13">
        <v>1</v>
      </c>
      <c r="D2917" s="13">
        <v>0</v>
      </c>
      <c r="E2917" s="13">
        <v>194560</v>
      </c>
      <c r="F2917" s="13">
        <v>142760</v>
      </c>
      <c r="G2917" s="13">
        <v>8224</v>
      </c>
      <c r="H2917" s="13">
        <v>2256196</v>
      </c>
      <c r="I2917" s="13">
        <v>0</v>
      </c>
      <c r="J2917" s="13">
        <v>0</v>
      </c>
      <c r="K2917" s="13">
        <v>1484</v>
      </c>
      <c r="L2917" s="13">
        <v>10</v>
      </c>
      <c r="M2917" s="13">
        <v>687</v>
      </c>
      <c r="N2917" s="13">
        <v>180</v>
      </c>
      <c r="O2917" s="13">
        <v>37</v>
      </c>
      <c r="P2917" s="13">
        <v>1</v>
      </c>
      <c r="Q2917" s="13">
        <v>62</v>
      </c>
      <c r="R2917" s="13">
        <v>0</v>
      </c>
      <c r="S2917" s="13">
        <v>0</v>
      </c>
      <c r="T2917" s="23">
        <v>46247.797060185185</v>
      </c>
      <c r="U2917" s="55">
        <f t="shared" si="135"/>
        <v>1</v>
      </c>
      <c r="V2917" s="55">
        <f t="shared" si="136"/>
        <v>0</v>
      </c>
      <c r="W2917" s="56">
        <f t="shared" si="137"/>
        <v>1895</v>
      </c>
    </row>
    <row r="2918" spans="1:23" x14ac:dyDescent="0.3">
      <c r="A2918" s="13" t="str" cm="1">
        <f t="array" ref="A2918:B2918">INDEX(BenchmarkResults!$B$1:$D$35,SUMPRODUCT((T2918&gt;=BenchmarkResults!$F$3:$F$35)*(mongodb_hardware_log!T2918&lt;BenchmarkResults!$G$3:$G$35)*ROW(BenchmarkResults!$F$3:$F$35)),{1,3})</f>
        <v>q6_inactive_customers</v>
      </c>
      <c r="B2918">
        <v>2</v>
      </c>
      <c r="C2918" s="13">
        <v>1</v>
      </c>
      <c r="D2918" s="13">
        <v>0</v>
      </c>
      <c r="E2918" s="13">
        <v>194560</v>
      </c>
      <c r="F2918" s="13">
        <v>139232</v>
      </c>
      <c r="G2918" s="13">
        <v>8232</v>
      </c>
      <c r="H2918" s="13">
        <v>2261324</v>
      </c>
      <c r="I2918" s="13">
        <v>0</v>
      </c>
      <c r="J2918" s="13">
        <v>0</v>
      </c>
      <c r="K2918" s="13">
        <v>1993</v>
      </c>
      <c r="L2918" s="13">
        <v>14</v>
      </c>
      <c r="M2918" s="13">
        <v>710</v>
      </c>
      <c r="N2918" s="13">
        <v>201</v>
      </c>
      <c r="O2918" s="13">
        <v>36</v>
      </c>
      <c r="P2918" s="13">
        <v>1</v>
      </c>
      <c r="Q2918" s="13">
        <v>62</v>
      </c>
      <c r="R2918" s="13">
        <v>0</v>
      </c>
      <c r="S2918" s="13">
        <v>0</v>
      </c>
      <c r="T2918" s="23">
        <v>46247.797083333331</v>
      </c>
      <c r="U2918" s="55">
        <f t="shared" si="135"/>
        <v>1</v>
      </c>
      <c r="V2918" s="55">
        <f t="shared" si="136"/>
        <v>0</v>
      </c>
      <c r="W2918" s="56">
        <f t="shared" si="137"/>
        <v>1864.3333333333333</v>
      </c>
    </row>
    <row r="2919" spans="1:23" x14ac:dyDescent="0.3">
      <c r="A2919" s="13" t="str" cm="1">
        <f t="array" ref="A2919:B2919">INDEX(BenchmarkResults!$B$1:$D$35,SUMPRODUCT((T2919&gt;=BenchmarkResults!$F$3:$F$35)*(mongodb_hardware_log!T2919&lt;BenchmarkResults!$G$3:$G$35)*ROW(BenchmarkResults!$F$3:$F$35)),{1,3})</f>
        <v>q6_inactive_customers</v>
      </c>
      <c r="B2919">
        <v>2</v>
      </c>
      <c r="C2919" s="13">
        <v>1</v>
      </c>
      <c r="D2919" s="13">
        <v>0</v>
      </c>
      <c r="E2919" s="13">
        <v>194560</v>
      </c>
      <c r="F2919" s="13">
        <v>120836</v>
      </c>
      <c r="G2919" s="13">
        <v>8240</v>
      </c>
      <c r="H2919" s="13">
        <v>2278160</v>
      </c>
      <c r="I2919" s="13">
        <v>0</v>
      </c>
      <c r="J2919" s="13">
        <v>0</v>
      </c>
      <c r="K2919" s="13">
        <v>2194</v>
      </c>
      <c r="L2919" s="13">
        <v>16</v>
      </c>
      <c r="M2919" s="13">
        <v>730</v>
      </c>
      <c r="N2919" s="13">
        <v>218</v>
      </c>
      <c r="O2919" s="13">
        <v>36</v>
      </c>
      <c r="P2919" s="13">
        <v>1</v>
      </c>
      <c r="Q2919" s="13">
        <v>62</v>
      </c>
      <c r="R2919" s="13">
        <v>1</v>
      </c>
      <c r="S2919" s="13">
        <v>0</v>
      </c>
      <c r="T2919" s="23">
        <v>46247.797175925924</v>
      </c>
      <c r="U2919" s="55">
        <f t="shared" si="135"/>
        <v>1</v>
      </c>
      <c r="V2919" s="55">
        <f t="shared" si="136"/>
        <v>0</v>
      </c>
      <c r="W2919" s="56">
        <f t="shared" si="137"/>
        <v>1876.8333333333333</v>
      </c>
    </row>
    <row r="2920" spans="1:23" x14ac:dyDescent="0.3">
      <c r="A2920" s="13" t="str" cm="1">
        <f t="array" ref="A2920:B2920">INDEX(BenchmarkResults!$B$1:$D$35,SUMPRODUCT((T2920&gt;=BenchmarkResults!$F$3:$F$35)*(mongodb_hardware_log!T2920&lt;BenchmarkResults!$G$3:$G$35)*ROW(BenchmarkResults!$F$3:$F$35)),{1,3})</f>
        <v>q6_inactive_customers</v>
      </c>
      <c r="B2920">
        <v>2</v>
      </c>
      <c r="C2920" s="13">
        <v>1</v>
      </c>
      <c r="D2920" s="13">
        <v>0</v>
      </c>
      <c r="E2920" s="13">
        <v>194560</v>
      </c>
      <c r="F2920" s="13">
        <v>116804</v>
      </c>
      <c r="G2920" s="13">
        <v>8240</v>
      </c>
      <c r="H2920" s="13">
        <v>2281996</v>
      </c>
      <c r="I2920" s="13">
        <v>0</v>
      </c>
      <c r="J2920" s="13">
        <v>0</v>
      </c>
      <c r="K2920" s="13">
        <v>2070</v>
      </c>
      <c r="L2920" s="13">
        <v>10</v>
      </c>
      <c r="M2920" s="13">
        <v>731</v>
      </c>
      <c r="N2920" s="13">
        <v>218</v>
      </c>
      <c r="O2920" s="13">
        <v>36</v>
      </c>
      <c r="P2920" s="13">
        <v>1</v>
      </c>
      <c r="Q2920" s="13">
        <v>62</v>
      </c>
      <c r="R2920" s="13">
        <v>1</v>
      </c>
      <c r="S2920" s="13">
        <v>0</v>
      </c>
      <c r="T2920" s="23">
        <v>46247.797199074077</v>
      </c>
      <c r="U2920" s="55">
        <f t="shared" si="135"/>
        <v>1</v>
      </c>
      <c r="V2920" s="55">
        <f t="shared" si="136"/>
        <v>0</v>
      </c>
      <c r="W2920" s="56">
        <f t="shared" si="137"/>
        <v>1888.5</v>
      </c>
    </row>
    <row r="2921" spans="1:23" x14ac:dyDescent="0.3">
      <c r="A2921" s="13" t="str" cm="1">
        <f t="array" ref="A2921:B2921">INDEX(BenchmarkResults!$B$1:$D$35,SUMPRODUCT((T2921&gt;=BenchmarkResults!$F$3:$F$35)*(mongodb_hardware_log!T2921&lt;BenchmarkResults!$G$3:$G$35)*ROW(BenchmarkResults!$F$3:$F$35)),{1,3})</f>
        <v>q6_inactive_customers</v>
      </c>
      <c r="B2921">
        <v>2</v>
      </c>
      <c r="C2921" s="13">
        <v>1</v>
      </c>
      <c r="D2921" s="13">
        <v>0</v>
      </c>
      <c r="E2921" s="13">
        <v>194560</v>
      </c>
      <c r="F2921" s="13">
        <v>158196</v>
      </c>
      <c r="G2921" s="13">
        <v>8252</v>
      </c>
      <c r="H2921" s="13">
        <v>2241336</v>
      </c>
      <c r="I2921" s="13">
        <v>0</v>
      </c>
      <c r="J2921" s="13">
        <v>0</v>
      </c>
      <c r="K2921" s="13">
        <v>1848</v>
      </c>
      <c r="L2921" s="13">
        <v>7</v>
      </c>
      <c r="M2921" s="13">
        <v>733</v>
      </c>
      <c r="N2921" s="13">
        <v>217</v>
      </c>
      <c r="O2921" s="13">
        <v>36</v>
      </c>
      <c r="P2921" s="13">
        <v>1</v>
      </c>
      <c r="Q2921" s="13">
        <v>62</v>
      </c>
      <c r="R2921" s="13">
        <v>0</v>
      </c>
      <c r="S2921" s="13">
        <v>0</v>
      </c>
      <c r="T2921" s="23">
        <v>46247.797291666669</v>
      </c>
      <c r="U2921" s="55">
        <f t="shared" si="135"/>
        <v>1</v>
      </c>
      <c r="V2921" s="55">
        <f t="shared" si="136"/>
        <v>0</v>
      </c>
      <c r="W2921" s="56">
        <f t="shared" si="137"/>
        <v>1881.6666666666667</v>
      </c>
    </row>
    <row r="2922" spans="1:23" x14ac:dyDescent="0.3">
      <c r="A2922" s="13" t="str" cm="1">
        <f t="array" ref="A2922:B2922">INDEX(BenchmarkResults!$B$1:$D$35,SUMPRODUCT((T2922&gt;=BenchmarkResults!$F$3:$F$35)*(mongodb_hardware_log!T2922&lt;BenchmarkResults!$G$3:$G$35)*ROW(BenchmarkResults!$F$3:$F$35)),{1,3})</f>
        <v>q6_inactive_customers</v>
      </c>
      <c r="B2922">
        <v>2</v>
      </c>
      <c r="C2922" s="13">
        <v>1</v>
      </c>
      <c r="D2922" s="13">
        <v>1</v>
      </c>
      <c r="E2922" s="13">
        <v>194560</v>
      </c>
      <c r="F2922" s="13">
        <v>153688</v>
      </c>
      <c r="G2922" s="13">
        <v>8260</v>
      </c>
      <c r="H2922" s="13">
        <v>2245728</v>
      </c>
      <c r="I2922" s="13">
        <v>0</v>
      </c>
      <c r="J2922" s="13">
        <v>0</v>
      </c>
      <c r="K2922" s="13">
        <v>1901</v>
      </c>
      <c r="L2922" s="13">
        <v>1042</v>
      </c>
      <c r="M2922" s="13">
        <v>740</v>
      </c>
      <c r="N2922" s="13">
        <v>222</v>
      </c>
      <c r="O2922" s="13">
        <v>37</v>
      </c>
      <c r="P2922" s="13">
        <v>1</v>
      </c>
      <c r="Q2922" s="13">
        <v>61</v>
      </c>
      <c r="R2922" s="13">
        <v>1</v>
      </c>
      <c r="S2922" s="13">
        <v>0</v>
      </c>
      <c r="T2922" s="23">
        <v>46247.797314814816</v>
      </c>
      <c r="U2922" s="55">
        <f t="shared" si="135"/>
        <v>1</v>
      </c>
      <c r="V2922" s="55">
        <f t="shared" si="136"/>
        <v>0.16666666666666666</v>
      </c>
      <c r="W2922" s="56">
        <f t="shared" si="137"/>
        <v>1915</v>
      </c>
    </row>
    <row r="2923" spans="1:23" x14ac:dyDescent="0.3">
      <c r="A2923" s="13" t="str" cm="1">
        <f t="array" ref="A2923:B2923">INDEX(BenchmarkResults!$B$1:$D$35,SUMPRODUCT((T2923&gt;=BenchmarkResults!$F$3:$F$35)*(mongodb_hardware_log!T2923&lt;BenchmarkResults!$G$3:$G$35)*ROW(BenchmarkResults!$F$3:$F$35)),{1,3})</f>
        <v>q6_inactive_customers</v>
      </c>
      <c r="B2923">
        <v>2</v>
      </c>
      <c r="C2923" s="13">
        <v>1</v>
      </c>
      <c r="D2923" s="13">
        <v>0</v>
      </c>
      <c r="E2923" s="13">
        <v>194560</v>
      </c>
      <c r="F2923" s="13">
        <v>132520</v>
      </c>
      <c r="G2923" s="13">
        <v>8284</v>
      </c>
      <c r="H2923" s="13">
        <v>2263576</v>
      </c>
      <c r="I2923" s="13">
        <v>0</v>
      </c>
      <c r="J2923" s="13">
        <v>0</v>
      </c>
      <c r="K2923" s="13">
        <v>2224</v>
      </c>
      <c r="L2923" s="13">
        <v>1596</v>
      </c>
      <c r="M2923" s="13">
        <v>760</v>
      </c>
      <c r="N2923" s="13">
        <v>237</v>
      </c>
      <c r="O2923" s="13">
        <v>36</v>
      </c>
      <c r="P2923" s="13">
        <v>1</v>
      </c>
      <c r="Q2923" s="13">
        <v>61</v>
      </c>
      <c r="R2923" s="13">
        <v>2</v>
      </c>
      <c r="S2923" s="13">
        <v>0</v>
      </c>
      <c r="T2923" s="23">
        <v>46247.797407407408</v>
      </c>
      <c r="U2923" s="55">
        <f t="shared" si="135"/>
        <v>1</v>
      </c>
      <c r="V2923" s="55">
        <f t="shared" si="136"/>
        <v>0.16666666666666666</v>
      </c>
      <c r="W2923" s="56">
        <f t="shared" si="137"/>
        <v>2038.3333333333333</v>
      </c>
    </row>
    <row r="2924" spans="1:23" x14ac:dyDescent="0.3">
      <c r="A2924" s="13" t="str" cm="1">
        <f t="array" ref="A2924:B2924">INDEX(BenchmarkResults!$B$1:$D$35,SUMPRODUCT((T2924&gt;=BenchmarkResults!$F$3:$F$35)*(mongodb_hardware_log!T2924&lt;BenchmarkResults!$G$3:$G$35)*ROW(BenchmarkResults!$F$3:$F$35)),{1,3})</f>
        <v>q6_inactive_customers</v>
      </c>
      <c r="B2924">
        <v>2</v>
      </c>
      <c r="C2924" s="13">
        <v>1</v>
      </c>
      <c r="D2924" s="13">
        <v>0</v>
      </c>
      <c r="E2924" s="13">
        <v>194560</v>
      </c>
      <c r="F2924" s="13">
        <v>129244</v>
      </c>
      <c r="G2924" s="13">
        <v>8284</v>
      </c>
      <c r="H2924" s="13">
        <v>2266900</v>
      </c>
      <c r="I2924" s="13">
        <v>0</v>
      </c>
      <c r="J2924" s="13">
        <v>0</v>
      </c>
      <c r="K2924" s="13">
        <v>2121</v>
      </c>
      <c r="L2924" s="13">
        <v>561</v>
      </c>
      <c r="M2924" s="13">
        <v>752</v>
      </c>
      <c r="N2924" s="13">
        <v>233</v>
      </c>
      <c r="O2924" s="13">
        <v>36</v>
      </c>
      <c r="P2924" s="13">
        <v>1</v>
      </c>
      <c r="Q2924" s="13">
        <v>61</v>
      </c>
      <c r="R2924" s="13">
        <v>1</v>
      </c>
      <c r="S2924" s="13">
        <v>0</v>
      </c>
      <c r="T2924" s="23">
        <v>46247.797430555554</v>
      </c>
      <c r="U2924" s="55">
        <f t="shared" si="135"/>
        <v>1</v>
      </c>
      <c r="V2924" s="55">
        <f t="shared" si="136"/>
        <v>0.16666666666666666</v>
      </c>
      <c r="W2924" s="56">
        <f t="shared" si="137"/>
        <v>2059.6666666666665</v>
      </c>
    </row>
    <row r="2925" spans="1:23" x14ac:dyDescent="0.3">
      <c r="A2925" s="13" t="str" cm="1">
        <f t="array" ref="A2925:B2925">INDEX(BenchmarkResults!$B$1:$D$35,SUMPRODUCT((T2925&gt;=BenchmarkResults!$F$3:$F$35)*(mongodb_hardware_log!T2925&lt;BenchmarkResults!$G$3:$G$35)*ROW(BenchmarkResults!$F$3:$F$35)),{1,3})</f>
        <v>q6_inactive_customers</v>
      </c>
      <c r="B2925">
        <v>2</v>
      </c>
      <c r="C2925" s="13">
        <v>1</v>
      </c>
      <c r="D2925" s="13">
        <v>0</v>
      </c>
      <c r="E2925" s="13">
        <v>194560</v>
      </c>
      <c r="F2925" s="13">
        <v>112612</v>
      </c>
      <c r="G2925" s="13">
        <v>8292</v>
      </c>
      <c r="H2925" s="13">
        <v>2283192</v>
      </c>
      <c r="I2925" s="13">
        <v>0</v>
      </c>
      <c r="J2925" s="13">
        <v>0</v>
      </c>
      <c r="K2925" s="13">
        <v>1958</v>
      </c>
      <c r="L2925" s="13">
        <v>8</v>
      </c>
      <c r="M2925" s="13">
        <v>734</v>
      </c>
      <c r="N2925" s="13">
        <v>226</v>
      </c>
      <c r="O2925" s="13">
        <v>37</v>
      </c>
      <c r="P2925" s="13">
        <v>1</v>
      </c>
      <c r="Q2925" s="13">
        <v>62</v>
      </c>
      <c r="R2925" s="13">
        <v>0</v>
      </c>
      <c r="S2925" s="13">
        <v>0</v>
      </c>
      <c r="T2925" s="23">
        <v>46247.797523148147</v>
      </c>
      <c r="U2925" s="55">
        <f t="shared" si="135"/>
        <v>1</v>
      </c>
      <c r="V2925" s="55">
        <f t="shared" si="136"/>
        <v>0.16666666666666666</v>
      </c>
      <c r="W2925" s="56">
        <f t="shared" si="137"/>
        <v>2020.3333333333333</v>
      </c>
    </row>
    <row r="2926" spans="1:23" x14ac:dyDescent="0.3">
      <c r="A2926" s="13" t="str" cm="1">
        <f t="array" ref="A2926:B2926">INDEX(BenchmarkResults!$B$1:$D$35,SUMPRODUCT((T2926&gt;=BenchmarkResults!$F$3:$F$35)*(mongodb_hardware_log!T2926&lt;BenchmarkResults!$G$3:$G$35)*ROW(BenchmarkResults!$F$3:$F$35)),{1,3})</f>
        <v>q6_inactive_customers</v>
      </c>
      <c r="B2926">
        <v>2</v>
      </c>
      <c r="C2926" s="13">
        <v>1</v>
      </c>
      <c r="D2926" s="13">
        <v>0</v>
      </c>
      <c r="E2926" s="13">
        <v>194560</v>
      </c>
      <c r="F2926" s="13">
        <v>164524</v>
      </c>
      <c r="G2926" s="13">
        <v>8300</v>
      </c>
      <c r="H2926" s="13">
        <v>2232212</v>
      </c>
      <c r="I2926" s="13">
        <v>0</v>
      </c>
      <c r="J2926" s="13">
        <v>0</v>
      </c>
      <c r="K2926" s="13">
        <v>2052</v>
      </c>
      <c r="L2926" s="13">
        <v>13</v>
      </c>
      <c r="M2926" s="13">
        <v>741</v>
      </c>
      <c r="N2926" s="13">
        <v>229</v>
      </c>
      <c r="O2926" s="13">
        <v>37</v>
      </c>
      <c r="P2926" s="13">
        <v>1</v>
      </c>
      <c r="Q2926" s="13">
        <v>61</v>
      </c>
      <c r="R2926" s="13">
        <v>0</v>
      </c>
      <c r="S2926" s="13">
        <v>0</v>
      </c>
      <c r="T2926" s="23">
        <v>46247.797546296293</v>
      </c>
      <c r="U2926" s="55">
        <f t="shared" si="135"/>
        <v>1</v>
      </c>
      <c r="V2926" s="55">
        <f t="shared" si="136"/>
        <v>0.16666666666666666</v>
      </c>
      <c r="W2926" s="56">
        <f t="shared" si="137"/>
        <v>2017.3333333333333</v>
      </c>
    </row>
    <row r="2927" spans="1:23" x14ac:dyDescent="0.3">
      <c r="A2927" s="13" t="str" cm="1">
        <f t="array" ref="A2927:B2927">INDEX(BenchmarkResults!$B$1:$D$35,SUMPRODUCT((T2927&gt;=BenchmarkResults!$F$3:$F$35)*(mongodb_hardware_log!T2927&lt;BenchmarkResults!$G$3:$G$35)*ROW(BenchmarkResults!$F$3:$F$35)),{1,3})</f>
        <v>q6_inactive_customers</v>
      </c>
      <c r="B2927">
        <v>2</v>
      </c>
      <c r="C2927" s="13">
        <v>1</v>
      </c>
      <c r="D2927" s="13">
        <v>0</v>
      </c>
      <c r="E2927" s="13">
        <v>194560</v>
      </c>
      <c r="F2927" s="13">
        <v>132084</v>
      </c>
      <c r="G2927" s="13">
        <v>8308</v>
      </c>
      <c r="H2927" s="13">
        <v>2259440</v>
      </c>
      <c r="I2927" s="13">
        <v>0</v>
      </c>
      <c r="J2927" s="13">
        <v>0</v>
      </c>
      <c r="K2927" s="13">
        <v>1578</v>
      </c>
      <c r="L2927" s="13">
        <v>18</v>
      </c>
      <c r="M2927" s="13">
        <v>713</v>
      </c>
      <c r="N2927" s="13">
        <v>195</v>
      </c>
      <c r="O2927" s="13">
        <v>37</v>
      </c>
      <c r="P2927" s="13">
        <v>1</v>
      </c>
      <c r="Q2927" s="13">
        <v>61</v>
      </c>
      <c r="R2927" s="13">
        <v>1</v>
      </c>
      <c r="S2927" s="13">
        <v>0</v>
      </c>
      <c r="T2927" s="23">
        <v>46247.797638888886</v>
      </c>
      <c r="U2927" s="55">
        <f t="shared" si="135"/>
        <v>1</v>
      </c>
      <c r="V2927" s="55">
        <f t="shared" si="136"/>
        <v>0.16666666666666666</v>
      </c>
      <c r="W2927" s="56">
        <f t="shared" si="137"/>
        <v>1972.3333333333333</v>
      </c>
    </row>
    <row r="2928" spans="1:23" x14ac:dyDescent="0.3">
      <c r="A2928" s="13" t="str" cm="1">
        <f t="array" ref="A2928:B2928">INDEX(BenchmarkResults!$B$1:$D$35,SUMPRODUCT((T2928&gt;=BenchmarkResults!$F$3:$F$35)*(mongodb_hardware_log!T2928&lt;BenchmarkResults!$G$3:$G$35)*ROW(BenchmarkResults!$F$3:$F$35)),{1,3})</f>
        <v>q6_inactive_customers</v>
      </c>
      <c r="B2928">
        <v>2</v>
      </c>
      <c r="C2928" s="13">
        <v>1</v>
      </c>
      <c r="D2928" s="13">
        <v>0</v>
      </c>
      <c r="E2928" s="13">
        <v>194560</v>
      </c>
      <c r="F2928" s="13">
        <v>132084</v>
      </c>
      <c r="G2928" s="13">
        <v>8308</v>
      </c>
      <c r="H2928" s="13">
        <v>2261692</v>
      </c>
      <c r="I2928" s="13">
        <v>0</v>
      </c>
      <c r="J2928" s="13">
        <v>0</v>
      </c>
      <c r="K2928" s="13">
        <v>1379</v>
      </c>
      <c r="L2928" s="13">
        <v>12</v>
      </c>
      <c r="M2928" s="13">
        <v>702</v>
      </c>
      <c r="N2928" s="13">
        <v>188</v>
      </c>
      <c r="O2928" s="13">
        <v>36</v>
      </c>
      <c r="P2928" s="13">
        <v>1</v>
      </c>
      <c r="Q2928" s="13">
        <v>62</v>
      </c>
      <c r="R2928" s="13">
        <v>1</v>
      </c>
      <c r="S2928" s="13">
        <v>0</v>
      </c>
      <c r="T2928" s="23">
        <v>46247.797662037039</v>
      </c>
      <c r="U2928" s="55">
        <f t="shared" si="135"/>
        <v>1</v>
      </c>
      <c r="V2928" s="55">
        <f t="shared" si="136"/>
        <v>0</v>
      </c>
      <c r="W2928" s="56">
        <f t="shared" si="137"/>
        <v>1885.3333333333333</v>
      </c>
    </row>
    <row r="2929" spans="1:23" x14ac:dyDescent="0.3">
      <c r="A2929" s="13" t="str" cm="1">
        <f t="array" ref="A2929:B2929">INDEX(BenchmarkResults!$B$1:$D$35,SUMPRODUCT((T2929&gt;=BenchmarkResults!$F$3:$F$35)*(mongodb_hardware_log!T2929&lt;BenchmarkResults!$G$3:$G$35)*ROW(BenchmarkResults!$F$3:$F$35)),{1,3})</f>
        <v>q6_inactive_customers</v>
      </c>
      <c r="B2929">
        <v>2</v>
      </c>
      <c r="C2929" s="13">
        <v>1</v>
      </c>
      <c r="D2929" s="13">
        <v>0</v>
      </c>
      <c r="E2929" s="13">
        <v>194560</v>
      </c>
      <c r="F2929" s="13">
        <v>111420</v>
      </c>
      <c r="G2929" s="13">
        <v>8316</v>
      </c>
      <c r="H2929" s="13">
        <v>2279660</v>
      </c>
      <c r="I2929" s="13">
        <v>0</v>
      </c>
      <c r="J2929" s="13">
        <v>0</v>
      </c>
      <c r="K2929" s="13">
        <v>2024</v>
      </c>
      <c r="L2929" s="13">
        <v>15</v>
      </c>
      <c r="M2929" s="13">
        <v>719</v>
      </c>
      <c r="N2929" s="13">
        <v>209</v>
      </c>
      <c r="O2929" s="13">
        <v>37</v>
      </c>
      <c r="P2929" s="13">
        <v>1</v>
      </c>
      <c r="Q2929" s="13">
        <v>62</v>
      </c>
      <c r="R2929" s="13">
        <v>0</v>
      </c>
      <c r="S2929" s="13">
        <v>0</v>
      </c>
      <c r="T2929" s="23">
        <v>46247.797754629632</v>
      </c>
      <c r="U2929" s="55">
        <f t="shared" si="135"/>
        <v>1</v>
      </c>
      <c r="V2929" s="55">
        <f t="shared" si="136"/>
        <v>0</v>
      </c>
      <c r="W2929" s="56">
        <f t="shared" si="137"/>
        <v>1852</v>
      </c>
    </row>
    <row r="2930" spans="1:23" x14ac:dyDescent="0.3">
      <c r="A2930" s="13" t="str" cm="1">
        <f t="array" ref="A2930:B2930">INDEX(BenchmarkResults!$B$1:$D$35,SUMPRODUCT((T2930&gt;=BenchmarkResults!$F$3:$F$35)*(mongodb_hardware_log!T2930&lt;BenchmarkResults!$G$3:$G$35)*ROW(BenchmarkResults!$F$3:$F$35)),{1,3})</f>
        <v>q6_inactive_customers</v>
      </c>
      <c r="B2930">
        <v>2</v>
      </c>
      <c r="C2930" s="13">
        <v>1</v>
      </c>
      <c r="D2930" s="13">
        <v>0</v>
      </c>
      <c r="E2930" s="13">
        <v>194560</v>
      </c>
      <c r="F2930" s="13">
        <v>108204</v>
      </c>
      <c r="G2930" s="13">
        <v>8324</v>
      </c>
      <c r="H2930" s="13">
        <v>2284156</v>
      </c>
      <c r="I2930" s="13">
        <v>0</v>
      </c>
      <c r="J2930" s="13">
        <v>0</v>
      </c>
      <c r="K2930" s="13">
        <v>2243</v>
      </c>
      <c r="L2930" s="13">
        <v>21</v>
      </c>
      <c r="M2930" s="13">
        <v>733</v>
      </c>
      <c r="N2930" s="13">
        <v>220</v>
      </c>
      <c r="O2930" s="13">
        <v>37</v>
      </c>
      <c r="P2930" s="13">
        <v>1</v>
      </c>
      <c r="Q2930" s="13">
        <v>62</v>
      </c>
      <c r="R2930" s="13">
        <v>1</v>
      </c>
      <c r="S2930" s="13">
        <v>0</v>
      </c>
      <c r="T2930" s="23">
        <v>46247.797777777778</v>
      </c>
      <c r="U2930" s="55">
        <f t="shared" si="135"/>
        <v>1</v>
      </c>
      <c r="V2930" s="55">
        <f t="shared" si="136"/>
        <v>0</v>
      </c>
      <c r="W2930" s="56">
        <f t="shared" si="137"/>
        <v>1872.3333333333333</v>
      </c>
    </row>
    <row r="2931" spans="1:23" x14ac:dyDescent="0.3">
      <c r="A2931" s="13" t="str" cm="1">
        <f t="array" ref="A2931:B2931">INDEX(BenchmarkResults!$B$1:$D$35,SUMPRODUCT((T2931&gt;=BenchmarkResults!$F$3:$F$35)*(mongodb_hardware_log!T2931&lt;BenchmarkResults!$G$3:$G$35)*ROW(BenchmarkResults!$F$3:$F$35)),{1,3})</f>
        <v>q6_inactive_customers</v>
      </c>
      <c r="B2931">
        <v>2</v>
      </c>
      <c r="C2931" s="13">
        <v>2</v>
      </c>
      <c r="D2931" s="13">
        <v>0</v>
      </c>
      <c r="E2931" s="13">
        <v>194560</v>
      </c>
      <c r="F2931" s="13">
        <v>143096</v>
      </c>
      <c r="G2931" s="13">
        <v>8332</v>
      </c>
      <c r="H2931" s="13">
        <v>2260244</v>
      </c>
      <c r="I2931" s="13">
        <v>0</v>
      </c>
      <c r="J2931" s="13">
        <v>0</v>
      </c>
      <c r="K2931" s="13">
        <v>2070</v>
      </c>
      <c r="L2931" s="13">
        <v>18</v>
      </c>
      <c r="M2931" s="13">
        <v>732</v>
      </c>
      <c r="N2931" s="13">
        <v>218</v>
      </c>
      <c r="O2931" s="13">
        <v>36</v>
      </c>
      <c r="P2931" s="13">
        <v>1</v>
      </c>
      <c r="Q2931" s="13">
        <v>62</v>
      </c>
      <c r="R2931" s="13">
        <v>1</v>
      </c>
      <c r="S2931" s="13">
        <v>0</v>
      </c>
      <c r="T2931" s="23">
        <v>46247.79787037037</v>
      </c>
      <c r="U2931" s="55">
        <f t="shared" si="135"/>
        <v>1.1666666666666667</v>
      </c>
      <c r="V2931" s="55">
        <f t="shared" si="136"/>
        <v>0</v>
      </c>
      <c r="W2931" s="56">
        <f t="shared" si="137"/>
        <v>1891</v>
      </c>
    </row>
    <row r="2932" spans="1:23" x14ac:dyDescent="0.3">
      <c r="A2932" s="13" t="str" cm="1">
        <f t="array" ref="A2932:B2932">INDEX(BenchmarkResults!$B$1:$D$35,SUMPRODUCT((T2932&gt;=BenchmarkResults!$F$3:$F$35)*(mongodb_hardware_log!T2932&lt;BenchmarkResults!$G$3:$G$35)*ROW(BenchmarkResults!$F$3:$F$35)),{1,3})</f>
        <v>q6_inactive_customers</v>
      </c>
      <c r="B2932">
        <v>2</v>
      </c>
      <c r="C2932" s="13">
        <v>1</v>
      </c>
      <c r="D2932" s="13">
        <v>0</v>
      </c>
      <c r="E2932" s="13">
        <v>194560</v>
      </c>
      <c r="F2932" s="13">
        <v>137048</v>
      </c>
      <c r="G2932" s="13">
        <v>8332</v>
      </c>
      <c r="H2932" s="13">
        <v>2265536</v>
      </c>
      <c r="I2932" s="13">
        <v>0</v>
      </c>
      <c r="J2932" s="13">
        <v>0</v>
      </c>
      <c r="K2932" s="13">
        <v>2150</v>
      </c>
      <c r="L2932" s="13">
        <v>12</v>
      </c>
      <c r="M2932" s="13">
        <v>731</v>
      </c>
      <c r="N2932" s="13">
        <v>216</v>
      </c>
      <c r="O2932" s="13">
        <v>36</v>
      </c>
      <c r="P2932" s="13">
        <v>1</v>
      </c>
      <c r="Q2932" s="13">
        <v>62</v>
      </c>
      <c r="R2932" s="13">
        <v>1</v>
      </c>
      <c r="S2932" s="13">
        <v>0</v>
      </c>
      <c r="T2932" s="23">
        <v>46247.797893518517</v>
      </c>
      <c r="U2932" s="55">
        <f t="shared" si="135"/>
        <v>1.1666666666666667</v>
      </c>
      <c r="V2932" s="55">
        <f t="shared" si="136"/>
        <v>0</v>
      </c>
      <c r="W2932" s="56">
        <f t="shared" si="137"/>
        <v>1907.3333333333333</v>
      </c>
    </row>
    <row r="2933" spans="1:23" x14ac:dyDescent="0.3">
      <c r="A2933" s="13" t="str" cm="1">
        <f t="array" ref="A2933:B2933">INDEX(BenchmarkResults!$B$1:$D$35,SUMPRODUCT((T2933&gt;=BenchmarkResults!$F$3:$F$35)*(mongodb_hardware_log!T2933&lt;BenchmarkResults!$G$3:$G$35)*ROW(BenchmarkResults!$F$3:$F$35)),{1,3})</f>
        <v>q6_inactive_customers</v>
      </c>
      <c r="B2933">
        <v>2</v>
      </c>
      <c r="C2933" s="13">
        <v>1</v>
      </c>
      <c r="D2933" s="13">
        <v>0</v>
      </c>
      <c r="E2933" s="13">
        <v>194560</v>
      </c>
      <c r="F2933" s="13">
        <v>757408</v>
      </c>
      <c r="G2933" s="13">
        <v>8340</v>
      </c>
      <c r="H2933" s="13">
        <v>1616864</v>
      </c>
      <c r="I2933" s="13">
        <v>0</v>
      </c>
      <c r="J2933" s="13">
        <v>0</v>
      </c>
      <c r="K2933" s="13">
        <v>1351</v>
      </c>
      <c r="L2933" s="13">
        <v>1565</v>
      </c>
      <c r="M2933" s="13">
        <v>1054</v>
      </c>
      <c r="N2933" s="13">
        <v>473</v>
      </c>
      <c r="O2933" s="13">
        <v>39</v>
      </c>
      <c r="P2933" s="13">
        <v>12</v>
      </c>
      <c r="Q2933" s="13">
        <v>48</v>
      </c>
      <c r="R2933" s="13">
        <v>1</v>
      </c>
      <c r="S2933" s="13">
        <v>0</v>
      </c>
      <c r="T2933" s="23">
        <v>46247.797986111109</v>
      </c>
      <c r="U2933" s="55">
        <f t="shared" si="135"/>
        <v>1.1666666666666667</v>
      </c>
      <c r="V2933" s="55">
        <f t="shared" si="136"/>
        <v>0</v>
      </c>
      <c r="W2933" s="56">
        <f t="shared" si="137"/>
        <v>1869.5</v>
      </c>
    </row>
    <row r="2934" spans="1:23" x14ac:dyDescent="0.3">
      <c r="A2934" s="13" t="str" cm="1">
        <f t="array" ref="A2934:B2934">INDEX(BenchmarkResults!$B$1:$D$35,SUMPRODUCT((T2934&gt;=BenchmarkResults!$F$3:$F$35)*(mongodb_hardware_log!T2934&lt;BenchmarkResults!$G$3:$G$35)*ROW(BenchmarkResults!$F$3:$F$35)),{1,3})</f>
        <v>q6_inactive_customers</v>
      </c>
      <c r="B2934">
        <v>2</v>
      </c>
      <c r="C2934" s="13">
        <v>1</v>
      </c>
      <c r="D2934" s="13">
        <v>0</v>
      </c>
      <c r="E2934" s="13">
        <v>194560</v>
      </c>
      <c r="F2934" s="13">
        <v>759732</v>
      </c>
      <c r="G2934" s="13">
        <v>8348</v>
      </c>
      <c r="H2934" s="13">
        <v>1620268</v>
      </c>
      <c r="I2934" s="13">
        <v>0</v>
      </c>
      <c r="J2934" s="13">
        <v>0</v>
      </c>
      <c r="K2934" s="13">
        <v>1166</v>
      </c>
      <c r="L2934" s="13">
        <v>1570</v>
      </c>
      <c r="M2934" s="13">
        <v>1047</v>
      </c>
      <c r="N2934" s="13">
        <v>466</v>
      </c>
      <c r="O2934" s="13">
        <v>39</v>
      </c>
      <c r="P2934" s="13">
        <v>12</v>
      </c>
      <c r="Q2934" s="13">
        <v>48</v>
      </c>
      <c r="R2934" s="13">
        <v>1</v>
      </c>
      <c r="S2934" s="13">
        <v>0</v>
      </c>
      <c r="T2934" s="23">
        <v>46247.798009259262</v>
      </c>
      <c r="U2934" s="55">
        <f t="shared" si="135"/>
        <v>1.1666666666666667</v>
      </c>
      <c r="V2934" s="55">
        <f t="shared" si="136"/>
        <v>0</v>
      </c>
      <c r="W2934" s="56">
        <f t="shared" si="137"/>
        <v>1834</v>
      </c>
    </row>
    <row r="2935" spans="1:23" x14ac:dyDescent="0.3">
      <c r="A2935" s="13" t="str" cm="1">
        <f t="array" ref="A2935:B2935">INDEX(BenchmarkResults!$B$1:$D$35,SUMPRODUCT((T2935&gt;=BenchmarkResults!$F$3:$F$35)*(mongodb_hardware_log!T2935&lt;BenchmarkResults!$G$3:$G$35)*ROW(BenchmarkResults!$F$3:$F$35)),{1,3})</f>
        <v>q6_inactive_customers</v>
      </c>
      <c r="B2935">
        <v>2</v>
      </c>
      <c r="C2935" s="13">
        <v>1</v>
      </c>
      <c r="D2935" s="13">
        <v>0</v>
      </c>
      <c r="E2935" s="13">
        <v>194560</v>
      </c>
      <c r="F2935" s="13">
        <v>742280</v>
      </c>
      <c r="G2935" s="13">
        <v>8396</v>
      </c>
      <c r="H2935" s="13">
        <v>1639336</v>
      </c>
      <c r="I2935" s="13">
        <v>0</v>
      </c>
      <c r="J2935" s="13">
        <v>0</v>
      </c>
      <c r="K2935" s="13">
        <v>2242</v>
      </c>
      <c r="L2935" s="13">
        <v>45</v>
      </c>
      <c r="M2935" s="13">
        <v>732</v>
      </c>
      <c r="N2935" s="13">
        <v>225</v>
      </c>
      <c r="O2935" s="13">
        <v>36</v>
      </c>
      <c r="P2935" s="13">
        <v>2</v>
      </c>
      <c r="Q2935" s="13">
        <v>62</v>
      </c>
      <c r="R2935" s="13">
        <v>1</v>
      </c>
      <c r="S2935" s="13">
        <v>0</v>
      </c>
      <c r="T2935" s="23">
        <v>46247.798101851855</v>
      </c>
      <c r="U2935" s="55">
        <f t="shared" si="135"/>
        <v>1.1666666666666667</v>
      </c>
      <c r="V2935" s="55">
        <f t="shared" si="136"/>
        <v>0</v>
      </c>
      <c r="W2935" s="56">
        <f t="shared" si="137"/>
        <v>1870.3333333333333</v>
      </c>
    </row>
    <row r="2936" spans="1:23" x14ac:dyDescent="0.3">
      <c r="A2936" s="13" t="str" cm="1">
        <f t="array" ref="A2936:B2936">INDEX(BenchmarkResults!$B$1:$D$35,SUMPRODUCT((T2936&gt;=BenchmarkResults!$F$3:$F$35)*(mongodb_hardware_log!T2936&lt;BenchmarkResults!$G$3:$G$35)*ROW(BenchmarkResults!$F$3:$F$35)),{1,3})</f>
        <v>q6_inactive_customers</v>
      </c>
      <c r="B2936">
        <v>2</v>
      </c>
      <c r="C2936" s="13">
        <v>1</v>
      </c>
      <c r="D2936" s="13">
        <v>0</v>
      </c>
      <c r="E2936" s="13">
        <v>194560</v>
      </c>
      <c r="F2936" s="13">
        <v>739256</v>
      </c>
      <c r="G2936" s="13">
        <v>8396</v>
      </c>
      <c r="H2936" s="13">
        <v>1642736</v>
      </c>
      <c r="I2936" s="13">
        <v>0</v>
      </c>
      <c r="J2936" s="13">
        <v>0</v>
      </c>
      <c r="K2936" s="13">
        <v>2234</v>
      </c>
      <c r="L2936" s="13">
        <v>40</v>
      </c>
      <c r="M2936" s="13">
        <v>732</v>
      </c>
      <c r="N2936" s="13">
        <v>227</v>
      </c>
      <c r="O2936" s="13">
        <v>36</v>
      </c>
      <c r="P2936" s="13">
        <v>1</v>
      </c>
      <c r="Q2936" s="13">
        <v>62</v>
      </c>
      <c r="R2936" s="13">
        <v>0</v>
      </c>
      <c r="S2936" s="13">
        <v>0</v>
      </c>
      <c r="T2936" s="23">
        <v>46247.798125000001</v>
      </c>
      <c r="U2936" s="55">
        <f t="shared" si="135"/>
        <v>1.1666666666666667</v>
      </c>
      <c r="V2936" s="55">
        <f t="shared" si="136"/>
        <v>0</v>
      </c>
      <c r="W2936" s="56">
        <f t="shared" si="137"/>
        <v>1868.8333333333333</v>
      </c>
    </row>
    <row r="2937" spans="1:23" x14ac:dyDescent="0.3">
      <c r="A2937" s="13" t="str" cm="1">
        <f t="array" ref="A2937:B2937">INDEX(BenchmarkResults!$B$1:$D$35,SUMPRODUCT((T2937&gt;=BenchmarkResults!$F$3:$F$35)*(mongodb_hardware_log!T2937&lt;BenchmarkResults!$G$3:$G$35)*ROW(BenchmarkResults!$F$3:$F$35)),{1,3})</f>
        <v>q6_inactive_customers</v>
      </c>
      <c r="B2937">
        <v>2</v>
      </c>
      <c r="C2937" s="13">
        <v>1</v>
      </c>
      <c r="D2937" s="13">
        <v>0</v>
      </c>
      <c r="E2937" s="13">
        <v>194560</v>
      </c>
      <c r="F2937" s="13">
        <v>717336</v>
      </c>
      <c r="G2937" s="13">
        <v>8404</v>
      </c>
      <c r="H2937" s="13">
        <v>1662504</v>
      </c>
      <c r="I2937" s="13">
        <v>0</v>
      </c>
      <c r="J2937" s="13">
        <v>0</v>
      </c>
      <c r="K2937" s="13">
        <v>1510</v>
      </c>
      <c r="L2937" s="13">
        <v>5</v>
      </c>
      <c r="M2937" s="13">
        <v>717</v>
      </c>
      <c r="N2937" s="13">
        <v>217</v>
      </c>
      <c r="O2937" s="13">
        <v>36</v>
      </c>
      <c r="P2937" s="13">
        <v>1</v>
      </c>
      <c r="Q2937" s="13">
        <v>62</v>
      </c>
      <c r="R2937" s="13">
        <v>0</v>
      </c>
      <c r="S2937" s="13">
        <v>0</v>
      </c>
      <c r="T2937" s="23">
        <v>46247.798217592594</v>
      </c>
      <c r="U2937" s="55">
        <f t="shared" si="135"/>
        <v>1</v>
      </c>
      <c r="V2937" s="55">
        <f t="shared" si="136"/>
        <v>0</v>
      </c>
      <c r="W2937" s="56">
        <f t="shared" si="137"/>
        <v>1775.5</v>
      </c>
    </row>
    <row r="2938" spans="1:23" x14ac:dyDescent="0.3">
      <c r="A2938" s="13" t="str" cm="1">
        <f t="array" ref="A2938:B2938">INDEX(BenchmarkResults!$B$1:$D$35,SUMPRODUCT((T2938&gt;=BenchmarkResults!$F$3:$F$35)*(mongodb_hardware_log!T2938&lt;BenchmarkResults!$G$3:$G$35)*ROW(BenchmarkResults!$F$3:$F$35)),{1,3})</f>
        <v>q6_inactive_customers</v>
      </c>
      <c r="B2938">
        <v>2</v>
      </c>
      <c r="C2938" s="13">
        <v>1</v>
      </c>
      <c r="D2938" s="13">
        <v>0</v>
      </c>
      <c r="E2938" s="13">
        <v>194560</v>
      </c>
      <c r="F2938" s="13">
        <v>709272</v>
      </c>
      <c r="G2938" s="13">
        <v>8412</v>
      </c>
      <c r="H2938" s="13">
        <v>1672376</v>
      </c>
      <c r="I2938" s="13">
        <v>0</v>
      </c>
      <c r="J2938" s="13">
        <v>0</v>
      </c>
      <c r="K2938" s="13">
        <v>1406</v>
      </c>
      <c r="L2938" s="13">
        <v>10</v>
      </c>
      <c r="M2938" s="13">
        <v>706</v>
      </c>
      <c r="N2938" s="13">
        <v>206</v>
      </c>
      <c r="O2938" s="13">
        <v>36</v>
      </c>
      <c r="P2938" s="13">
        <v>2</v>
      </c>
      <c r="Q2938" s="13">
        <v>62</v>
      </c>
      <c r="R2938" s="13">
        <v>0</v>
      </c>
      <c r="S2938" s="13">
        <v>0</v>
      </c>
      <c r="T2938" s="23">
        <v>46247.79824074074</v>
      </c>
      <c r="U2938" s="55">
        <f t="shared" si="135"/>
        <v>1</v>
      </c>
      <c r="V2938" s="55">
        <f t="shared" si="136"/>
        <v>0</v>
      </c>
      <c r="W2938" s="56">
        <f t="shared" si="137"/>
        <v>1651.5</v>
      </c>
    </row>
    <row r="2939" spans="1:23" x14ac:dyDescent="0.3">
      <c r="A2939" s="13" t="str" cm="1">
        <f t="array" ref="A2939:B2939">INDEX(BenchmarkResults!$B$1:$D$35,SUMPRODUCT((T2939&gt;=BenchmarkResults!$F$3:$F$35)*(mongodb_hardware_log!T2939&lt;BenchmarkResults!$G$3:$G$35)*ROW(BenchmarkResults!$F$3:$F$35)),{1,3})</f>
        <v>q6_inactive_customers</v>
      </c>
      <c r="B2939">
        <v>2</v>
      </c>
      <c r="C2939" s="13">
        <v>1</v>
      </c>
      <c r="D2939" s="13">
        <v>0</v>
      </c>
      <c r="E2939" s="13">
        <v>194560</v>
      </c>
      <c r="F2939" s="13">
        <v>691584</v>
      </c>
      <c r="G2939" s="13">
        <v>8420</v>
      </c>
      <c r="H2939" s="13">
        <v>1688244</v>
      </c>
      <c r="I2939" s="13">
        <v>0</v>
      </c>
      <c r="J2939" s="13">
        <v>0</v>
      </c>
      <c r="K2939" s="13">
        <v>1812</v>
      </c>
      <c r="L2939" s="13">
        <v>450</v>
      </c>
      <c r="M2939" s="13">
        <v>738</v>
      </c>
      <c r="N2939" s="13">
        <v>225</v>
      </c>
      <c r="O2939" s="13">
        <v>37</v>
      </c>
      <c r="P2939" s="13">
        <v>2</v>
      </c>
      <c r="Q2939" s="13">
        <v>61</v>
      </c>
      <c r="R2939" s="13">
        <v>0</v>
      </c>
      <c r="S2939" s="13">
        <v>0</v>
      </c>
      <c r="T2939" s="23">
        <v>46247.798333333332</v>
      </c>
      <c r="U2939" s="55">
        <f t="shared" si="135"/>
        <v>1</v>
      </c>
      <c r="V2939" s="55">
        <f t="shared" si="136"/>
        <v>0</v>
      </c>
      <c r="W2939" s="56">
        <f t="shared" si="137"/>
        <v>1728.3333333333333</v>
      </c>
    </row>
    <row r="2940" spans="1:23" x14ac:dyDescent="0.3">
      <c r="A2940" s="13" t="str" cm="1">
        <f t="array" ref="A2940:B2940">INDEX(BenchmarkResults!$B$1:$D$35,SUMPRODUCT((T2940&gt;=BenchmarkResults!$F$3:$F$35)*(mongodb_hardware_log!T2940&lt;BenchmarkResults!$G$3:$G$35)*ROW(BenchmarkResults!$F$3:$F$35)),{1,3})</f>
        <v>q6_inactive_customers</v>
      </c>
      <c r="B2940">
        <v>2</v>
      </c>
      <c r="C2940" s="13">
        <v>1</v>
      </c>
      <c r="D2940" s="13">
        <v>0</v>
      </c>
      <c r="E2940" s="13">
        <v>194560</v>
      </c>
      <c r="F2940" s="13">
        <v>695140</v>
      </c>
      <c r="G2940" s="13">
        <v>8420</v>
      </c>
      <c r="H2940" s="13">
        <v>1692176</v>
      </c>
      <c r="I2940" s="13">
        <v>0</v>
      </c>
      <c r="J2940" s="13">
        <v>0</v>
      </c>
      <c r="K2940" s="13">
        <v>1976</v>
      </c>
      <c r="L2940" s="13">
        <v>1596</v>
      </c>
      <c r="M2940" s="13">
        <v>757</v>
      </c>
      <c r="N2940" s="13">
        <v>238</v>
      </c>
      <c r="O2940" s="13">
        <v>36</v>
      </c>
      <c r="P2940" s="13">
        <v>2</v>
      </c>
      <c r="Q2940" s="13">
        <v>60</v>
      </c>
      <c r="R2940" s="13">
        <v>2</v>
      </c>
      <c r="S2940" s="13">
        <v>0</v>
      </c>
      <c r="T2940" s="23">
        <v>46247.798356481479</v>
      </c>
      <c r="U2940" s="55">
        <f t="shared" si="135"/>
        <v>1</v>
      </c>
      <c r="V2940" s="55">
        <f t="shared" si="136"/>
        <v>0</v>
      </c>
      <c r="W2940" s="56">
        <f t="shared" si="137"/>
        <v>1863.3333333333333</v>
      </c>
    </row>
    <row r="2941" spans="1:23" x14ac:dyDescent="0.3">
      <c r="A2941" s="13" t="str" cm="1">
        <f t="array" ref="A2941:B2941">INDEX(BenchmarkResults!$B$1:$D$35,SUMPRODUCT((T2941&gt;=BenchmarkResults!$F$3:$F$35)*(mongodb_hardware_log!T2941&lt;BenchmarkResults!$G$3:$G$35)*ROW(BenchmarkResults!$F$3:$F$35)),{1,3})</f>
        <v>q6_inactive_customers</v>
      </c>
      <c r="B2941">
        <v>2</v>
      </c>
      <c r="C2941" s="13">
        <v>1</v>
      </c>
      <c r="D2941" s="13">
        <v>0</v>
      </c>
      <c r="E2941" s="13">
        <v>194560</v>
      </c>
      <c r="F2941" s="13">
        <v>696740</v>
      </c>
      <c r="G2941" s="13">
        <v>8428</v>
      </c>
      <c r="H2941" s="13">
        <v>1710368</v>
      </c>
      <c r="I2941" s="13">
        <v>0</v>
      </c>
      <c r="J2941" s="13">
        <v>0</v>
      </c>
      <c r="K2941" s="13">
        <v>2215</v>
      </c>
      <c r="L2941" s="13">
        <v>1156</v>
      </c>
      <c r="M2941" s="13">
        <v>736</v>
      </c>
      <c r="N2941" s="13">
        <v>222</v>
      </c>
      <c r="O2941" s="13">
        <v>35</v>
      </c>
      <c r="P2941" s="13">
        <v>2</v>
      </c>
      <c r="Q2941" s="13">
        <v>60</v>
      </c>
      <c r="R2941" s="13">
        <v>2</v>
      </c>
      <c r="S2941" s="13">
        <v>0</v>
      </c>
      <c r="T2941" s="23">
        <v>46247.798449074071</v>
      </c>
      <c r="U2941" s="55">
        <f t="shared" si="135"/>
        <v>1</v>
      </c>
      <c r="V2941" s="55">
        <f t="shared" si="136"/>
        <v>0</v>
      </c>
      <c r="W2941" s="56">
        <f t="shared" si="137"/>
        <v>1858.8333333333333</v>
      </c>
    </row>
    <row r="2942" spans="1:23" x14ac:dyDescent="0.3">
      <c r="A2942" s="13" t="str" cm="1">
        <f t="array" ref="A2942:B2942">INDEX(BenchmarkResults!$B$1:$D$35,SUMPRODUCT((T2942&gt;=BenchmarkResults!$F$3:$F$35)*(mongodb_hardware_log!T2942&lt;BenchmarkResults!$G$3:$G$35)*ROW(BenchmarkResults!$F$3:$F$35)),{1,3})</f>
        <v>q6_inactive_customers</v>
      </c>
      <c r="B2942">
        <v>2</v>
      </c>
      <c r="C2942" s="13">
        <v>1</v>
      </c>
      <c r="D2942" s="13">
        <v>0</v>
      </c>
      <c r="E2942" s="13">
        <v>194560</v>
      </c>
      <c r="F2942" s="13">
        <v>695228</v>
      </c>
      <c r="G2942" s="13">
        <v>8428</v>
      </c>
      <c r="H2942" s="13">
        <v>1713520</v>
      </c>
      <c r="I2942" s="13">
        <v>0</v>
      </c>
      <c r="J2942" s="13">
        <v>0</v>
      </c>
      <c r="K2942" s="13">
        <v>2131</v>
      </c>
      <c r="L2942" s="13">
        <v>6</v>
      </c>
      <c r="M2942" s="13">
        <v>726</v>
      </c>
      <c r="N2942" s="13">
        <v>216</v>
      </c>
      <c r="O2942" s="13">
        <v>36</v>
      </c>
      <c r="P2942" s="13">
        <v>2</v>
      </c>
      <c r="Q2942" s="13">
        <v>62</v>
      </c>
      <c r="R2942" s="13">
        <v>0</v>
      </c>
      <c r="S2942" s="13">
        <v>0</v>
      </c>
      <c r="T2942" s="23">
        <v>46247.798472222225</v>
      </c>
      <c r="U2942" s="55">
        <f t="shared" si="135"/>
        <v>1</v>
      </c>
      <c r="V2942" s="55">
        <f t="shared" si="136"/>
        <v>0</v>
      </c>
      <c r="W2942" s="56">
        <f t="shared" si="137"/>
        <v>1841.6666666666667</v>
      </c>
    </row>
    <row r="2943" spans="1:23" x14ac:dyDescent="0.3">
      <c r="A2943" s="13" t="str" cm="1">
        <f t="array" ref="A2943:B2943">INDEX(BenchmarkResults!$B$1:$D$35,SUMPRODUCT((T2943&gt;=BenchmarkResults!$F$3:$F$35)*(mongodb_hardware_log!T2943&lt;BenchmarkResults!$G$3:$G$35)*ROW(BenchmarkResults!$F$3:$F$35)),{1,3})</f>
        <v>q6_inactive_customers</v>
      </c>
      <c r="B2943">
        <v>2</v>
      </c>
      <c r="C2943" s="13">
        <v>1</v>
      </c>
      <c r="D2943" s="13">
        <v>0</v>
      </c>
      <c r="E2943" s="13">
        <v>194560</v>
      </c>
      <c r="F2943" s="13">
        <v>676580</v>
      </c>
      <c r="G2943" s="13">
        <v>8436</v>
      </c>
      <c r="H2943" s="13">
        <v>1730068</v>
      </c>
      <c r="I2943" s="13">
        <v>0</v>
      </c>
      <c r="J2943" s="13">
        <v>0</v>
      </c>
      <c r="K2943" s="13">
        <v>1972</v>
      </c>
      <c r="L2943" s="13">
        <v>9</v>
      </c>
      <c r="M2943" s="13">
        <v>719</v>
      </c>
      <c r="N2943" s="13">
        <v>206</v>
      </c>
      <c r="O2943" s="13">
        <v>37</v>
      </c>
      <c r="P2943" s="13">
        <v>1</v>
      </c>
      <c r="Q2943" s="13">
        <v>62</v>
      </c>
      <c r="R2943" s="13">
        <v>0</v>
      </c>
      <c r="S2943" s="13">
        <v>0</v>
      </c>
      <c r="T2943" s="23">
        <v>46247.798564814817</v>
      </c>
      <c r="U2943" s="55">
        <f t="shared" si="135"/>
        <v>1</v>
      </c>
      <c r="V2943" s="55">
        <f t="shared" si="136"/>
        <v>0</v>
      </c>
      <c r="W2943" s="56">
        <f t="shared" si="137"/>
        <v>1918.6666666666667</v>
      </c>
    </row>
    <row r="2944" spans="1:23" x14ac:dyDescent="0.3">
      <c r="A2944" s="13" t="str" cm="1">
        <f t="array" ref="A2944:B2944">INDEX(BenchmarkResults!$B$1:$D$35,SUMPRODUCT((T2944&gt;=BenchmarkResults!$F$3:$F$35)*(mongodb_hardware_log!T2944&lt;BenchmarkResults!$G$3:$G$35)*ROW(BenchmarkResults!$F$3:$F$35)),{1,3})</f>
        <v>q6_inactive_customers</v>
      </c>
      <c r="B2944">
        <v>2</v>
      </c>
      <c r="C2944" s="13">
        <v>1</v>
      </c>
      <c r="D2944" s="13">
        <v>0</v>
      </c>
      <c r="E2944" s="13">
        <v>194560</v>
      </c>
      <c r="F2944" s="13">
        <v>674564</v>
      </c>
      <c r="G2944" s="13">
        <v>8444</v>
      </c>
      <c r="H2944" s="13">
        <v>1734596</v>
      </c>
      <c r="I2944" s="13">
        <v>0</v>
      </c>
      <c r="J2944" s="13">
        <v>0</v>
      </c>
      <c r="K2944" s="13">
        <v>2113</v>
      </c>
      <c r="L2944" s="13">
        <v>15</v>
      </c>
      <c r="M2944" s="13">
        <v>723</v>
      </c>
      <c r="N2944" s="13">
        <v>209</v>
      </c>
      <c r="O2944" s="13">
        <v>36</v>
      </c>
      <c r="P2944" s="13">
        <v>2</v>
      </c>
      <c r="Q2944" s="13">
        <v>62</v>
      </c>
      <c r="R2944" s="13">
        <v>0</v>
      </c>
      <c r="S2944" s="13">
        <v>0</v>
      </c>
      <c r="T2944" s="23">
        <v>46247.798587962963</v>
      </c>
      <c r="U2944" s="55">
        <f t="shared" si="135"/>
        <v>1</v>
      </c>
      <c r="V2944" s="55">
        <f t="shared" si="136"/>
        <v>0</v>
      </c>
      <c r="W2944" s="56">
        <f t="shared" si="137"/>
        <v>2036.5</v>
      </c>
    </row>
    <row r="2945" spans="1:23" x14ac:dyDescent="0.3">
      <c r="A2945" s="13" t="str" cm="1">
        <f t="array" ref="A2945:B2945">INDEX(BenchmarkResults!$B$1:$D$35,SUMPRODUCT((T2945&gt;=BenchmarkResults!$F$3:$F$35)*(mongodb_hardware_log!T2945&lt;BenchmarkResults!$G$3:$G$35)*ROW(BenchmarkResults!$F$3:$F$35)),{1,3})</f>
        <v>q6_inactive_customers</v>
      </c>
      <c r="B2945">
        <v>2</v>
      </c>
      <c r="C2945" s="13">
        <v>1</v>
      </c>
      <c r="D2945" s="13">
        <v>0</v>
      </c>
      <c r="E2945" s="13">
        <v>194560</v>
      </c>
      <c r="F2945" s="13">
        <v>656168</v>
      </c>
      <c r="G2945" s="13">
        <v>8452</v>
      </c>
      <c r="H2945" s="13">
        <v>1749752</v>
      </c>
      <c r="I2945" s="13">
        <v>0</v>
      </c>
      <c r="J2945" s="13">
        <v>0</v>
      </c>
      <c r="K2945" s="13">
        <v>1962</v>
      </c>
      <c r="L2945" s="13">
        <v>17</v>
      </c>
      <c r="M2945" s="13">
        <v>745</v>
      </c>
      <c r="N2945" s="13">
        <v>221</v>
      </c>
      <c r="O2945" s="13">
        <v>35</v>
      </c>
      <c r="P2945" s="13">
        <v>2</v>
      </c>
      <c r="Q2945" s="13">
        <v>62</v>
      </c>
      <c r="R2945" s="13">
        <v>1</v>
      </c>
      <c r="S2945" s="13">
        <v>0</v>
      </c>
      <c r="T2945" s="23">
        <v>46247.798680555556</v>
      </c>
      <c r="U2945" s="55">
        <f t="shared" si="135"/>
        <v>1</v>
      </c>
      <c r="V2945" s="55">
        <f t="shared" si="136"/>
        <v>0</v>
      </c>
      <c r="W2945" s="56">
        <f t="shared" si="137"/>
        <v>2061.5</v>
      </c>
    </row>
    <row r="2946" spans="1:23" x14ac:dyDescent="0.3">
      <c r="A2946" s="13" t="str" cm="1">
        <f t="array" ref="A2946:B2946">INDEX(BenchmarkResults!$B$1:$D$35,SUMPRODUCT((T2946&gt;=BenchmarkResults!$F$3:$F$35)*(mongodb_hardware_log!T2946&lt;BenchmarkResults!$G$3:$G$35)*ROW(BenchmarkResults!$F$3:$F$35)),{1,3})</f>
        <v>q6_inactive_customers</v>
      </c>
      <c r="B2946">
        <v>2</v>
      </c>
      <c r="C2946" s="13">
        <v>1</v>
      </c>
      <c r="D2946" s="13">
        <v>0</v>
      </c>
      <c r="E2946" s="13">
        <v>194560</v>
      </c>
      <c r="F2946" s="13">
        <v>653144</v>
      </c>
      <c r="G2946" s="13">
        <v>8452</v>
      </c>
      <c r="H2946" s="13">
        <v>1752560</v>
      </c>
      <c r="I2946" s="13">
        <v>0</v>
      </c>
      <c r="J2946" s="13">
        <v>0</v>
      </c>
      <c r="K2946" s="13">
        <v>1798</v>
      </c>
      <c r="L2946" s="13">
        <v>10</v>
      </c>
      <c r="M2946" s="13">
        <v>742</v>
      </c>
      <c r="N2946" s="13">
        <v>218</v>
      </c>
      <c r="O2946" s="13">
        <v>35</v>
      </c>
      <c r="P2946" s="13">
        <v>1</v>
      </c>
      <c r="Q2946" s="13">
        <v>62</v>
      </c>
      <c r="R2946" s="13">
        <v>1</v>
      </c>
      <c r="S2946" s="13">
        <v>0</v>
      </c>
      <c r="T2946" s="23">
        <v>46247.798703703702</v>
      </c>
      <c r="U2946" s="55">
        <f t="shared" si="135"/>
        <v>1</v>
      </c>
      <c r="V2946" s="55">
        <f t="shared" si="136"/>
        <v>0</v>
      </c>
      <c r="W2946" s="56">
        <f t="shared" si="137"/>
        <v>2031.8333333333333</v>
      </c>
    </row>
    <row r="2947" spans="1:23" x14ac:dyDescent="0.3">
      <c r="A2947" s="13" t="str" cm="1">
        <f t="array" ref="A2947:B2947">INDEX(BenchmarkResults!$B$1:$D$35,SUMPRODUCT((T2947&gt;=BenchmarkResults!$F$3:$F$35)*(mongodb_hardware_log!T2947&lt;BenchmarkResults!$G$3:$G$35)*ROW(BenchmarkResults!$F$3:$F$35)),{1,3})</f>
        <v>q6_inactive_customers</v>
      </c>
      <c r="B2947">
        <v>2</v>
      </c>
      <c r="C2947" s="13">
        <v>1</v>
      </c>
      <c r="D2947" s="13">
        <v>0</v>
      </c>
      <c r="E2947" s="13">
        <v>194560</v>
      </c>
      <c r="F2947" s="13">
        <v>639284</v>
      </c>
      <c r="G2947" s="13">
        <v>8484</v>
      </c>
      <c r="H2947" s="13">
        <v>1768016</v>
      </c>
      <c r="I2947" s="13">
        <v>0</v>
      </c>
      <c r="J2947" s="13">
        <v>0</v>
      </c>
      <c r="K2947" s="13">
        <v>1830</v>
      </c>
      <c r="L2947" s="13">
        <v>28</v>
      </c>
      <c r="M2947" s="13">
        <v>732</v>
      </c>
      <c r="N2947" s="13">
        <v>217</v>
      </c>
      <c r="O2947" s="13">
        <v>36</v>
      </c>
      <c r="P2947" s="13">
        <v>1</v>
      </c>
      <c r="Q2947" s="13">
        <v>62</v>
      </c>
      <c r="R2947" s="13">
        <v>0</v>
      </c>
      <c r="S2947" s="13">
        <v>0</v>
      </c>
      <c r="T2947" s="23">
        <v>46247.798796296294</v>
      </c>
      <c r="U2947" s="55">
        <f t="shared" si="135"/>
        <v>1</v>
      </c>
      <c r="V2947" s="55">
        <f t="shared" si="136"/>
        <v>0</v>
      </c>
      <c r="W2947" s="56">
        <f t="shared" si="137"/>
        <v>1967.6666666666667</v>
      </c>
    </row>
    <row r="2948" spans="1:23" x14ac:dyDescent="0.3">
      <c r="A2948" s="13" t="str" cm="1">
        <f t="array" ref="A2948:B2948">INDEX(BenchmarkResults!$B$1:$D$35,SUMPRODUCT((T2948&gt;=BenchmarkResults!$F$3:$F$35)*(mongodb_hardware_log!T2948&lt;BenchmarkResults!$G$3:$G$35)*ROW(BenchmarkResults!$F$3:$F$35)),{1,3})</f>
        <v>q6_inactive_customers</v>
      </c>
      <c r="B2948">
        <v>2</v>
      </c>
      <c r="C2948" s="13">
        <v>1</v>
      </c>
      <c r="D2948" s="13">
        <v>0</v>
      </c>
      <c r="E2948" s="13">
        <v>194560</v>
      </c>
      <c r="F2948" s="13">
        <v>633740</v>
      </c>
      <c r="G2948" s="13">
        <v>8484</v>
      </c>
      <c r="H2948" s="13">
        <v>1772544</v>
      </c>
      <c r="I2948" s="13">
        <v>0</v>
      </c>
      <c r="J2948" s="13">
        <v>0</v>
      </c>
      <c r="K2948" s="13">
        <v>1994</v>
      </c>
      <c r="L2948" s="13">
        <v>28</v>
      </c>
      <c r="M2948" s="13">
        <v>736</v>
      </c>
      <c r="N2948" s="13">
        <v>221</v>
      </c>
      <c r="O2948" s="13">
        <v>36</v>
      </c>
      <c r="P2948" s="13">
        <v>2</v>
      </c>
      <c r="Q2948" s="13">
        <v>62</v>
      </c>
      <c r="R2948" s="13">
        <v>0</v>
      </c>
      <c r="S2948" s="13">
        <v>0</v>
      </c>
      <c r="T2948" s="23">
        <v>46247.798819444448</v>
      </c>
      <c r="U2948" s="55">
        <f t="shared" si="135"/>
        <v>1</v>
      </c>
      <c r="V2948" s="55">
        <f t="shared" si="136"/>
        <v>0</v>
      </c>
      <c r="W2948" s="56">
        <f t="shared" si="137"/>
        <v>1944.8333333333333</v>
      </c>
    </row>
    <row r="2949" spans="1:23" x14ac:dyDescent="0.3">
      <c r="A2949" s="13" t="str" cm="1">
        <f t="array" ref="A2949:B2949">INDEX(BenchmarkResults!$B$1:$D$35,SUMPRODUCT((T2949&gt;=BenchmarkResults!$F$3:$F$35)*(mongodb_hardware_log!T2949&lt;BenchmarkResults!$G$3:$G$35)*ROW(BenchmarkResults!$F$3:$F$35)),{1,3})</f>
        <v>q6_inactive_customers</v>
      </c>
      <c r="B2949">
        <v>2</v>
      </c>
      <c r="C2949" s="13">
        <v>1</v>
      </c>
      <c r="D2949" s="13">
        <v>0</v>
      </c>
      <c r="E2949" s="13">
        <v>194560</v>
      </c>
      <c r="F2949" s="13">
        <v>597204</v>
      </c>
      <c r="G2949" s="13">
        <v>8500</v>
      </c>
      <c r="H2949" s="13">
        <v>1799380</v>
      </c>
      <c r="I2949" s="13">
        <v>0</v>
      </c>
      <c r="J2949" s="13">
        <v>0</v>
      </c>
      <c r="K2949" s="13">
        <v>1542</v>
      </c>
      <c r="L2949" s="13">
        <v>12</v>
      </c>
      <c r="M2949" s="13">
        <v>700</v>
      </c>
      <c r="N2949" s="13">
        <v>191</v>
      </c>
      <c r="O2949" s="13">
        <v>35</v>
      </c>
      <c r="P2949" s="13">
        <v>2</v>
      </c>
      <c r="Q2949" s="13">
        <v>63</v>
      </c>
      <c r="R2949" s="13">
        <v>0</v>
      </c>
      <c r="S2949" s="13">
        <v>0</v>
      </c>
      <c r="T2949" s="23">
        <v>46247.79891203704</v>
      </c>
      <c r="U2949" s="55">
        <f t="shared" si="135"/>
        <v>1</v>
      </c>
      <c r="V2949" s="55">
        <f t="shared" si="136"/>
        <v>0</v>
      </c>
      <c r="W2949" s="56">
        <f t="shared" si="137"/>
        <v>1873.1666666666667</v>
      </c>
    </row>
    <row r="2950" spans="1:23" x14ac:dyDescent="0.3">
      <c r="A2950" s="13" t="str" cm="1">
        <f t="array" ref="A2950:B2950">INDEX(BenchmarkResults!$B$1:$D$35,SUMPRODUCT((T2950&gt;=BenchmarkResults!$F$3:$F$35)*(mongodb_hardware_log!T2950&lt;BenchmarkResults!$G$3:$G$35)*ROW(BenchmarkResults!$F$3:$F$35)),{1,3})</f>
        <v>q6_inactive_customers</v>
      </c>
      <c r="B2950">
        <v>2</v>
      </c>
      <c r="C2950" s="13">
        <v>1</v>
      </c>
      <c r="D2950" s="13">
        <v>0</v>
      </c>
      <c r="E2950" s="13">
        <v>194560</v>
      </c>
      <c r="F2950" s="13">
        <v>596196</v>
      </c>
      <c r="G2950" s="13">
        <v>8500</v>
      </c>
      <c r="H2950" s="13">
        <v>1802852</v>
      </c>
      <c r="I2950" s="13">
        <v>0</v>
      </c>
      <c r="J2950" s="13">
        <v>0</v>
      </c>
      <c r="K2950" s="13">
        <v>1434</v>
      </c>
      <c r="L2950" s="13">
        <v>12</v>
      </c>
      <c r="M2950" s="13">
        <v>694</v>
      </c>
      <c r="N2950" s="13">
        <v>186</v>
      </c>
      <c r="O2950" s="13">
        <v>35</v>
      </c>
      <c r="P2950" s="13">
        <v>2</v>
      </c>
      <c r="Q2950" s="13">
        <v>62</v>
      </c>
      <c r="R2950" s="13">
        <v>0</v>
      </c>
      <c r="S2950" s="13">
        <v>0</v>
      </c>
      <c r="T2950" s="23">
        <v>46247.798935185187</v>
      </c>
      <c r="U2950" s="55">
        <f t="shared" si="135"/>
        <v>1</v>
      </c>
      <c r="V2950" s="55">
        <f t="shared" si="136"/>
        <v>0</v>
      </c>
      <c r="W2950" s="56">
        <f t="shared" si="137"/>
        <v>1760</v>
      </c>
    </row>
    <row r="2951" spans="1:23" x14ac:dyDescent="0.3">
      <c r="A2951" s="13" t="str" cm="1">
        <f t="array" ref="A2951:B2951">INDEX(BenchmarkResults!$B$1:$D$35,SUMPRODUCT((T2951&gt;=BenchmarkResults!$F$3:$F$35)*(mongodb_hardware_log!T2951&lt;BenchmarkResults!$G$3:$G$35)*ROW(BenchmarkResults!$F$3:$F$35)),{1,3})</f>
        <v>q6_inactive_customers</v>
      </c>
      <c r="B2951">
        <v>2</v>
      </c>
      <c r="C2951" s="13">
        <v>1</v>
      </c>
      <c r="D2951" s="13">
        <v>0</v>
      </c>
      <c r="E2951" s="13">
        <v>194560</v>
      </c>
      <c r="F2951" s="13">
        <v>580572</v>
      </c>
      <c r="G2951" s="13">
        <v>8508</v>
      </c>
      <c r="H2951" s="13">
        <v>1816216</v>
      </c>
      <c r="I2951" s="13">
        <v>0</v>
      </c>
      <c r="J2951" s="13">
        <v>0</v>
      </c>
      <c r="K2951" s="13">
        <v>1687</v>
      </c>
      <c r="L2951" s="13">
        <v>6</v>
      </c>
      <c r="M2951" s="13">
        <v>717</v>
      </c>
      <c r="N2951" s="13">
        <v>208</v>
      </c>
      <c r="O2951" s="13">
        <v>35</v>
      </c>
      <c r="P2951" s="13">
        <v>1</v>
      </c>
      <c r="Q2951" s="13">
        <v>63</v>
      </c>
      <c r="R2951" s="13">
        <v>0</v>
      </c>
      <c r="S2951" s="13">
        <v>0</v>
      </c>
      <c r="T2951" s="23">
        <v>46247.799027777779</v>
      </c>
      <c r="U2951" s="55">
        <f t="shared" si="135"/>
        <v>1</v>
      </c>
      <c r="V2951" s="55">
        <f t="shared" si="136"/>
        <v>0</v>
      </c>
      <c r="W2951" s="56">
        <f t="shared" si="137"/>
        <v>1714.1666666666667</v>
      </c>
    </row>
    <row r="2952" spans="1:23" x14ac:dyDescent="0.3">
      <c r="A2952" s="13" t="str" cm="1">
        <f t="array" ref="A2952:B2952">INDEX(BenchmarkResults!$B$1:$D$35,SUMPRODUCT((T2952&gt;=BenchmarkResults!$F$3:$F$35)*(mongodb_hardware_log!T2952&lt;BenchmarkResults!$G$3:$G$35)*ROW(BenchmarkResults!$F$3:$F$35)),{1,3})</f>
        <v>q6_inactive_customers</v>
      </c>
      <c r="B2952">
        <v>2</v>
      </c>
      <c r="C2952" s="13">
        <v>1</v>
      </c>
      <c r="D2952" s="13">
        <v>0</v>
      </c>
      <c r="E2952" s="13">
        <v>194560</v>
      </c>
      <c r="F2952" s="13">
        <v>580572</v>
      </c>
      <c r="G2952" s="13">
        <v>8516</v>
      </c>
      <c r="H2952" s="13">
        <v>1819664</v>
      </c>
      <c r="I2952" s="13">
        <v>0</v>
      </c>
      <c r="J2952" s="13">
        <v>0</v>
      </c>
      <c r="K2952" s="13">
        <v>1683</v>
      </c>
      <c r="L2952" s="13">
        <v>11</v>
      </c>
      <c r="M2952" s="13">
        <v>718</v>
      </c>
      <c r="N2952" s="13">
        <v>211</v>
      </c>
      <c r="O2952" s="13">
        <v>35</v>
      </c>
      <c r="P2952" s="13">
        <v>1</v>
      </c>
      <c r="Q2952" s="13">
        <v>63</v>
      </c>
      <c r="R2952" s="13">
        <v>0</v>
      </c>
      <c r="S2952" s="13">
        <v>0</v>
      </c>
      <c r="T2952" s="23">
        <v>46247.799050925925</v>
      </c>
      <c r="U2952" s="55">
        <f t="shared" si="135"/>
        <v>1</v>
      </c>
      <c r="V2952" s="55">
        <f t="shared" si="136"/>
        <v>0</v>
      </c>
      <c r="W2952" s="56">
        <f t="shared" si="137"/>
        <v>1695</v>
      </c>
    </row>
    <row r="2953" spans="1:23" x14ac:dyDescent="0.3">
      <c r="A2953" s="13" t="str" cm="1">
        <f t="array" ref="A2953:B2953">INDEX(BenchmarkResults!$B$1:$D$35,SUMPRODUCT((T2953&gt;=BenchmarkResults!$F$3:$F$35)*(mongodb_hardware_log!T2953&lt;BenchmarkResults!$G$3:$G$35)*ROW(BenchmarkResults!$F$3:$F$35)),{1,3})</f>
        <v>q6_inactive_customers</v>
      </c>
      <c r="B2953">
        <v>2</v>
      </c>
      <c r="C2953" s="13">
        <v>1</v>
      </c>
      <c r="D2953" s="13">
        <v>0</v>
      </c>
      <c r="E2953" s="13">
        <v>194560</v>
      </c>
      <c r="F2953" s="13">
        <v>564696</v>
      </c>
      <c r="G2953" s="13">
        <v>8524</v>
      </c>
      <c r="H2953" s="13">
        <v>1835540</v>
      </c>
      <c r="I2953" s="13">
        <v>0</v>
      </c>
      <c r="J2953" s="13">
        <v>0</v>
      </c>
      <c r="K2953" s="13">
        <v>1933</v>
      </c>
      <c r="L2953" s="13">
        <v>21</v>
      </c>
      <c r="M2953" s="13">
        <v>729</v>
      </c>
      <c r="N2953" s="13">
        <v>221</v>
      </c>
      <c r="O2953" s="13">
        <v>36</v>
      </c>
      <c r="P2953" s="13">
        <v>2</v>
      </c>
      <c r="Q2953" s="13">
        <v>62</v>
      </c>
      <c r="R2953" s="13">
        <v>0</v>
      </c>
      <c r="S2953" s="13">
        <v>0</v>
      </c>
      <c r="T2953" s="23">
        <v>46247.799143518518</v>
      </c>
      <c r="U2953" s="55">
        <f t="shared" ref="U2953:U3016" si="138">AVERAGE(C2948:C2953)</f>
        <v>1</v>
      </c>
      <c r="V2953" s="55">
        <f t="shared" ref="V2953:V3016" si="139">AVERAGE(D2948:D2953)</f>
        <v>0</v>
      </c>
      <c r="W2953" s="56">
        <f t="shared" ref="W2953:W3016" si="140">AVERAGE(K2948:K2953)</f>
        <v>1712.1666666666667</v>
      </c>
    </row>
    <row r="2954" spans="1:23" x14ac:dyDescent="0.3">
      <c r="A2954" s="13" t="str" cm="1">
        <f t="array" ref="A2954:B2954">INDEX(BenchmarkResults!$B$1:$D$35,SUMPRODUCT((T2954&gt;=BenchmarkResults!$F$3:$F$35)*(mongodb_hardware_log!T2954&lt;BenchmarkResults!$G$3:$G$35)*ROW(BenchmarkResults!$F$3:$F$35)),{1,3})</f>
        <v>q6_inactive_customers</v>
      </c>
      <c r="B2954">
        <v>2</v>
      </c>
      <c r="C2954" s="13">
        <v>1</v>
      </c>
      <c r="D2954" s="13">
        <v>0</v>
      </c>
      <c r="E2954" s="13">
        <v>194560</v>
      </c>
      <c r="F2954" s="13">
        <v>560916</v>
      </c>
      <c r="G2954" s="13">
        <v>8524</v>
      </c>
      <c r="H2954" s="13">
        <v>1839192</v>
      </c>
      <c r="I2954" s="13">
        <v>0</v>
      </c>
      <c r="J2954" s="13">
        <v>0</v>
      </c>
      <c r="K2954" s="13">
        <v>1958</v>
      </c>
      <c r="L2954" s="13">
        <v>16</v>
      </c>
      <c r="M2954" s="13">
        <v>733</v>
      </c>
      <c r="N2954" s="13">
        <v>225</v>
      </c>
      <c r="O2954" s="13">
        <v>36</v>
      </c>
      <c r="P2954" s="13">
        <v>2</v>
      </c>
      <c r="Q2954" s="13">
        <v>62</v>
      </c>
      <c r="R2954" s="13">
        <v>0</v>
      </c>
      <c r="S2954" s="13">
        <v>0</v>
      </c>
      <c r="T2954" s="23">
        <v>46247.799166666664</v>
      </c>
      <c r="U2954" s="55">
        <f t="shared" si="138"/>
        <v>1</v>
      </c>
      <c r="V2954" s="55">
        <f t="shared" si="139"/>
        <v>0</v>
      </c>
      <c r="W2954" s="56">
        <f t="shared" si="140"/>
        <v>1706.1666666666667</v>
      </c>
    </row>
    <row r="2955" spans="1:23" x14ac:dyDescent="0.3">
      <c r="A2955" s="13" t="str" cm="1">
        <f t="array" ref="A2955:B2955">INDEX(BenchmarkResults!$B$1:$D$35,SUMPRODUCT((T2955&gt;=BenchmarkResults!$F$3:$F$35)*(mongodb_hardware_log!T2955&lt;BenchmarkResults!$G$3:$G$35)*ROW(BenchmarkResults!$F$3:$F$35)),{1,3})</f>
        <v>q6_inactive_customers</v>
      </c>
      <c r="B2955">
        <v>2</v>
      </c>
      <c r="C2955" s="13">
        <v>0</v>
      </c>
      <c r="D2955" s="13">
        <v>0</v>
      </c>
      <c r="E2955" s="13">
        <v>194560</v>
      </c>
      <c r="F2955" s="13">
        <v>539016</v>
      </c>
      <c r="G2955" s="13">
        <v>8532</v>
      </c>
      <c r="H2955" s="13">
        <v>1866764</v>
      </c>
      <c r="I2955" s="13">
        <v>0</v>
      </c>
      <c r="J2955" s="13">
        <v>0</v>
      </c>
      <c r="K2955" s="13">
        <v>2134</v>
      </c>
      <c r="L2955" s="13">
        <v>1968</v>
      </c>
      <c r="M2955" s="13">
        <v>782</v>
      </c>
      <c r="N2955" s="13">
        <v>223</v>
      </c>
      <c r="O2955" s="13">
        <v>34</v>
      </c>
      <c r="P2955" s="13">
        <v>2</v>
      </c>
      <c r="Q2955" s="13">
        <v>61</v>
      </c>
      <c r="R2955" s="13">
        <v>2</v>
      </c>
      <c r="S2955" s="13">
        <v>0</v>
      </c>
      <c r="T2955" s="23">
        <v>46247.799259259256</v>
      </c>
      <c r="U2955" s="55">
        <f t="shared" si="138"/>
        <v>0.83333333333333337</v>
      </c>
      <c r="V2955" s="55">
        <f t="shared" si="139"/>
        <v>0</v>
      </c>
      <c r="W2955" s="56">
        <f t="shared" si="140"/>
        <v>1804.8333333333333</v>
      </c>
    </row>
    <row r="2956" spans="1:23" x14ac:dyDescent="0.3">
      <c r="A2956" s="13" t="str" cm="1">
        <f t="array" ref="A2956:B2956">INDEX(BenchmarkResults!$B$1:$D$35,SUMPRODUCT((T2956&gt;=BenchmarkResults!$F$3:$F$35)*(mongodb_hardware_log!T2956&lt;BenchmarkResults!$G$3:$G$35)*ROW(BenchmarkResults!$F$3:$F$35)),{1,3})</f>
        <v>q6_inactive_customers</v>
      </c>
      <c r="B2956">
        <v>2</v>
      </c>
      <c r="C2956" s="13">
        <v>0</v>
      </c>
      <c r="D2956" s="13">
        <v>0</v>
      </c>
      <c r="E2956" s="13">
        <v>194560</v>
      </c>
      <c r="F2956" s="13">
        <v>536744</v>
      </c>
      <c r="G2956" s="13">
        <v>8548</v>
      </c>
      <c r="H2956" s="13">
        <v>1872944</v>
      </c>
      <c r="I2956" s="13">
        <v>0</v>
      </c>
      <c r="J2956" s="13">
        <v>0</v>
      </c>
      <c r="K2956" s="13">
        <v>2375</v>
      </c>
      <c r="L2956" s="13">
        <v>1978</v>
      </c>
      <c r="M2956" s="13">
        <v>907</v>
      </c>
      <c r="N2956" s="13">
        <v>268</v>
      </c>
      <c r="O2956" s="13">
        <v>29</v>
      </c>
      <c r="P2956" s="13">
        <v>3</v>
      </c>
      <c r="Q2956" s="13">
        <v>66</v>
      </c>
      <c r="R2956" s="13">
        <v>2</v>
      </c>
      <c r="S2956" s="13">
        <v>0</v>
      </c>
      <c r="T2956" s="23">
        <v>46247.79928240741</v>
      </c>
      <c r="U2956" s="55">
        <f t="shared" si="138"/>
        <v>0.66666666666666663</v>
      </c>
      <c r="V2956" s="55">
        <f t="shared" si="139"/>
        <v>0</v>
      </c>
      <c r="W2956" s="56">
        <f t="shared" si="140"/>
        <v>1961.6666666666667</v>
      </c>
    </row>
    <row r="2957" spans="1:23" x14ac:dyDescent="0.3">
      <c r="A2957" s="13" t="str" cm="1">
        <f t="array" ref="A2957:B2957">INDEX(BenchmarkResults!$B$1:$D$35,SUMPRODUCT((T2957&gt;=BenchmarkResults!$F$3:$F$35)*(mongodb_hardware_log!T2957&lt;BenchmarkResults!$G$3:$G$35)*ROW(BenchmarkResults!$F$3:$F$35)),{1,3})</f>
        <v>q6_inactive_customers</v>
      </c>
      <c r="B2957">
        <v>2</v>
      </c>
      <c r="C2957" s="13">
        <v>0</v>
      </c>
      <c r="D2957" s="13">
        <v>0</v>
      </c>
      <c r="E2957" s="13">
        <v>194560</v>
      </c>
      <c r="F2957" s="13">
        <v>505336</v>
      </c>
      <c r="G2957" s="13">
        <v>8564</v>
      </c>
      <c r="H2957" s="13">
        <v>1908364</v>
      </c>
      <c r="I2957" s="13">
        <v>0</v>
      </c>
      <c r="J2957" s="13">
        <v>0</v>
      </c>
      <c r="K2957" s="13">
        <v>4148</v>
      </c>
      <c r="L2957" s="13">
        <v>28</v>
      </c>
      <c r="M2957" s="13">
        <v>1682</v>
      </c>
      <c r="N2957" s="13">
        <v>519</v>
      </c>
      <c r="O2957" s="13">
        <v>15</v>
      </c>
      <c r="P2957" s="13">
        <v>4</v>
      </c>
      <c r="Q2957" s="13">
        <v>80</v>
      </c>
      <c r="R2957" s="13">
        <v>0</v>
      </c>
      <c r="S2957" s="13">
        <v>0</v>
      </c>
      <c r="T2957" s="23">
        <v>46247.799375000002</v>
      </c>
      <c r="U2957" s="55">
        <f t="shared" si="138"/>
        <v>0.5</v>
      </c>
      <c r="V2957" s="55">
        <f t="shared" si="139"/>
        <v>0</v>
      </c>
      <c r="W2957" s="56">
        <f t="shared" si="140"/>
        <v>2371.8333333333335</v>
      </c>
    </row>
    <row r="2958" spans="1:23" x14ac:dyDescent="0.3">
      <c r="A2958" s="13" t="str" cm="1">
        <f t="array" ref="A2958:B2958">INDEX(BenchmarkResults!$B$1:$D$35,SUMPRODUCT((T2958&gt;=BenchmarkResults!$F$3:$F$35)*(mongodb_hardware_log!T2958&lt;BenchmarkResults!$G$3:$G$35)*ROW(BenchmarkResults!$F$3:$F$35)),{1,3})</f>
        <v>q6_inactive_customers</v>
      </c>
      <c r="B2958">
        <v>2</v>
      </c>
      <c r="C2958" s="13">
        <v>1</v>
      </c>
      <c r="D2958" s="13">
        <v>0</v>
      </c>
      <c r="E2958" s="13">
        <v>194560</v>
      </c>
      <c r="F2958" s="13">
        <v>498796</v>
      </c>
      <c r="G2958" s="13">
        <v>8564</v>
      </c>
      <c r="H2958" s="13">
        <v>1914868</v>
      </c>
      <c r="I2958" s="13">
        <v>0</v>
      </c>
      <c r="J2958" s="13">
        <v>0</v>
      </c>
      <c r="K2958" s="13">
        <v>4193</v>
      </c>
      <c r="L2958" s="13">
        <v>19</v>
      </c>
      <c r="M2958" s="13">
        <v>1684</v>
      </c>
      <c r="N2958" s="13">
        <v>512</v>
      </c>
      <c r="O2958" s="13">
        <v>16</v>
      </c>
      <c r="P2958" s="13">
        <v>4</v>
      </c>
      <c r="Q2958" s="13">
        <v>80</v>
      </c>
      <c r="R2958" s="13">
        <v>0</v>
      </c>
      <c r="S2958" s="13">
        <v>0</v>
      </c>
      <c r="T2958" s="23">
        <v>46247.799398148149</v>
      </c>
      <c r="U2958" s="55">
        <f t="shared" si="138"/>
        <v>0.5</v>
      </c>
      <c r="V2958" s="55">
        <f t="shared" si="139"/>
        <v>0</v>
      </c>
      <c r="W2958" s="56">
        <f t="shared" si="140"/>
        <v>2790.1666666666665</v>
      </c>
    </row>
    <row r="2959" spans="1:23" x14ac:dyDescent="0.3">
      <c r="A2959" s="13" t="str" cm="1">
        <f t="array" ref="A2959:B2959">INDEX(BenchmarkResults!$B$1:$D$35,SUMPRODUCT((T2959&gt;=BenchmarkResults!$F$3:$F$35)*(mongodb_hardware_log!T2959&lt;BenchmarkResults!$G$3:$G$35)*ROW(BenchmarkResults!$F$3:$F$35)),{1,3})</f>
        <v>q6_inactive_customers</v>
      </c>
      <c r="B2959">
        <v>2</v>
      </c>
      <c r="C2959" s="13">
        <v>1</v>
      </c>
      <c r="D2959" s="13">
        <v>0</v>
      </c>
      <c r="E2959" s="13">
        <v>194560</v>
      </c>
      <c r="F2959" s="13">
        <v>461536</v>
      </c>
      <c r="G2959" s="13">
        <v>8620</v>
      </c>
      <c r="H2959" s="13">
        <v>1951680</v>
      </c>
      <c r="I2959" s="13">
        <v>0</v>
      </c>
      <c r="J2959" s="13">
        <v>0</v>
      </c>
      <c r="K2959" s="13">
        <v>4327</v>
      </c>
      <c r="L2959" s="13">
        <v>56</v>
      </c>
      <c r="M2959" s="13">
        <v>1718</v>
      </c>
      <c r="N2959" s="13">
        <v>524</v>
      </c>
      <c r="O2959" s="13">
        <v>17</v>
      </c>
      <c r="P2959" s="13">
        <v>4</v>
      </c>
      <c r="Q2959" s="13">
        <v>79</v>
      </c>
      <c r="R2959" s="13">
        <v>0</v>
      </c>
      <c r="S2959" s="13">
        <v>1</v>
      </c>
      <c r="T2959" s="23">
        <v>46247.799490740741</v>
      </c>
      <c r="U2959" s="55">
        <f t="shared" si="138"/>
        <v>0.5</v>
      </c>
      <c r="V2959" s="55">
        <f t="shared" si="139"/>
        <v>0</v>
      </c>
      <c r="W2959" s="56">
        <f t="shared" si="140"/>
        <v>3189.1666666666665</v>
      </c>
    </row>
    <row r="2960" spans="1:23" x14ac:dyDescent="0.3">
      <c r="A2960" s="13" t="str" cm="1">
        <f t="array" ref="A2960:B2960">INDEX(BenchmarkResults!$B$1:$D$35,SUMPRODUCT((T2960&gt;=BenchmarkResults!$F$3:$F$35)*(mongodb_hardware_log!T2960&lt;BenchmarkResults!$G$3:$G$35)*ROW(BenchmarkResults!$F$3:$F$35)),{1,3})</f>
        <v>q6_inactive_customers</v>
      </c>
      <c r="B2960">
        <v>2</v>
      </c>
      <c r="C2960" s="13">
        <v>0</v>
      </c>
      <c r="D2960" s="13">
        <v>0</v>
      </c>
      <c r="E2960" s="13">
        <v>194560</v>
      </c>
      <c r="F2960" s="13">
        <v>457312</v>
      </c>
      <c r="G2960" s="13">
        <v>8628</v>
      </c>
      <c r="H2960" s="13">
        <v>1958160</v>
      </c>
      <c r="I2960" s="13">
        <v>0</v>
      </c>
      <c r="J2960" s="13">
        <v>0</v>
      </c>
      <c r="K2960" s="13">
        <v>4318</v>
      </c>
      <c r="L2960" s="13">
        <v>58</v>
      </c>
      <c r="M2960" s="13">
        <v>1825</v>
      </c>
      <c r="N2960" s="13">
        <v>552</v>
      </c>
      <c r="O2960" s="13">
        <v>17</v>
      </c>
      <c r="P2960" s="13">
        <v>4</v>
      </c>
      <c r="Q2960" s="13">
        <v>78</v>
      </c>
      <c r="R2960" s="13">
        <v>0</v>
      </c>
      <c r="S2960" s="13">
        <v>1</v>
      </c>
      <c r="T2960" s="23">
        <v>46247.799513888887</v>
      </c>
      <c r="U2960" s="55">
        <f t="shared" si="138"/>
        <v>0.33333333333333331</v>
      </c>
      <c r="V2960" s="55">
        <f t="shared" si="139"/>
        <v>0</v>
      </c>
      <c r="W2960" s="56">
        <f t="shared" si="140"/>
        <v>3582.5</v>
      </c>
    </row>
    <row r="2961" spans="1:23" x14ac:dyDescent="0.3">
      <c r="A2961" s="13" t="str" cm="1">
        <f t="array" ref="A2961:B2961">INDEX(BenchmarkResults!$B$1:$D$35,SUMPRODUCT((T2961&gt;=BenchmarkResults!$F$3:$F$35)*(mongodb_hardware_log!T2961&lt;BenchmarkResults!$G$3:$G$35)*ROW(BenchmarkResults!$F$3:$F$35)),{1,3})</f>
        <v>q6_inactive_customers</v>
      </c>
      <c r="B2961">
        <v>2</v>
      </c>
      <c r="C2961" s="13">
        <v>0</v>
      </c>
      <c r="D2961" s="13">
        <v>0</v>
      </c>
      <c r="E2961" s="13">
        <v>194560</v>
      </c>
      <c r="F2961" s="13">
        <v>415284</v>
      </c>
      <c r="G2961" s="13">
        <v>8644</v>
      </c>
      <c r="H2961" s="13">
        <v>1991844</v>
      </c>
      <c r="I2961" s="13">
        <v>0</v>
      </c>
      <c r="J2961" s="13">
        <v>0</v>
      </c>
      <c r="K2961" s="13">
        <v>4011</v>
      </c>
      <c r="L2961" s="13">
        <v>589</v>
      </c>
      <c r="M2961" s="13">
        <v>1730</v>
      </c>
      <c r="N2961" s="13">
        <v>529</v>
      </c>
      <c r="O2961" s="13">
        <v>16</v>
      </c>
      <c r="P2961" s="13">
        <v>4</v>
      </c>
      <c r="Q2961" s="13">
        <v>80</v>
      </c>
      <c r="R2961" s="13">
        <v>0</v>
      </c>
      <c r="S2961" s="13">
        <v>0</v>
      </c>
      <c r="T2961" s="23">
        <v>46247.79960648148</v>
      </c>
      <c r="U2961" s="55">
        <f t="shared" si="138"/>
        <v>0.33333333333333331</v>
      </c>
      <c r="V2961" s="55">
        <f t="shared" si="139"/>
        <v>0</v>
      </c>
      <c r="W2961" s="56">
        <f t="shared" si="140"/>
        <v>3895.3333333333335</v>
      </c>
    </row>
    <row r="2962" spans="1:23" x14ac:dyDescent="0.3">
      <c r="A2962" s="13" t="str" cm="1">
        <f t="array" ref="A2962:B2962">INDEX(BenchmarkResults!$B$1:$D$35,SUMPRODUCT((T2962&gt;=BenchmarkResults!$F$3:$F$35)*(mongodb_hardware_log!T2962&lt;BenchmarkResults!$G$3:$G$35)*ROW(BenchmarkResults!$F$3:$F$35)),{1,3})</f>
        <v>q6_inactive_customers</v>
      </c>
      <c r="B2962">
        <v>2</v>
      </c>
      <c r="C2962" s="13">
        <v>0</v>
      </c>
      <c r="D2962" s="13">
        <v>0</v>
      </c>
      <c r="E2962" s="13">
        <v>194560</v>
      </c>
      <c r="F2962" s="13">
        <v>417648</v>
      </c>
      <c r="G2962" s="13">
        <v>8652</v>
      </c>
      <c r="H2962" s="13">
        <v>1997384</v>
      </c>
      <c r="I2962" s="13">
        <v>0</v>
      </c>
      <c r="J2962" s="13">
        <v>0</v>
      </c>
      <c r="K2962" s="13">
        <v>3920</v>
      </c>
      <c r="L2962" s="13">
        <v>591</v>
      </c>
      <c r="M2962" s="13">
        <v>1690</v>
      </c>
      <c r="N2962" s="13">
        <v>522</v>
      </c>
      <c r="O2962" s="13">
        <v>15</v>
      </c>
      <c r="P2962" s="13">
        <v>4</v>
      </c>
      <c r="Q2962" s="13">
        <v>80</v>
      </c>
      <c r="R2962" s="13">
        <v>0</v>
      </c>
      <c r="S2962" s="13">
        <v>0</v>
      </c>
      <c r="T2962" s="23">
        <v>46247.799629629626</v>
      </c>
      <c r="U2962" s="55">
        <f t="shared" si="138"/>
        <v>0.33333333333333331</v>
      </c>
      <c r="V2962" s="55">
        <f t="shared" si="139"/>
        <v>0</v>
      </c>
      <c r="W2962" s="56">
        <f t="shared" si="140"/>
        <v>4152.833333333333</v>
      </c>
    </row>
    <row r="2963" spans="1:23" x14ac:dyDescent="0.3">
      <c r="A2963" s="13" t="str" cm="1">
        <f t="array" ref="A2963:B2963">INDEX(BenchmarkResults!$B$1:$D$35,SUMPRODUCT((T2963&gt;=BenchmarkResults!$F$3:$F$35)*(mongodb_hardware_log!T2963&lt;BenchmarkResults!$G$3:$G$35)*ROW(BenchmarkResults!$F$3:$F$35)),{1,3})</f>
        <v>q6_inactive_customers</v>
      </c>
      <c r="B2963">
        <v>2</v>
      </c>
      <c r="C2963" s="13">
        <v>0</v>
      </c>
      <c r="D2963" s="13">
        <v>0</v>
      </c>
      <c r="E2963" s="13">
        <v>194560</v>
      </c>
      <c r="F2963" s="13">
        <v>382644</v>
      </c>
      <c r="G2963" s="13">
        <v>8668</v>
      </c>
      <c r="H2963" s="13">
        <v>2032732</v>
      </c>
      <c r="I2963" s="13">
        <v>0</v>
      </c>
      <c r="J2963" s="13">
        <v>0</v>
      </c>
      <c r="K2963" s="13">
        <v>4086</v>
      </c>
      <c r="L2963" s="13">
        <v>23</v>
      </c>
      <c r="M2963" s="13">
        <v>1757</v>
      </c>
      <c r="N2963" s="13">
        <v>531</v>
      </c>
      <c r="O2963" s="13">
        <v>15</v>
      </c>
      <c r="P2963" s="13">
        <v>4</v>
      </c>
      <c r="Q2963" s="13">
        <v>80</v>
      </c>
      <c r="R2963" s="13">
        <v>0</v>
      </c>
      <c r="S2963" s="13">
        <v>0</v>
      </c>
      <c r="T2963" s="23">
        <v>46247.799722222226</v>
      </c>
      <c r="U2963" s="55">
        <f t="shared" si="138"/>
        <v>0.33333333333333331</v>
      </c>
      <c r="V2963" s="55">
        <f t="shared" si="139"/>
        <v>0</v>
      </c>
      <c r="W2963" s="56">
        <f t="shared" si="140"/>
        <v>4142.5</v>
      </c>
    </row>
    <row r="2964" spans="1:23" x14ac:dyDescent="0.3">
      <c r="A2964" s="13" t="str" cm="1">
        <f t="array" ref="A2964:B2964">INDEX(BenchmarkResults!$B$1:$D$35,SUMPRODUCT((T2964&gt;=BenchmarkResults!$F$3:$F$35)*(mongodb_hardware_log!T2964&lt;BenchmarkResults!$G$3:$G$35)*ROW(BenchmarkResults!$F$3:$F$35)),{1,3})</f>
        <v>q6_inactive_customers</v>
      </c>
      <c r="B2964">
        <v>2</v>
      </c>
      <c r="C2964" s="13">
        <v>1</v>
      </c>
      <c r="D2964" s="13">
        <v>0</v>
      </c>
      <c r="E2964" s="13">
        <v>194560</v>
      </c>
      <c r="F2964" s="13">
        <v>370624</v>
      </c>
      <c r="G2964" s="13">
        <v>8676</v>
      </c>
      <c r="H2964" s="13">
        <v>2042676</v>
      </c>
      <c r="I2964" s="13">
        <v>0</v>
      </c>
      <c r="J2964" s="13">
        <v>0</v>
      </c>
      <c r="K2964" s="13">
        <v>4531</v>
      </c>
      <c r="L2964" s="13">
        <v>20</v>
      </c>
      <c r="M2964" s="13">
        <v>1719</v>
      </c>
      <c r="N2964" s="13">
        <v>514</v>
      </c>
      <c r="O2964" s="13">
        <v>16</v>
      </c>
      <c r="P2964" s="13">
        <v>4</v>
      </c>
      <c r="Q2964" s="13">
        <v>80</v>
      </c>
      <c r="R2964" s="13">
        <v>0</v>
      </c>
      <c r="S2964" s="13">
        <v>0</v>
      </c>
      <c r="T2964" s="23">
        <v>46247.799745370372</v>
      </c>
      <c r="U2964" s="55">
        <f t="shared" si="138"/>
        <v>0.33333333333333331</v>
      </c>
      <c r="V2964" s="55">
        <f t="shared" si="139"/>
        <v>0</v>
      </c>
      <c r="W2964" s="56">
        <f t="shared" si="140"/>
        <v>4198.833333333333</v>
      </c>
    </row>
    <row r="2965" spans="1:23" x14ac:dyDescent="0.3">
      <c r="A2965" s="13" t="str" cm="1">
        <f t="array" ref="A2965:B2965">INDEX(BenchmarkResults!$B$1:$D$35,SUMPRODUCT((T2965&gt;=BenchmarkResults!$F$3:$F$35)*(mongodb_hardware_log!T2965&lt;BenchmarkResults!$G$3:$G$35)*ROW(BenchmarkResults!$F$3:$F$35)),{1,3})</f>
        <v>q6_inactive_customers</v>
      </c>
      <c r="B2965">
        <v>2</v>
      </c>
      <c r="C2965" s="13">
        <v>1</v>
      </c>
      <c r="D2965" s="13">
        <v>0</v>
      </c>
      <c r="E2965" s="13">
        <v>194560</v>
      </c>
      <c r="F2965" s="13">
        <v>339660</v>
      </c>
      <c r="G2965" s="13">
        <v>8692</v>
      </c>
      <c r="H2965" s="13">
        <v>2075404</v>
      </c>
      <c r="I2965" s="13">
        <v>0</v>
      </c>
      <c r="J2965" s="13">
        <v>0</v>
      </c>
      <c r="K2965" s="13">
        <v>4272</v>
      </c>
      <c r="L2965" s="13">
        <v>22</v>
      </c>
      <c r="M2965" s="13">
        <v>1708</v>
      </c>
      <c r="N2965" s="13">
        <v>504</v>
      </c>
      <c r="O2965" s="13">
        <v>15</v>
      </c>
      <c r="P2965" s="13">
        <v>4</v>
      </c>
      <c r="Q2965" s="13">
        <v>80</v>
      </c>
      <c r="R2965" s="13">
        <v>0</v>
      </c>
      <c r="S2965" s="13">
        <v>0</v>
      </c>
      <c r="T2965" s="23">
        <v>46247.799837962964</v>
      </c>
      <c r="U2965" s="55">
        <f t="shared" si="138"/>
        <v>0.33333333333333331</v>
      </c>
      <c r="V2965" s="55">
        <f t="shared" si="139"/>
        <v>0</v>
      </c>
      <c r="W2965" s="56">
        <f t="shared" si="140"/>
        <v>4189.666666666667</v>
      </c>
    </row>
    <row r="2966" spans="1:23" x14ac:dyDescent="0.3">
      <c r="A2966" s="13" t="str" cm="1">
        <f t="array" ref="A2966:B2966">INDEX(BenchmarkResults!$B$1:$D$35,SUMPRODUCT((T2966&gt;=BenchmarkResults!$F$3:$F$35)*(mongodb_hardware_log!T2966&lt;BenchmarkResults!$G$3:$G$35)*ROW(BenchmarkResults!$F$3:$F$35)),{1,3})</f>
        <v>q6_inactive_customers</v>
      </c>
      <c r="B2966">
        <v>2</v>
      </c>
      <c r="C2966" s="13">
        <v>1</v>
      </c>
      <c r="D2966" s="13">
        <v>0</v>
      </c>
      <c r="E2966" s="13">
        <v>194560</v>
      </c>
      <c r="F2966" s="13">
        <v>328372</v>
      </c>
      <c r="G2966" s="13">
        <v>8700</v>
      </c>
      <c r="H2966" s="13">
        <v>2083812</v>
      </c>
      <c r="I2966" s="13">
        <v>0</v>
      </c>
      <c r="J2966" s="13">
        <v>0</v>
      </c>
      <c r="K2966" s="13">
        <v>4105</v>
      </c>
      <c r="L2966" s="13">
        <v>22</v>
      </c>
      <c r="M2966" s="13">
        <v>1761</v>
      </c>
      <c r="N2966" s="13">
        <v>520</v>
      </c>
      <c r="O2966" s="13">
        <v>16</v>
      </c>
      <c r="P2966" s="13">
        <v>4</v>
      </c>
      <c r="Q2966" s="13">
        <v>80</v>
      </c>
      <c r="R2966" s="13">
        <v>0</v>
      </c>
      <c r="S2966" s="13">
        <v>0</v>
      </c>
      <c r="T2966" s="23">
        <v>46247.799861111111</v>
      </c>
      <c r="U2966" s="55">
        <f t="shared" si="138"/>
        <v>0.5</v>
      </c>
      <c r="V2966" s="55">
        <f t="shared" si="139"/>
        <v>0</v>
      </c>
      <c r="W2966" s="56">
        <f t="shared" si="140"/>
        <v>4154.166666666667</v>
      </c>
    </row>
    <row r="2967" spans="1:23" x14ac:dyDescent="0.3">
      <c r="A2967" s="13" t="str" cm="1">
        <f t="array" ref="A2967:B2967">INDEX(BenchmarkResults!$B$1:$D$35,SUMPRODUCT((T2967&gt;=BenchmarkResults!$F$3:$F$35)*(mongodb_hardware_log!T2967&lt;BenchmarkResults!$G$3:$G$35)*ROW(BenchmarkResults!$F$3:$F$35)),{1,3})</f>
        <v>q6_inactive_customers</v>
      </c>
      <c r="B2967">
        <v>2</v>
      </c>
      <c r="C2967" s="13">
        <v>1</v>
      </c>
      <c r="D2967" s="13">
        <v>0</v>
      </c>
      <c r="E2967" s="13">
        <v>194560</v>
      </c>
      <c r="F2967" s="13">
        <v>299468</v>
      </c>
      <c r="G2967" s="13">
        <v>8716</v>
      </c>
      <c r="H2967" s="13">
        <v>2116244</v>
      </c>
      <c r="I2967" s="13">
        <v>0</v>
      </c>
      <c r="J2967" s="13">
        <v>0</v>
      </c>
      <c r="K2967" s="13">
        <v>4081</v>
      </c>
      <c r="L2967" s="13">
        <v>34</v>
      </c>
      <c r="M2967" s="13">
        <v>1667</v>
      </c>
      <c r="N2967" s="13">
        <v>501</v>
      </c>
      <c r="O2967" s="13">
        <v>15</v>
      </c>
      <c r="P2967" s="13">
        <v>4</v>
      </c>
      <c r="Q2967" s="13">
        <v>80</v>
      </c>
      <c r="R2967" s="13">
        <v>0</v>
      </c>
      <c r="S2967" s="13">
        <v>0</v>
      </c>
      <c r="T2967" s="23">
        <v>46247.799953703703</v>
      </c>
      <c r="U2967" s="55">
        <f t="shared" si="138"/>
        <v>0.66666666666666663</v>
      </c>
      <c r="V2967" s="55">
        <f t="shared" si="139"/>
        <v>0</v>
      </c>
      <c r="W2967" s="56">
        <f t="shared" si="140"/>
        <v>4165.833333333333</v>
      </c>
    </row>
    <row r="2968" spans="1:23" x14ac:dyDescent="0.3">
      <c r="A2968" s="13" t="str" cm="1">
        <f t="array" ref="A2968:B2968">INDEX(BenchmarkResults!$B$1:$D$35,SUMPRODUCT((T2968&gt;=BenchmarkResults!$F$3:$F$35)*(mongodb_hardware_log!T2968&lt;BenchmarkResults!$G$3:$G$35)*ROW(BenchmarkResults!$F$3:$F$35)),{1,3})</f>
        <v>q6_inactive_customers</v>
      </c>
      <c r="B2968">
        <v>2</v>
      </c>
      <c r="C2968" s="13">
        <v>1</v>
      </c>
      <c r="D2968" s="13">
        <v>0</v>
      </c>
      <c r="E2968" s="13">
        <v>194560</v>
      </c>
      <c r="F2968" s="13">
        <v>282776</v>
      </c>
      <c r="G2968" s="13">
        <v>8724</v>
      </c>
      <c r="H2968" s="13">
        <v>2124956</v>
      </c>
      <c r="I2968" s="13">
        <v>0</v>
      </c>
      <c r="J2968" s="13">
        <v>0</v>
      </c>
      <c r="K2968" s="13">
        <v>4112</v>
      </c>
      <c r="L2968" s="13">
        <v>36</v>
      </c>
      <c r="M2968" s="13">
        <v>1652</v>
      </c>
      <c r="N2968" s="13">
        <v>498</v>
      </c>
      <c r="O2968" s="13">
        <v>15</v>
      </c>
      <c r="P2968" s="13">
        <v>4</v>
      </c>
      <c r="Q2968" s="13">
        <v>80</v>
      </c>
      <c r="R2968" s="13">
        <v>0</v>
      </c>
      <c r="S2968" s="13">
        <v>0</v>
      </c>
      <c r="T2968" s="23">
        <v>46247.799976851849</v>
      </c>
      <c r="U2968" s="55">
        <f t="shared" si="138"/>
        <v>0.83333333333333337</v>
      </c>
      <c r="V2968" s="55">
        <f t="shared" si="139"/>
        <v>0</v>
      </c>
      <c r="W2968" s="56">
        <f t="shared" si="140"/>
        <v>4197.833333333333</v>
      </c>
    </row>
    <row r="2969" spans="1:23" x14ac:dyDescent="0.3">
      <c r="A2969" s="13" t="str" cm="1">
        <f t="array" ref="A2969:B2969">INDEX(BenchmarkResults!$B$1:$D$35,SUMPRODUCT((T2969&gt;=BenchmarkResults!$F$3:$F$35)*(mongodb_hardware_log!T2969&lt;BenchmarkResults!$G$3:$G$35)*ROW(BenchmarkResults!$F$3:$F$35)),{1,3})</f>
        <v>q6_inactive_customers</v>
      </c>
      <c r="B2969">
        <v>2</v>
      </c>
      <c r="C2969" s="13">
        <v>0</v>
      </c>
      <c r="D2969" s="13">
        <v>0</v>
      </c>
      <c r="E2969" s="13">
        <v>194560</v>
      </c>
      <c r="F2969" s="13">
        <v>259608</v>
      </c>
      <c r="G2969" s="13">
        <v>8740</v>
      </c>
      <c r="H2969" s="13">
        <v>2156848</v>
      </c>
      <c r="I2969" s="13">
        <v>0</v>
      </c>
      <c r="J2969" s="13">
        <v>0</v>
      </c>
      <c r="K2969" s="13">
        <v>4050</v>
      </c>
      <c r="L2969" s="13">
        <v>23</v>
      </c>
      <c r="M2969" s="13">
        <v>1689</v>
      </c>
      <c r="N2969" s="13">
        <v>521</v>
      </c>
      <c r="O2969" s="13">
        <v>16</v>
      </c>
      <c r="P2969" s="13">
        <v>4</v>
      </c>
      <c r="Q2969" s="13">
        <v>80</v>
      </c>
      <c r="R2969" s="13">
        <v>0</v>
      </c>
      <c r="S2969" s="13">
        <v>0</v>
      </c>
      <c r="T2969" s="23">
        <v>46247.800069444442</v>
      </c>
      <c r="U2969" s="55">
        <f t="shared" si="138"/>
        <v>0.83333333333333337</v>
      </c>
      <c r="V2969" s="55">
        <f t="shared" si="139"/>
        <v>0</v>
      </c>
      <c r="W2969" s="56">
        <f t="shared" si="140"/>
        <v>4191.833333333333</v>
      </c>
    </row>
    <row r="2970" spans="1:23" x14ac:dyDescent="0.3">
      <c r="A2970" s="13" t="str" cm="1">
        <f t="array" ref="A2970:B2970">INDEX(BenchmarkResults!$B$1:$D$35,SUMPRODUCT((T2970&gt;=BenchmarkResults!$F$3:$F$35)*(mongodb_hardware_log!T2970&lt;BenchmarkResults!$G$3:$G$35)*ROW(BenchmarkResults!$F$3:$F$35)),{1,3})</f>
        <v>q6_inactive_customers</v>
      </c>
      <c r="B2970">
        <v>2</v>
      </c>
      <c r="C2970" s="13">
        <v>1</v>
      </c>
      <c r="D2970" s="13">
        <v>0</v>
      </c>
      <c r="E2970" s="13">
        <v>194560</v>
      </c>
      <c r="F2970" s="13">
        <v>249592</v>
      </c>
      <c r="G2970" s="13">
        <v>8740</v>
      </c>
      <c r="H2970" s="13">
        <v>2166152</v>
      </c>
      <c r="I2970" s="13">
        <v>0</v>
      </c>
      <c r="J2970" s="13">
        <v>0</v>
      </c>
      <c r="K2970" s="13">
        <v>4122</v>
      </c>
      <c r="L2970" s="13">
        <v>19</v>
      </c>
      <c r="M2970" s="13">
        <v>1654</v>
      </c>
      <c r="N2970" s="13">
        <v>507</v>
      </c>
      <c r="O2970" s="13">
        <v>16</v>
      </c>
      <c r="P2970" s="13">
        <v>4</v>
      </c>
      <c r="Q2970" s="13">
        <v>79</v>
      </c>
      <c r="R2970" s="13">
        <v>0</v>
      </c>
      <c r="S2970" s="13">
        <v>1</v>
      </c>
      <c r="T2970" s="23">
        <v>46247.800092592595</v>
      </c>
      <c r="U2970" s="55">
        <f t="shared" si="138"/>
        <v>0.83333333333333337</v>
      </c>
      <c r="V2970" s="55">
        <f t="shared" si="139"/>
        <v>0</v>
      </c>
      <c r="W2970" s="56">
        <f t="shared" si="140"/>
        <v>4123.666666666667</v>
      </c>
    </row>
    <row r="2971" spans="1:23" x14ac:dyDescent="0.3">
      <c r="A2971" s="13" t="str" cm="1">
        <f t="array" ref="A2971:B2971">INDEX(BenchmarkResults!$B$1:$D$35,SUMPRODUCT((T2971&gt;=BenchmarkResults!$F$3:$F$35)*(mongodb_hardware_log!T2971&lt;BenchmarkResults!$G$3:$G$35)*ROW(BenchmarkResults!$F$3:$F$35)),{1,3})</f>
        <v>q6_inactive_customers</v>
      </c>
      <c r="B2971">
        <v>2</v>
      </c>
      <c r="C2971" s="13">
        <v>0</v>
      </c>
      <c r="D2971" s="13">
        <v>0</v>
      </c>
      <c r="E2971" s="13">
        <v>194560</v>
      </c>
      <c r="F2971" s="13">
        <v>207128</v>
      </c>
      <c r="G2971" s="13">
        <v>8804</v>
      </c>
      <c r="H2971" s="13">
        <v>2201896</v>
      </c>
      <c r="I2971" s="13">
        <v>0</v>
      </c>
      <c r="J2971" s="13">
        <v>0</v>
      </c>
      <c r="K2971" s="13">
        <v>4501</v>
      </c>
      <c r="L2971" s="13">
        <v>65</v>
      </c>
      <c r="M2971" s="13">
        <v>1772</v>
      </c>
      <c r="N2971" s="13">
        <v>547</v>
      </c>
      <c r="O2971" s="13">
        <v>18</v>
      </c>
      <c r="P2971" s="13">
        <v>4</v>
      </c>
      <c r="Q2971" s="13">
        <v>78</v>
      </c>
      <c r="R2971" s="13">
        <v>0</v>
      </c>
      <c r="S2971" s="13">
        <v>1</v>
      </c>
      <c r="T2971" s="23">
        <v>46247.800185185188</v>
      </c>
      <c r="U2971" s="55">
        <f t="shared" si="138"/>
        <v>0.66666666666666663</v>
      </c>
      <c r="V2971" s="55">
        <f t="shared" si="139"/>
        <v>0</v>
      </c>
      <c r="W2971" s="56">
        <f t="shared" si="140"/>
        <v>4161.833333333333</v>
      </c>
    </row>
    <row r="2972" spans="1:23" x14ac:dyDescent="0.3">
      <c r="A2972" s="13" t="str" cm="1">
        <f t="array" ref="A2972:B2972">INDEX(BenchmarkResults!$B$1:$D$35,SUMPRODUCT((T2972&gt;=BenchmarkResults!$F$3:$F$35)*(mongodb_hardware_log!T2972&lt;BenchmarkResults!$G$3:$G$35)*ROW(BenchmarkResults!$F$3:$F$35)),{1,3})</f>
        <v>q6_inactive_customers</v>
      </c>
      <c r="B2972">
        <v>2</v>
      </c>
      <c r="C2972" s="13">
        <v>1</v>
      </c>
      <c r="D2972" s="13">
        <v>0</v>
      </c>
      <c r="E2972" s="13">
        <v>194560</v>
      </c>
      <c r="F2972" s="13">
        <v>198504</v>
      </c>
      <c r="G2972" s="13">
        <v>8812</v>
      </c>
      <c r="H2972" s="13">
        <v>2208188</v>
      </c>
      <c r="I2972" s="13">
        <v>0</v>
      </c>
      <c r="J2972" s="13">
        <v>0</v>
      </c>
      <c r="K2972" s="13">
        <v>4194</v>
      </c>
      <c r="L2972" s="13">
        <v>68</v>
      </c>
      <c r="M2972" s="13">
        <v>1702</v>
      </c>
      <c r="N2972" s="13">
        <v>540</v>
      </c>
      <c r="O2972" s="13">
        <v>16</v>
      </c>
      <c r="P2972" s="13">
        <v>4</v>
      </c>
      <c r="Q2972" s="13">
        <v>80</v>
      </c>
      <c r="R2972" s="13">
        <v>0</v>
      </c>
      <c r="S2972" s="13">
        <v>0</v>
      </c>
      <c r="T2972" s="23">
        <v>46247.800208333334</v>
      </c>
      <c r="U2972" s="55">
        <f t="shared" si="138"/>
        <v>0.66666666666666663</v>
      </c>
      <c r="V2972" s="55">
        <f t="shared" si="139"/>
        <v>0</v>
      </c>
      <c r="W2972" s="56">
        <f t="shared" si="140"/>
        <v>4176.666666666667</v>
      </c>
    </row>
    <row r="2973" spans="1:23" x14ac:dyDescent="0.3">
      <c r="A2973" s="13" t="str" cm="1">
        <f t="array" ref="A2973:B2973">INDEX(BenchmarkResults!$B$1:$D$35,SUMPRODUCT((T2973&gt;=BenchmarkResults!$F$3:$F$35)*(mongodb_hardware_log!T2973&lt;BenchmarkResults!$G$3:$G$35)*ROW(BenchmarkResults!$F$3:$F$35)),{1,3})</f>
        <v>q6_inactive_customers</v>
      </c>
      <c r="B2973">
        <v>2</v>
      </c>
      <c r="C2973" s="13">
        <v>0</v>
      </c>
      <c r="D2973" s="13">
        <v>0</v>
      </c>
      <c r="E2973" s="13">
        <v>194560</v>
      </c>
      <c r="F2973" s="13">
        <v>160860</v>
      </c>
      <c r="G2973" s="13">
        <v>8828</v>
      </c>
      <c r="H2973" s="13">
        <v>2243156</v>
      </c>
      <c r="I2973" s="13">
        <v>0</v>
      </c>
      <c r="J2973" s="13">
        <v>0</v>
      </c>
      <c r="K2973" s="13">
        <v>4122</v>
      </c>
      <c r="L2973" s="13">
        <v>22</v>
      </c>
      <c r="M2973" s="13">
        <v>1696</v>
      </c>
      <c r="N2973" s="13">
        <v>510</v>
      </c>
      <c r="O2973" s="13">
        <v>16</v>
      </c>
      <c r="P2973" s="13">
        <v>4</v>
      </c>
      <c r="Q2973" s="13">
        <v>80</v>
      </c>
      <c r="R2973" s="13">
        <v>0</v>
      </c>
      <c r="S2973" s="13">
        <v>0</v>
      </c>
      <c r="T2973" s="23">
        <v>46247.800300925926</v>
      </c>
      <c r="U2973" s="55">
        <f t="shared" si="138"/>
        <v>0.5</v>
      </c>
      <c r="V2973" s="55">
        <f t="shared" si="139"/>
        <v>0</v>
      </c>
      <c r="W2973" s="56">
        <f t="shared" si="140"/>
        <v>4183.5</v>
      </c>
    </row>
    <row r="2974" spans="1:23" x14ac:dyDescent="0.3">
      <c r="A2974" s="13" t="str" cm="1">
        <f t="array" ref="A2974:B2974">INDEX(BenchmarkResults!$B$1:$D$35,SUMPRODUCT((T2974&gt;=BenchmarkResults!$F$3:$F$35)*(mongodb_hardware_log!T2974&lt;BenchmarkResults!$G$3:$G$35)*ROW(BenchmarkResults!$F$3:$F$35)),{1,3})</f>
        <v>q6_inactive_customers</v>
      </c>
      <c r="B2974">
        <v>2</v>
      </c>
      <c r="C2974" s="13">
        <v>0</v>
      </c>
      <c r="D2974" s="13">
        <v>0</v>
      </c>
      <c r="E2974" s="13">
        <v>194560</v>
      </c>
      <c r="F2974" s="13">
        <v>167584</v>
      </c>
      <c r="G2974" s="13">
        <v>8836</v>
      </c>
      <c r="H2974" s="13">
        <v>2248796</v>
      </c>
      <c r="I2974" s="13">
        <v>0</v>
      </c>
      <c r="J2974" s="13">
        <v>0</v>
      </c>
      <c r="K2974" s="13">
        <v>4058</v>
      </c>
      <c r="L2974" s="13">
        <v>37</v>
      </c>
      <c r="M2974" s="13">
        <v>1792</v>
      </c>
      <c r="N2974" s="13">
        <v>534</v>
      </c>
      <c r="O2974" s="13">
        <v>16</v>
      </c>
      <c r="P2974" s="13">
        <v>4</v>
      </c>
      <c r="Q2974" s="13">
        <v>79</v>
      </c>
      <c r="R2974" s="13">
        <v>0</v>
      </c>
      <c r="S2974" s="13">
        <v>0</v>
      </c>
      <c r="T2974" s="23">
        <v>46247.800324074073</v>
      </c>
      <c r="U2974" s="55">
        <f t="shared" si="138"/>
        <v>0.33333333333333331</v>
      </c>
      <c r="V2974" s="55">
        <f t="shared" si="139"/>
        <v>0</v>
      </c>
      <c r="W2974" s="56">
        <f t="shared" si="140"/>
        <v>4174.5</v>
      </c>
    </row>
    <row r="2975" spans="1:23" x14ac:dyDescent="0.3">
      <c r="A2975" s="13" t="str" cm="1">
        <f t="array" ref="A2975:B2975">INDEX(BenchmarkResults!$B$1:$D$35,SUMPRODUCT((T2975&gt;=BenchmarkResults!$F$3:$F$35)*(mongodb_hardware_log!T2975&lt;BenchmarkResults!$G$3:$G$35)*ROW(BenchmarkResults!$F$3:$F$35)),{1,3})</f>
        <v>q6_inactive_customers</v>
      </c>
      <c r="B2975">
        <v>2</v>
      </c>
      <c r="C2975" s="13">
        <v>0</v>
      </c>
      <c r="D2975" s="13">
        <v>0</v>
      </c>
      <c r="E2975" s="13">
        <v>194560</v>
      </c>
      <c r="F2975" s="13">
        <v>133472</v>
      </c>
      <c r="G2975" s="13">
        <v>8852</v>
      </c>
      <c r="H2975" s="13">
        <v>2283888</v>
      </c>
      <c r="I2975" s="13">
        <v>1</v>
      </c>
      <c r="J2975" s="13">
        <v>0</v>
      </c>
      <c r="K2975" s="13">
        <v>4072</v>
      </c>
      <c r="L2975" s="13">
        <v>37</v>
      </c>
      <c r="M2975" s="13">
        <v>1724</v>
      </c>
      <c r="N2975" s="13">
        <v>532</v>
      </c>
      <c r="O2975" s="13">
        <v>16</v>
      </c>
      <c r="P2975" s="13">
        <v>3</v>
      </c>
      <c r="Q2975" s="13">
        <v>81</v>
      </c>
      <c r="R2975" s="13">
        <v>0</v>
      </c>
      <c r="S2975" s="13">
        <v>0</v>
      </c>
      <c r="T2975" s="23">
        <v>46247.800416666665</v>
      </c>
      <c r="U2975" s="55">
        <f t="shared" si="138"/>
        <v>0.33333333333333331</v>
      </c>
      <c r="V2975" s="55">
        <f t="shared" si="139"/>
        <v>0</v>
      </c>
      <c r="W2975" s="56">
        <f t="shared" si="140"/>
        <v>4178.166666666667</v>
      </c>
    </row>
    <row r="2976" spans="1:23" x14ac:dyDescent="0.3">
      <c r="A2976" s="13" t="str" cm="1">
        <f t="array" ref="A2976:B2976">INDEX(BenchmarkResults!$B$1:$D$35,SUMPRODUCT((T2976&gt;=BenchmarkResults!$F$3:$F$35)*(mongodb_hardware_log!T2976&lt;BenchmarkResults!$G$3:$G$35)*ROW(BenchmarkResults!$F$3:$F$35)),{1,3})</f>
        <v>q6_inactive_customers</v>
      </c>
      <c r="B2976">
        <v>2</v>
      </c>
      <c r="C2976" s="13">
        <v>1</v>
      </c>
      <c r="D2976" s="13">
        <v>0</v>
      </c>
      <c r="E2976" s="13">
        <v>194304</v>
      </c>
      <c r="F2976" s="13">
        <v>123312</v>
      </c>
      <c r="G2976" s="13">
        <v>8852</v>
      </c>
      <c r="H2976" s="13">
        <v>2292460</v>
      </c>
      <c r="I2976" s="13">
        <v>2</v>
      </c>
      <c r="J2976" s="13">
        <v>0</v>
      </c>
      <c r="K2976" s="13">
        <v>4367</v>
      </c>
      <c r="L2976" s="13">
        <v>19</v>
      </c>
      <c r="M2976" s="13">
        <v>1688</v>
      </c>
      <c r="N2976" s="13">
        <v>516</v>
      </c>
      <c r="O2976" s="13">
        <v>16</v>
      </c>
      <c r="P2976" s="13">
        <v>3</v>
      </c>
      <c r="Q2976" s="13">
        <v>81</v>
      </c>
      <c r="R2976" s="13">
        <v>0</v>
      </c>
      <c r="S2976" s="13">
        <v>0</v>
      </c>
      <c r="T2976" s="23">
        <v>46247.800439814811</v>
      </c>
      <c r="U2976" s="55">
        <f t="shared" si="138"/>
        <v>0.33333333333333331</v>
      </c>
      <c r="V2976" s="55">
        <f t="shared" si="139"/>
        <v>0</v>
      </c>
      <c r="W2976" s="56">
        <f t="shared" si="140"/>
        <v>4219</v>
      </c>
    </row>
    <row r="2977" spans="1:23" x14ac:dyDescent="0.3">
      <c r="A2977" s="13" t="str" cm="1">
        <f t="array" ref="A2977:B2977">INDEX(BenchmarkResults!$B$1:$D$35,SUMPRODUCT((T2977&gt;=BenchmarkResults!$F$3:$F$35)*(mongodb_hardware_log!T2977&lt;BenchmarkResults!$G$3:$G$35)*ROW(BenchmarkResults!$F$3:$F$35)),{1,3})</f>
        <v>q6_inactive_customers</v>
      </c>
      <c r="B2977">
        <v>2</v>
      </c>
      <c r="C2977" s="13">
        <v>1</v>
      </c>
      <c r="D2977" s="13">
        <v>0</v>
      </c>
      <c r="E2977" s="13">
        <v>194304</v>
      </c>
      <c r="F2977" s="13">
        <v>146764</v>
      </c>
      <c r="G2977" s="13">
        <v>8876</v>
      </c>
      <c r="H2977" s="13">
        <v>2273104</v>
      </c>
      <c r="I2977" s="13">
        <v>2</v>
      </c>
      <c r="J2977" s="13">
        <v>0</v>
      </c>
      <c r="K2977" s="13">
        <v>4171</v>
      </c>
      <c r="L2977" s="13">
        <v>21</v>
      </c>
      <c r="M2977" s="13">
        <v>1651</v>
      </c>
      <c r="N2977" s="13">
        <v>506</v>
      </c>
      <c r="O2977" s="13">
        <v>15</v>
      </c>
      <c r="P2977" s="13">
        <v>3</v>
      </c>
      <c r="Q2977" s="13">
        <v>81</v>
      </c>
      <c r="R2977" s="13">
        <v>0</v>
      </c>
      <c r="S2977" s="13">
        <v>0</v>
      </c>
      <c r="T2977" s="23">
        <v>46247.800532407404</v>
      </c>
      <c r="U2977" s="55">
        <f t="shared" si="138"/>
        <v>0.5</v>
      </c>
      <c r="V2977" s="55">
        <f t="shared" si="139"/>
        <v>0</v>
      </c>
      <c r="W2977" s="56">
        <f t="shared" si="140"/>
        <v>4164</v>
      </c>
    </row>
    <row r="2978" spans="1:23" x14ac:dyDescent="0.3">
      <c r="A2978" s="13" t="str" cm="1">
        <f t="array" ref="A2978:B2978">INDEX(BenchmarkResults!$B$1:$D$35,SUMPRODUCT((T2978&gt;=BenchmarkResults!$F$3:$F$35)*(mongodb_hardware_log!T2978&lt;BenchmarkResults!$G$3:$G$35)*ROW(BenchmarkResults!$F$3:$F$35)),{1,3})</f>
        <v>q6_inactive_customers</v>
      </c>
      <c r="B2978">
        <v>3</v>
      </c>
      <c r="C2978" s="13">
        <v>2</v>
      </c>
      <c r="D2978" s="13">
        <v>0</v>
      </c>
      <c r="E2978" s="13">
        <v>194304</v>
      </c>
      <c r="F2978" s="13">
        <v>829204</v>
      </c>
      <c r="G2978" s="13">
        <v>8880</v>
      </c>
      <c r="H2978" s="13">
        <v>1585916</v>
      </c>
      <c r="I2978" s="13">
        <v>4</v>
      </c>
      <c r="J2978" s="13">
        <v>0</v>
      </c>
      <c r="K2978" s="13">
        <v>3626</v>
      </c>
      <c r="L2978" s="13">
        <v>21</v>
      </c>
      <c r="M2978" s="13">
        <v>1692</v>
      </c>
      <c r="N2978" s="13">
        <v>549</v>
      </c>
      <c r="O2978" s="13">
        <v>17</v>
      </c>
      <c r="P2978" s="13">
        <v>4</v>
      </c>
      <c r="Q2978" s="13">
        <v>79</v>
      </c>
      <c r="R2978" s="13">
        <v>0</v>
      </c>
      <c r="S2978" s="13">
        <v>0</v>
      </c>
      <c r="T2978" s="23">
        <v>46247.800555555557</v>
      </c>
      <c r="U2978" s="55">
        <f t="shared" si="138"/>
        <v>0.66666666666666663</v>
      </c>
      <c r="V2978" s="55">
        <f t="shared" si="139"/>
        <v>0</v>
      </c>
      <c r="W2978" s="56">
        <f t="shared" si="140"/>
        <v>4069.3333333333335</v>
      </c>
    </row>
    <row r="2979" spans="1:23" x14ac:dyDescent="0.3">
      <c r="A2979" s="13" t="str" cm="1">
        <f t="array" ref="A2979:B2979">INDEX(BenchmarkResults!$B$1:$D$35,SUMPRODUCT((T2979&gt;=BenchmarkResults!$F$3:$F$35)*(mongodb_hardware_log!T2979&lt;BenchmarkResults!$G$3:$G$35)*ROW(BenchmarkResults!$F$3:$F$35)),{1,3})</f>
        <v>q6_inactive_customers</v>
      </c>
      <c r="B2979">
        <v>3</v>
      </c>
      <c r="C2979" s="13">
        <v>1</v>
      </c>
      <c r="D2979" s="13">
        <v>0</v>
      </c>
      <c r="E2979" s="13">
        <v>194304</v>
      </c>
      <c r="F2979" s="13">
        <v>788636</v>
      </c>
      <c r="G2979" s="13">
        <v>8892</v>
      </c>
      <c r="H2979" s="13">
        <v>1621740</v>
      </c>
      <c r="I2979" s="13">
        <v>3</v>
      </c>
      <c r="J2979" s="13">
        <v>0</v>
      </c>
      <c r="K2979" s="13">
        <v>3898</v>
      </c>
      <c r="L2979" s="13">
        <v>16</v>
      </c>
      <c r="M2979" s="13">
        <v>1696</v>
      </c>
      <c r="N2979" s="13">
        <v>650</v>
      </c>
      <c r="O2979" s="13">
        <v>45</v>
      </c>
      <c r="P2979" s="13">
        <v>2</v>
      </c>
      <c r="Q2979" s="13">
        <v>52</v>
      </c>
      <c r="R2979" s="13">
        <v>0</v>
      </c>
      <c r="S2979" s="13">
        <v>0</v>
      </c>
      <c r="T2979" s="23">
        <v>46247.80064814815</v>
      </c>
      <c r="U2979" s="55">
        <f t="shared" si="138"/>
        <v>0.83333333333333337</v>
      </c>
      <c r="V2979" s="55">
        <f t="shared" si="139"/>
        <v>0</v>
      </c>
      <c r="W2979" s="56">
        <f t="shared" si="140"/>
        <v>4032</v>
      </c>
    </row>
    <row r="2980" spans="1:23" x14ac:dyDescent="0.3">
      <c r="A2980" s="13" t="str" cm="1">
        <f t="array" ref="A2980:B2980">INDEX(BenchmarkResults!$B$1:$D$35,SUMPRODUCT((T2980&gt;=BenchmarkResults!$F$3:$F$35)*(mongodb_hardware_log!T2980&lt;BenchmarkResults!$G$3:$G$35)*ROW(BenchmarkResults!$F$3:$F$35)),{1,3})</f>
        <v>q6_inactive_customers</v>
      </c>
      <c r="B2980">
        <v>3</v>
      </c>
      <c r="C2980" s="13">
        <v>1</v>
      </c>
      <c r="D2980" s="13">
        <v>0</v>
      </c>
      <c r="E2980" s="13">
        <v>194304</v>
      </c>
      <c r="F2980" s="13">
        <v>780572</v>
      </c>
      <c r="G2980" s="13">
        <v>8900</v>
      </c>
      <c r="H2980" s="13">
        <v>1628176</v>
      </c>
      <c r="I2980" s="13">
        <v>0</v>
      </c>
      <c r="J2980" s="13">
        <v>0</v>
      </c>
      <c r="K2980" s="13">
        <v>4226</v>
      </c>
      <c r="L2980" s="13">
        <v>26</v>
      </c>
      <c r="M2980" s="13">
        <v>1626</v>
      </c>
      <c r="N2980" s="13">
        <v>591</v>
      </c>
      <c r="O2980" s="13">
        <v>50</v>
      </c>
      <c r="P2980" s="13">
        <v>1</v>
      </c>
      <c r="Q2980" s="13">
        <v>48</v>
      </c>
      <c r="R2980" s="13">
        <v>0</v>
      </c>
      <c r="S2980" s="13">
        <v>0</v>
      </c>
      <c r="T2980" s="23">
        <v>46247.800671296296</v>
      </c>
      <c r="U2980" s="55">
        <f t="shared" si="138"/>
        <v>1</v>
      </c>
      <c r="V2980" s="55">
        <f t="shared" si="139"/>
        <v>0</v>
      </c>
      <c r="W2980" s="56">
        <f t="shared" si="140"/>
        <v>4060</v>
      </c>
    </row>
    <row r="2981" spans="1:23" x14ac:dyDescent="0.3">
      <c r="A2981" s="13" t="str" cm="1">
        <f t="array" ref="A2981:B2981">INDEX(BenchmarkResults!$B$1:$D$35,SUMPRODUCT((T2981&gt;=BenchmarkResults!$F$3:$F$35)*(mongodb_hardware_log!T2981&lt;BenchmarkResults!$G$3:$G$35)*ROW(BenchmarkResults!$F$3:$F$35)),{1,3})</f>
        <v>q6_inactive_customers</v>
      </c>
      <c r="B2981">
        <v>3</v>
      </c>
      <c r="C2981" s="13">
        <v>1</v>
      </c>
      <c r="D2981" s="13">
        <v>0</v>
      </c>
      <c r="E2981" s="13">
        <v>194304</v>
      </c>
      <c r="F2981" s="13">
        <v>748252</v>
      </c>
      <c r="G2981" s="13">
        <v>8908</v>
      </c>
      <c r="H2981" s="13">
        <v>1662324</v>
      </c>
      <c r="I2981" s="13">
        <v>0</v>
      </c>
      <c r="J2981" s="13">
        <v>0</v>
      </c>
      <c r="K2981" s="13">
        <v>4062</v>
      </c>
      <c r="L2981" s="13">
        <v>35</v>
      </c>
      <c r="M2981" s="13">
        <v>1417</v>
      </c>
      <c r="N2981" s="13">
        <v>353</v>
      </c>
      <c r="O2981" s="13">
        <v>49</v>
      </c>
      <c r="P2981" s="13">
        <v>1</v>
      </c>
      <c r="Q2981" s="13">
        <v>49</v>
      </c>
      <c r="R2981" s="13">
        <v>1</v>
      </c>
      <c r="S2981" s="13">
        <v>0</v>
      </c>
      <c r="T2981" s="23">
        <v>46247.800763888888</v>
      </c>
      <c r="U2981" s="55">
        <f t="shared" si="138"/>
        <v>1.1666666666666667</v>
      </c>
      <c r="V2981" s="55">
        <f t="shared" si="139"/>
        <v>0</v>
      </c>
      <c r="W2981" s="56">
        <f t="shared" si="140"/>
        <v>4058.3333333333335</v>
      </c>
    </row>
    <row r="2982" spans="1:23" x14ac:dyDescent="0.3">
      <c r="A2982" s="13" t="str" cm="1">
        <f t="array" ref="A2982:B2982">INDEX(BenchmarkResults!$B$1:$D$35,SUMPRODUCT((T2982&gt;=BenchmarkResults!$F$3:$F$35)*(mongodb_hardware_log!T2982&lt;BenchmarkResults!$G$3:$G$35)*ROW(BenchmarkResults!$F$3:$F$35)),{1,3})</f>
        <v>q6_inactive_customers</v>
      </c>
      <c r="B2982">
        <v>3</v>
      </c>
      <c r="C2982" s="13">
        <v>1</v>
      </c>
      <c r="D2982" s="13">
        <v>0</v>
      </c>
      <c r="E2982" s="13">
        <v>194304</v>
      </c>
      <c r="F2982" s="13">
        <v>740188</v>
      </c>
      <c r="G2982" s="13">
        <v>8908</v>
      </c>
      <c r="H2982" s="13">
        <v>1668204</v>
      </c>
      <c r="I2982" s="13">
        <v>0</v>
      </c>
      <c r="J2982" s="13">
        <v>0</v>
      </c>
      <c r="K2982" s="13">
        <v>4004</v>
      </c>
      <c r="L2982" s="13">
        <v>24</v>
      </c>
      <c r="M2982" s="13">
        <v>1418</v>
      </c>
      <c r="N2982" s="13">
        <v>354</v>
      </c>
      <c r="O2982" s="13">
        <v>49</v>
      </c>
      <c r="P2982" s="13">
        <v>1</v>
      </c>
      <c r="Q2982" s="13">
        <v>49</v>
      </c>
      <c r="R2982" s="13">
        <v>1</v>
      </c>
      <c r="S2982" s="13">
        <v>0</v>
      </c>
      <c r="T2982" s="23">
        <v>46247.800787037035</v>
      </c>
      <c r="U2982" s="55">
        <f t="shared" si="138"/>
        <v>1.1666666666666667</v>
      </c>
      <c r="V2982" s="55">
        <f t="shared" si="139"/>
        <v>0</v>
      </c>
      <c r="W2982" s="56">
        <f t="shared" si="140"/>
        <v>3997.8333333333335</v>
      </c>
    </row>
    <row r="2983" spans="1:23" x14ac:dyDescent="0.3">
      <c r="A2983" s="13" t="str" cm="1">
        <f t="array" ref="A2983:B2983">INDEX(BenchmarkResults!$B$1:$D$35,SUMPRODUCT((T2983&gt;=BenchmarkResults!$F$3:$F$35)*(mongodb_hardware_log!T2983&lt;BenchmarkResults!$G$3:$G$35)*ROW(BenchmarkResults!$F$3:$F$35)),{1,3})</f>
        <v>q6_inactive_customers</v>
      </c>
      <c r="B2983">
        <v>3</v>
      </c>
      <c r="C2983" s="13">
        <v>1</v>
      </c>
      <c r="D2983" s="13">
        <v>0</v>
      </c>
      <c r="E2983" s="13">
        <v>194304</v>
      </c>
      <c r="F2983" s="13">
        <v>701128</v>
      </c>
      <c r="G2983" s="13">
        <v>8948</v>
      </c>
      <c r="H2983" s="13">
        <v>1711384</v>
      </c>
      <c r="I2983" s="13">
        <v>0</v>
      </c>
      <c r="J2983" s="13">
        <v>0</v>
      </c>
      <c r="K2983" s="13">
        <v>3322</v>
      </c>
      <c r="L2983" s="13">
        <v>38</v>
      </c>
      <c r="M2983" s="13">
        <v>1405</v>
      </c>
      <c r="N2983" s="13">
        <v>358</v>
      </c>
      <c r="O2983" s="13">
        <v>49</v>
      </c>
      <c r="P2983" s="13">
        <v>1</v>
      </c>
      <c r="Q2983" s="13">
        <v>49</v>
      </c>
      <c r="R2983" s="13">
        <v>1</v>
      </c>
      <c r="S2983" s="13">
        <v>0</v>
      </c>
      <c r="T2983" s="23">
        <v>46247.800879629627</v>
      </c>
      <c r="U2983" s="55">
        <f t="shared" si="138"/>
        <v>1.1666666666666667</v>
      </c>
      <c r="V2983" s="55">
        <f t="shared" si="139"/>
        <v>0</v>
      </c>
      <c r="W2983" s="56">
        <f t="shared" si="140"/>
        <v>3856.3333333333335</v>
      </c>
    </row>
    <row r="2984" spans="1:23" x14ac:dyDescent="0.3">
      <c r="A2984" s="13" t="str" cm="1">
        <f t="array" ref="A2984:B2984">INDEX(BenchmarkResults!$B$1:$D$35,SUMPRODUCT((T2984&gt;=BenchmarkResults!$F$3:$F$35)*(mongodb_hardware_log!T2984&lt;BenchmarkResults!$G$3:$G$35)*ROW(BenchmarkResults!$F$3:$F$35)),{1,3})</f>
        <v>q6_inactive_customers</v>
      </c>
      <c r="B2984">
        <v>3</v>
      </c>
      <c r="C2984" s="13">
        <v>1</v>
      </c>
      <c r="D2984" s="13">
        <v>0</v>
      </c>
      <c r="E2984" s="13">
        <v>194304</v>
      </c>
      <c r="F2984" s="13">
        <v>690040</v>
      </c>
      <c r="G2984" s="13">
        <v>8948</v>
      </c>
      <c r="H2984" s="13">
        <v>1719696</v>
      </c>
      <c r="I2984" s="13">
        <v>0</v>
      </c>
      <c r="J2984" s="13">
        <v>0</v>
      </c>
      <c r="K2984" s="13">
        <v>3571</v>
      </c>
      <c r="L2984" s="13">
        <v>38</v>
      </c>
      <c r="M2984" s="13">
        <v>1480</v>
      </c>
      <c r="N2984" s="13">
        <v>440</v>
      </c>
      <c r="O2984" s="13">
        <v>49</v>
      </c>
      <c r="P2984" s="13">
        <v>1</v>
      </c>
      <c r="Q2984" s="13">
        <v>49</v>
      </c>
      <c r="R2984" s="13">
        <v>1</v>
      </c>
      <c r="S2984" s="13">
        <v>0</v>
      </c>
      <c r="T2984" s="23">
        <v>46247.800902777781</v>
      </c>
      <c r="U2984" s="55">
        <f t="shared" si="138"/>
        <v>1</v>
      </c>
      <c r="V2984" s="55">
        <f t="shared" si="139"/>
        <v>0</v>
      </c>
      <c r="W2984" s="56">
        <f t="shared" si="140"/>
        <v>3847.1666666666665</v>
      </c>
    </row>
    <row r="2985" spans="1:23" x14ac:dyDescent="0.3">
      <c r="A2985" s="13" t="str" cm="1">
        <f t="array" ref="A2985:B2985">INDEX(BenchmarkResults!$B$1:$D$35,SUMPRODUCT((T2985&gt;=BenchmarkResults!$F$3:$F$35)*(mongodb_hardware_log!T2985&lt;BenchmarkResults!$G$3:$G$35)*ROW(BenchmarkResults!$F$3:$F$35)),{1,3})</f>
        <v>q6_inactive_customers</v>
      </c>
      <c r="B2985">
        <v>3</v>
      </c>
      <c r="C2985" s="13">
        <v>1</v>
      </c>
      <c r="D2985" s="13">
        <v>0</v>
      </c>
      <c r="E2985" s="13">
        <v>194304</v>
      </c>
      <c r="F2985" s="13">
        <v>653752</v>
      </c>
      <c r="G2985" s="13">
        <v>8956</v>
      </c>
      <c r="H2985" s="13">
        <v>1753452</v>
      </c>
      <c r="I2985" s="13">
        <v>0</v>
      </c>
      <c r="J2985" s="13">
        <v>0</v>
      </c>
      <c r="K2985" s="13">
        <v>4203</v>
      </c>
      <c r="L2985" s="13">
        <v>420</v>
      </c>
      <c r="M2985" s="13">
        <v>1628</v>
      </c>
      <c r="N2985" s="13">
        <v>596</v>
      </c>
      <c r="O2985" s="13">
        <v>49</v>
      </c>
      <c r="P2985" s="13">
        <v>2</v>
      </c>
      <c r="Q2985" s="13">
        <v>48</v>
      </c>
      <c r="R2985" s="13">
        <v>1</v>
      </c>
      <c r="S2985" s="13">
        <v>0</v>
      </c>
      <c r="T2985" s="23">
        <v>46247.800995370373</v>
      </c>
      <c r="U2985" s="55">
        <f t="shared" si="138"/>
        <v>1</v>
      </c>
      <c r="V2985" s="55">
        <f t="shared" si="139"/>
        <v>0</v>
      </c>
      <c r="W2985" s="56">
        <f t="shared" si="140"/>
        <v>3898</v>
      </c>
    </row>
    <row r="2986" spans="1:23" x14ac:dyDescent="0.3">
      <c r="A2986" s="13" t="str" cm="1">
        <f t="array" ref="A2986:B2986">INDEX(BenchmarkResults!$B$1:$D$35,SUMPRODUCT((T2986&gt;=BenchmarkResults!$F$3:$F$35)*(mongodb_hardware_log!T2986&lt;BenchmarkResults!$G$3:$G$35)*ROW(BenchmarkResults!$F$3:$F$35)),{1,3})</f>
        <v>q6_inactive_customers</v>
      </c>
      <c r="B2986">
        <v>3</v>
      </c>
      <c r="C2986" s="13">
        <v>1</v>
      </c>
      <c r="D2986" s="13">
        <v>0</v>
      </c>
      <c r="E2986" s="13">
        <v>194304</v>
      </c>
      <c r="F2986" s="13">
        <v>645688</v>
      </c>
      <c r="G2986" s="13">
        <v>8964</v>
      </c>
      <c r="H2986" s="13">
        <v>1759156</v>
      </c>
      <c r="I2986" s="13">
        <v>0</v>
      </c>
      <c r="J2986" s="13">
        <v>0</v>
      </c>
      <c r="K2986" s="13">
        <v>3942</v>
      </c>
      <c r="L2986" s="13">
        <v>429</v>
      </c>
      <c r="M2986" s="13">
        <v>1544</v>
      </c>
      <c r="N2986" s="13">
        <v>512</v>
      </c>
      <c r="O2986" s="13">
        <v>49</v>
      </c>
      <c r="P2986" s="13">
        <v>1</v>
      </c>
      <c r="Q2986" s="13">
        <v>48</v>
      </c>
      <c r="R2986" s="13">
        <v>1</v>
      </c>
      <c r="S2986" s="13">
        <v>0</v>
      </c>
      <c r="T2986" s="23">
        <v>46247.801018518519</v>
      </c>
      <c r="U2986" s="55">
        <f t="shared" si="138"/>
        <v>1</v>
      </c>
      <c r="V2986" s="55">
        <f t="shared" si="139"/>
        <v>0</v>
      </c>
      <c r="W2986" s="56">
        <f t="shared" si="140"/>
        <v>3850.6666666666665</v>
      </c>
    </row>
    <row r="2987" spans="1:23" x14ac:dyDescent="0.3">
      <c r="A2987" s="13" t="str" cm="1">
        <f t="array" ref="A2987:B2987">INDEX(BenchmarkResults!$B$1:$D$35,SUMPRODUCT((T2987&gt;=BenchmarkResults!$F$3:$F$35)*(mongodb_hardware_log!T2987&lt;BenchmarkResults!$G$3:$G$35)*ROW(BenchmarkResults!$F$3:$F$35)),{1,3})</f>
        <v>q6_inactive_customers</v>
      </c>
      <c r="B2987">
        <v>3</v>
      </c>
      <c r="C2987" s="13">
        <v>2</v>
      </c>
      <c r="D2987" s="13">
        <v>0</v>
      </c>
      <c r="E2987" s="13">
        <v>194304</v>
      </c>
      <c r="F2987" s="13">
        <v>613684</v>
      </c>
      <c r="G2987" s="13">
        <v>8972</v>
      </c>
      <c r="H2987" s="13">
        <v>1792148</v>
      </c>
      <c r="I2987" s="13">
        <v>0</v>
      </c>
      <c r="J2987" s="13">
        <v>0</v>
      </c>
      <c r="K2987" s="13">
        <v>3879</v>
      </c>
      <c r="L2987" s="13">
        <v>1187</v>
      </c>
      <c r="M2987" s="13">
        <v>1407</v>
      </c>
      <c r="N2987" s="13">
        <v>356</v>
      </c>
      <c r="O2987" s="13">
        <v>50</v>
      </c>
      <c r="P2987" s="13">
        <v>1</v>
      </c>
      <c r="Q2987" s="13">
        <v>48</v>
      </c>
      <c r="R2987" s="13">
        <v>1</v>
      </c>
      <c r="S2987" s="13">
        <v>0</v>
      </c>
      <c r="T2987" s="23">
        <v>46247.801111111112</v>
      </c>
      <c r="U2987" s="55">
        <f t="shared" si="138"/>
        <v>1.1666666666666667</v>
      </c>
      <c r="V2987" s="55">
        <f t="shared" si="139"/>
        <v>0</v>
      </c>
      <c r="W2987" s="56">
        <f t="shared" si="140"/>
        <v>3820.1666666666665</v>
      </c>
    </row>
    <row r="2988" spans="1:23" x14ac:dyDescent="0.3">
      <c r="A2988" s="13" t="str" cm="1">
        <f t="array" ref="A2988:B2988">INDEX(BenchmarkResults!$B$1:$D$35,SUMPRODUCT((T2988&gt;=BenchmarkResults!$F$3:$F$35)*(mongodb_hardware_log!T2988&lt;BenchmarkResults!$G$3:$G$35)*ROW(BenchmarkResults!$F$3:$F$35)),{1,3})</f>
        <v>q6_inactive_customers</v>
      </c>
      <c r="B2988">
        <v>3</v>
      </c>
      <c r="C2988" s="13">
        <v>1</v>
      </c>
      <c r="D2988" s="13">
        <v>0</v>
      </c>
      <c r="E2988" s="13">
        <v>194304</v>
      </c>
      <c r="F2988" s="13">
        <v>605872</v>
      </c>
      <c r="G2988" s="13">
        <v>8972</v>
      </c>
      <c r="H2988" s="13">
        <v>1799816</v>
      </c>
      <c r="I2988" s="13">
        <v>0</v>
      </c>
      <c r="J2988" s="13">
        <v>0</v>
      </c>
      <c r="K2988" s="13">
        <v>4069</v>
      </c>
      <c r="L2988" s="13">
        <v>1178</v>
      </c>
      <c r="M2988" s="13">
        <v>1406</v>
      </c>
      <c r="N2988" s="13">
        <v>349</v>
      </c>
      <c r="O2988" s="13">
        <v>50</v>
      </c>
      <c r="P2988" s="13">
        <v>1</v>
      </c>
      <c r="Q2988" s="13">
        <v>48</v>
      </c>
      <c r="R2988" s="13">
        <v>1</v>
      </c>
      <c r="S2988" s="13">
        <v>0</v>
      </c>
      <c r="T2988" s="23">
        <v>46247.801134259258</v>
      </c>
      <c r="U2988" s="55">
        <f t="shared" si="138"/>
        <v>1.1666666666666667</v>
      </c>
      <c r="V2988" s="55">
        <f t="shared" si="139"/>
        <v>0</v>
      </c>
      <c r="W2988" s="56">
        <f t="shared" si="140"/>
        <v>3831</v>
      </c>
    </row>
    <row r="2989" spans="1:23" x14ac:dyDescent="0.3">
      <c r="A2989" s="13" t="str" cm="1">
        <f t="array" ref="A2989:B2989">INDEX(BenchmarkResults!$B$1:$D$35,SUMPRODUCT((T2989&gt;=BenchmarkResults!$F$3:$F$35)*(mongodb_hardware_log!T2989&lt;BenchmarkResults!$G$3:$G$35)*ROW(BenchmarkResults!$F$3:$F$35)),{1,3})</f>
        <v>q6_inactive_customers</v>
      </c>
      <c r="B2989">
        <v>3</v>
      </c>
      <c r="C2989" s="13">
        <v>1</v>
      </c>
      <c r="D2989" s="13">
        <v>0</v>
      </c>
      <c r="E2989" s="13">
        <v>194304</v>
      </c>
      <c r="F2989" s="13">
        <v>557488</v>
      </c>
      <c r="G2989" s="13">
        <v>8980</v>
      </c>
      <c r="H2989" s="13">
        <v>1845324</v>
      </c>
      <c r="I2989" s="13">
        <v>0</v>
      </c>
      <c r="J2989" s="13">
        <v>0</v>
      </c>
      <c r="K2989" s="13">
        <v>3738</v>
      </c>
      <c r="L2989" s="13">
        <v>8</v>
      </c>
      <c r="M2989" s="13">
        <v>1366</v>
      </c>
      <c r="N2989" s="13">
        <v>315</v>
      </c>
      <c r="O2989" s="13">
        <v>50</v>
      </c>
      <c r="P2989" s="13">
        <v>1</v>
      </c>
      <c r="Q2989" s="13">
        <v>49</v>
      </c>
      <c r="R2989" s="13">
        <v>0</v>
      </c>
      <c r="S2989" s="13">
        <v>0</v>
      </c>
      <c r="T2989" s="23">
        <v>46247.801226851851</v>
      </c>
      <c r="U2989" s="55">
        <f t="shared" si="138"/>
        <v>1.1666666666666667</v>
      </c>
      <c r="V2989" s="55">
        <f t="shared" si="139"/>
        <v>0</v>
      </c>
      <c r="W2989" s="56">
        <f t="shared" si="140"/>
        <v>3900.3333333333335</v>
      </c>
    </row>
    <row r="2990" spans="1:23" x14ac:dyDescent="0.3">
      <c r="A2990" s="13" t="str" cm="1">
        <f t="array" ref="A2990:B2990">INDEX(BenchmarkResults!$B$1:$D$35,SUMPRODUCT((T2990&gt;=BenchmarkResults!$F$3:$F$35)*(mongodb_hardware_log!T2990&lt;BenchmarkResults!$G$3:$G$35)*ROW(BenchmarkResults!$F$3:$F$35)),{1,3})</f>
        <v>q6_inactive_customers</v>
      </c>
      <c r="B2990">
        <v>3</v>
      </c>
      <c r="C2990" s="13">
        <v>1</v>
      </c>
      <c r="D2990" s="13">
        <v>0</v>
      </c>
      <c r="E2990" s="13">
        <v>194304</v>
      </c>
      <c r="F2990" s="13">
        <v>549424</v>
      </c>
      <c r="G2990" s="13">
        <v>8988</v>
      </c>
      <c r="H2990" s="13">
        <v>1851512</v>
      </c>
      <c r="I2990" s="13">
        <v>0</v>
      </c>
      <c r="J2990" s="13">
        <v>0</v>
      </c>
      <c r="K2990" s="13">
        <v>3600</v>
      </c>
      <c r="L2990" s="13">
        <v>14</v>
      </c>
      <c r="M2990" s="13">
        <v>1366</v>
      </c>
      <c r="N2990" s="13">
        <v>318</v>
      </c>
      <c r="O2990" s="13">
        <v>50</v>
      </c>
      <c r="P2990" s="13">
        <v>1</v>
      </c>
      <c r="Q2990" s="13">
        <v>49</v>
      </c>
      <c r="R2990" s="13">
        <v>0</v>
      </c>
      <c r="S2990" s="13">
        <v>0</v>
      </c>
      <c r="T2990" s="23">
        <v>46247.801249999997</v>
      </c>
      <c r="U2990" s="55">
        <f t="shared" si="138"/>
        <v>1.1666666666666667</v>
      </c>
      <c r="V2990" s="55">
        <f t="shared" si="139"/>
        <v>0</v>
      </c>
      <c r="W2990" s="56">
        <f t="shared" si="140"/>
        <v>3905.1666666666665</v>
      </c>
    </row>
    <row r="2991" spans="1:23" x14ac:dyDescent="0.3">
      <c r="A2991" s="13" t="str" cm="1">
        <f t="array" ref="A2991:B2991">INDEX(BenchmarkResults!$B$1:$D$35,SUMPRODUCT((T2991&gt;=BenchmarkResults!$F$3:$F$35)*(mongodb_hardware_log!T2991&lt;BenchmarkResults!$G$3:$G$35)*ROW(BenchmarkResults!$F$3:$F$35)),{1,3})</f>
        <v>q6_inactive_customers</v>
      </c>
      <c r="B2991">
        <v>3</v>
      </c>
      <c r="C2991" s="13">
        <v>1</v>
      </c>
      <c r="D2991" s="13">
        <v>0</v>
      </c>
      <c r="E2991" s="13">
        <v>194304</v>
      </c>
      <c r="F2991" s="13">
        <v>517168</v>
      </c>
      <c r="G2991" s="13">
        <v>8996</v>
      </c>
      <c r="H2991" s="13">
        <v>1886328</v>
      </c>
      <c r="I2991" s="13">
        <v>0</v>
      </c>
      <c r="J2991" s="13">
        <v>0</v>
      </c>
      <c r="K2991" s="13">
        <v>4103</v>
      </c>
      <c r="L2991" s="13">
        <v>17</v>
      </c>
      <c r="M2991" s="13">
        <v>1393</v>
      </c>
      <c r="N2991" s="13">
        <v>344</v>
      </c>
      <c r="O2991" s="13">
        <v>50</v>
      </c>
      <c r="P2991" s="13">
        <v>1</v>
      </c>
      <c r="Q2991" s="13">
        <v>49</v>
      </c>
      <c r="R2991" s="13">
        <v>0</v>
      </c>
      <c r="S2991" s="13">
        <v>0</v>
      </c>
      <c r="T2991" s="23">
        <v>46247.801342592589</v>
      </c>
      <c r="U2991" s="55">
        <f t="shared" si="138"/>
        <v>1.1666666666666667</v>
      </c>
      <c r="V2991" s="55">
        <f t="shared" si="139"/>
        <v>0</v>
      </c>
      <c r="W2991" s="56">
        <f t="shared" si="140"/>
        <v>3888.5</v>
      </c>
    </row>
    <row r="2992" spans="1:23" x14ac:dyDescent="0.3">
      <c r="A2992" s="13" t="str" cm="1">
        <f t="array" ref="A2992:B2992">INDEX(BenchmarkResults!$B$1:$D$35,SUMPRODUCT((T2992&gt;=BenchmarkResults!$F$3:$F$35)*(mongodb_hardware_log!T2992&lt;BenchmarkResults!$G$3:$G$35)*ROW(BenchmarkResults!$F$3:$F$35)),{1,3})</f>
        <v>q6_inactive_customers</v>
      </c>
      <c r="B2992">
        <v>3</v>
      </c>
      <c r="C2992" s="13">
        <v>1</v>
      </c>
      <c r="D2992" s="13">
        <v>0</v>
      </c>
      <c r="E2992" s="13">
        <v>194304</v>
      </c>
      <c r="F2992" s="13">
        <v>509104</v>
      </c>
      <c r="G2992" s="13">
        <v>8996</v>
      </c>
      <c r="H2992" s="13">
        <v>1892492</v>
      </c>
      <c r="I2992" s="13">
        <v>0</v>
      </c>
      <c r="J2992" s="13">
        <v>0</v>
      </c>
      <c r="K2992" s="13">
        <v>4093</v>
      </c>
      <c r="L2992" s="13">
        <v>12</v>
      </c>
      <c r="M2992" s="13">
        <v>1391</v>
      </c>
      <c r="N2992" s="13">
        <v>342</v>
      </c>
      <c r="O2992" s="13">
        <v>50</v>
      </c>
      <c r="P2992" s="13">
        <v>1</v>
      </c>
      <c r="Q2992" s="13">
        <v>49</v>
      </c>
      <c r="R2992" s="13">
        <v>0</v>
      </c>
      <c r="S2992" s="13">
        <v>0</v>
      </c>
      <c r="T2992" s="23">
        <v>46247.801365740743</v>
      </c>
      <c r="U2992" s="55">
        <f t="shared" si="138"/>
        <v>1.1666666666666667</v>
      </c>
      <c r="V2992" s="55">
        <f t="shared" si="139"/>
        <v>0</v>
      </c>
      <c r="W2992" s="56">
        <f t="shared" si="140"/>
        <v>3913.6666666666665</v>
      </c>
    </row>
    <row r="2993" spans="1:23" x14ac:dyDescent="0.3">
      <c r="A2993" s="13" t="str" cm="1">
        <f t="array" ref="A2993:B2993">INDEX(BenchmarkResults!$B$1:$D$35,SUMPRODUCT((T2993&gt;=BenchmarkResults!$F$3:$F$35)*(mongodb_hardware_log!T2993&lt;BenchmarkResults!$G$3:$G$35)*ROW(BenchmarkResults!$F$3:$F$35)),{1,3})</f>
        <v>q6_inactive_customers</v>
      </c>
      <c r="B2993">
        <v>3</v>
      </c>
      <c r="C2993" s="13">
        <v>1</v>
      </c>
      <c r="D2993" s="13">
        <v>0</v>
      </c>
      <c r="E2993" s="13">
        <v>194304</v>
      </c>
      <c r="F2993" s="13">
        <v>485920</v>
      </c>
      <c r="G2993" s="13">
        <v>9004</v>
      </c>
      <c r="H2993" s="13">
        <v>1918512</v>
      </c>
      <c r="I2993" s="13">
        <v>0</v>
      </c>
      <c r="J2993" s="13">
        <v>0</v>
      </c>
      <c r="K2993" s="13">
        <v>3214</v>
      </c>
      <c r="L2993" s="13">
        <v>12</v>
      </c>
      <c r="M2993" s="13">
        <v>1154</v>
      </c>
      <c r="N2993" s="13">
        <v>307</v>
      </c>
      <c r="O2993" s="13">
        <v>44</v>
      </c>
      <c r="P2993" s="13">
        <v>1</v>
      </c>
      <c r="Q2993" s="13">
        <v>54</v>
      </c>
      <c r="R2993" s="13">
        <v>1</v>
      </c>
      <c r="S2993" s="13">
        <v>0</v>
      </c>
      <c r="T2993" s="23">
        <v>46247.801458333335</v>
      </c>
      <c r="U2993" s="55">
        <f t="shared" si="138"/>
        <v>1</v>
      </c>
      <c r="V2993" s="55">
        <f t="shared" si="139"/>
        <v>0</v>
      </c>
      <c r="W2993" s="56">
        <f t="shared" si="140"/>
        <v>3802.8333333333335</v>
      </c>
    </row>
    <row r="2994" spans="1:23" x14ac:dyDescent="0.3">
      <c r="A2994" s="13" t="str" cm="1">
        <f t="array" ref="A2994:B2994">INDEX(BenchmarkResults!$B$1:$D$35,SUMPRODUCT((T2994&gt;=BenchmarkResults!$F$3:$F$35)*(mongodb_hardware_log!T2994&lt;BenchmarkResults!$G$3:$G$35)*ROW(BenchmarkResults!$F$3:$F$35)),{1,3})</f>
        <v>q6_inactive_customers</v>
      </c>
      <c r="B2994">
        <v>3</v>
      </c>
      <c r="C2994" s="13">
        <v>1</v>
      </c>
      <c r="D2994" s="13">
        <v>0</v>
      </c>
      <c r="E2994" s="13">
        <v>194304</v>
      </c>
      <c r="F2994" s="13">
        <v>477856</v>
      </c>
      <c r="G2994" s="13">
        <v>9012</v>
      </c>
      <c r="H2994" s="13">
        <v>1922624</v>
      </c>
      <c r="I2994" s="13">
        <v>0</v>
      </c>
      <c r="J2994" s="13">
        <v>0</v>
      </c>
      <c r="K2994" s="13">
        <v>3011</v>
      </c>
      <c r="L2994" s="13">
        <v>14</v>
      </c>
      <c r="M2994" s="13">
        <v>1041</v>
      </c>
      <c r="N2994" s="13">
        <v>288</v>
      </c>
      <c r="O2994" s="13">
        <v>42</v>
      </c>
      <c r="P2994" s="13">
        <v>1</v>
      </c>
      <c r="Q2994" s="13">
        <v>56</v>
      </c>
      <c r="R2994" s="13">
        <v>1</v>
      </c>
      <c r="S2994" s="13">
        <v>0</v>
      </c>
      <c r="T2994" s="23">
        <v>46247.801481481481</v>
      </c>
      <c r="U2994" s="55">
        <f t="shared" si="138"/>
        <v>1</v>
      </c>
      <c r="V2994" s="55">
        <f t="shared" si="139"/>
        <v>0</v>
      </c>
      <c r="W2994" s="56">
        <f t="shared" si="140"/>
        <v>3626.5</v>
      </c>
    </row>
    <row r="2995" spans="1:23" x14ac:dyDescent="0.3">
      <c r="A2995" s="13" t="str" cm="1">
        <f t="array" ref="A2995:B2995">INDEX(BenchmarkResults!$B$1:$D$35,SUMPRODUCT((T2995&gt;=BenchmarkResults!$F$3:$F$35)*(mongodb_hardware_log!T2995&lt;BenchmarkResults!$G$3:$G$35)*ROW(BenchmarkResults!$F$3:$F$35)),{1,3})</f>
        <v>q6_inactive_customers</v>
      </c>
      <c r="B2995">
        <v>3</v>
      </c>
      <c r="C2995" s="13">
        <v>1</v>
      </c>
      <c r="D2995" s="13">
        <v>0</v>
      </c>
      <c r="E2995" s="13">
        <v>194304</v>
      </c>
      <c r="F2995" s="13">
        <v>453664</v>
      </c>
      <c r="G2995" s="13">
        <v>9040</v>
      </c>
      <c r="H2995" s="13">
        <v>1949440</v>
      </c>
      <c r="I2995" s="13">
        <v>0</v>
      </c>
      <c r="J2995" s="13">
        <v>0</v>
      </c>
      <c r="K2995" s="13">
        <v>1532</v>
      </c>
      <c r="L2995" s="13">
        <v>1972</v>
      </c>
      <c r="M2995" s="13">
        <v>699</v>
      </c>
      <c r="N2995" s="13">
        <v>201</v>
      </c>
      <c r="O2995" s="13">
        <v>33</v>
      </c>
      <c r="P2995" s="13">
        <v>1</v>
      </c>
      <c r="Q2995" s="13">
        <v>64</v>
      </c>
      <c r="R2995" s="13">
        <v>2</v>
      </c>
      <c r="S2995" s="13">
        <v>0</v>
      </c>
      <c r="T2995" s="23">
        <v>46247.801574074074</v>
      </c>
      <c r="U2995" s="55">
        <f t="shared" si="138"/>
        <v>1</v>
      </c>
      <c r="V2995" s="55">
        <f t="shared" si="139"/>
        <v>0</v>
      </c>
      <c r="W2995" s="56">
        <f t="shared" si="140"/>
        <v>3258.8333333333335</v>
      </c>
    </row>
    <row r="2996" spans="1:23" x14ac:dyDescent="0.3">
      <c r="A2996" s="13" t="str" cm="1">
        <f t="array" ref="A2996:B2996">INDEX(BenchmarkResults!$B$1:$D$35,SUMPRODUCT((T2996&gt;=BenchmarkResults!$F$3:$F$35)*(mongodb_hardware_log!T2996&lt;BenchmarkResults!$G$3:$G$35)*ROW(BenchmarkResults!$F$3:$F$35)),{1,3})</f>
        <v>q6_inactive_customers</v>
      </c>
      <c r="B2996">
        <v>3</v>
      </c>
      <c r="C2996" s="13">
        <v>1</v>
      </c>
      <c r="D2996" s="13">
        <v>0</v>
      </c>
      <c r="E2996" s="13">
        <v>194304</v>
      </c>
      <c r="F2996" s="13">
        <v>453664</v>
      </c>
      <c r="G2996" s="13">
        <v>9040</v>
      </c>
      <c r="H2996" s="13">
        <v>1952492</v>
      </c>
      <c r="I2996" s="13">
        <v>0</v>
      </c>
      <c r="J2996" s="13">
        <v>0</v>
      </c>
      <c r="K2996" s="13">
        <v>1424</v>
      </c>
      <c r="L2996" s="13">
        <v>1970</v>
      </c>
      <c r="M2996" s="13">
        <v>732</v>
      </c>
      <c r="N2996" s="13">
        <v>235</v>
      </c>
      <c r="O2996" s="13">
        <v>33</v>
      </c>
      <c r="P2996" s="13">
        <v>1</v>
      </c>
      <c r="Q2996" s="13">
        <v>63</v>
      </c>
      <c r="R2996" s="13">
        <v>2</v>
      </c>
      <c r="S2996" s="13">
        <v>0</v>
      </c>
      <c r="T2996" s="23">
        <v>46247.80159722222</v>
      </c>
      <c r="U2996" s="55">
        <f t="shared" si="138"/>
        <v>1</v>
      </c>
      <c r="V2996" s="55">
        <f t="shared" si="139"/>
        <v>0</v>
      </c>
      <c r="W2996" s="56">
        <f t="shared" si="140"/>
        <v>2896.1666666666665</v>
      </c>
    </row>
    <row r="2997" spans="1:23" x14ac:dyDescent="0.3">
      <c r="A2997" s="13" t="str" cm="1">
        <f t="array" ref="A2997:B2997">INDEX(BenchmarkResults!$B$1:$D$35,SUMPRODUCT((T2997&gt;=BenchmarkResults!$F$3:$F$35)*(mongodb_hardware_log!T2997&lt;BenchmarkResults!$G$3:$G$35)*ROW(BenchmarkResults!$F$3:$F$35)),{1,3})</f>
        <v>q6_inactive_customers</v>
      </c>
      <c r="B2997">
        <v>3</v>
      </c>
      <c r="C2997" s="13">
        <v>1</v>
      </c>
      <c r="D2997" s="13">
        <v>0</v>
      </c>
      <c r="E2997" s="13">
        <v>194304</v>
      </c>
      <c r="F2997" s="13">
        <v>437536</v>
      </c>
      <c r="G2997" s="13">
        <v>9048</v>
      </c>
      <c r="H2997" s="13">
        <v>1968748</v>
      </c>
      <c r="I2997" s="13">
        <v>0</v>
      </c>
      <c r="J2997" s="13">
        <v>0</v>
      </c>
      <c r="K2997" s="13">
        <v>1930</v>
      </c>
      <c r="L2997" s="13">
        <v>4</v>
      </c>
      <c r="M2997" s="13">
        <v>747</v>
      </c>
      <c r="N2997" s="13">
        <v>242</v>
      </c>
      <c r="O2997" s="13">
        <v>34</v>
      </c>
      <c r="P2997" s="13">
        <v>1</v>
      </c>
      <c r="Q2997" s="13">
        <v>65</v>
      </c>
      <c r="R2997" s="13">
        <v>0</v>
      </c>
      <c r="S2997" s="13">
        <v>0</v>
      </c>
      <c r="T2997" s="23">
        <v>46247.801689814813</v>
      </c>
      <c r="U2997" s="55">
        <f t="shared" si="138"/>
        <v>1</v>
      </c>
      <c r="V2997" s="55">
        <f t="shared" si="139"/>
        <v>0</v>
      </c>
      <c r="W2997" s="56">
        <f t="shared" si="140"/>
        <v>2534</v>
      </c>
    </row>
    <row r="2998" spans="1:23" x14ac:dyDescent="0.3">
      <c r="A2998" s="13" t="str" cm="1">
        <f t="array" ref="A2998:B2998">INDEX(BenchmarkResults!$B$1:$D$35,SUMPRODUCT((T2998&gt;=BenchmarkResults!$F$3:$F$35)*(mongodb_hardware_log!T2998&lt;BenchmarkResults!$G$3:$G$35)*ROW(BenchmarkResults!$F$3:$F$35)),{1,3})</f>
        <v>q6_inactive_customers</v>
      </c>
      <c r="B2998">
        <v>3</v>
      </c>
      <c r="C2998" s="13">
        <v>1</v>
      </c>
      <c r="D2998" s="13">
        <v>0</v>
      </c>
      <c r="E2998" s="13">
        <v>194304</v>
      </c>
      <c r="F2998" s="13">
        <v>429472</v>
      </c>
      <c r="G2998" s="13">
        <v>9056</v>
      </c>
      <c r="H2998" s="13">
        <v>1973144</v>
      </c>
      <c r="I2998" s="13">
        <v>0</v>
      </c>
      <c r="J2998" s="13">
        <v>0</v>
      </c>
      <c r="K2998" s="13">
        <v>2068</v>
      </c>
      <c r="L2998" s="13">
        <v>9</v>
      </c>
      <c r="M2998" s="13">
        <v>714</v>
      </c>
      <c r="N2998" s="13">
        <v>206</v>
      </c>
      <c r="O2998" s="13">
        <v>33</v>
      </c>
      <c r="P2998" s="13">
        <v>1</v>
      </c>
      <c r="Q2998" s="13">
        <v>65</v>
      </c>
      <c r="R2998" s="13">
        <v>0</v>
      </c>
      <c r="S2998" s="13">
        <v>0</v>
      </c>
      <c r="T2998" s="23">
        <v>46247.801712962966</v>
      </c>
      <c r="U2998" s="55">
        <f t="shared" si="138"/>
        <v>1</v>
      </c>
      <c r="V2998" s="55">
        <f t="shared" si="139"/>
        <v>0</v>
      </c>
      <c r="W2998" s="56">
        <f t="shared" si="140"/>
        <v>2196.5</v>
      </c>
    </row>
    <row r="2999" spans="1:23" x14ac:dyDescent="0.3">
      <c r="A2999" s="13" t="str" cm="1">
        <f t="array" ref="A2999:B2999">INDEX(BenchmarkResults!$B$1:$D$35,SUMPRODUCT((T2999&gt;=BenchmarkResults!$F$3:$F$35)*(mongodb_hardware_log!T2999&lt;BenchmarkResults!$G$3:$G$35)*ROW(BenchmarkResults!$F$3:$F$35)),{1,3})</f>
        <v>q6_inactive_customers</v>
      </c>
      <c r="B2999">
        <v>3</v>
      </c>
      <c r="C2999" s="13">
        <v>1</v>
      </c>
      <c r="D2999" s="13">
        <v>0</v>
      </c>
      <c r="E2999" s="13">
        <v>194304</v>
      </c>
      <c r="F2999" s="13">
        <v>413344</v>
      </c>
      <c r="G2999" s="13">
        <v>9064</v>
      </c>
      <c r="H2999" s="13">
        <v>1989164</v>
      </c>
      <c r="I2999" s="13">
        <v>0</v>
      </c>
      <c r="J2999" s="13">
        <v>0</v>
      </c>
      <c r="K2999" s="13">
        <v>2041</v>
      </c>
      <c r="L2999" s="13">
        <v>28</v>
      </c>
      <c r="M2999" s="13">
        <v>722</v>
      </c>
      <c r="N2999" s="13">
        <v>219</v>
      </c>
      <c r="O2999" s="13">
        <v>33</v>
      </c>
      <c r="P2999" s="13">
        <v>1</v>
      </c>
      <c r="Q2999" s="13">
        <v>65</v>
      </c>
      <c r="R2999" s="13">
        <v>0</v>
      </c>
      <c r="S2999" s="13">
        <v>0</v>
      </c>
      <c r="T2999" s="23">
        <v>46247.801805555559</v>
      </c>
      <c r="U2999" s="55">
        <f t="shared" si="138"/>
        <v>1</v>
      </c>
      <c r="V2999" s="55">
        <f t="shared" si="139"/>
        <v>0</v>
      </c>
      <c r="W2999" s="56">
        <f t="shared" si="140"/>
        <v>2001</v>
      </c>
    </row>
    <row r="3000" spans="1:23" x14ac:dyDescent="0.3">
      <c r="A3000" s="13" t="str" cm="1">
        <f t="array" ref="A3000:B3000">INDEX(BenchmarkResults!$B$1:$D$35,SUMPRODUCT((T3000&gt;=BenchmarkResults!$F$3:$F$35)*(mongodb_hardware_log!T3000&lt;BenchmarkResults!$G$3:$G$35)*ROW(BenchmarkResults!$F$3:$F$35)),{1,3})</f>
        <v>q6_inactive_customers</v>
      </c>
      <c r="B3000">
        <v>3</v>
      </c>
      <c r="C3000" s="13">
        <v>1</v>
      </c>
      <c r="D3000" s="13">
        <v>0</v>
      </c>
      <c r="E3000" s="13">
        <v>194304</v>
      </c>
      <c r="F3000" s="13">
        <v>413344</v>
      </c>
      <c r="G3000" s="13">
        <v>9064</v>
      </c>
      <c r="H3000" s="13">
        <v>1992804</v>
      </c>
      <c r="I3000" s="13">
        <v>0</v>
      </c>
      <c r="J3000" s="13">
        <v>0</v>
      </c>
      <c r="K3000" s="13">
        <v>1964</v>
      </c>
      <c r="L3000" s="13">
        <v>23</v>
      </c>
      <c r="M3000" s="13">
        <v>725</v>
      </c>
      <c r="N3000" s="13">
        <v>223</v>
      </c>
      <c r="O3000" s="13">
        <v>33</v>
      </c>
      <c r="P3000" s="13">
        <v>1</v>
      </c>
      <c r="Q3000" s="13">
        <v>65</v>
      </c>
      <c r="R3000" s="13">
        <v>0</v>
      </c>
      <c r="S3000" s="13">
        <v>0</v>
      </c>
      <c r="T3000" s="23">
        <v>46247.801828703705</v>
      </c>
      <c r="U3000" s="55">
        <f t="shared" si="138"/>
        <v>1</v>
      </c>
      <c r="V3000" s="55">
        <f t="shared" si="139"/>
        <v>0</v>
      </c>
      <c r="W3000" s="56">
        <f t="shared" si="140"/>
        <v>1826.5</v>
      </c>
    </row>
    <row r="3001" spans="1:23" x14ac:dyDescent="0.3">
      <c r="A3001" s="13" t="str" cm="1">
        <f t="array" ref="A3001:B3001">INDEX(BenchmarkResults!$B$1:$D$35,SUMPRODUCT((T3001&gt;=BenchmarkResults!$F$3:$F$35)*(mongodb_hardware_log!T3001&lt;BenchmarkResults!$G$3:$G$35)*ROW(BenchmarkResults!$F$3:$F$35)),{1,3})</f>
        <v>q6_inactive_customers</v>
      </c>
      <c r="B3001">
        <v>3</v>
      </c>
      <c r="C3001" s="13">
        <v>1</v>
      </c>
      <c r="D3001" s="13">
        <v>0</v>
      </c>
      <c r="E3001" s="13">
        <v>194304</v>
      </c>
      <c r="F3001" s="13">
        <v>396968</v>
      </c>
      <c r="G3001" s="13">
        <v>9072</v>
      </c>
      <c r="H3001" s="13">
        <v>2010492</v>
      </c>
      <c r="I3001" s="13">
        <v>0</v>
      </c>
      <c r="J3001" s="13">
        <v>0</v>
      </c>
      <c r="K3001" s="13">
        <v>2130</v>
      </c>
      <c r="L3001" s="13">
        <v>1199</v>
      </c>
      <c r="M3001" s="13">
        <v>728</v>
      </c>
      <c r="N3001" s="13">
        <v>218</v>
      </c>
      <c r="O3001" s="13">
        <v>33</v>
      </c>
      <c r="P3001" s="13">
        <v>1</v>
      </c>
      <c r="Q3001" s="13">
        <v>64</v>
      </c>
      <c r="R3001" s="13">
        <v>1</v>
      </c>
      <c r="S3001" s="13">
        <v>0</v>
      </c>
      <c r="T3001" s="23">
        <v>46247.801921296297</v>
      </c>
      <c r="U3001" s="55">
        <f t="shared" si="138"/>
        <v>1</v>
      </c>
      <c r="V3001" s="55">
        <f t="shared" si="139"/>
        <v>0</v>
      </c>
      <c r="W3001" s="56">
        <f t="shared" si="140"/>
        <v>1926.1666666666667</v>
      </c>
    </row>
    <row r="3002" spans="1:23" x14ac:dyDescent="0.3">
      <c r="A3002" s="13" t="str" cm="1">
        <f t="array" ref="A3002:B3002">INDEX(BenchmarkResults!$B$1:$D$35,SUMPRODUCT((T3002&gt;=BenchmarkResults!$F$3:$F$35)*(mongodb_hardware_log!T3002&lt;BenchmarkResults!$G$3:$G$35)*ROW(BenchmarkResults!$F$3:$F$35)),{1,3})</f>
        <v>q6_inactive_customers</v>
      </c>
      <c r="B3002">
        <v>3</v>
      </c>
      <c r="C3002" s="13">
        <v>1</v>
      </c>
      <c r="D3002" s="13">
        <v>0</v>
      </c>
      <c r="E3002" s="13">
        <v>194304</v>
      </c>
      <c r="F3002" s="13">
        <v>393944</v>
      </c>
      <c r="G3002" s="13">
        <v>9080</v>
      </c>
      <c r="H3002" s="13">
        <v>2013432</v>
      </c>
      <c r="I3002" s="13">
        <v>0</v>
      </c>
      <c r="J3002" s="13">
        <v>0</v>
      </c>
      <c r="K3002" s="13">
        <v>2069</v>
      </c>
      <c r="L3002" s="13">
        <v>1206</v>
      </c>
      <c r="M3002" s="13">
        <v>725</v>
      </c>
      <c r="N3002" s="13">
        <v>216</v>
      </c>
      <c r="O3002" s="13">
        <v>33</v>
      </c>
      <c r="P3002" s="13">
        <v>1</v>
      </c>
      <c r="Q3002" s="13">
        <v>64</v>
      </c>
      <c r="R3002" s="13">
        <v>1</v>
      </c>
      <c r="S3002" s="13">
        <v>0</v>
      </c>
      <c r="T3002" s="23">
        <v>46247.801944444444</v>
      </c>
      <c r="U3002" s="55">
        <f t="shared" si="138"/>
        <v>1</v>
      </c>
      <c r="V3002" s="55">
        <f t="shared" si="139"/>
        <v>0</v>
      </c>
      <c r="W3002" s="56">
        <f t="shared" si="140"/>
        <v>2033.6666666666667</v>
      </c>
    </row>
    <row r="3003" spans="1:23" x14ac:dyDescent="0.3">
      <c r="A3003" s="13" t="str" cm="1">
        <f t="array" ref="A3003:B3003">INDEX(BenchmarkResults!$B$1:$D$35,SUMPRODUCT((T3003&gt;=BenchmarkResults!$F$3:$F$35)*(mongodb_hardware_log!T3003&lt;BenchmarkResults!$G$3:$G$35)*ROW(BenchmarkResults!$F$3:$F$35)),{1,3})</f>
        <v>q6_inactive_customers</v>
      </c>
      <c r="B3003">
        <v>3</v>
      </c>
      <c r="C3003" s="13">
        <v>1</v>
      </c>
      <c r="D3003" s="13">
        <v>0</v>
      </c>
      <c r="E3003" s="13">
        <v>194304</v>
      </c>
      <c r="F3003" s="13">
        <v>373784</v>
      </c>
      <c r="G3003" s="13">
        <v>9088</v>
      </c>
      <c r="H3003" s="13">
        <v>2030892</v>
      </c>
      <c r="I3003" s="13">
        <v>0</v>
      </c>
      <c r="J3003" s="13">
        <v>0</v>
      </c>
      <c r="K3003" s="13">
        <v>2046</v>
      </c>
      <c r="L3003" s="13">
        <v>31</v>
      </c>
      <c r="M3003" s="13">
        <v>722</v>
      </c>
      <c r="N3003" s="13">
        <v>215</v>
      </c>
      <c r="O3003" s="13">
        <v>34</v>
      </c>
      <c r="P3003" s="13">
        <v>1</v>
      </c>
      <c r="Q3003" s="13">
        <v>65</v>
      </c>
      <c r="R3003" s="13">
        <v>0</v>
      </c>
      <c r="S3003" s="13">
        <v>0</v>
      </c>
      <c r="T3003" s="23">
        <v>46247.802037037036</v>
      </c>
      <c r="U3003" s="55">
        <f t="shared" si="138"/>
        <v>1</v>
      </c>
      <c r="V3003" s="55">
        <f t="shared" si="139"/>
        <v>0</v>
      </c>
      <c r="W3003" s="56">
        <f t="shared" si="140"/>
        <v>2053</v>
      </c>
    </row>
    <row r="3004" spans="1:23" x14ac:dyDescent="0.3">
      <c r="A3004" s="13" t="str" cm="1">
        <f t="array" ref="A3004:B3004">INDEX(BenchmarkResults!$B$1:$D$35,SUMPRODUCT((T3004&gt;=BenchmarkResults!$F$3:$F$35)*(mongodb_hardware_log!T3004&lt;BenchmarkResults!$G$3:$G$35)*ROW(BenchmarkResults!$F$3:$F$35)),{1,3})</f>
        <v>q6_inactive_customers</v>
      </c>
      <c r="B3004">
        <v>3</v>
      </c>
      <c r="C3004" s="13">
        <v>1</v>
      </c>
      <c r="D3004" s="13">
        <v>0</v>
      </c>
      <c r="E3004" s="13">
        <v>194304</v>
      </c>
      <c r="F3004" s="13">
        <v>365720</v>
      </c>
      <c r="G3004" s="13">
        <v>9088</v>
      </c>
      <c r="H3004" s="13">
        <v>2035096</v>
      </c>
      <c r="I3004" s="13">
        <v>0</v>
      </c>
      <c r="J3004" s="13">
        <v>0</v>
      </c>
      <c r="K3004" s="13">
        <v>2166</v>
      </c>
      <c r="L3004" s="13">
        <v>23</v>
      </c>
      <c r="M3004" s="13">
        <v>723</v>
      </c>
      <c r="N3004" s="13">
        <v>215</v>
      </c>
      <c r="O3004" s="13">
        <v>33</v>
      </c>
      <c r="P3004" s="13">
        <v>1</v>
      </c>
      <c r="Q3004" s="13">
        <v>65</v>
      </c>
      <c r="R3004" s="13">
        <v>1</v>
      </c>
      <c r="S3004" s="13">
        <v>0</v>
      </c>
      <c r="T3004" s="23">
        <v>46247.802060185182</v>
      </c>
      <c r="U3004" s="55">
        <f t="shared" si="138"/>
        <v>1</v>
      </c>
      <c r="V3004" s="55">
        <f t="shared" si="139"/>
        <v>0</v>
      </c>
      <c r="W3004" s="56">
        <f t="shared" si="140"/>
        <v>2069.3333333333335</v>
      </c>
    </row>
    <row r="3005" spans="1:23" x14ac:dyDescent="0.3">
      <c r="A3005" s="13" t="str" cm="1">
        <f t="array" ref="A3005:B3005">INDEX(BenchmarkResults!$B$1:$D$35,SUMPRODUCT((T3005&gt;=BenchmarkResults!$F$3:$F$35)*(mongodb_hardware_log!T3005&lt;BenchmarkResults!$G$3:$G$35)*ROW(BenchmarkResults!$F$3:$F$35)),{1,3})</f>
        <v>q6_inactive_customers</v>
      </c>
      <c r="B3005">
        <v>3</v>
      </c>
      <c r="C3005" s="13">
        <v>2</v>
      </c>
      <c r="D3005" s="13">
        <v>0</v>
      </c>
      <c r="E3005" s="13">
        <v>194304</v>
      </c>
      <c r="F3005" s="13">
        <v>334120</v>
      </c>
      <c r="G3005" s="13">
        <v>9096</v>
      </c>
      <c r="H3005" s="13">
        <v>2059152</v>
      </c>
      <c r="I3005" s="13">
        <v>0</v>
      </c>
      <c r="J3005" s="13">
        <v>0</v>
      </c>
      <c r="K3005" s="13">
        <v>1223</v>
      </c>
      <c r="L3005" s="13">
        <v>4</v>
      </c>
      <c r="M3005" s="13">
        <v>692</v>
      </c>
      <c r="N3005" s="13">
        <v>173</v>
      </c>
      <c r="O3005" s="13">
        <v>34</v>
      </c>
      <c r="P3005" s="13">
        <v>1</v>
      </c>
      <c r="Q3005" s="13">
        <v>65</v>
      </c>
      <c r="R3005" s="13">
        <v>0</v>
      </c>
      <c r="S3005" s="13">
        <v>0</v>
      </c>
      <c r="T3005" s="23">
        <v>46247.802152777775</v>
      </c>
      <c r="U3005" s="55">
        <f t="shared" si="138"/>
        <v>1.1666666666666667</v>
      </c>
      <c r="V3005" s="55">
        <f t="shared" si="139"/>
        <v>0</v>
      </c>
      <c r="W3005" s="56">
        <f t="shared" si="140"/>
        <v>1933</v>
      </c>
    </row>
    <row r="3006" spans="1:23" x14ac:dyDescent="0.3">
      <c r="A3006" s="13" t="str" cm="1">
        <f t="array" ref="A3006:B3006">INDEX(BenchmarkResults!$B$1:$D$35,SUMPRODUCT((T3006&gt;=BenchmarkResults!$F$3:$F$35)*(mongodb_hardware_log!T3006&lt;BenchmarkResults!$G$3:$G$35)*ROW(BenchmarkResults!$F$3:$F$35)),{1,3})</f>
        <v>q6_inactive_customers</v>
      </c>
      <c r="B3006">
        <v>3</v>
      </c>
      <c r="C3006" s="13">
        <v>4</v>
      </c>
      <c r="D3006" s="13">
        <v>0</v>
      </c>
      <c r="E3006" s="13">
        <v>194304</v>
      </c>
      <c r="F3006" s="13">
        <v>326056</v>
      </c>
      <c r="G3006" s="13">
        <v>9096</v>
      </c>
      <c r="H3006" s="13">
        <v>2061912</v>
      </c>
      <c r="I3006" s="13">
        <v>0</v>
      </c>
      <c r="J3006" s="13">
        <v>0</v>
      </c>
      <c r="K3006" s="13">
        <v>1084</v>
      </c>
      <c r="L3006" s="13">
        <v>4</v>
      </c>
      <c r="M3006" s="13">
        <v>688</v>
      </c>
      <c r="N3006" s="13">
        <v>169</v>
      </c>
      <c r="O3006" s="13">
        <v>34</v>
      </c>
      <c r="P3006" s="13">
        <v>1</v>
      </c>
      <c r="Q3006" s="13">
        <v>65</v>
      </c>
      <c r="R3006" s="13">
        <v>0</v>
      </c>
      <c r="S3006" s="13">
        <v>1</v>
      </c>
      <c r="T3006" s="23">
        <v>46247.802175925928</v>
      </c>
      <c r="U3006" s="55">
        <f t="shared" si="138"/>
        <v>1.6666666666666667</v>
      </c>
      <c r="V3006" s="55">
        <f t="shared" si="139"/>
        <v>0</v>
      </c>
      <c r="W3006" s="56">
        <f t="shared" si="140"/>
        <v>1786.3333333333333</v>
      </c>
    </row>
    <row r="3007" spans="1:23" x14ac:dyDescent="0.3">
      <c r="A3007" s="13" t="str" cm="1">
        <f t="array" ref="A3007:B3007">INDEX(BenchmarkResults!$B$1:$D$35,SUMPRODUCT((T3007&gt;=BenchmarkResults!$F$3:$F$35)*(mongodb_hardware_log!T3007&lt;BenchmarkResults!$G$3:$G$35)*ROW(BenchmarkResults!$F$3:$F$35)),{1,3})</f>
        <v>q6_inactive_customers</v>
      </c>
      <c r="B3007">
        <v>3</v>
      </c>
      <c r="C3007" s="13">
        <v>1</v>
      </c>
      <c r="D3007" s="13">
        <v>0</v>
      </c>
      <c r="E3007" s="13">
        <v>194304</v>
      </c>
      <c r="F3007" s="13">
        <v>309172</v>
      </c>
      <c r="G3007" s="13">
        <v>9128</v>
      </c>
      <c r="H3007" s="13">
        <v>2078272</v>
      </c>
      <c r="I3007" s="13">
        <v>0</v>
      </c>
      <c r="J3007" s="13">
        <v>0</v>
      </c>
      <c r="K3007" s="13">
        <v>1910</v>
      </c>
      <c r="L3007" s="13">
        <v>35</v>
      </c>
      <c r="M3007" s="13">
        <v>728</v>
      </c>
      <c r="N3007" s="13">
        <v>220</v>
      </c>
      <c r="O3007" s="13">
        <v>34</v>
      </c>
      <c r="P3007" s="13">
        <v>1</v>
      </c>
      <c r="Q3007" s="13">
        <v>65</v>
      </c>
      <c r="R3007" s="13">
        <v>1</v>
      </c>
      <c r="S3007" s="13">
        <v>0</v>
      </c>
      <c r="T3007" s="23">
        <v>46247.802268518521</v>
      </c>
      <c r="U3007" s="55">
        <f t="shared" si="138"/>
        <v>1.6666666666666667</v>
      </c>
      <c r="V3007" s="55">
        <f t="shared" si="139"/>
        <v>0</v>
      </c>
      <c r="W3007" s="56">
        <f t="shared" si="140"/>
        <v>1749.6666666666667</v>
      </c>
    </row>
    <row r="3008" spans="1:23" x14ac:dyDescent="0.3">
      <c r="A3008" s="13" t="str" cm="1">
        <f t="array" ref="A3008:B3008">INDEX(BenchmarkResults!$B$1:$D$35,SUMPRODUCT((T3008&gt;=BenchmarkResults!$F$3:$F$35)*(mongodb_hardware_log!T3008&lt;BenchmarkResults!$G$3:$G$35)*ROW(BenchmarkResults!$F$3:$F$35)),{1,3})</f>
        <v>q6_inactive_customers</v>
      </c>
      <c r="B3008">
        <v>3</v>
      </c>
      <c r="C3008" s="13">
        <v>1</v>
      </c>
      <c r="D3008" s="13">
        <v>0</v>
      </c>
      <c r="E3008" s="13">
        <v>194304</v>
      </c>
      <c r="F3008" s="13">
        <v>301360</v>
      </c>
      <c r="G3008" s="13">
        <v>9128</v>
      </c>
      <c r="H3008" s="13">
        <v>2083236</v>
      </c>
      <c r="I3008" s="13">
        <v>0</v>
      </c>
      <c r="J3008" s="13">
        <v>0</v>
      </c>
      <c r="K3008" s="13">
        <v>2132</v>
      </c>
      <c r="L3008" s="13">
        <v>35</v>
      </c>
      <c r="M3008" s="13">
        <v>741</v>
      </c>
      <c r="N3008" s="13">
        <v>228</v>
      </c>
      <c r="O3008" s="13">
        <v>34</v>
      </c>
      <c r="P3008" s="13">
        <v>1</v>
      </c>
      <c r="Q3008" s="13">
        <v>65</v>
      </c>
      <c r="R3008" s="13">
        <v>1</v>
      </c>
      <c r="S3008" s="13">
        <v>0</v>
      </c>
      <c r="T3008" s="23">
        <v>46247.802291666667</v>
      </c>
      <c r="U3008" s="55">
        <f t="shared" si="138"/>
        <v>1.6666666666666667</v>
      </c>
      <c r="V3008" s="55">
        <f t="shared" si="139"/>
        <v>0</v>
      </c>
      <c r="W3008" s="56">
        <f t="shared" si="140"/>
        <v>1760.1666666666667</v>
      </c>
    </row>
    <row r="3009" spans="1:23" x14ac:dyDescent="0.3">
      <c r="A3009" s="13" t="str" cm="1">
        <f t="array" ref="A3009:B3009">INDEX(BenchmarkResults!$B$1:$D$35,SUMPRODUCT((T3009&gt;=BenchmarkResults!$F$3:$F$35)*(mongodb_hardware_log!T3009&lt;BenchmarkResults!$G$3:$G$35)*ROW(BenchmarkResults!$F$3:$F$35)),{1,3})</f>
        <v>q6_inactive_customers</v>
      </c>
      <c r="B3009">
        <v>3</v>
      </c>
      <c r="C3009" s="13">
        <v>1</v>
      </c>
      <c r="D3009" s="13">
        <v>0</v>
      </c>
      <c r="E3009" s="13">
        <v>194304</v>
      </c>
      <c r="F3009" s="13">
        <v>292288</v>
      </c>
      <c r="G3009" s="13">
        <v>9136</v>
      </c>
      <c r="H3009" s="13">
        <v>2096180</v>
      </c>
      <c r="I3009" s="13">
        <v>1</v>
      </c>
      <c r="J3009" s="13">
        <v>0</v>
      </c>
      <c r="K3009" s="13">
        <v>1794</v>
      </c>
      <c r="L3009" s="13">
        <v>5</v>
      </c>
      <c r="M3009" s="13">
        <v>727</v>
      </c>
      <c r="N3009" s="13">
        <v>212</v>
      </c>
      <c r="O3009" s="13">
        <v>33</v>
      </c>
      <c r="P3009" s="13">
        <v>1</v>
      </c>
      <c r="Q3009" s="13">
        <v>65</v>
      </c>
      <c r="R3009" s="13">
        <v>0</v>
      </c>
      <c r="S3009" s="13">
        <v>0</v>
      </c>
      <c r="T3009" s="23">
        <v>46247.802384259259</v>
      </c>
      <c r="U3009" s="55">
        <f t="shared" si="138"/>
        <v>1.6666666666666667</v>
      </c>
      <c r="V3009" s="55">
        <f t="shared" si="139"/>
        <v>0</v>
      </c>
      <c r="W3009" s="56">
        <f t="shared" si="140"/>
        <v>1718.1666666666667</v>
      </c>
    </row>
    <row r="3010" spans="1:23" x14ac:dyDescent="0.3">
      <c r="A3010" s="13" t="str" cm="1">
        <f t="array" ref="A3010:B3010">INDEX(BenchmarkResults!$B$1:$D$35,SUMPRODUCT((T3010&gt;=BenchmarkResults!$F$3:$F$35)*(mongodb_hardware_log!T3010&lt;BenchmarkResults!$G$3:$G$35)*ROW(BenchmarkResults!$F$3:$F$35)),{1,3})</f>
        <v>q6_inactive_customers</v>
      </c>
      <c r="B3010">
        <v>3</v>
      </c>
      <c r="C3010" s="13">
        <v>1</v>
      </c>
      <c r="D3010" s="13">
        <v>0</v>
      </c>
      <c r="E3010" s="13">
        <v>194304</v>
      </c>
      <c r="F3010" s="13">
        <v>288508</v>
      </c>
      <c r="G3010" s="13">
        <v>9136</v>
      </c>
      <c r="H3010" s="13">
        <v>2100076</v>
      </c>
      <c r="I3010" s="13">
        <v>1</v>
      </c>
      <c r="J3010" s="13">
        <v>0</v>
      </c>
      <c r="K3010" s="13">
        <v>1684</v>
      </c>
      <c r="L3010" s="13">
        <v>5</v>
      </c>
      <c r="M3010" s="13">
        <v>717</v>
      </c>
      <c r="N3010" s="13">
        <v>210</v>
      </c>
      <c r="O3010" s="13">
        <v>33</v>
      </c>
      <c r="P3010" s="13">
        <v>1</v>
      </c>
      <c r="Q3010" s="13">
        <v>65</v>
      </c>
      <c r="R3010" s="13">
        <v>0</v>
      </c>
      <c r="S3010" s="13">
        <v>0</v>
      </c>
      <c r="T3010" s="23">
        <v>46247.802407407406</v>
      </c>
      <c r="U3010" s="55">
        <f t="shared" si="138"/>
        <v>1.6666666666666667</v>
      </c>
      <c r="V3010" s="55">
        <f t="shared" si="139"/>
        <v>0</v>
      </c>
      <c r="W3010" s="56">
        <f t="shared" si="140"/>
        <v>1637.8333333333333</v>
      </c>
    </row>
    <row r="3011" spans="1:23" x14ac:dyDescent="0.3">
      <c r="A3011" s="13" t="str" cm="1">
        <f t="array" ref="A3011:B3011">INDEX(BenchmarkResults!$B$1:$D$35,SUMPRODUCT((T3011&gt;=BenchmarkResults!$F$3:$F$35)*(mongodb_hardware_log!T3011&lt;BenchmarkResults!$G$3:$G$35)*ROW(BenchmarkResults!$F$3:$F$35)),{1,3})</f>
        <v>q6_inactive_customers</v>
      </c>
      <c r="B3011">
        <v>3</v>
      </c>
      <c r="C3011" s="13">
        <v>1</v>
      </c>
      <c r="D3011" s="13">
        <v>0</v>
      </c>
      <c r="E3011" s="13">
        <v>193280</v>
      </c>
      <c r="F3011" s="13">
        <v>268852</v>
      </c>
      <c r="G3011" s="13">
        <v>9144</v>
      </c>
      <c r="H3011" s="13">
        <v>2117656</v>
      </c>
      <c r="I3011" s="13">
        <v>134</v>
      </c>
      <c r="J3011" s="13">
        <v>0</v>
      </c>
      <c r="K3011" s="13">
        <v>2292</v>
      </c>
      <c r="L3011" s="13">
        <v>9</v>
      </c>
      <c r="M3011" s="13">
        <v>738</v>
      </c>
      <c r="N3011" s="13">
        <v>225</v>
      </c>
      <c r="O3011" s="13">
        <v>33</v>
      </c>
      <c r="P3011" s="13">
        <v>1</v>
      </c>
      <c r="Q3011" s="13">
        <v>65</v>
      </c>
      <c r="R3011" s="13">
        <v>1</v>
      </c>
      <c r="S3011" s="13">
        <v>0</v>
      </c>
      <c r="T3011" s="23">
        <v>46247.802499999998</v>
      </c>
      <c r="U3011" s="55">
        <f t="shared" si="138"/>
        <v>1.5</v>
      </c>
      <c r="V3011" s="55">
        <f t="shared" si="139"/>
        <v>0</v>
      </c>
      <c r="W3011" s="56">
        <f t="shared" si="140"/>
        <v>1816</v>
      </c>
    </row>
    <row r="3012" spans="1:23" x14ac:dyDescent="0.3">
      <c r="A3012" s="13" t="str" cm="1">
        <f t="array" ref="A3012:B3012">INDEX(BenchmarkResults!$B$1:$D$35,SUMPRODUCT((T3012&gt;=BenchmarkResults!$F$3:$F$35)*(mongodb_hardware_log!T3012&lt;BenchmarkResults!$G$3:$G$35)*ROW(BenchmarkResults!$F$3:$F$35)),{1,3})</f>
        <v>q6_inactive_customers</v>
      </c>
      <c r="B3012">
        <v>3</v>
      </c>
      <c r="C3012" s="13">
        <v>1</v>
      </c>
      <c r="D3012" s="13">
        <v>1</v>
      </c>
      <c r="E3012" s="13">
        <v>193280</v>
      </c>
      <c r="F3012" s="13">
        <v>264820</v>
      </c>
      <c r="G3012" s="13">
        <v>9152</v>
      </c>
      <c r="H3012" s="13">
        <v>2121076</v>
      </c>
      <c r="I3012" s="13">
        <v>134</v>
      </c>
      <c r="J3012" s="13">
        <v>0</v>
      </c>
      <c r="K3012" s="13">
        <v>2242</v>
      </c>
      <c r="L3012" s="13">
        <v>834</v>
      </c>
      <c r="M3012" s="13">
        <v>741</v>
      </c>
      <c r="N3012" s="13">
        <v>224</v>
      </c>
      <c r="O3012" s="13">
        <v>33</v>
      </c>
      <c r="P3012" s="13">
        <v>1</v>
      </c>
      <c r="Q3012" s="13">
        <v>64</v>
      </c>
      <c r="R3012" s="13">
        <v>1</v>
      </c>
      <c r="S3012" s="13">
        <v>0</v>
      </c>
      <c r="T3012" s="23">
        <v>46247.802523148152</v>
      </c>
      <c r="U3012" s="55">
        <f t="shared" si="138"/>
        <v>1</v>
      </c>
      <c r="V3012" s="55">
        <f t="shared" si="139"/>
        <v>0.16666666666666666</v>
      </c>
      <c r="W3012" s="56">
        <f t="shared" si="140"/>
        <v>2009</v>
      </c>
    </row>
    <row r="3013" spans="1:23" x14ac:dyDescent="0.3">
      <c r="A3013" s="13" t="str" cm="1">
        <f t="array" ref="A3013:B3013">INDEX(BenchmarkResults!$B$1:$D$35,SUMPRODUCT((T3013&gt;=BenchmarkResults!$F$3:$F$35)*(mongodb_hardware_log!T3013&lt;BenchmarkResults!$G$3:$G$35)*ROW(BenchmarkResults!$F$3:$F$35)),{1,3})</f>
        <v>q6_inactive_customers</v>
      </c>
      <c r="B3013">
        <v>3</v>
      </c>
      <c r="C3013" s="13">
        <v>1</v>
      </c>
      <c r="D3013" s="13">
        <v>0</v>
      </c>
      <c r="E3013" s="13">
        <v>193280</v>
      </c>
      <c r="F3013" s="13">
        <v>248692</v>
      </c>
      <c r="G3013" s="13">
        <v>9160</v>
      </c>
      <c r="H3013" s="13">
        <v>2136332</v>
      </c>
      <c r="I3013" s="13">
        <v>0</v>
      </c>
      <c r="J3013" s="13">
        <v>0</v>
      </c>
      <c r="K3013" s="13">
        <v>1866</v>
      </c>
      <c r="L3013" s="13">
        <v>1577</v>
      </c>
      <c r="M3013" s="13">
        <v>727</v>
      </c>
      <c r="N3013" s="13">
        <v>216</v>
      </c>
      <c r="O3013" s="13">
        <v>33</v>
      </c>
      <c r="P3013" s="13">
        <v>1</v>
      </c>
      <c r="Q3013" s="13">
        <v>63</v>
      </c>
      <c r="R3013" s="13">
        <v>2</v>
      </c>
      <c r="S3013" s="13">
        <v>0</v>
      </c>
      <c r="T3013" s="23">
        <v>46247.802615740744</v>
      </c>
      <c r="U3013" s="55">
        <f t="shared" si="138"/>
        <v>1</v>
      </c>
      <c r="V3013" s="55">
        <f t="shared" si="139"/>
        <v>0.16666666666666666</v>
      </c>
      <c r="W3013" s="56">
        <f t="shared" si="140"/>
        <v>2001.6666666666667</v>
      </c>
    </row>
    <row r="3014" spans="1:23" x14ac:dyDescent="0.3">
      <c r="A3014" s="13" t="str" cm="1">
        <f t="array" ref="A3014:B3014">INDEX(BenchmarkResults!$B$1:$D$35,SUMPRODUCT((T3014&gt;=BenchmarkResults!$F$3:$F$35)*(mongodb_hardware_log!T3014&lt;BenchmarkResults!$G$3:$G$35)*ROW(BenchmarkResults!$F$3:$F$35)),{1,3})</f>
        <v>q6_inactive_customers</v>
      </c>
      <c r="B3014">
        <v>3</v>
      </c>
      <c r="C3014" s="13">
        <v>1</v>
      </c>
      <c r="D3014" s="13">
        <v>0</v>
      </c>
      <c r="E3014" s="13">
        <v>193280</v>
      </c>
      <c r="F3014" s="13">
        <v>240628</v>
      </c>
      <c r="G3014" s="13">
        <v>9160</v>
      </c>
      <c r="H3014" s="13">
        <v>2140008</v>
      </c>
      <c r="I3014" s="13">
        <v>0</v>
      </c>
      <c r="J3014" s="13">
        <v>0</v>
      </c>
      <c r="K3014" s="13">
        <v>1883</v>
      </c>
      <c r="L3014" s="13">
        <v>754</v>
      </c>
      <c r="M3014" s="13">
        <v>736</v>
      </c>
      <c r="N3014" s="13">
        <v>221</v>
      </c>
      <c r="O3014" s="13">
        <v>33</v>
      </c>
      <c r="P3014" s="13">
        <v>1</v>
      </c>
      <c r="Q3014" s="13">
        <v>64</v>
      </c>
      <c r="R3014" s="13">
        <v>1</v>
      </c>
      <c r="S3014" s="13">
        <v>0</v>
      </c>
      <c r="T3014" s="23">
        <v>46247.80263888889</v>
      </c>
      <c r="U3014" s="55">
        <f t="shared" si="138"/>
        <v>1</v>
      </c>
      <c r="V3014" s="55">
        <f t="shared" si="139"/>
        <v>0.16666666666666666</v>
      </c>
      <c r="W3014" s="56">
        <f t="shared" si="140"/>
        <v>1960.1666666666667</v>
      </c>
    </row>
    <row r="3015" spans="1:23" x14ac:dyDescent="0.3">
      <c r="A3015" s="13" t="str" cm="1">
        <f t="array" ref="A3015:B3015">INDEX(BenchmarkResults!$B$1:$D$35,SUMPRODUCT((T3015&gt;=BenchmarkResults!$F$3:$F$35)*(mongodb_hardware_log!T3015&lt;BenchmarkResults!$G$3:$G$35)*ROW(BenchmarkResults!$F$3:$F$35)),{1,3})</f>
        <v>q6_inactive_customers</v>
      </c>
      <c r="B3015">
        <v>3</v>
      </c>
      <c r="C3015" s="13">
        <v>1</v>
      </c>
      <c r="D3015" s="13">
        <v>0</v>
      </c>
      <c r="E3015" s="13">
        <v>183552</v>
      </c>
      <c r="F3015" s="13">
        <v>221224</v>
      </c>
      <c r="G3015" s="13">
        <v>9168</v>
      </c>
      <c r="H3015" s="13">
        <v>2154928</v>
      </c>
      <c r="I3015" s="13">
        <v>956</v>
      </c>
      <c r="J3015" s="13">
        <v>0</v>
      </c>
      <c r="K3015" s="13">
        <v>2811</v>
      </c>
      <c r="L3015" s="13">
        <v>15</v>
      </c>
      <c r="M3015" s="13">
        <v>865</v>
      </c>
      <c r="N3015" s="13">
        <v>310</v>
      </c>
      <c r="O3015" s="13">
        <v>32</v>
      </c>
      <c r="P3015" s="13">
        <v>1</v>
      </c>
      <c r="Q3015" s="13">
        <v>63</v>
      </c>
      <c r="R3015" s="13">
        <v>3</v>
      </c>
      <c r="S3015" s="13">
        <v>1</v>
      </c>
      <c r="T3015" s="23">
        <v>46247.802731481483</v>
      </c>
      <c r="U3015" s="55">
        <f t="shared" si="138"/>
        <v>1</v>
      </c>
      <c r="V3015" s="55">
        <f t="shared" si="139"/>
        <v>0.16666666666666666</v>
      </c>
      <c r="W3015" s="56">
        <f t="shared" si="140"/>
        <v>2129.6666666666665</v>
      </c>
    </row>
    <row r="3016" spans="1:23" x14ac:dyDescent="0.3">
      <c r="A3016" s="13" t="str" cm="1">
        <f t="array" ref="A3016:B3016">INDEX(BenchmarkResults!$B$1:$D$35,SUMPRODUCT((T3016&gt;=BenchmarkResults!$F$3:$F$35)*(mongodb_hardware_log!T3016&lt;BenchmarkResults!$G$3:$G$35)*ROW(BenchmarkResults!$F$3:$F$35)),{1,3})</f>
        <v>q6_inactive_customers</v>
      </c>
      <c r="B3016">
        <v>3</v>
      </c>
      <c r="C3016" s="13">
        <v>1</v>
      </c>
      <c r="D3016" s="13">
        <v>0</v>
      </c>
      <c r="E3016" s="13">
        <v>183552</v>
      </c>
      <c r="F3016" s="13">
        <v>205096</v>
      </c>
      <c r="G3016" s="13">
        <v>9176</v>
      </c>
      <c r="H3016" s="13">
        <v>2157644</v>
      </c>
      <c r="I3016" s="13">
        <v>956</v>
      </c>
      <c r="J3016" s="13">
        <v>0</v>
      </c>
      <c r="K3016" s="13">
        <v>2510</v>
      </c>
      <c r="L3016" s="13">
        <v>20</v>
      </c>
      <c r="M3016" s="13">
        <v>839</v>
      </c>
      <c r="N3016" s="13">
        <v>292</v>
      </c>
      <c r="O3016" s="13">
        <v>32</v>
      </c>
      <c r="P3016" s="13">
        <v>1</v>
      </c>
      <c r="Q3016" s="13">
        <v>63</v>
      </c>
      <c r="R3016" s="13">
        <v>3</v>
      </c>
      <c r="S3016" s="13">
        <v>1</v>
      </c>
      <c r="T3016" s="23">
        <v>46247.802754629629</v>
      </c>
      <c r="U3016" s="55">
        <f t="shared" si="138"/>
        <v>1</v>
      </c>
      <c r="V3016" s="55">
        <f t="shared" si="139"/>
        <v>0.16666666666666666</v>
      </c>
      <c r="W3016" s="56">
        <f t="shared" si="140"/>
        <v>2267.3333333333335</v>
      </c>
    </row>
    <row r="3017" spans="1:23" x14ac:dyDescent="0.3">
      <c r="A3017" s="13" t="str" cm="1">
        <f t="array" ref="A3017:B3017">INDEX(BenchmarkResults!$B$1:$D$35,SUMPRODUCT((T3017&gt;=BenchmarkResults!$F$3:$F$35)*(mongodb_hardware_log!T3017&lt;BenchmarkResults!$G$3:$G$35)*ROW(BenchmarkResults!$F$3:$F$35)),{1,3})</f>
        <v>q6_inactive_customers</v>
      </c>
      <c r="B3017">
        <v>3</v>
      </c>
      <c r="C3017" s="13">
        <v>1</v>
      </c>
      <c r="D3017" s="13">
        <v>0</v>
      </c>
      <c r="E3017" s="13">
        <v>183552</v>
      </c>
      <c r="F3017" s="13">
        <v>181156</v>
      </c>
      <c r="G3017" s="13">
        <v>9184</v>
      </c>
      <c r="H3017" s="13">
        <v>2183520</v>
      </c>
      <c r="I3017" s="13">
        <v>0</v>
      </c>
      <c r="J3017" s="13">
        <v>0</v>
      </c>
      <c r="K3017" s="13">
        <v>1246</v>
      </c>
      <c r="L3017" s="13">
        <v>15</v>
      </c>
      <c r="M3017" s="13">
        <v>693</v>
      </c>
      <c r="N3017" s="13">
        <v>179</v>
      </c>
      <c r="O3017" s="13">
        <v>33</v>
      </c>
      <c r="P3017" s="13">
        <v>1</v>
      </c>
      <c r="Q3017" s="13">
        <v>64</v>
      </c>
      <c r="R3017" s="13">
        <v>1</v>
      </c>
      <c r="S3017" s="13">
        <v>0</v>
      </c>
      <c r="T3017" s="23">
        <v>46247.802847222221</v>
      </c>
      <c r="U3017" s="55">
        <f t="shared" ref="U3017:U3080" si="141">AVERAGE(C3012:C3017)</f>
        <v>1</v>
      </c>
      <c r="V3017" s="55">
        <f t="shared" ref="V3017:V3080" si="142">AVERAGE(D3012:D3017)</f>
        <v>0.16666666666666666</v>
      </c>
      <c r="W3017" s="56">
        <f t="shared" ref="W3017:W3080" si="143">AVERAGE(K3012:K3017)</f>
        <v>2093</v>
      </c>
    </row>
    <row r="3018" spans="1:23" x14ac:dyDescent="0.3">
      <c r="A3018" s="13" t="str" cm="1">
        <f t="array" ref="A3018:B3018">INDEX(BenchmarkResults!$B$1:$D$35,SUMPRODUCT((T3018&gt;=BenchmarkResults!$F$3:$F$35)*(mongodb_hardware_log!T3018&lt;BenchmarkResults!$G$3:$G$35)*ROW(BenchmarkResults!$F$3:$F$35)),{1,3})</f>
        <v>q6_inactive_customers</v>
      </c>
      <c r="B3018">
        <v>3</v>
      </c>
      <c r="C3018" s="13">
        <v>1</v>
      </c>
      <c r="D3018" s="13">
        <v>0</v>
      </c>
      <c r="E3018" s="13">
        <v>183552</v>
      </c>
      <c r="F3018" s="13">
        <v>181156</v>
      </c>
      <c r="G3018" s="13">
        <v>9184</v>
      </c>
      <c r="H3018" s="13">
        <v>2187040</v>
      </c>
      <c r="I3018" s="13">
        <v>0</v>
      </c>
      <c r="J3018" s="13">
        <v>0</v>
      </c>
      <c r="K3018" s="13">
        <v>1542</v>
      </c>
      <c r="L3018" s="13">
        <v>10</v>
      </c>
      <c r="M3018" s="13">
        <v>704</v>
      </c>
      <c r="N3018" s="13">
        <v>188</v>
      </c>
      <c r="O3018" s="13">
        <v>33</v>
      </c>
      <c r="P3018" s="13">
        <v>1</v>
      </c>
      <c r="Q3018" s="13">
        <v>64</v>
      </c>
      <c r="R3018" s="13">
        <v>1</v>
      </c>
      <c r="S3018" s="13">
        <v>0</v>
      </c>
      <c r="T3018" s="23">
        <v>46247.802870370368</v>
      </c>
      <c r="U3018" s="55">
        <f t="shared" si="141"/>
        <v>1</v>
      </c>
      <c r="V3018" s="55">
        <f t="shared" si="142"/>
        <v>0</v>
      </c>
      <c r="W3018" s="56">
        <f t="shared" si="143"/>
        <v>1976.3333333333333</v>
      </c>
    </row>
    <row r="3019" spans="1:23" x14ac:dyDescent="0.3">
      <c r="A3019" s="13" t="str" cm="1">
        <f t="array" ref="A3019:B3019">INDEX(BenchmarkResults!$B$1:$D$35,SUMPRODUCT((T3019&gt;=BenchmarkResults!$F$3:$F$35)*(mongodb_hardware_log!T3019&lt;BenchmarkResults!$G$3:$G$35)*ROW(BenchmarkResults!$F$3:$F$35)),{1,3})</f>
        <v>q6_inactive_customers</v>
      </c>
      <c r="B3019">
        <v>3</v>
      </c>
      <c r="C3019" s="13">
        <v>1</v>
      </c>
      <c r="D3019" s="13">
        <v>0</v>
      </c>
      <c r="E3019" s="13">
        <v>181504</v>
      </c>
      <c r="F3019" s="13">
        <v>160492</v>
      </c>
      <c r="G3019" s="13">
        <v>9208</v>
      </c>
      <c r="H3019" s="13">
        <v>2202316</v>
      </c>
      <c r="I3019" s="13">
        <v>204</v>
      </c>
      <c r="J3019" s="13">
        <v>0</v>
      </c>
      <c r="K3019" s="13">
        <v>2089</v>
      </c>
      <c r="L3019" s="13">
        <v>22</v>
      </c>
      <c r="M3019" s="13">
        <v>743</v>
      </c>
      <c r="N3019" s="13">
        <v>235</v>
      </c>
      <c r="O3019" s="13">
        <v>34</v>
      </c>
      <c r="P3019" s="13">
        <v>1</v>
      </c>
      <c r="Q3019" s="13">
        <v>65</v>
      </c>
      <c r="R3019" s="13">
        <v>1</v>
      </c>
      <c r="S3019" s="13">
        <v>0</v>
      </c>
      <c r="T3019" s="23">
        <v>46247.80296296296</v>
      </c>
      <c r="U3019" s="55">
        <f t="shared" si="141"/>
        <v>1</v>
      </c>
      <c r="V3019" s="55">
        <f t="shared" si="142"/>
        <v>0</v>
      </c>
      <c r="W3019" s="56">
        <f t="shared" si="143"/>
        <v>2013.5</v>
      </c>
    </row>
    <row r="3020" spans="1:23" x14ac:dyDescent="0.3">
      <c r="A3020" s="13" t="str" cm="1">
        <f t="array" ref="A3020:B3020">INDEX(BenchmarkResults!$B$1:$D$35,SUMPRODUCT((T3020&gt;=BenchmarkResults!$F$3:$F$35)*(mongodb_hardware_log!T3020&lt;BenchmarkResults!$G$3:$G$35)*ROW(BenchmarkResults!$F$3:$F$35)),{1,3})</f>
        <v>q6_inactive_customers</v>
      </c>
      <c r="B3020">
        <v>3</v>
      </c>
      <c r="C3020" s="13">
        <v>1</v>
      </c>
      <c r="D3020" s="13">
        <v>0</v>
      </c>
      <c r="E3020" s="13">
        <v>181504</v>
      </c>
      <c r="F3020" s="13">
        <v>156712</v>
      </c>
      <c r="G3020" s="13">
        <v>9208</v>
      </c>
      <c r="H3020" s="13">
        <v>2206120</v>
      </c>
      <c r="I3020" s="13">
        <v>206</v>
      </c>
      <c r="J3020" s="13">
        <v>0</v>
      </c>
      <c r="K3020" s="13">
        <v>2114</v>
      </c>
      <c r="L3020" s="13">
        <v>22</v>
      </c>
      <c r="M3020" s="13">
        <v>745</v>
      </c>
      <c r="N3020" s="13">
        <v>235</v>
      </c>
      <c r="O3020" s="13">
        <v>34</v>
      </c>
      <c r="P3020" s="13">
        <v>1</v>
      </c>
      <c r="Q3020" s="13">
        <v>65</v>
      </c>
      <c r="R3020" s="13">
        <v>1</v>
      </c>
      <c r="S3020" s="13">
        <v>0</v>
      </c>
      <c r="T3020" s="23">
        <v>46247.802986111114</v>
      </c>
      <c r="U3020" s="55">
        <f t="shared" si="141"/>
        <v>1</v>
      </c>
      <c r="V3020" s="55">
        <f t="shared" si="142"/>
        <v>0</v>
      </c>
      <c r="W3020" s="56">
        <f t="shared" si="143"/>
        <v>2052</v>
      </c>
    </row>
    <row r="3021" spans="1:23" x14ac:dyDescent="0.3">
      <c r="A3021" s="13" t="str" cm="1">
        <f t="array" ref="A3021:B3021">INDEX(BenchmarkResults!$B$1:$D$35,SUMPRODUCT((T3021&gt;=BenchmarkResults!$F$3:$F$35)*(mongodb_hardware_log!T3021&lt;BenchmarkResults!$G$3:$G$35)*ROW(BenchmarkResults!$F$3:$F$35)),{1,3})</f>
        <v>q6_inactive_customers</v>
      </c>
      <c r="B3021">
        <v>3</v>
      </c>
      <c r="C3021" s="13">
        <v>1</v>
      </c>
      <c r="D3021" s="13">
        <v>0</v>
      </c>
      <c r="E3021" s="13">
        <v>181504</v>
      </c>
      <c r="F3021" s="13">
        <v>136552</v>
      </c>
      <c r="G3021" s="13">
        <v>9216</v>
      </c>
      <c r="H3021" s="13">
        <v>2222844</v>
      </c>
      <c r="I3021" s="13">
        <v>3</v>
      </c>
      <c r="J3021" s="13">
        <v>0</v>
      </c>
      <c r="K3021" s="13">
        <v>2053</v>
      </c>
      <c r="L3021" s="13">
        <v>11</v>
      </c>
      <c r="M3021" s="13">
        <v>719</v>
      </c>
      <c r="N3021" s="13">
        <v>209</v>
      </c>
      <c r="O3021" s="13">
        <v>33</v>
      </c>
      <c r="P3021" s="13">
        <v>1</v>
      </c>
      <c r="Q3021" s="13">
        <v>65</v>
      </c>
      <c r="R3021" s="13">
        <v>0</v>
      </c>
      <c r="S3021" s="13">
        <v>0</v>
      </c>
      <c r="T3021" s="23">
        <v>46247.803078703706</v>
      </c>
      <c r="U3021" s="55">
        <f t="shared" si="141"/>
        <v>1</v>
      </c>
      <c r="V3021" s="55">
        <f t="shared" si="142"/>
        <v>0</v>
      </c>
      <c r="W3021" s="56">
        <f t="shared" si="143"/>
        <v>1925.6666666666667</v>
      </c>
    </row>
    <row r="3022" spans="1:23" x14ac:dyDescent="0.3">
      <c r="A3022" s="13" t="str" cm="1">
        <f t="array" ref="A3022:B3022">INDEX(BenchmarkResults!$B$1:$D$35,SUMPRODUCT((T3022&gt;=BenchmarkResults!$F$3:$F$35)*(mongodb_hardware_log!T3022&lt;BenchmarkResults!$G$3:$G$35)*ROW(BenchmarkResults!$F$3:$F$35)),{1,3})</f>
        <v>q6_inactive_customers</v>
      </c>
      <c r="B3022">
        <v>3</v>
      </c>
      <c r="C3022" s="13">
        <v>1</v>
      </c>
      <c r="D3022" s="13">
        <v>0</v>
      </c>
      <c r="E3022" s="13">
        <v>181504</v>
      </c>
      <c r="F3022" s="13">
        <v>136552</v>
      </c>
      <c r="G3022" s="13">
        <v>9224</v>
      </c>
      <c r="H3022" s="13">
        <v>2226560</v>
      </c>
      <c r="I3022" s="13">
        <v>3</v>
      </c>
      <c r="J3022" s="13">
        <v>0</v>
      </c>
      <c r="K3022" s="13">
        <v>2045</v>
      </c>
      <c r="L3022" s="13">
        <v>16</v>
      </c>
      <c r="M3022" s="13">
        <v>718</v>
      </c>
      <c r="N3022" s="13">
        <v>211</v>
      </c>
      <c r="O3022" s="13">
        <v>33</v>
      </c>
      <c r="P3022" s="13">
        <v>1</v>
      </c>
      <c r="Q3022" s="13">
        <v>65</v>
      </c>
      <c r="R3022" s="13">
        <v>0</v>
      </c>
      <c r="S3022" s="13">
        <v>0</v>
      </c>
      <c r="T3022" s="23">
        <v>46247.803101851852</v>
      </c>
      <c r="U3022" s="55">
        <f t="shared" si="141"/>
        <v>1</v>
      </c>
      <c r="V3022" s="55">
        <f t="shared" si="142"/>
        <v>0</v>
      </c>
      <c r="W3022" s="56">
        <f t="shared" si="143"/>
        <v>1848.1666666666667</v>
      </c>
    </row>
    <row r="3023" spans="1:23" x14ac:dyDescent="0.3">
      <c r="A3023" s="13" t="str" cm="1">
        <f t="array" ref="A3023:B3023">INDEX(BenchmarkResults!$B$1:$D$35,SUMPRODUCT((T3023&gt;=BenchmarkResults!$F$3:$F$35)*(mongodb_hardware_log!T3023&lt;BenchmarkResults!$G$3:$G$35)*ROW(BenchmarkResults!$F$3:$F$35)),{1,3})</f>
        <v>q6_inactive_customers</v>
      </c>
      <c r="B3023">
        <v>3</v>
      </c>
      <c r="C3023" s="13">
        <v>1</v>
      </c>
      <c r="D3023" s="13">
        <v>0</v>
      </c>
      <c r="E3023" s="13">
        <v>181504</v>
      </c>
      <c r="F3023" s="13">
        <v>117904</v>
      </c>
      <c r="G3023" s="13">
        <v>9232</v>
      </c>
      <c r="H3023" s="13">
        <v>2243656</v>
      </c>
      <c r="I3023" s="13">
        <v>2</v>
      </c>
      <c r="J3023" s="13">
        <v>0</v>
      </c>
      <c r="K3023" s="13">
        <v>2082</v>
      </c>
      <c r="L3023" s="13">
        <v>1590</v>
      </c>
      <c r="M3023" s="13">
        <v>725</v>
      </c>
      <c r="N3023" s="13">
        <v>210</v>
      </c>
      <c r="O3023" s="13">
        <v>33</v>
      </c>
      <c r="P3023" s="13">
        <v>1</v>
      </c>
      <c r="Q3023" s="13">
        <v>64</v>
      </c>
      <c r="R3023" s="13">
        <v>2</v>
      </c>
      <c r="S3023" s="13">
        <v>0</v>
      </c>
      <c r="T3023" s="23">
        <v>46247.803194444445</v>
      </c>
      <c r="U3023" s="55">
        <f t="shared" si="141"/>
        <v>1</v>
      </c>
      <c r="V3023" s="55">
        <f t="shared" si="142"/>
        <v>0</v>
      </c>
      <c r="W3023" s="56">
        <f t="shared" si="143"/>
        <v>1987.5</v>
      </c>
    </row>
    <row r="3024" spans="1:23" x14ac:dyDescent="0.3">
      <c r="A3024" s="13" t="str" cm="1">
        <f t="array" ref="A3024:B3024">INDEX(BenchmarkResults!$B$1:$D$35,SUMPRODUCT((T3024&gt;=BenchmarkResults!$F$3:$F$35)*(mongodb_hardware_log!T3024&lt;BenchmarkResults!$G$3:$G$35)*ROW(BenchmarkResults!$F$3:$F$35)),{1,3})</f>
        <v>q6_inactive_customers</v>
      </c>
      <c r="B3024">
        <v>3</v>
      </c>
      <c r="C3024" s="13">
        <v>1</v>
      </c>
      <c r="D3024" s="13">
        <v>0</v>
      </c>
      <c r="E3024" s="13">
        <v>181504</v>
      </c>
      <c r="F3024" s="13">
        <v>113872</v>
      </c>
      <c r="G3024" s="13">
        <v>9232</v>
      </c>
      <c r="H3024" s="13">
        <v>2246896</v>
      </c>
      <c r="I3024" s="13">
        <v>0</v>
      </c>
      <c r="J3024" s="13">
        <v>0</v>
      </c>
      <c r="K3024" s="13">
        <v>2038</v>
      </c>
      <c r="L3024" s="13">
        <v>1585</v>
      </c>
      <c r="M3024" s="13">
        <v>723</v>
      </c>
      <c r="N3024" s="13">
        <v>209</v>
      </c>
      <c r="O3024" s="13">
        <v>33</v>
      </c>
      <c r="P3024" s="13">
        <v>1</v>
      </c>
      <c r="Q3024" s="13">
        <v>64</v>
      </c>
      <c r="R3024" s="13">
        <v>2</v>
      </c>
      <c r="S3024" s="13">
        <v>0</v>
      </c>
      <c r="T3024" s="23">
        <v>46247.803217592591</v>
      </c>
      <c r="U3024" s="55">
        <f t="shared" si="141"/>
        <v>1</v>
      </c>
      <c r="V3024" s="55">
        <f t="shared" si="142"/>
        <v>0</v>
      </c>
      <c r="W3024" s="56">
        <f t="shared" si="143"/>
        <v>2070.1666666666665</v>
      </c>
    </row>
    <row r="3025" spans="1:23" x14ac:dyDescent="0.3">
      <c r="A3025" s="13" t="str" cm="1">
        <f t="array" ref="A3025:B3025">INDEX(BenchmarkResults!$B$1:$D$35,SUMPRODUCT((T3025&gt;=BenchmarkResults!$F$3:$F$35)*(mongodb_hardware_log!T3025&lt;BenchmarkResults!$G$3:$G$35)*ROW(BenchmarkResults!$F$3:$F$35)),{1,3})</f>
        <v>q6_inactive_customers</v>
      </c>
      <c r="B3025">
        <v>3</v>
      </c>
      <c r="C3025" s="13">
        <v>1</v>
      </c>
      <c r="D3025" s="13">
        <v>0</v>
      </c>
      <c r="E3025" s="13">
        <v>181504</v>
      </c>
      <c r="F3025" s="13">
        <v>147436</v>
      </c>
      <c r="G3025" s="13">
        <v>9240</v>
      </c>
      <c r="H3025" s="13">
        <v>2207812</v>
      </c>
      <c r="I3025" s="13">
        <v>0</v>
      </c>
      <c r="J3025" s="13">
        <v>0</v>
      </c>
      <c r="K3025" s="13">
        <v>1968</v>
      </c>
      <c r="L3025" s="13">
        <v>7</v>
      </c>
      <c r="M3025" s="13">
        <v>734</v>
      </c>
      <c r="N3025" s="13">
        <v>245</v>
      </c>
      <c r="O3025" s="13">
        <v>34</v>
      </c>
      <c r="P3025" s="13">
        <v>1</v>
      </c>
      <c r="Q3025" s="13">
        <v>64</v>
      </c>
      <c r="R3025" s="13">
        <v>1</v>
      </c>
      <c r="S3025" s="13">
        <v>0</v>
      </c>
      <c r="T3025" s="23">
        <v>46247.803310185183</v>
      </c>
      <c r="U3025" s="55">
        <f t="shared" si="141"/>
        <v>1</v>
      </c>
      <c r="V3025" s="55">
        <f t="shared" si="142"/>
        <v>0</v>
      </c>
      <c r="W3025" s="56">
        <f t="shared" si="143"/>
        <v>2050</v>
      </c>
    </row>
    <row r="3026" spans="1:23" x14ac:dyDescent="0.3">
      <c r="A3026" s="13" t="str" cm="1">
        <f t="array" ref="A3026:B3026">INDEX(BenchmarkResults!$B$1:$D$35,SUMPRODUCT((T3026&gt;=BenchmarkResults!$F$3:$F$35)*(mongodb_hardware_log!T3026&lt;BenchmarkResults!$G$3:$G$35)*ROW(BenchmarkResults!$F$3:$F$35)),{1,3})</f>
        <v>q6_inactive_customers</v>
      </c>
      <c r="B3026">
        <v>3</v>
      </c>
      <c r="C3026" s="13">
        <v>1</v>
      </c>
      <c r="D3026" s="13">
        <v>0</v>
      </c>
      <c r="E3026" s="13">
        <v>181504</v>
      </c>
      <c r="F3026" s="13">
        <v>142676</v>
      </c>
      <c r="G3026" s="13">
        <v>9248</v>
      </c>
      <c r="H3026" s="13">
        <v>2211364</v>
      </c>
      <c r="I3026" s="13">
        <v>0</v>
      </c>
      <c r="J3026" s="13">
        <v>0</v>
      </c>
      <c r="K3026" s="13">
        <v>2003</v>
      </c>
      <c r="L3026" s="13">
        <v>13</v>
      </c>
      <c r="M3026" s="13">
        <v>735</v>
      </c>
      <c r="N3026" s="13">
        <v>246</v>
      </c>
      <c r="O3026" s="13">
        <v>34</v>
      </c>
      <c r="P3026" s="13">
        <v>1</v>
      </c>
      <c r="Q3026" s="13">
        <v>64</v>
      </c>
      <c r="R3026" s="13">
        <v>1</v>
      </c>
      <c r="S3026" s="13">
        <v>0</v>
      </c>
      <c r="T3026" s="23">
        <v>46247.803333333337</v>
      </c>
      <c r="U3026" s="55">
        <f t="shared" si="141"/>
        <v>1</v>
      </c>
      <c r="V3026" s="55">
        <f t="shared" si="142"/>
        <v>0</v>
      </c>
      <c r="W3026" s="56">
        <f t="shared" si="143"/>
        <v>2031.5</v>
      </c>
    </row>
    <row r="3027" spans="1:23" x14ac:dyDescent="0.3">
      <c r="A3027" s="13" t="str" cm="1">
        <f t="array" ref="A3027:B3027">INDEX(BenchmarkResults!$B$1:$D$35,SUMPRODUCT((T3027&gt;=BenchmarkResults!$F$3:$F$35)*(mongodb_hardware_log!T3027&lt;BenchmarkResults!$G$3:$G$35)*ROW(BenchmarkResults!$F$3:$F$35)),{1,3})</f>
        <v>q6_inactive_customers</v>
      </c>
      <c r="B3027">
        <v>3</v>
      </c>
      <c r="C3027" s="13">
        <v>1</v>
      </c>
      <c r="D3027" s="13">
        <v>0</v>
      </c>
      <c r="E3027" s="13">
        <v>181504</v>
      </c>
      <c r="F3027" s="13">
        <v>116468</v>
      </c>
      <c r="G3027" s="13">
        <v>9256</v>
      </c>
      <c r="H3027" s="13">
        <v>2239004</v>
      </c>
      <c r="I3027" s="13">
        <v>0</v>
      </c>
      <c r="J3027" s="13">
        <v>0</v>
      </c>
      <c r="K3027" s="13">
        <v>1528</v>
      </c>
      <c r="L3027" s="13">
        <v>38</v>
      </c>
      <c r="M3027" s="13">
        <v>678</v>
      </c>
      <c r="N3027" s="13">
        <v>177</v>
      </c>
      <c r="O3027" s="13">
        <v>34</v>
      </c>
      <c r="P3027" s="13">
        <v>1</v>
      </c>
      <c r="Q3027" s="13">
        <v>65</v>
      </c>
      <c r="R3027" s="13">
        <v>0</v>
      </c>
      <c r="S3027" s="13">
        <v>0</v>
      </c>
      <c r="T3027" s="23">
        <v>46247.803425925929</v>
      </c>
      <c r="U3027" s="55">
        <f t="shared" si="141"/>
        <v>1</v>
      </c>
      <c r="V3027" s="55">
        <f t="shared" si="142"/>
        <v>0</v>
      </c>
      <c r="W3027" s="56">
        <f t="shared" si="143"/>
        <v>1944</v>
      </c>
    </row>
    <row r="3028" spans="1:23" x14ac:dyDescent="0.3">
      <c r="A3028" s="13" t="str" cm="1">
        <f t="array" ref="A3028:B3028">INDEX(BenchmarkResults!$B$1:$D$35,SUMPRODUCT((T3028&gt;=BenchmarkResults!$F$3:$F$35)*(mongodb_hardware_log!T3028&lt;BenchmarkResults!$G$3:$G$35)*ROW(BenchmarkResults!$F$3:$F$35)),{1,3})</f>
        <v>q6_inactive_customers</v>
      </c>
      <c r="B3028">
        <v>3</v>
      </c>
      <c r="C3028" s="13">
        <v>1</v>
      </c>
      <c r="D3028" s="13">
        <v>0</v>
      </c>
      <c r="E3028" s="13">
        <v>181248</v>
      </c>
      <c r="F3028" s="13">
        <v>104372</v>
      </c>
      <c r="G3028" s="13">
        <v>9256</v>
      </c>
      <c r="H3028" s="13">
        <v>2244424</v>
      </c>
      <c r="I3028" s="13">
        <v>2</v>
      </c>
      <c r="J3028" s="13">
        <v>0</v>
      </c>
      <c r="K3028" s="13">
        <v>1702</v>
      </c>
      <c r="L3028" s="13">
        <v>32</v>
      </c>
      <c r="M3028" s="13">
        <v>685</v>
      </c>
      <c r="N3028" s="13">
        <v>181</v>
      </c>
      <c r="O3028" s="13">
        <v>34</v>
      </c>
      <c r="P3028" s="13">
        <v>1</v>
      </c>
      <c r="Q3028" s="13">
        <v>65</v>
      </c>
      <c r="R3028" s="13">
        <v>0</v>
      </c>
      <c r="S3028" s="13">
        <v>0</v>
      </c>
      <c r="T3028" s="23">
        <v>46247.803449074076</v>
      </c>
      <c r="U3028" s="55">
        <f t="shared" si="141"/>
        <v>1</v>
      </c>
      <c r="V3028" s="55">
        <f t="shared" si="142"/>
        <v>0</v>
      </c>
      <c r="W3028" s="56">
        <f t="shared" si="143"/>
        <v>1886.8333333333333</v>
      </c>
    </row>
    <row r="3029" spans="1:23" x14ac:dyDescent="0.3">
      <c r="A3029" s="13" t="str" cm="1">
        <f t="array" ref="A3029:B3029">INDEX(BenchmarkResults!$B$1:$D$35,SUMPRODUCT((T3029&gt;=BenchmarkResults!$F$3:$F$35)*(mongodb_hardware_log!T3029&lt;BenchmarkResults!$G$3:$G$35)*ROW(BenchmarkResults!$F$3:$F$35)),{1,3})</f>
        <v>q6_inactive_customers</v>
      </c>
      <c r="B3029">
        <v>3</v>
      </c>
      <c r="C3029" s="13">
        <v>1</v>
      </c>
      <c r="D3029" s="13">
        <v>0</v>
      </c>
      <c r="E3029" s="13">
        <v>181248</v>
      </c>
      <c r="F3029" s="13">
        <v>135976</v>
      </c>
      <c r="G3029" s="13">
        <v>9264</v>
      </c>
      <c r="H3029" s="13">
        <v>2220028</v>
      </c>
      <c r="I3029" s="13">
        <v>8</v>
      </c>
      <c r="J3029" s="13">
        <v>0</v>
      </c>
      <c r="K3029" s="13">
        <v>2092</v>
      </c>
      <c r="L3029" s="13">
        <v>14</v>
      </c>
      <c r="M3029" s="13">
        <v>760</v>
      </c>
      <c r="N3029" s="13">
        <v>235</v>
      </c>
      <c r="O3029" s="13">
        <v>33</v>
      </c>
      <c r="P3029" s="13">
        <v>1</v>
      </c>
      <c r="Q3029" s="13">
        <v>64</v>
      </c>
      <c r="R3029" s="13">
        <v>1</v>
      </c>
      <c r="S3029" s="13">
        <v>0</v>
      </c>
      <c r="T3029" s="23">
        <v>46247.803541666668</v>
      </c>
      <c r="U3029" s="55">
        <f t="shared" si="141"/>
        <v>1</v>
      </c>
      <c r="V3029" s="55">
        <f t="shared" si="142"/>
        <v>0</v>
      </c>
      <c r="W3029" s="56">
        <f t="shared" si="143"/>
        <v>1888.5</v>
      </c>
    </row>
    <row r="3030" spans="1:23" x14ac:dyDescent="0.3">
      <c r="A3030" s="13" t="str" cm="1">
        <f t="array" ref="A3030:B3030">INDEX(BenchmarkResults!$B$1:$D$35,SUMPRODUCT((T3030&gt;=BenchmarkResults!$F$3:$F$35)*(mongodb_hardware_log!T3030&lt;BenchmarkResults!$G$3:$G$35)*ROW(BenchmarkResults!$F$3:$F$35)),{1,3})</f>
        <v>q6_inactive_customers</v>
      </c>
      <c r="B3030">
        <v>3</v>
      </c>
      <c r="C3030" s="13">
        <v>1</v>
      </c>
      <c r="D3030" s="13">
        <v>0</v>
      </c>
      <c r="E3030" s="13">
        <v>181248</v>
      </c>
      <c r="F3030" s="13">
        <v>135976</v>
      </c>
      <c r="G3030" s="13">
        <v>9272</v>
      </c>
      <c r="H3030" s="13">
        <v>2224420</v>
      </c>
      <c r="I3030" s="13">
        <v>6</v>
      </c>
      <c r="J3030" s="13">
        <v>0</v>
      </c>
      <c r="K3030" s="13">
        <v>1994</v>
      </c>
      <c r="L3030" s="13">
        <v>20</v>
      </c>
      <c r="M3030" s="13">
        <v>764</v>
      </c>
      <c r="N3030" s="13">
        <v>236</v>
      </c>
      <c r="O3030" s="13">
        <v>33</v>
      </c>
      <c r="P3030" s="13">
        <v>1</v>
      </c>
      <c r="Q3030" s="13">
        <v>64</v>
      </c>
      <c r="R3030" s="13">
        <v>1</v>
      </c>
      <c r="S3030" s="13">
        <v>1</v>
      </c>
      <c r="T3030" s="23">
        <v>46247.803564814814</v>
      </c>
      <c r="U3030" s="55">
        <f t="shared" si="141"/>
        <v>1</v>
      </c>
      <c r="V3030" s="55">
        <f t="shared" si="142"/>
        <v>0</v>
      </c>
      <c r="W3030" s="56">
        <f t="shared" si="143"/>
        <v>1881.1666666666667</v>
      </c>
    </row>
    <row r="3031" spans="1:23" x14ac:dyDescent="0.3">
      <c r="A3031" s="13" t="str" cm="1">
        <f t="array" ref="A3031:B3031">INDEX(BenchmarkResults!$B$1:$D$35,SUMPRODUCT((T3031&gt;=BenchmarkResults!$F$3:$F$35)*(mongodb_hardware_log!T3031&lt;BenchmarkResults!$G$3:$G$35)*ROW(BenchmarkResults!$F$3:$F$35)),{1,3})</f>
        <v>q6_inactive_customers</v>
      </c>
      <c r="B3031">
        <v>3</v>
      </c>
      <c r="C3031" s="13">
        <v>1</v>
      </c>
      <c r="D3031" s="13">
        <v>0</v>
      </c>
      <c r="E3031" s="13">
        <v>181248</v>
      </c>
      <c r="F3031" s="13">
        <v>115816</v>
      </c>
      <c r="G3031" s="13">
        <v>9296</v>
      </c>
      <c r="H3031" s="13">
        <v>2239172</v>
      </c>
      <c r="I3031" s="13">
        <v>0</v>
      </c>
      <c r="J3031" s="13">
        <v>0</v>
      </c>
      <c r="K3031" s="13">
        <v>1922</v>
      </c>
      <c r="L3031" s="13">
        <v>41</v>
      </c>
      <c r="M3031" s="13">
        <v>732</v>
      </c>
      <c r="N3031" s="13">
        <v>218</v>
      </c>
      <c r="O3031" s="13">
        <v>34</v>
      </c>
      <c r="P3031" s="13">
        <v>1</v>
      </c>
      <c r="Q3031" s="13">
        <v>64</v>
      </c>
      <c r="R3031" s="13">
        <v>1</v>
      </c>
      <c r="S3031" s="13">
        <v>0</v>
      </c>
      <c r="T3031" s="23">
        <v>46247.803657407407</v>
      </c>
      <c r="U3031" s="55">
        <f t="shared" si="141"/>
        <v>1</v>
      </c>
      <c r="V3031" s="55">
        <f t="shared" si="142"/>
        <v>0</v>
      </c>
      <c r="W3031" s="56">
        <f t="shared" si="143"/>
        <v>1873.5</v>
      </c>
    </row>
    <row r="3032" spans="1:23" x14ac:dyDescent="0.3">
      <c r="A3032" s="13" t="str" cm="1">
        <f t="array" ref="A3032:B3032">INDEX(BenchmarkResults!$B$1:$D$35,SUMPRODUCT((T3032&gt;=BenchmarkResults!$F$3:$F$35)*(mongodb_hardware_log!T3032&lt;BenchmarkResults!$G$3:$G$35)*ROW(BenchmarkResults!$F$3:$F$35)),{1,3})</f>
        <v>q6_inactive_customers</v>
      </c>
      <c r="B3032">
        <v>3</v>
      </c>
      <c r="C3032" s="13">
        <v>1</v>
      </c>
      <c r="D3032" s="13">
        <v>0</v>
      </c>
      <c r="E3032" s="13">
        <v>181248</v>
      </c>
      <c r="F3032" s="13">
        <v>111784</v>
      </c>
      <c r="G3032" s="13">
        <v>9296</v>
      </c>
      <c r="H3032" s="13">
        <v>2242352</v>
      </c>
      <c r="I3032" s="13">
        <v>0</v>
      </c>
      <c r="J3032" s="13">
        <v>0</v>
      </c>
      <c r="K3032" s="13">
        <v>1794</v>
      </c>
      <c r="L3032" s="13">
        <v>36</v>
      </c>
      <c r="M3032" s="13">
        <v>723</v>
      </c>
      <c r="N3032" s="13">
        <v>213</v>
      </c>
      <c r="O3032" s="13">
        <v>34</v>
      </c>
      <c r="P3032" s="13">
        <v>1</v>
      </c>
      <c r="Q3032" s="13">
        <v>64</v>
      </c>
      <c r="R3032" s="13">
        <v>0</v>
      </c>
      <c r="S3032" s="13">
        <v>0</v>
      </c>
      <c r="T3032" s="23">
        <v>46247.803680555553</v>
      </c>
      <c r="U3032" s="55">
        <f t="shared" si="141"/>
        <v>1</v>
      </c>
      <c r="V3032" s="55">
        <f t="shared" si="142"/>
        <v>0</v>
      </c>
      <c r="W3032" s="56">
        <f t="shared" si="143"/>
        <v>1838.6666666666667</v>
      </c>
    </row>
    <row r="3033" spans="1:23" x14ac:dyDescent="0.3">
      <c r="A3033" s="13" t="str" cm="1">
        <f t="array" ref="A3033:B3033">INDEX(BenchmarkResults!$B$1:$D$35,SUMPRODUCT((T3033&gt;=BenchmarkResults!$F$3:$F$35)*(mongodb_hardware_log!T3033&lt;BenchmarkResults!$G$3:$G$35)*ROW(BenchmarkResults!$F$3:$F$35)),{1,3})</f>
        <v>q6_inactive_customers</v>
      </c>
      <c r="B3033">
        <v>3</v>
      </c>
      <c r="C3033" s="13">
        <v>1</v>
      </c>
      <c r="D3033" s="13">
        <v>0</v>
      </c>
      <c r="E3033" s="13">
        <v>181248</v>
      </c>
      <c r="F3033" s="13">
        <v>160500</v>
      </c>
      <c r="G3033" s="13">
        <v>9312</v>
      </c>
      <c r="H3033" s="13">
        <v>2202148</v>
      </c>
      <c r="I3033" s="13">
        <v>3</v>
      </c>
      <c r="J3033" s="13">
        <v>0</v>
      </c>
      <c r="K3033" s="13">
        <v>1862</v>
      </c>
      <c r="L3033" s="13">
        <v>1575</v>
      </c>
      <c r="M3033" s="13">
        <v>747</v>
      </c>
      <c r="N3033" s="13">
        <v>239</v>
      </c>
      <c r="O3033" s="13">
        <v>34</v>
      </c>
      <c r="P3033" s="13">
        <v>1</v>
      </c>
      <c r="Q3033" s="13">
        <v>62</v>
      </c>
      <c r="R3033" s="13">
        <v>3</v>
      </c>
      <c r="S3033" s="13">
        <v>0</v>
      </c>
      <c r="T3033" s="23">
        <v>46247.803773148145</v>
      </c>
      <c r="U3033" s="55">
        <f t="shared" si="141"/>
        <v>1</v>
      </c>
      <c r="V3033" s="55">
        <f t="shared" si="142"/>
        <v>0</v>
      </c>
      <c r="W3033" s="56">
        <f t="shared" si="143"/>
        <v>1894.3333333333333</v>
      </c>
    </row>
    <row r="3034" spans="1:23" x14ac:dyDescent="0.3">
      <c r="A3034" s="13" t="str" cm="1">
        <f t="array" ref="A3034:B3034">INDEX(BenchmarkResults!$B$1:$D$35,SUMPRODUCT((T3034&gt;=BenchmarkResults!$F$3:$F$35)*(mongodb_hardware_log!T3034&lt;BenchmarkResults!$G$3:$G$35)*ROW(BenchmarkResults!$F$3:$F$35)),{1,3})</f>
        <v>q6_inactive_customers</v>
      </c>
      <c r="B3034">
        <v>3</v>
      </c>
      <c r="C3034" s="13">
        <v>1</v>
      </c>
      <c r="D3034" s="13">
        <v>0</v>
      </c>
      <c r="E3034" s="13">
        <v>181248</v>
      </c>
      <c r="F3034" s="13">
        <v>156468</v>
      </c>
      <c r="G3034" s="13">
        <v>9312</v>
      </c>
      <c r="H3034" s="13">
        <v>2206348</v>
      </c>
      <c r="I3034" s="13">
        <v>3</v>
      </c>
      <c r="J3034" s="13">
        <v>0</v>
      </c>
      <c r="K3034" s="13">
        <v>1975</v>
      </c>
      <c r="L3034" s="13">
        <v>1574</v>
      </c>
      <c r="M3034" s="13">
        <v>744</v>
      </c>
      <c r="N3034" s="13">
        <v>238</v>
      </c>
      <c r="O3034" s="13">
        <v>33</v>
      </c>
      <c r="P3034" s="13">
        <v>1</v>
      </c>
      <c r="Q3034" s="13">
        <v>62</v>
      </c>
      <c r="R3034" s="13">
        <v>3</v>
      </c>
      <c r="S3034" s="13">
        <v>0</v>
      </c>
      <c r="T3034" s="23">
        <v>46247.803796296299</v>
      </c>
      <c r="U3034" s="55">
        <f t="shared" si="141"/>
        <v>1</v>
      </c>
      <c r="V3034" s="55">
        <f t="shared" si="142"/>
        <v>0</v>
      </c>
      <c r="W3034" s="56">
        <f t="shared" si="143"/>
        <v>1939.8333333333333</v>
      </c>
    </row>
    <row r="3035" spans="1:23" x14ac:dyDescent="0.3">
      <c r="A3035" s="13" t="str" cm="1">
        <f t="array" ref="A3035:B3035">INDEX(BenchmarkResults!$B$1:$D$35,SUMPRODUCT((T3035&gt;=BenchmarkResults!$F$3:$F$35)*(mongodb_hardware_log!T3035&lt;BenchmarkResults!$G$3:$G$35)*ROW(BenchmarkResults!$F$3:$F$35)),{1,3})</f>
        <v>q6_inactive_customers</v>
      </c>
      <c r="B3035">
        <v>3</v>
      </c>
      <c r="C3035" s="13">
        <v>1</v>
      </c>
      <c r="D3035" s="13">
        <v>0</v>
      </c>
      <c r="E3035" s="13">
        <v>181248</v>
      </c>
      <c r="F3035" s="13">
        <v>137824</v>
      </c>
      <c r="G3035" s="13">
        <v>9320</v>
      </c>
      <c r="H3035" s="13">
        <v>2222892</v>
      </c>
      <c r="I3035" s="13">
        <v>0</v>
      </c>
      <c r="J3035" s="13">
        <v>0</v>
      </c>
      <c r="K3035" s="13">
        <v>2077</v>
      </c>
      <c r="L3035" s="13">
        <v>25</v>
      </c>
      <c r="M3035" s="13">
        <v>721</v>
      </c>
      <c r="N3035" s="13">
        <v>214</v>
      </c>
      <c r="O3035" s="13">
        <v>34</v>
      </c>
      <c r="P3035" s="13">
        <v>1</v>
      </c>
      <c r="Q3035" s="13">
        <v>65</v>
      </c>
      <c r="R3035" s="13">
        <v>0</v>
      </c>
      <c r="S3035" s="13">
        <v>0</v>
      </c>
      <c r="T3035" s="23">
        <v>46247.803888888891</v>
      </c>
      <c r="U3035" s="55">
        <f t="shared" si="141"/>
        <v>1</v>
      </c>
      <c r="V3035" s="55">
        <f t="shared" si="142"/>
        <v>0</v>
      </c>
      <c r="W3035" s="56">
        <f t="shared" si="143"/>
        <v>1937.3333333333333</v>
      </c>
    </row>
    <row r="3036" spans="1:23" x14ac:dyDescent="0.3">
      <c r="A3036" s="13" t="str" cm="1">
        <f t="array" ref="A3036:B3036">INDEX(BenchmarkResults!$B$1:$D$35,SUMPRODUCT((T3036&gt;=BenchmarkResults!$F$3:$F$35)*(mongodb_hardware_log!T3036&lt;BenchmarkResults!$G$3:$G$35)*ROW(BenchmarkResults!$F$3:$F$35)),{1,3})</f>
        <v>q6_inactive_customers</v>
      </c>
      <c r="B3036">
        <v>3</v>
      </c>
      <c r="C3036" s="13">
        <v>1</v>
      </c>
      <c r="D3036" s="13">
        <v>0</v>
      </c>
      <c r="E3036" s="13">
        <v>181248</v>
      </c>
      <c r="F3036" s="13">
        <v>134268</v>
      </c>
      <c r="G3036" s="13">
        <v>9328</v>
      </c>
      <c r="H3036" s="13">
        <v>2227916</v>
      </c>
      <c r="I3036" s="13">
        <v>0</v>
      </c>
      <c r="J3036" s="13">
        <v>0</v>
      </c>
      <c r="K3036" s="13">
        <v>2154</v>
      </c>
      <c r="L3036" s="13">
        <v>32</v>
      </c>
      <c r="M3036" s="13">
        <v>729</v>
      </c>
      <c r="N3036" s="13">
        <v>219</v>
      </c>
      <c r="O3036" s="13">
        <v>34</v>
      </c>
      <c r="P3036" s="13">
        <v>1</v>
      </c>
      <c r="Q3036" s="13">
        <v>65</v>
      </c>
      <c r="R3036" s="13">
        <v>0</v>
      </c>
      <c r="S3036" s="13">
        <v>0</v>
      </c>
      <c r="T3036" s="23">
        <v>46247.803912037038</v>
      </c>
      <c r="U3036" s="55">
        <f t="shared" si="141"/>
        <v>1</v>
      </c>
      <c r="V3036" s="55">
        <f t="shared" si="142"/>
        <v>0</v>
      </c>
      <c r="W3036" s="56">
        <f t="shared" si="143"/>
        <v>1964</v>
      </c>
    </row>
    <row r="3037" spans="1:23" x14ac:dyDescent="0.3">
      <c r="A3037" s="13" t="str" cm="1">
        <f t="array" ref="A3037:B3037">INDEX(BenchmarkResults!$B$1:$D$35,SUMPRODUCT((T3037&gt;=BenchmarkResults!$F$3:$F$35)*(mongodb_hardware_log!T3037&lt;BenchmarkResults!$G$3:$G$35)*ROW(BenchmarkResults!$F$3:$F$35)),{1,3})</f>
        <v>q6_inactive_customers</v>
      </c>
      <c r="B3037">
        <v>3</v>
      </c>
      <c r="C3037" s="13">
        <v>1</v>
      </c>
      <c r="D3037" s="13">
        <v>0</v>
      </c>
      <c r="E3037" s="13">
        <v>181248</v>
      </c>
      <c r="F3037" s="13">
        <v>157632</v>
      </c>
      <c r="G3037" s="13">
        <v>9336</v>
      </c>
      <c r="H3037" s="13">
        <v>2203436</v>
      </c>
      <c r="I3037" s="13">
        <v>0</v>
      </c>
      <c r="J3037" s="13">
        <v>0</v>
      </c>
      <c r="K3037" s="13">
        <v>1350</v>
      </c>
      <c r="L3037" s="13">
        <v>26</v>
      </c>
      <c r="M3037" s="13">
        <v>690</v>
      </c>
      <c r="N3037" s="13">
        <v>187</v>
      </c>
      <c r="O3037" s="13">
        <v>33</v>
      </c>
      <c r="P3037" s="13">
        <v>1</v>
      </c>
      <c r="Q3037" s="13">
        <v>65</v>
      </c>
      <c r="R3037" s="13">
        <v>0</v>
      </c>
      <c r="S3037" s="13">
        <v>0</v>
      </c>
      <c r="T3037" s="23">
        <v>46247.80400462963</v>
      </c>
      <c r="U3037" s="55">
        <f t="shared" si="141"/>
        <v>1</v>
      </c>
      <c r="V3037" s="55">
        <f t="shared" si="142"/>
        <v>0</v>
      </c>
      <c r="W3037" s="56">
        <f t="shared" si="143"/>
        <v>1868.6666666666667</v>
      </c>
    </row>
    <row r="3038" spans="1:23" x14ac:dyDescent="0.3">
      <c r="A3038" s="13" t="str" cm="1">
        <f t="array" ref="A3038:B3038">INDEX(BenchmarkResults!$B$1:$D$35,SUMPRODUCT((T3038&gt;=BenchmarkResults!$F$3:$F$35)*(mongodb_hardware_log!T3038&lt;BenchmarkResults!$G$3:$G$35)*ROW(BenchmarkResults!$F$3:$F$35)),{1,3})</f>
        <v>q6_inactive_customers</v>
      </c>
      <c r="B3038">
        <v>3</v>
      </c>
      <c r="C3038" s="13">
        <v>1</v>
      </c>
      <c r="D3038" s="13">
        <v>0</v>
      </c>
      <c r="E3038" s="13">
        <v>181248</v>
      </c>
      <c r="F3038" s="13">
        <v>156556</v>
      </c>
      <c r="G3038" s="13">
        <v>9344</v>
      </c>
      <c r="H3038" s="13">
        <v>2208056</v>
      </c>
      <c r="I3038" s="13">
        <v>0</v>
      </c>
      <c r="J3038" s="13">
        <v>0</v>
      </c>
      <c r="K3038" s="13">
        <v>1303</v>
      </c>
      <c r="L3038" s="13">
        <v>25</v>
      </c>
      <c r="M3038" s="13">
        <v>680</v>
      </c>
      <c r="N3038" s="13">
        <v>180</v>
      </c>
      <c r="O3038" s="13">
        <v>33</v>
      </c>
      <c r="P3038" s="13">
        <v>1</v>
      </c>
      <c r="Q3038" s="13">
        <v>65</v>
      </c>
      <c r="R3038" s="13">
        <v>0</v>
      </c>
      <c r="S3038" s="13">
        <v>0</v>
      </c>
      <c r="T3038" s="23">
        <v>46247.804027777776</v>
      </c>
      <c r="U3038" s="55">
        <f t="shared" si="141"/>
        <v>1</v>
      </c>
      <c r="V3038" s="55">
        <f t="shared" si="142"/>
        <v>0</v>
      </c>
      <c r="W3038" s="56">
        <f t="shared" si="143"/>
        <v>1786.8333333333333</v>
      </c>
    </row>
    <row r="3039" spans="1:23" x14ac:dyDescent="0.3">
      <c r="A3039" s="13" t="str" cm="1">
        <f t="array" ref="A3039:B3039">INDEX(BenchmarkResults!$B$1:$D$35,SUMPRODUCT((T3039&gt;=BenchmarkResults!$F$3:$F$35)*(mongodb_hardware_log!T3039&lt;BenchmarkResults!$G$3:$G$35)*ROW(BenchmarkResults!$F$3:$F$35)),{1,3})</f>
        <v>q6_inactive_customers</v>
      </c>
      <c r="B3039">
        <v>3</v>
      </c>
      <c r="C3039" s="13">
        <v>1</v>
      </c>
      <c r="D3039" s="13">
        <v>0</v>
      </c>
      <c r="E3039" s="13">
        <v>181248</v>
      </c>
      <c r="F3039" s="13">
        <v>140932</v>
      </c>
      <c r="G3039" s="13">
        <v>9352</v>
      </c>
      <c r="H3039" s="13">
        <v>2224224</v>
      </c>
      <c r="I3039" s="13">
        <v>0</v>
      </c>
      <c r="J3039" s="13">
        <v>0</v>
      </c>
      <c r="K3039" s="13">
        <v>2067</v>
      </c>
      <c r="L3039" s="13">
        <v>18</v>
      </c>
      <c r="M3039" s="13">
        <v>714</v>
      </c>
      <c r="N3039" s="13">
        <v>212</v>
      </c>
      <c r="O3039" s="13">
        <v>34</v>
      </c>
      <c r="P3039" s="13">
        <v>1</v>
      </c>
      <c r="Q3039" s="13">
        <v>65</v>
      </c>
      <c r="R3039" s="13">
        <v>0</v>
      </c>
      <c r="S3039" s="13">
        <v>0</v>
      </c>
      <c r="T3039" s="23">
        <v>46247.804120370369</v>
      </c>
      <c r="U3039" s="55">
        <f t="shared" si="141"/>
        <v>1</v>
      </c>
      <c r="V3039" s="55">
        <f t="shared" si="142"/>
        <v>0</v>
      </c>
      <c r="W3039" s="56">
        <f t="shared" si="143"/>
        <v>1821</v>
      </c>
    </row>
    <row r="3040" spans="1:23" x14ac:dyDescent="0.3">
      <c r="A3040" s="13" t="str" cm="1">
        <f t="array" ref="A3040:B3040">INDEX(BenchmarkResults!$B$1:$D$35,SUMPRODUCT((T3040&gt;=BenchmarkResults!$F$3:$F$35)*(mongodb_hardware_log!T3040&lt;BenchmarkResults!$G$3:$G$35)*ROW(BenchmarkResults!$F$3:$F$35)),{1,3})</f>
        <v>q6_inactive_customers</v>
      </c>
      <c r="B3040">
        <v>3</v>
      </c>
      <c r="C3040" s="13">
        <v>1</v>
      </c>
      <c r="D3040" s="13">
        <v>0</v>
      </c>
      <c r="E3040" s="13">
        <v>181248</v>
      </c>
      <c r="F3040" s="13">
        <v>134884</v>
      </c>
      <c r="G3040" s="13">
        <v>9352</v>
      </c>
      <c r="H3040" s="13">
        <v>2226828</v>
      </c>
      <c r="I3040" s="13">
        <v>0</v>
      </c>
      <c r="J3040" s="13">
        <v>0</v>
      </c>
      <c r="K3040" s="13">
        <v>1875</v>
      </c>
      <c r="L3040" s="13">
        <v>12</v>
      </c>
      <c r="M3040" s="13">
        <v>713</v>
      </c>
      <c r="N3040" s="13">
        <v>211</v>
      </c>
      <c r="O3040" s="13">
        <v>34</v>
      </c>
      <c r="P3040" s="13">
        <v>1</v>
      </c>
      <c r="Q3040" s="13">
        <v>65</v>
      </c>
      <c r="R3040" s="13">
        <v>0</v>
      </c>
      <c r="S3040" s="13">
        <v>0</v>
      </c>
      <c r="T3040" s="23">
        <v>46247.804143518515</v>
      </c>
      <c r="U3040" s="55">
        <f t="shared" si="141"/>
        <v>1</v>
      </c>
      <c r="V3040" s="55">
        <f t="shared" si="142"/>
        <v>0</v>
      </c>
      <c r="W3040" s="56">
        <f t="shared" si="143"/>
        <v>1804.3333333333333</v>
      </c>
    </row>
    <row r="3041" spans="1:23" x14ac:dyDescent="0.3">
      <c r="A3041" s="13" t="str" cm="1">
        <f t="array" ref="A3041:B3041">INDEX(BenchmarkResults!$B$1:$D$35,SUMPRODUCT((T3041&gt;=BenchmarkResults!$F$3:$F$35)*(mongodb_hardware_log!T3041&lt;BenchmarkResults!$G$3:$G$35)*ROW(BenchmarkResults!$F$3:$F$35)),{1,3})</f>
        <v>q6_inactive_customers</v>
      </c>
      <c r="B3041">
        <v>3</v>
      </c>
      <c r="C3041" s="13">
        <v>1</v>
      </c>
      <c r="D3041" s="13">
        <v>0</v>
      </c>
      <c r="E3041" s="13">
        <v>181248</v>
      </c>
      <c r="F3041" s="13">
        <v>118504</v>
      </c>
      <c r="G3041" s="13">
        <v>9360</v>
      </c>
      <c r="H3041" s="13">
        <v>2245204</v>
      </c>
      <c r="I3041" s="13">
        <v>0</v>
      </c>
      <c r="J3041" s="13">
        <v>0</v>
      </c>
      <c r="K3041" s="13">
        <v>2106</v>
      </c>
      <c r="L3041" s="13">
        <v>1574</v>
      </c>
      <c r="M3041" s="13">
        <v>742</v>
      </c>
      <c r="N3041" s="13">
        <v>218</v>
      </c>
      <c r="O3041" s="13">
        <v>33</v>
      </c>
      <c r="P3041" s="13">
        <v>1</v>
      </c>
      <c r="Q3041" s="13">
        <v>64</v>
      </c>
      <c r="R3041" s="13">
        <v>2</v>
      </c>
      <c r="S3041" s="13">
        <v>0</v>
      </c>
      <c r="T3041" s="23">
        <v>46247.804236111115</v>
      </c>
      <c r="U3041" s="55">
        <f t="shared" si="141"/>
        <v>1</v>
      </c>
      <c r="V3041" s="55">
        <f t="shared" si="142"/>
        <v>0</v>
      </c>
      <c r="W3041" s="56">
        <f t="shared" si="143"/>
        <v>1809.1666666666667</v>
      </c>
    </row>
    <row r="3042" spans="1:23" x14ac:dyDescent="0.3">
      <c r="A3042" s="13" t="str" cm="1">
        <f t="array" ref="A3042:B3042">INDEX(BenchmarkResults!$B$1:$D$35,SUMPRODUCT((T3042&gt;=BenchmarkResults!$F$3:$F$35)*(mongodb_hardware_log!T3042&lt;BenchmarkResults!$G$3:$G$35)*ROW(BenchmarkResults!$F$3:$F$35)),{1,3})</f>
        <v>q6_inactive_customers</v>
      </c>
      <c r="B3042">
        <v>3</v>
      </c>
      <c r="C3042" s="13">
        <v>1</v>
      </c>
      <c r="D3042" s="13">
        <v>0</v>
      </c>
      <c r="E3042" s="13">
        <v>181248</v>
      </c>
      <c r="F3042" s="13">
        <v>110188</v>
      </c>
      <c r="G3042" s="13">
        <v>9372</v>
      </c>
      <c r="H3042" s="13">
        <v>2248648</v>
      </c>
      <c r="I3042" s="13">
        <v>0</v>
      </c>
      <c r="J3042" s="13">
        <v>0</v>
      </c>
      <c r="K3042" s="13">
        <v>2187</v>
      </c>
      <c r="L3042" s="13">
        <v>1582</v>
      </c>
      <c r="M3042" s="13">
        <v>746</v>
      </c>
      <c r="N3042" s="13">
        <v>219</v>
      </c>
      <c r="O3042" s="13">
        <v>33</v>
      </c>
      <c r="P3042" s="13">
        <v>1</v>
      </c>
      <c r="Q3042" s="13">
        <v>64</v>
      </c>
      <c r="R3042" s="13">
        <v>2</v>
      </c>
      <c r="S3042" s="13">
        <v>0</v>
      </c>
      <c r="T3042" s="23">
        <v>46247.804259259261</v>
      </c>
      <c r="U3042" s="55">
        <f t="shared" si="141"/>
        <v>1</v>
      </c>
      <c r="V3042" s="55">
        <f t="shared" si="142"/>
        <v>0</v>
      </c>
      <c r="W3042" s="56">
        <f t="shared" si="143"/>
        <v>1814.6666666666667</v>
      </c>
    </row>
    <row r="3043" spans="1:23" x14ac:dyDescent="0.3">
      <c r="A3043" s="13" t="str" cm="1">
        <f t="array" ref="A3043:B3043">INDEX(BenchmarkResults!$B$1:$D$35,SUMPRODUCT((T3043&gt;=BenchmarkResults!$F$3:$F$35)*(mongodb_hardware_log!T3043&lt;BenchmarkResults!$G$3:$G$35)*ROW(BenchmarkResults!$F$3:$F$35)),{1,3})</f>
        <v>q6_inactive_customers</v>
      </c>
      <c r="B3043">
        <v>3</v>
      </c>
      <c r="C3043" s="13">
        <v>2</v>
      </c>
      <c r="D3043" s="13">
        <v>0</v>
      </c>
      <c r="E3043" s="13">
        <v>181248</v>
      </c>
      <c r="F3043" s="13">
        <v>105196</v>
      </c>
      <c r="G3043" s="13">
        <v>9396</v>
      </c>
      <c r="H3043" s="13">
        <v>2264012</v>
      </c>
      <c r="I3043" s="13">
        <v>0</v>
      </c>
      <c r="J3043" s="13">
        <v>0</v>
      </c>
      <c r="K3043" s="13">
        <v>1874</v>
      </c>
      <c r="L3043" s="13">
        <v>32</v>
      </c>
      <c r="M3043" s="13">
        <v>718</v>
      </c>
      <c r="N3043" s="13">
        <v>211</v>
      </c>
      <c r="O3043" s="13">
        <v>34</v>
      </c>
      <c r="P3043" s="13">
        <v>1</v>
      </c>
      <c r="Q3043" s="13">
        <v>65</v>
      </c>
      <c r="R3043" s="13">
        <v>0</v>
      </c>
      <c r="S3043" s="13">
        <v>0</v>
      </c>
      <c r="T3043" s="23">
        <v>46247.804363425923</v>
      </c>
      <c r="U3043" s="55">
        <f t="shared" si="141"/>
        <v>1.1666666666666667</v>
      </c>
      <c r="V3043" s="55">
        <f t="shared" si="142"/>
        <v>0</v>
      </c>
      <c r="W3043" s="56">
        <f t="shared" si="143"/>
        <v>1902</v>
      </c>
    </row>
    <row r="3044" spans="1:23" x14ac:dyDescent="0.3">
      <c r="A3044" s="13" t="str" cm="1">
        <f t="array" ref="A3044:B3044">INDEX(BenchmarkResults!$B$1:$D$35,SUMPRODUCT((T3044&gt;=BenchmarkResults!$F$3:$F$35)*(mongodb_hardware_log!T3044&lt;BenchmarkResults!$G$3:$G$35)*ROW(BenchmarkResults!$F$3:$F$35)),{1,3})</f>
        <v>q6_inactive_customers</v>
      </c>
      <c r="B3044">
        <v>3</v>
      </c>
      <c r="C3044" s="13">
        <v>1</v>
      </c>
      <c r="D3044" s="13">
        <v>0</v>
      </c>
      <c r="E3044" s="13">
        <v>181248</v>
      </c>
      <c r="F3044" s="13">
        <v>159876</v>
      </c>
      <c r="G3044" s="13">
        <v>9396</v>
      </c>
      <c r="H3044" s="13">
        <v>2211800</v>
      </c>
      <c r="I3044" s="13">
        <v>0</v>
      </c>
      <c r="J3044" s="13">
        <v>0</v>
      </c>
      <c r="K3044" s="13">
        <v>1904</v>
      </c>
      <c r="L3044" s="13">
        <v>25</v>
      </c>
      <c r="M3044" s="13">
        <v>721</v>
      </c>
      <c r="N3044" s="13">
        <v>217</v>
      </c>
      <c r="O3044" s="13">
        <v>34</v>
      </c>
      <c r="P3044" s="13">
        <v>1</v>
      </c>
      <c r="Q3044" s="13">
        <v>65</v>
      </c>
      <c r="R3044" s="13">
        <v>0</v>
      </c>
      <c r="S3044" s="13">
        <v>0</v>
      </c>
      <c r="T3044" s="23">
        <v>46247.804375</v>
      </c>
      <c r="U3044" s="55">
        <f t="shared" si="141"/>
        <v>1.1666666666666667</v>
      </c>
      <c r="V3044" s="55">
        <f t="shared" si="142"/>
        <v>0</v>
      </c>
      <c r="W3044" s="56">
        <f t="shared" si="143"/>
        <v>2002.1666666666667</v>
      </c>
    </row>
    <row r="3045" spans="1:23" x14ac:dyDescent="0.3">
      <c r="A3045" s="13" t="str" cm="1">
        <f t="array" ref="A3045:B3045">INDEX(BenchmarkResults!$B$1:$D$35,SUMPRODUCT((T3045&gt;=BenchmarkResults!$F$3:$F$35)*(mongodb_hardware_log!T3045&lt;BenchmarkResults!$G$3:$G$35)*ROW(BenchmarkResults!$F$3:$F$35)),{1,3})</f>
        <v>q6_inactive_customers</v>
      </c>
      <c r="B3045">
        <v>3</v>
      </c>
      <c r="C3045" s="13">
        <v>2</v>
      </c>
      <c r="D3045" s="13">
        <v>0</v>
      </c>
      <c r="E3045" s="13">
        <v>181248</v>
      </c>
      <c r="F3045" s="13">
        <v>133940</v>
      </c>
      <c r="G3045" s="13">
        <v>9404</v>
      </c>
      <c r="H3045" s="13">
        <v>2228800</v>
      </c>
      <c r="I3045" s="13">
        <v>0</v>
      </c>
      <c r="J3045" s="13">
        <v>0</v>
      </c>
      <c r="K3045" s="13">
        <v>2068</v>
      </c>
      <c r="L3045" s="13">
        <v>20</v>
      </c>
      <c r="M3045" s="13">
        <v>725</v>
      </c>
      <c r="N3045" s="13">
        <v>217</v>
      </c>
      <c r="O3045" s="13">
        <v>34</v>
      </c>
      <c r="P3045" s="13">
        <v>1</v>
      </c>
      <c r="Q3045" s="13">
        <v>65</v>
      </c>
      <c r="R3045" s="13">
        <v>0</v>
      </c>
      <c r="S3045" s="13">
        <v>0</v>
      </c>
      <c r="T3045" s="23">
        <v>46247.804479166669</v>
      </c>
      <c r="U3045" s="55">
        <f t="shared" si="141"/>
        <v>1.3333333333333333</v>
      </c>
      <c r="V3045" s="55">
        <f t="shared" si="142"/>
        <v>0</v>
      </c>
      <c r="W3045" s="56">
        <f t="shared" si="143"/>
        <v>2002.3333333333333</v>
      </c>
    </row>
    <row r="3046" spans="1:23" x14ac:dyDescent="0.3">
      <c r="A3046" s="13" t="str" cm="1">
        <f t="array" ref="A3046:B3046">INDEX(BenchmarkResults!$B$1:$D$35,SUMPRODUCT((T3046&gt;=BenchmarkResults!$F$3:$F$35)*(mongodb_hardware_log!T3046&lt;BenchmarkResults!$G$3:$G$35)*ROW(BenchmarkResults!$F$3:$F$35)),{1,3})</f>
        <v>q6_inactive_customers</v>
      </c>
      <c r="B3046">
        <v>3</v>
      </c>
      <c r="C3046" s="13">
        <v>1</v>
      </c>
      <c r="D3046" s="13">
        <v>0</v>
      </c>
      <c r="E3046" s="13">
        <v>181248</v>
      </c>
      <c r="F3046" s="13">
        <v>130916</v>
      </c>
      <c r="G3046" s="13">
        <v>9412</v>
      </c>
      <c r="H3046" s="13">
        <v>2231600</v>
      </c>
      <c r="I3046" s="13">
        <v>0</v>
      </c>
      <c r="J3046" s="13">
        <v>0</v>
      </c>
      <c r="K3046" s="13">
        <v>1980</v>
      </c>
      <c r="L3046" s="13">
        <v>27</v>
      </c>
      <c r="M3046" s="13">
        <v>718</v>
      </c>
      <c r="N3046" s="13">
        <v>211</v>
      </c>
      <c r="O3046" s="13">
        <v>34</v>
      </c>
      <c r="P3046" s="13">
        <v>1</v>
      </c>
      <c r="Q3046" s="13">
        <v>65</v>
      </c>
      <c r="R3046" s="13">
        <v>0</v>
      </c>
      <c r="S3046" s="13">
        <v>0</v>
      </c>
      <c r="T3046" s="23">
        <v>46247.804490740738</v>
      </c>
      <c r="U3046" s="55">
        <f t="shared" si="141"/>
        <v>1.3333333333333333</v>
      </c>
      <c r="V3046" s="55">
        <f t="shared" si="142"/>
        <v>0</v>
      </c>
      <c r="W3046" s="56">
        <f t="shared" si="143"/>
        <v>2019.8333333333333</v>
      </c>
    </row>
    <row r="3047" spans="1:23" x14ac:dyDescent="0.3">
      <c r="A3047" s="13" t="str" cm="1">
        <f t="array" ref="A3047:B3047">INDEX(BenchmarkResults!$B$1:$D$35,SUMPRODUCT((T3047&gt;=BenchmarkResults!$F$3:$F$35)*(mongodb_hardware_log!T3047&lt;BenchmarkResults!$G$3:$G$35)*ROW(BenchmarkResults!$F$3:$F$35)),{1,3})</f>
        <v>q6_inactive_customers</v>
      </c>
      <c r="B3047">
        <v>3</v>
      </c>
      <c r="C3047" s="13">
        <v>3</v>
      </c>
      <c r="D3047" s="13">
        <v>0</v>
      </c>
      <c r="E3047" s="13">
        <v>181248</v>
      </c>
      <c r="F3047" s="13">
        <v>113676</v>
      </c>
      <c r="G3047" s="13">
        <v>9420</v>
      </c>
      <c r="H3047" s="13">
        <v>2247932</v>
      </c>
      <c r="I3047" s="13">
        <v>0</v>
      </c>
      <c r="J3047" s="13">
        <v>0</v>
      </c>
      <c r="K3047" s="13">
        <v>1918</v>
      </c>
      <c r="L3047" s="13">
        <v>27</v>
      </c>
      <c r="M3047" s="13">
        <v>717</v>
      </c>
      <c r="N3047" s="13">
        <v>213</v>
      </c>
      <c r="O3047" s="13">
        <v>34</v>
      </c>
      <c r="P3047" s="13">
        <v>1</v>
      </c>
      <c r="Q3047" s="13">
        <v>64</v>
      </c>
      <c r="R3047" s="13">
        <v>0</v>
      </c>
      <c r="S3047" s="13">
        <v>0</v>
      </c>
      <c r="T3047" s="23">
        <v>46247.804594907408</v>
      </c>
      <c r="U3047" s="55">
        <f t="shared" si="141"/>
        <v>1.6666666666666667</v>
      </c>
      <c r="V3047" s="55">
        <f t="shared" si="142"/>
        <v>0</v>
      </c>
      <c r="W3047" s="56">
        <f t="shared" si="143"/>
        <v>1988.5</v>
      </c>
    </row>
    <row r="3048" spans="1:23" x14ac:dyDescent="0.3">
      <c r="A3048" s="13" t="str" cm="1">
        <f t="array" ref="A3048:B3048">INDEX(BenchmarkResults!$B$1:$D$35,SUMPRODUCT((T3048&gt;=BenchmarkResults!$F$3:$F$35)*(mongodb_hardware_log!T3048&lt;BenchmarkResults!$G$3:$G$35)*ROW(BenchmarkResults!$F$3:$F$35)),{1,3})</f>
        <v>q6_inactive_customers</v>
      </c>
      <c r="B3048">
        <v>3</v>
      </c>
      <c r="C3048" s="13">
        <v>1</v>
      </c>
      <c r="D3048" s="13">
        <v>0</v>
      </c>
      <c r="E3048" s="13">
        <v>181248</v>
      </c>
      <c r="F3048" s="13">
        <v>170008</v>
      </c>
      <c r="G3048" s="13">
        <v>9420</v>
      </c>
      <c r="H3048" s="13">
        <v>2210188</v>
      </c>
      <c r="I3048" s="13">
        <v>0</v>
      </c>
      <c r="J3048" s="13">
        <v>0</v>
      </c>
      <c r="K3048" s="13">
        <v>1634</v>
      </c>
      <c r="L3048" s="13">
        <v>20</v>
      </c>
      <c r="M3048" s="13">
        <v>704</v>
      </c>
      <c r="N3048" s="13">
        <v>202</v>
      </c>
      <c r="O3048" s="13">
        <v>34</v>
      </c>
      <c r="P3048" s="13">
        <v>1</v>
      </c>
      <c r="Q3048" s="13">
        <v>64</v>
      </c>
      <c r="R3048" s="13">
        <v>0</v>
      </c>
      <c r="S3048" s="13">
        <v>0</v>
      </c>
      <c r="T3048" s="23">
        <v>46247.804606481484</v>
      </c>
      <c r="U3048" s="55">
        <f t="shared" si="141"/>
        <v>1.6666666666666667</v>
      </c>
      <c r="V3048" s="55">
        <f t="shared" si="142"/>
        <v>0</v>
      </c>
      <c r="W3048" s="56">
        <f t="shared" si="143"/>
        <v>1896.3333333333333</v>
      </c>
    </row>
    <row r="3049" spans="1:23" x14ac:dyDescent="0.3">
      <c r="A3049" s="13" t="str" cm="1">
        <f t="array" ref="A3049:B3049">INDEX(BenchmarkResults!$B$1:$D$35,SUMPRODUCT((T3049&gt;=BenchmarkResults!$F$3:$F$35)*(mongodb_hardware_log!T3049&lt;BenchmarkResults!$G$3:$G$35)*ROW(BenchmarkResults!$F$3:$F$35)),{1,3})</f>
        <v>q6_inactive_customers</v>
      </c>
      <c r="B3049">
        <v>3</v>
      </c>
      <c r="C3049" s="13">
        <v>3</v>
      </c>
      <c r="D3049" s="13">
        <v>0</v>
      </c>
      <c r="E3049" s="13">
        <v>181248</v>
      </c>
      <c r="F3049" s="13">
        <v>146124</v>
      </c>
      <c r="G3049" s="13">
        <v>9428</v>
      </c>
      <c r="H3049" s="13">
        <v>2233340</v>
      </c>
      <c r="I3049" s="13">
        <v>0</v>
      </c>
      <c r="J3049" s="13">
        <v>0</v>
      </c>
      <c r="K3049" s="13">
        <v>1697</v>
      </c>
      <c r="L3049" s="13">
        <v>8</v>
      </c>
      <c r="M3049" s="13">
        <v>701</v>
      </c>
      <c r="N3049" s="13">
        <v>196</v>
      </c>
      <c r="O3049" s="13">
        <v>33</v>
      </c>
      <c r="P3049" s="13">
        <v>1</v>
      </c>
      <c r="Q3049" s="13">
        <v>65</v>
      </c>
      <c r="R3049" s="13">
        <v>0</v>
      </c>
      <c r="S3049" s="13">
        <v>0</v>
      </c>
      <c r="T3049" s="23">
        <v>46247.804710648146</v>
      </c>
      <c r="U3049" s="55">
        <f t="shared" si="141"/>
        <v>1.8333333333333333</v>
      </c>
      <c r="V3049" s="55">
        <f t="shared" si="142"/>
        <v>0</v>
      </c>
      <c r="W3049" s="56">
        <f t="shared" si="143"/>
        <v>1866.8333333333333</v>
      </c>
    </row>
    <row r="3050" spans="1:23" x14ac:dyDescent="0.3">
      <c r="A3050" s="13" t="str" cm="1">
        <f t="array" ref="A3050:B3050">INDEX(BenchmarkResults!$B$1:$D$35,SUMPRODUCT((T3050&gt;=BenchmarkResults!$F$3:$F$35)*(mongodb_hardware_log!T3050&lt;BenchmarkResults!$G$3:$G$35)*ROW(BenchmarkResults!$F$3:$F$35)),{1,3})</f>
        <v>q6_inactive_customers</v>
      </c>
      <c r="B3050">
        <v>3</v>
      </c>
      <c r="C3050" s="13">
        <v>1</v>
      </c>
      <c r="D3050" s="13">
        <v>0</v>
      </c>
      <c r="E3050" s="13">
        <v>181248</v>
      </c>
      <c r="F3050" s="13">
        <v>138060</v>
      </c>
      <c r="G3050" s="13">
        <v>9436</v>
      </c>
      <c r="H3050" s="13">
        <v>2236536</v>
      </c>
      <c r="I3050" s="13">
        <v>0</v>
      </c>
      <c r="J3050" s="13">
        <v>0</v>
      </c>
      <c r="K3050" s="13">
        <v>2020</v>
      </c>
      <c r="L3050" s="13">
        <v>14</v>
      </c>
      <c r="M3050" s="13">
        <v>721</v>
      </c>
      <c r="N3050" s="13">
        <v>216</v>
      </c>
      <c r="O3050" s="13">
        <v>33</v>
      </c>
      <c r="P3050" s="13">
        <v>1</v>
      </c>
      <c r="Q3050" s="13">
        <v>65</v>
      </c>
      <c r="R3050" s="13">
        <v>0</v>
      </c>
      <c r="S3050" s="13">
        <v>0</v>
      </c>
      <c r="T3050" s="23">
        <v>46247.804722222223</v>
      </c>
      <c r="U3050" s="55">
        <f t="shared" si="141"/>
        <v>1.8333333333333333</v>
      </c>
      <c r="V3050" s="55">
        <f t="shared" si="142"/>
        <v>0</v>
      </c>
      <c r="W3050" s="56">
        <f t="shared" si="143"/>
        <v>1886.1666666666667</v>
      </c>
    </row>
    <row r="3051" spans="1:23" x14ac:dyDescent="0.3">
      <c r="A3051" s="13" t="str" cm="1">
        <f t="array" ref="A3051:B3051">INDEX(BenchmarkResults!$B$1:$D$35,SUMPRODUCT((T3051&gt;=BenchmarkResults!$F$3:$F$35)*(mongodb_hardware_log!T3051&lt;BenchmarkResults!$G$3:$G$35)*ROW(BenchmarkResults!$F$3:$F$35)),{1,3})</f>
        <v>q6_inactive_customers</v>
      </c>
      <c r="B3051">
        <v>3</v>
      </c>
      <c r="C3051" s="13">
        <v>4</v>
      </c>
      <c r="D3051" s="13">
        <v>0</v>
      </c>
      <c r="E3051" s="13">
        <v>181248</v>
      </c>
      <c r="F3051" s="13">
        <v>123948</v>
      </c>
      <c r="G3051" s="13">
        <v>9444</v>
      </c>
      <c r="H3051" s="13">
        <v>2253408</v>
      </c>
      <c r="I3051" s="13">
        <v>0</v>
      </c>
      <c r="J3051" s="13">
        <v>0</v>
      </c>
      <c r="K3051" s="13">
        <v>2006</v>
      </c>
      <c r="L3051" s="13">
        <v>1579</v>
      </c>
      <c r="M3051" s="13">
        <v>726</v>
      </c>
      <c r="N3051" s="13">
        <v>216</v>
      </c>
      <c r="O3051" s="13">
        <v>33</v>
      </c>
      <c r="P3051" s="13">
        <v>1</v>
      </c>
      <c r="Q3051" s="13">
        <v>63</v>
      </c>
      <c r="R3051" s="13">
        <v>2</v>
      </c>
      <c r="S3051" s="13">
        <v>0</v>
      </c>
      <c r="T3051" s="23">
        <v>46247.804826388892</v>
      </c>
      <c r="U3051" s="55">
        <f t="shared" si="141"/>
        <v>2.1666666666666665</v>
      </c>
      <c r="V3051" s="55">
        <f t="shared" si="142"/>
        <v>0</v>
      </c>
      <c r="W3051" s="56">
        <f t="shared" si="143"/>
        <v>1875.8333333333333</v>
      </c>
    </row>
    <row r="3052" spans="1:23" x14ac:dyDescent="0.3">
      <c r="A3052" s="13" t="str" cm="1">
        <f t="array" ref="A3052:B3052">INDEX(BenchmarkResults!$B$1:$D$35,SUMPRODUCT((T3052&gt;=BenchmarkResults!$F$3:$F$35)*(mongodb_hardware_log!T3052&lt;BenchmarkResults!$G$3:$G$35)*ROW(BenchmarkResults!$F$3:$F$35)),{1,3})</f>
        <v>q6_inactive_customers</v>
      </c>
      <c r="B3052">
        <v>3</v>
      </c>
      <c r="C3052" s="13">
        <v>1</v>
      </c>
      <c r="D3052" s="13">
        <v>0</v>
      </c>
      <c r="E3052" s="13">
        <v>181248</v>
      </c>
      <c r="F3052" s="13">
        <v>123948</v>
      </c>
      <c r="G3052" s="13">
        <v>9444</v>
      </c>
      <c r="H3052" s="13">
        <v>2257340</v>
      </c>
      <c r="I3052" s="13">
        <v>0</v>
      </c>
      <c r="J3052" s="13">
        <v>0</v>
      </c>
      <c r="K3052" s="13">
        <v>2080</v>
      </c>
      <c r="L3052" s="13">
        <v>1574</v>
      </c>
      <c r="M3052" s="13">
        <v>729</v>
      </c>
      <c r="N3052" s="13">
        <v>215</v>
      </c>
      <c r="O3052" s="13">
        <v>33</v>
      </c>
      <c r="P3052" s="13">
        <v>1</v>
      </c>
      <c r="Q3052" s="13">
        <v>63</v>
      </c>
      <c r="R3052" s="13">
        <v>2</v>
      </c>
      <c r="S3052" s="13">
        <v>0</v>
      </c>
      <c r="T3052" s="23">
        <v>46247.804837962962</v>
      </c>
      <c r="U3052" s="55">
        <f t="shared" si="141"/>
        <v>2.1666666666666665</v>
      </c>
      <c r="V3052" s="55">
        <f t="shared" si="142"/>
        <v>0</v>
      </c>
      <c r="W3052" s="56">
        <f t="shared" si="143"/>
        <v>1892.5</v>
      </c>
    </row>
    <row r="3053" spans="1:23" x14ac:dyDescent="0.3">
      <c r="A3053" s="13" t="str" cm="1">
        <f t="array" ref="A3053:B3053">INDEX(BenchmarkResults!$B$1:$D$35,SUMPRODUCT((T3053&gt;=BenchmarkResults!$F$3:$F$35)*(mongodb_hardware_log!T3053&lt;BenchmarkResults!$G$3:$G$35)*ROW(BenchmarkResults!$F$3:$F$35)),{1,3})</f>
        <v>q6_inactive_customers</v>
      </c>
      <c r="B3053">
        <v>3</v>
      </c>
      <c r="C3053" s="13">
        <v>7</v>
      </c>
      <c r="D3053" s="13">
        <v>0</v>
      </c>
      <c r="E3053" s="13">
        <v>181248</v>
      </c>
      <c r="F3053" s="13">
        <v>109300</v>
      </c>
      <c r="G3053" s="13">
        <v>9452</v>
      </c>
      <c r="H3053" s="13">
        <v>2272184</v>
      </c>
      <c r="I3053" s="13">
        <v>0</v>
      </c>
      <c r="J3053" s="13">
        <v>0</v>
      </c>
      <c r="K3053" s="13">
        <v>1883</v>
      </c>
      <c r="L3053" s="13">
        <v>7</v>
      </c>
      <c r="M3053" s="13">
        <v>733</v>
      </c>
      <c r="N3053" s="13">
        <v>213</v>
      </c>
      <c r="O3053" s="13">
        <v>34</v>
      </c>
      <c r="P3053" s="13">
        <v>1</v>
      </c>
      <c r="Q3053" s="13">
        <v>65</v>
      </c>
      <c r="R3053" s="13">
        <v>0</v>
      </c>
      <c r="S3053" s="13">
        <v>0</v>
      </c>
      <c r="T3053" s="23">
        <v>46247.804942129631</v>
      </c>
      <c r="U3053" s="55">
        <f t="shared" si="141"/>
        <v>2.8333333333333335</v>
      </c>
      <c r="V3053" s="55">
        <f t="shared" si="142"/>
        <v>0</v>
      </c>
      <c r="W3053" s="56">
        <f t="shared" si="143"/>
        <v>1886.6666666666667</v>
      </c>
    </row>
    <row r="3054" spans="1:23" x14ac:dyDescent="0.3">
      <c r="A3054" s="13" t="str" cm="1">
        <f t="array" ref="A3054:B3054">INDEX(BenchmarkResults!$B$1:$D$35,SUMPRODUCT((T3054&gt;=BenchmarkResults!$F$3:$F$35)*(mongodb_hardware_log!T3054&lt;BenchmarkResults!$G$3:$G$35)*ROW(BenchmarkResults!$F$3:$F$35)),{1,3})</f>
        <v>q6_inactive_customers</v>
      </c>
      <c r="B3054">
        <v>3</v>
      </c>
      <c r="C3054" s="13">
        <v>1</v>
      </c>
      <c r="D3054" s="13">
        <v>0</v>
      </c>
      <c r="E3054" s="13">
        <v>181248</v>
      </c>
      <c r="F3054" s="13">
        <v>105268</v>
      </c>
      <c r="G3054" s="13">
        <v>9460</v>
      </c>
      <c r="H3054" s="13">
        <v>2276168</v>
      </c>
      <c r="I3054" s="13">
        <v>0</v>
      </c>
      <c r="J3054" s="13">
        <v>0</v>
      </c>
      <c r="K3054" s="13">
        <v>1888</v>
      </c>
      <c r="L3054" s="13">
        <v>8</v>
      </c>
      <c r="M3054" s="13">
        <v>728</v>
      </c>
      <c r="N3054" s="13">
        <v>211</v>
      </c>
      <c r="O3054" s="13">
        <v>34</v>
      </c>
      <c r="P3054" s="13">
        <v>1</v>
      </c>
      <c r="Q3054" s="13">
        <v>65</v>
      </c>
      <c r="R3054" s="13">
        <v>0</v>
      </c>
      <c r="S3054" s="13">
        <v>0</v>
      </c>
      <c r="T3054" s="23">
        <v>46247.8049537037</v>
      </c>
      <c r="U3054" s="55">
        <f t="shared" si="141"/>
        <v>2.8333333333333335</v>
      </c>
      <c r="V3054" s="55">
        <f t="shared" si="142"/>
        <v>0</v>
      </c>
      <c r="W3054" s="56">
        <f t="shared" si="143"/>
        <v>1929</v>
      </c>
    </row>
    <row r="3055" spans="1:23" x14ac:dyDescent="0.3">
      <c r="A3055" s="13" t="str" cm="1">
        <f t="array" ref="A3055:B3055">INDEX(BenchmarkResults!$B$1:$D$35,SUMPRODUCT((T3055&gt;=BenchmarkResults!$F$3:$F$35)*(mongodb_hardware_log!T3055&lt;BenchmarkResults!$G$3:$G$35)*ROW(BenchmarkResults!$F$3:$F$35)),{1,3})</f>
        <v>q6_inactive_customers</v>
      </c>
      <c r="B3055">
        <v>3</v>
      </c>
      <c r="C3055" s="13">
        <v>1</v>
      </c>
      <c r="D3055" s="13">
        <v>0</v>
      </c>
      <c r="E3055" s="13">
        <v>181248</v>
      </c>
      <c r="F3055" s="13">
        <v>743012</v>
      </c>
      <c r="G3055" s="13">
        <v>9508</v>
      </c>
      <c r="H3055" s="13">
        <v>1624708</v>
      </c>
      <c r="I3055" s="13">
        <v>0</v>
      </c>
      <c r="J3055" s="13">
        <v>0</v>
      </c>
      <c r="K3055" s="13">
        <v>1194</v>
      </c>
      <c r="L3055" s="13">
        <v>32</v>
      </c>
      <c r="M3055" s="13">
        <v>1030</v>
      </c>
      <c r="N3055" s="13">
        <v>472</v>
      </c>
      <c r="O3055" s="13">
        <v>39</v>
      </c>
      <c r="P3055" s="13">
        <v>11</v>
      </c>
      <c r="Q3055" s="13">
        <v>50</v>
      </c>
      <c r="R3055" s="13">
        <v>0</v>
      </c>
      <c r="S3055" s="13">
        <v>0</v>
      </c>
      <c r="T3055" s="23">
        <v>46247.80505787037</v>
      </c>
      <c r="U3055" s="55">
        <f t="shared" si="141"/>
        <v>2.5</v>
      </c>
      <c r="V3055" s="55">
        <f t="shared" si="142"/>
        <v>0</v>
      </c>
      <c r="W3055" s="56">
        <f t="shared" si="143"/>
        <v>1845.1666666666667</v>
      </c>
    </row>
    <row r="3056" spans="1:23" x14ac:dyDescent="0.3">
      <c r="A3056" s="13" t="str" cm="1">
        <f t="array" ref="A3056:B3056">INDEX(BenchmarkResults!$B$1:$D$35,SUMPRODUCT((T3056&gt;=BenchmarkResults!$F$3:$F$35)*(mongodb_hardware_log!T3056&lt;BenchmarkResults!$G$3:$G$35)*ROW(BenchmarkResults!$F$3:$F$35)),{1,3})</f>
        <v>q6_inactive_customers</v>
      </c>
      <c r="B3056">
        <v>3</v>
      </c>
      <c r="C3056" s="13">
        <v>1</v>
      </c>
      <c r="D3056" s="13">
        <v>0</v>
      </c>
      <c r="E3056" s="13">
        <v>181248</v>
      </c>
      <c r="F3056" s="13">
        <v>735480</v>
      </c>
      <c r="G3056" s="13">
        <v>9508</v>
      </c>
      <c r="H3056" s="13">
        <v>1629720</v>
      </c>
      <c r="I3056" s="13">
        <v>0</v>
      </c>
      <c r="J3056" s="13">
        <v>0</v>
      </c>
      <c r="K3056" s="13">
        <v>1296</v>
      </c>
      <c r="L3056" s="13">
        <v>30</v>
      </c>
      <c r="M3056" s="13">
        <v>1069</v>
      </c>
      <c r="N3056" s="13">
        <v>514</v>
      </c>
      <c r="O3056" s="13">
        <v>39</v>
      </c>
      <c r="P3056" s="13">
        <v>11</v>
      </c>
      <c r="Q3056" s="13">
        <v>50</v>
      </c>
      <c r="R3056" s="13">
        <v>0</v>
      </c>
      <c r="S3056" s="13">
        <v>0</v>
      </c>
      <c r="T3056" s="23">
        <v>46247.805069444446</v>
      </c>
      <c r="U3056" s="55">
        <f t="shared" si="141"/>
        <v>2.5</v>
      </c>
      <c r="V3056" s="55">
        <f t="shared" si="142"/>
        <v>0</v>
      </c>
      <c r="W3056" s="56">
        <f t="shared" si="143"/>
        <v>1724.5</v>
      </c>
    </row>
    <row r="3057" spans="1:23" x14ac:dyDescent="0.3">
      <c r="A3057" s="13" t="str" cm="1">
        <f t="array" ref="A3057:B3057">INDEX(BenchmarkResults!$B$1:$D$35,SUMPRODUCT((T3057&gt;=BenchmarkResults!$F$3:$F$35)*(mongodb_hardware_log!T3057&lt;BenchmarkResults!$G$3:$G$35)*ROW(BenchmarkResults!$F$3:$F$35)),{1,3})</f>
        <v>q6_inactive_customers</v>
      </c>
      <c r="B3057">
        <v>3</v>
      </c>
      <c r="C3057" s="13">
        <v>1</v>
      </c>
      <c r="D3057" s="13">
        <v>0</v>
      </c>
      <c r="E3057" s="13">
        <v>181248</v>
      </c>
      <c r="F3057" s="13">
        <v>719100</v>
      </c>
      <c r="G3057" s="13">
        <v>9516</v>
      </c>
      <c r="H3057" s="13">
        <v>1644208</v>
      </c>
      <c r="I3057" s="13">
        <v>0</v>
      </c>
      <c r="J3057" s="13">
        <v>0</v>
      </c>
      <c r="K3057" s="13">
        <v>1952</v>
      </c>
      <c r="L3057" s="13">
        <v>4</v>
      </c>
      <c r="M3057" s="13">
        <v>806</v>
      </c>
      <c r="N3057" s="13">
        <v>297</v>
      </c>
      <c r="O3057" s="13">
        <v>33</v>
      </c>
      <c r="P3057" s="13">
        <v>2</v>
      </c>
      <c r="Q3057" s="13">
        <v>64</v>
      </c>
      <c r="R3057" s="13">
        <v>1</v>
      </c>
      <c r="S3057" s="13">
        <v>0</v>
      </c>
      <c r="T3057" s="23">
        <v>46247.805173611108</v>
      </c>
      <c r="U3057" s="55">
        <f t="shared" si="141"/>
        <v>2</v>
      </c>
      <c r="V3057" s="55">
        <f t="shared" si="142"/>
        <v>0</v>
      </c>
      <c r="W3057" s="56">
        <f t="shared" si="143"/>
        <v>1715.5</v>
      </c>
    </row>
    <row r="3058" spans="1:23" x14ac:dyDescent="0.3">
      <c r="A3058" s="13" t="str" cm="1">
        <f t="array" ref="A3058:B3058">INDEX(BenchmarkResults!$B$1:$D$35,SUMPRODUCT((T3058&gt;=BenchmarkResults!$F$3:$F$35)*(mongodb_hardware_log!T3058&lt;BenchmarkResults!$G$3:$G$35)*ROW(BenchmarkResults!$F$3:$F$35)),{1,3})</f>
        <v>q6_inactive_customers</v>
      </c>
      <c r="B3058">
        <v>3</v>
      </c>
      <c r="C3058" s="13">
        <v>1</v>
      </c>
      <c r="D3058" s="13">
        <v>0</v>
      </c>
      <c r="E3058" s="13">
        <v>181248</v>
      </c>
      <c r="F3058" s="13">
        <v>711036</v>
      </c>
      <c r="G3058" s="13">
        <v>9524</v>
      </c>
      <c r="H3058" s="13">
        <v>1646764</v>
      </c>
      <c r="I3058" s="13">
        <v>0</v>
      </c>
      <c r="J3058" s="13">
        <v>0</v>
      </c>
      <c r="K3058" s="13">
        <v>1706</v>
      </c>
      <c r="L3058" s="13">
        <v>14</v>
      </c>
      <c r="M3058" s="13">
        <v>767</v>
      </c>
      <c r="N3058" s="13">
        <v>257</v>
      </c>
      <c r="O3058" s="13">
        <v>34</v>
      </c>
      <c r="P3058" s="13">
        <v>1</v>
      </c>
      <c r="Q3058" s="13">
        <v>64</v>
      </c>
      <c r="R3058" s="13">
        <v>1</v>
      </c>
      <c r="S3058" s="13">
        <v>0</v>
      </c>
      <c r="T3058" s="23">
        <v>46247.805185185185</v>
      </c>
      <c r="U3058" s="55">
        <f t="shared" si="141"/>
        <v>2</v>
      </c>
      <c r="V3058" s="55">
        <f t="shared" si="142"/>
        <v>0</v>
      </c>
      <c r="W3058" s="56">
        <f t="shared" si="143"/>
        <v>1653.1666666666667</v>
      </c>
    </row>
    <row r="3059" spans="1:23" x14ac:dyDescent="0.3">
      <c r="A3059" s="13" t="str" cm="1">
        <f t="array" ref="A3059:B3059">INDEX(BenchmarkResults!$B$1:$D$35,SUMPRODUCT((T3059&gt;=BenchmarkResults!$F$3:$F$35)*(mongodb_hardware_log!T3059&lt;BenchmarkResults!$G$3:$G$35)*ROW(BenchmarkResults!$F$3:$F$35)),{1,3})</f>
        <v>q6_inactive_customers</v>
      </c>
      <c r="B3059">
        <v>3</v>
      </c>
      <c r="C3059" s="13">
        <v>1</v>
      </c>
      <c r="D3059" s="13">
        <v>0</v>
      </c>
      <c r="E3059" s="13">
        <v>181248</v>
      </c>
      <c r="F3059" s="13">
        <v>679284</v>
      </c>
      <c r="G3059" s="13">
        <v>9532</v>
      </c>
      <c r="H3059" s="13">
        <v>1673096</v>
      </c>
      <c r="I3059" s="13">
        <v>0</v>
      </c>
      <c r="J3059" s="13">
        <v>0</v>
      </c>
      <c r="K3059" s="13">
        <v>1300</v>
      </c>
      <c r="L3059" s="13">
        <v>26</v>
      </c>
      <c r="M3059" s="13">
        <v>684</v>
      </c>
      <c r="N3059" s="13">
        <v>181</v>
      </c>
      <c r="O3059" s="13">
        <v>33</v>
      </c>
      <c r="P3059" s="13">
        <v>1</v>
      </c>
      <c r="Q3059" s="13">
        <v>65</v>
      </c>
      <c r="R3059" s="13">
        <v>0</v>
      </c>
      <c r="S3059" s="13">
        <v>0</v>
      </c>
      <c r="T3059" s="23">
        <v>46247.805289351854</v>
      </c>
      <c r="U3059" s="55">
        <f t="shared" si="141"/>
        <v>1</v>
      </c>
      <c r="V3059" s="55">
        <f t="shared" si="142"/>
        <v>0</v>
      </c>
      <c r="W3059" s="56">
        <f t="shared" si="143"/>
        <v>1556</v>
      </c>
    </row>
    <row r="3060" spans="1:23" x14ac:dyDescent="0.3">
      <c r="A3060" s="13" t="str" cm="1">
        <f t="array" ref="A3060:B3060">INDEX(BenchmarkResults!$B$1:$D$35,SUMPRODUCT((T3060&gt;=BenchmarkResults!$F$3:$F$35)*(mongodb_hardware_log!T3060&lt;BenchmarkResults!$G$3:$G$35)*ROW(BenchmarkResults!$F$3:$F$35)),{1,3})</f>
        <v>q6_inactive_customers</v>
      </c>
      <c r="B3060">
        <v>3</v>
      </c>
      <c r="C3060" s="13">
        <v>1</v>
      </c>
      <c r="D3060" s="13">
        <v>0</v>
      </c>
      <c r="E3060" s="13">
        <v>181248</v>
      </c>
      <c r="F3060" s="13">
        <v>679284</v>
      </c>
      <c r="G3060" s="13">
        <v>9532</v>
      </c>
      <c r="H3060" s="13">
        <v>1677672</v>
      </c>
      <c r="I3060" s="13">
        <v>0</v>
      </c>
      <c r="J3060" s="13">
        <v>0</v>
      </c>
      <c r="K3060" s="13">
        <v>1502</v>
      </c>
      <c r="L3060" s="13">
        <v>18</v>
      </c>
      <c r="M3060" s="13">
        <v>681</v>
      </c>
      <c r="N3060" s="13">
        <v>177</v>
      </c>
      <c r="O3060" s="13">
        <v>33</v>
      </c>
      <c r="P3060" s="13">
        <v>2</v>
      </c>
      <c r="Q3060" s="13">
        <v>65</v>
      </c>
      <c r="R3060" s="13">
        <v>0</v>
      </c>
      <c r="S3060" s="13">
        <v>0</v>
      </c>
      <c r="T3060" s="23">
        <v>46247.805300925924</v>
      </c>
      <c r="U3060" s="55">
        <f t="shared" si="141"/>
        <v>1</v>
      </c>
      <c r="V3060" s="55">
        <f t="shared" si="142"/>
        <v>0</v>
      </c>
      <c r="W3060" s="56">
        <f t="shared" si="143"/>
        <v>1491.6666666666667</v>
      </c>
    </row>
    <row r="3061" spans="1:23" x14ac:dyDescent="0.3">
      <c r="A3061" s="13" t="str" cm="1">
        <f t="array" ref="A3061:B3061">INDEX(BenchmarkResults!$B$1:$D$35,SUMPRODUCT((T3061&gt;=BenchmarkResults!$F$3:$F$35)*(mongodb_hardware_log!T3061&lt;BenchmarkResults!$G$3:$G$35)*ROW(BenchmarkResults!$F$3:$F$35)),{1,3})</f>
        <v>q6_inactive_customers</v>
      </c>
      <c r="B3061">
        <v>3</v>
      </c>
      <c r="C3061" s="13">
        <v>1</v>
      </c>
      <c r="D3061" s="13">
        <v>0</v>
      </c>
      <c r="E3061" s="13">
        <v>181248</v>
      </c>
      <c r="F3061" s="13">
        <v>673180</v>
      </c>
      <c r="G3061" s="13">
        <v>9540</v>
      </c>
      <c r="H3061" s="13">
        <v>1693572</v>
      </c>
      <c r="I3061" s="13">
        <v>0</v>
      </c>
      <c r="J3061" s="13">
        <v>0</v>
      </c>
      <c r="K3061" s="13">
        <v>2045</v>
      </c>
      <c r="L3061" s="13">
        <v>7</v>
      </c>
      <c r="M3061" s="13">
        <v>722</v>
      </c>
      <c r="N3061" s="13">
        <v>218</v>
      </c>
      <c r="O3061" s="13">
        <v>34</v>
      </c>
      <c r="P3061" s="13">
        <v>1</v>
      </c>
      <c r="Q3061" s="13">
        <v>65</v>
      </c>
      <c r="R3061" s="13">
        <v>0</v>
      </c>
      <c r="S3061" s="13">
        <v>0</v>
      </c>
      <c r="T3061" s="23">
        <v>46247.805405092593</v>
      </c>
      <c r="U3061" s="55">
        <f t="shared" si="141"/>
        <v>1</v>
      </c>
      <c r="V3061" s="55">
        <f t="shared" si="142"/>
        <v>0</v>
      </c>
      <c r="W3061" s="56">
        <f t="shared" si="143"/>
        <v>1633.5</v>
      </c>
    </row>
    <row r="3062" spans="1:23" x14ac:dyDescent="0.3">
      <c r="A3062" s="13" t="str" cm="1">
        <f t="array" ref="A3062:B3062">INDEX(BenchmarkResults!$B$1:$D$35,SUMPRODUCT((T3062&gt;=BenchmarkResults!$F$3:$F$35)*(mongodb_hardware_log!T3062&lt;BenchmarkResults!$G$3:$G$35)*ROW(BenchmarkResults!$F$3:$F$35)),{1,3})</f>
        <v>q6_inactive_customers</v>
      </c>
      <c r="B3062">
        <v>3</v>
      </c>
      <c r="C3062" s="13">
        <v>1</v>
      </c>
      <c r="D3062" s="13">
        <v>0</v>
      </c>
      <c r="E3062" s="13">
        <v>181248</v>
      </c>
      <c r="F3062" s="13">
        <v>667888</v>
      </c>
      <c r="G3062" s="13">
        <v>9548</v>
      </c>
      <c r="H3062" s="13">
        <v>1698056</v>
      </c>
      <c r="I3062" s="13">
        <v>0</v>
      </c>
      <c r="J3062" s="13">
        <v>0</v>
      </c>
      <c r="K3062" s="13">
        <v>2031</v>
      </c>
      <c r="L3062" s="13">
        <v>11</v>
      </c>
      <c r="M3062" s="13">
        <v>722</v>
      </c>
      <c r="N3062" s="13">
        <v>221</v>
      </c>
      <c r="O3062" s="13">
        <v>33</v>
      </c>
      <c r="P3062" s="13">
        <v>1</v>
      </c>
      <c r="Q3062" s="13">
        <v>65</v>
      </c>
      <c r="R3062" s="13">
        <v>0</v>
      </c>
      <c r="S3062" s="13">
        <v>0</v>
      </c>
      <c r="T3062" s="23">
        <v>46247.80541666667</v>
      </c>
      <c r="U3062" s="55">
        <f t="shared" si="141"/>
        <v>1</v>
      </c>
      <c r="V3062" s="55">
        <f t="shared" si="142"/>
        <v>0</v>
      </c>
      <c r="W3062" s="56">
        <f t="shared" si="143"/>
        <v>1756</v>
      </c>
    </row>
    <row r="3063" spans="1:23" x14ac:dyDescent="0.3">
      <c r="A3063" s="13" t="str" cm="1">
        <f t="array" ref="A3063:B3063">INDEX(BenchmarkResults!$B$1:$D$35,SUMPRODUCT((T3063&gt;=BenchmarkResults!$F$3:$F$35)*(mongodb_hardware_log!T3063&lt;BenchmarkResults!$G$3:$G$35)*ROW(BenchmarkResults!$F$3:$F$35)),{1,3})</f>
        <v>q6_inactive_customers</v>
      </c>
      <c r="B3063">
        <v>3</v>
      </c>
      <c r="C3063" s="13">
        <v>1</v>
      </c>
      <c r="D3063" s="13">
        <v>0</v>
      </c>
      <c r="E3063" s="13">
        <v>181248</v>
      </c>
      <c r="F3063" s="13">
        <v>653272</v>
      </c>
      <c r="G3063" s="13">
        <v>9556</v>
      </c>
      <c r="H3063" s="13">
        <v>1713344</v>
      </c>
      <c r="I3063" s="13">
        <v>8</v>
      </c>
      <c r="J3063" s="13">
        <v>0</v>
      </c>
      <c r="K3063" s="13">
        <v>1982</v>
      </c>
      <c r="L3063" s="13">
        <v>14</v>
      </c>
      <c r="M3063" s="13">
        <v>721</v>
      </c>
      <c r="N3063" s="13">
        <v>213</v>
      </c>
      <c r="O3063" s="13">
        <v>33</v>
      </c>
      <c r="P3063" s="13">
        <v>2</v>
      </c>
      <c r="Q3063" s="13">
        <v>65</v>
      </c>
      <c r="R3063" s="13">
        <v>0</v>
      </c>
      <c r="S3063" s="13">
        <v>0</v>
      </c>
      <c r="T3063" s="23">
        <v>46247.805520833332</v>
      </c>
      <c r="U3063" s="55">
        <f t="shared" si="141"/>
        <v>1</v>
      </c>
      <c r="V3063" s="55">
        <f t="shared" si="142"/>
        <v>0</v>
      </c>
      <c r="W3063" s="56">
        <f t="shared" si="143"/>
        <v>1761</v>
      </c>
    </row>
    <row r="3064" spans="1:23" x14ac:dyDescent="0.3">
      <c r="A3064" s="13" t="str" cm="1">
        <f t="array" ref="A3064:B3064">INDEX(BenchmarkResults!$B$1:$D$35,SUMPRODUCT((T3064&gt;=BenchmarkResults!$F$3:$F$35)*(mongodb_hardware_log!T3064&lt;BenchmarkResults!$G$3:$G$35)*ROW(BenchmarkResults!$F$3:$F$35)),{1,3})</f>
        <v>q6_inactive_customers</v>
      </c>
      <c r="B3064">
        <v>3</v>
      </c>
      <c r="C3064" s="13">
        <v>1</v>
      </c>
      <c r="D3064" s="13">
        <v>0</v>
      </c>
      <c r="E3064" s="13">
        <v>181248</v>
      </c>
      <c r="F3064" s="13">
        <v>648768</v>
      </c>
      <c r="G3064" s="13">
        <v>9556</v>
      </c>
      <c r="H3064" s="13">
        <v>1716948</v>
      </c>
      <c r="I3064" s="13">
        <v>8</v>
      </c>
      <c r="J3064" s="13">
        <v>0</v>
      </c>
      <c r="K3064" s="13">
        <v>1903</v>
      </c>
      <c r="L3064" s="13">
        <v>15</v>
      </c>
      <c r="M3064" s="13">
        <v>720</v>
      </c>
      <c r="N3064" s="13">
        <v>211</v>
      </c>
      <c r="O3064" s="13">
        <v>33</v>
      </c>
      <c r="P3064" s="13">
        <v>2</v>
      </c>
      <c r="Q3064" s="13">
        <v>65</v>
      </c>
      <c r="R3064" s="13">
        <v>0</v>
      </c>
      <c r="S3064" s="13">
        <v>0</v>
      </c>
      <c r="T3064" s="23">
        <v>46247.805532407408</v>
      </c>
      <c r="U3064" s="55">
        <f t="shared" si="141"/>
        <v>1</v>
      </c>
      <c r="V3064" s="55">
        <f t="shared" si="142"/>
        <v>0</v>
      </c>
      <c r="W3064" s="56">
        <f t="shared" si="143"/>
        <v>1793.8333333333333</v>
      </c>
    </row>
    <row r="3065" spans="1:23" x14ac:dyDescent="0.3">
      <c r="A3065" s="13" t="str" cm="1">
        <f t="array" ref="A3065:B3065">INDEX(BenchmarkResults!$B$1:$D$35,SUMPRODUCT((T3065&gt;=BenchmarkResults!$F$3:$F$35)*(mongodb_hardware_log!T3065&lt;BenchmarkResults!$G$3:$G$35)*ROW(BenchmarkResults!$F$3:$F$35)),{1,3})</f>
        <v>q6_inactive_customers</v>
      </c>
      <c r="B3065">
        <v>3</v>
      </c>
      <c r="C3065" s="13">
        <v>1</v>
      </c>
      <c r="D3065" s="13">
        <v>0</v>
      </c>
      <c r="E3065" s="13">
        <v>181248</v>
      </c>
      <c r="F3065" s="13">
        <v>639976</v>
      </c>
      <c r="G3065" s="13">
        <v>9564</v>
      </c>
      <c r="H3065" s="13">
        <v>1731940</v>
      </c>
      <c r="I3065" s="13">
        <v>0</v>
      </c>
      <c r="J3065" s="13">
        <v>0</v>
      </c>
      <c r="K3065" s="13">
        <v>1862</v>
      </c>
      <c r="L3065" s="13">
        <v>26</v>
      </c>
      <c r="M3065" s="13">
        <v>743</v>
      </c>
      <c r="N3065" s="13">
        <v>225</v>
      </c>
      <c r="O3065" s="13">
        <v>34</v>
      </c>
      <c r="P3065" s="13">
        <v>2</v>
      </c>
      <c r="Q3065" s="13">
        <v>64</v>
      </c>
      <c r="R3065" s="13">
        <v>0</v>
      </c>
      <c r="S3065" s="13">
        <v>0</v>
      </c>
      <c r="T3065" s="23">
        <v>46247.805636574078</v>
      </c>
      <c r="U3065" s="55">
        <f t="shared" si="141"/>
        <v>1</v>
      </c>
      <c r="V3065" s="55">
        <f t="shared" si="142"/>
        <v>0</v>
      </c>
      <c r="W3065" s="56">
        <f t="shared" si="143"/>
        <v>1887.5</v>
      </c>
    </row>
    <row r="3066" spans="1:23" x14ac:dyDescent="0.3">
      <c r="A3066" s="13" t="str" cm="1">
        <f t="array" ref="A3066:B3066">INDEX(BenchmarkResults!$B$1:$D$35,SUMPRODUCT((T3066&gt;=BenchmarkResults!$F$3:$F$35)*(mongodb_hardware_log!T3066&lt;BenchmarkResults!$G$3:$G$35)*ROW(BenchmarkResults!$F$3:$F$35)),{1,3})</f>
        <v>q6_inactive_customers</v>
      </c>
      <c r="B3066">
        <v>3</v>
      </c>
      <c r="C3066" s="13">
        <v>1</v>
      </c>
      <c r="D3066" s="13">
        <v>0</v>
      </c>
      <c r="E3066" s="13">
        <v>181248</v>
      </c>
      <c r="F3066" s="13">
        <v>644532</v>
      </c>
      <c r="G3066" s="13">
        <v>9572</v>
      </c>
      <c r="H3066" s="13">
        <v>1735396</v>
      </c>
      <c r="I3066" s="13">
        <v>0</v>
      </c>
      <c r="J3066" s="13">
        <v>0</v>
      </c>
      <c r="K3066" s="13">
        <v>1848</v>
      </c>
      <c r="L3066" s="13">
        <v>26</v>
      </c>
      <c r="M3066" s="13">
        <v>745</v>
      </c>
      <c r="N3066" s="13">
        <v>228</v>
      </c>
      <c r="O3066" s="13">
        <v>33</v>
      </c>
      <c r="P3066" s="13">
        <v>2</v>
      </c>
      <c r="Q3066" s="13">
        <v>64</v>
      </c>
      <c r="R3066" s="13">
        <v>0</v>
      </c>
      <c r="S3066" s="13">
        <v>0</v>
      </c>
      <c r="T3066" s="23">
        <v>46247.805648148147</v>
      </c>
      <c r="U3066" s="55">
        <f t="shared" si="141"/>
        <v>1</v>
      </c>
      <c r="V3066" s="55">
        <f t="shared" si="142"/>
        <v>0</v>
      </c>
      <c r="W3066" s="56">
        <f t="shared" si="143"/>
        <v>1945.1666666666667</v>
      </c>
    </row>
    <row r="3067" spans="1:23" x14ac:dyDescent="0.3">
      <c r="A3067" s="13" t="str" cm="1">
        <f t="array" ref="A3067:B3067">INDEX(BenchmarkResults!$B$1:$D$35,SUMPRODUCT((T3067&gt;=BenchmarkResults!$F$3:$F$35)*(mongodb_hardware_log!T3067&lt;BenchmarkResults!$G$3:$G$35)*ROW(BenchmarkResults!$F$3:$F$35)),{1,3})</f>
        <v>q6_inactive_customers</v>
      </c>
      <c r="B3067">
        <v>3</v>
      </c>
      <c r="C3067" s="13">
        <v>1</v>
      </c>
      <c r="D3067" s="13">
        <v>0</v>
      </c>
      <c r="E3067" s="13">
        <v>181248</v>
      </c>
      <c r="F3067" s="13">
        <v>626952</v>
      </c>
      <c r="G3067" s="13">
        <v>9600</v>
      </c>
      <c r="H3067" s="13">
        <v>1752292</v>
      </c>
      <c r="I3067" s="13">
        <v>0</v>
      </c>
      <c r="J3067" s="13">
        <v>0</v>
      </c>
      <c r="K3067" s="13">
        <v>2032</v>
      </c>
      <c r="L3067" s="13">
        <v>1604</v>
      </c>
      <c r="M3067" s="13">
        <v>743</v>
      </c>
      <c r="N3067" s="13">
        <v>230</v>
      </c>
      <c r="O3067" s="13">
        <v>33</v>
      </c>
      <c r="P3067" s="13">
        <v>2</v>
      </c>
      <c r="Q3067" s="13">
        <v>62</v>
      </c>
      <c r="R3067" s="13">
        <v>3</v>
      </c>
      <c r="S3067" s="13">
        <v>0</v>
      </c>
      <c r="T3067" s="23">
        <v>46247.805752314816</v>
      </c>
      <c r="U3067" s="55">
        <f t="shared" si="141"/>
        <v>1</v>
      </c>
      <c r="V3067" s="55">
        <f t="shared" si="142"/>
        <v>0</v>
      </c>
      <c r="W3067" s="56">
        <f t="shared" si="143"/>
        <v>1943</v>
      </c>
    </row>
    <row r="3068" spans="1:23" x14ac:dyDescent="0.3">
      <c r="A3068" s="13" t="str" cm="1">
        <f t="array" ref="A3068:B3068">INDEX(BenchmarkResults!$B$1:$D$35,SUMPRODUCT((T3068&gt;=BenchmarkResults!$F$3:$F$35)*(mongodb_hardware_log!T3068&lt;BenchmarkResults!$G$3:$G$35)*ROW(BenchmarkResults!$F$3:$F$35)),{1,3})</f>
        <v>q6_inactive_customers</v>
      </c>
      <c r="B3068">
        <v>3</v>
      </c>
      <c r="C3068" s="13">
        <v>1</v>
      </c>
      <c r="D3068" s="13">
        <v>0</v>
      </c>
      <c r="E3068" s="13">
        <v>181248</v>
      </c>
      <c r="F3068" s="13">
        <v>623928</v>
      </c>
      <c r="G3068" s="13">
        <v>9600</v>
      </c>
      <c r="H3068" s="13">
        <v>1754736</v>
      </c>
      <c r="I3068" s="13">
        <v>0</v>
      </c>
      <c r="J3068" s="13">
        <v>0</v>
      </c>
      <c r="K3068" s="13">
        <v>1924</v>
      </c>
      <c r="L3068" s="13">
        <v>1598</v>
      </c>
      <c r="M3068" s="13">
        <v>740</v>
      </c>
      <c r="N3068" s="13">
        <v>227</v>
      </c>
      <c r="O3068" s="13">
        <v>33</v>
      </c>
      <c r="P3068" s="13">
        <v>2</v>
      </c>
      <c r="Q3068" s="13">
        <v>63</v>
      </c>
      <c r="R3068" s="13">
        <v>3</v>
      </c>
      <c r="S3068" s="13">
        <v>0</v>
      </c>
      <c r="T3068" s="23">
        <v>46247.805763888886</v>
      </c>
      <c r="U3068" s="55">
        <f t="shared" si="141"/>
        <v>1</v>
      </c>
      <c r="V3068" s="55">
        <f t="shared" si="142"/>
        <v>0</v>
      </c>
      <c r="W3068" s="56">
        <f t="shared" si="143"/>
        <v>1925.1666666666667</v>
      </c>
    </row>
    <row r="3069" spans="1:23" x14ac:dyDescent="0.3">
      <c r="A3069" s="13" t="str" cm="1">
        <f t="array" ref="A3069:B3069">INDEX(BenchmarkResults!$B$1:$D$35,SUMPRODUCT((T3069&gt;=BenchmarkResults!$F$3:$F$35)*(mongodb_hardware_log!T3069&lt;BenchmarkResults!$G$3:$G$35)*ROW(BenchmarkResults!$F$3:$F$35)),{1,3})</f>
        <v>q6_inactive_customers</v>
      </c>
      <c r="B3069">
        <v>3</v>
      </c>
      <c r="C3069" s="13">
        <v>1</v>
      </c>
      <c r="D3069" s="13">
        <v>0</v>
      </c>
      <c r="E3069" s="13">
        <v>181248</v>
      </c>
      <c r="F3069" s="13">
        <v>602760</v>
      </c>
      <c r="G3069" s="13">
        <v>9608</v>
      </c>
      <c r="H3069" s="13">
        <v>1773764</v>
      </c>
      <c r="I3069" s="13">
        <v>0</v>
      </c>
      <c r="J3069" s="13">
        <v>0</v>
      </c>
      <c r="K3069" s="13">
        <v>2148</v>
      </c>
      <c r="L3069" s="13">
        <v>5</v>
      </c>
      <c r="M3069" s="13">
        <v>732</v>
      </c>
      <c r="N3069" s="13">
        <v>216</v>
      </c>
      <c r="O3069" s="13">
        <v>33</v>
      </c>
      <c r="P3069" s="13">
        <v>1</v>
      </c>
      <c r="Q3069" s="13">
        <v>65</v>
      </c>
      <c r="R3069" s="13">
        <v>1</v>
      </c>
      <c r="S3069" s="13">
        <v>0</v>
      </c>
      <c r="T3069" s="23">
        <v>46247.805868055555</v>
      </c>
      <c r="U3069" s="55">
        <f t="shared" si="141"/>
        <v>1</v>
      </c>
      <c r="V3069" s="55">
        <f t="shared" si="142"/>
        <v>0</v>
      </c>
      <c r="W3069" s="56">
        <f t="shared" si="143"/>
        <v>1952.8333333333333</v>
      </c>
    </row>
    <row r="3070" spans="1:23" x14ac:dyDescent="0.3">
      <c r="A3070" s="13" t="str" cm="1">
        <f t="array" ref="A3070:B3070">INDEX(BenchmarkResults!$B$1:$D$35,SUMPRODUCT((T3070&gt;=BenchmarkResults!$F$3:$F$35)*(mongodb_hardware_log!T3070&lt;BenchmarkResults!$G$3:$G$35)*ROW(BenchmarkResults!$F$3:$F$35)),{1,3})</f>
        <v>q6_inactive_customers</v>
      </c>
      <c r="B3070">
        <v>3</v>
      </c>
      <c r="C3070" s="13">
        <v>1</v>
      </c>
      <c r="D3070" s="13">
        <v>0</v>
      </c>
      <c r="E3070" s="13">
        <v>181248</v>
      </c>
      <c r="F3070" s="13">
        <v>598728</v>
      </c>
      <c r="G3070" s="13">
        <v>9616</v>
      </c>
      <c r="H3070" s="13">
        <v>1777820</v>
      </c>
      <c r="I3070" s="13">
        <v>0</v>
      </c>
      <c r="J3070" s="13">
        <v>0</v>
      </c>
      <c r="K3070" s="13">
        <v>2033</v>
      </c>
      <c r="L3070" s="13">
        <v>11</v>
      </c>
      <c r="M3070" s="13">
        <v>724</v>
      </c>
      <c r="N3070" s="13">
        <v>209</v>
      </c>
      <c r="O3070" s="13">
        <v>33</v>
      </c>
      <c r="P3070" s="13">
        <v>1</v>
      </c>
      <c r="Q3070" s="13">
        <v>65</v>
      </c>
      <c r="R3070" s="13">
        <v>1</v>
      </c>
      <c r="S3070" s="13">
        <v>0</v>
      </c>
      <c r="T3070" s="23">
        <v>46247.805879629632</v>
      </c>
      <c r="U3070" s="55">
        <f t="shared" si="141"/>
        <v>1</v>
      </c>
      <c r="V3070" s="55">
        <f t="shared" si="142"/>
        <v>0</v>
      </c>
      <c r="W3070" s="56">
        <f t="shared" si="143"/>
        <v>1974.5</v>
      </c>
    </row>
    <row r="3071" spans="1:23" x14ac:dyDescent="0.3">
      <c r="A3071" s="13" t="str" cm="1">
        <f t="array" ref="A3071:B3071">INDEX(BenchmarkResults!$B$1:$D$35,SUMPRODUCT((T3071&gt;=BenchmarkResults!$F$3:$F$35)*(mongodb_hardware_log!T3071&lt;BenchmarkResults!$G$3:$G$35)*ROW(BenchmarkResults!$F$3:$F$35)),{1,3})</f>
        <v>q6_inactive_customers</v>
      </c>
      <c r="B3071">
        <v>3</v>
      </c>
      <c r="C3071" s="13">
        <v>1</v>
      </c>
      <c r="D3071" s="13">
        <v>0</v>
      </c>
      <c r="E3071" s="13">
        <v>179968</v>
      </c>
      <c r="F3071" s="13">
        <v>569284</v>
      </c>
      <c r="G3071" s="13">
        <v>9624</v>
      </c>
      <c r="H3071" s="13">
        <v>1800312</v>
      </c>
      <c r="I3071" s="13">
        <v>0</v>
      </c>
      <c r="J3071" s="13">
        <v>0</v>
      </c>
      <c r="K3071" s="13">
        <v>1053</v>
      </c>
      <c r="L3071" s="13">
        <v>25</v>
      </c>
      <c r="M3071" s="13">
        <v>695</v>
      </c>
      <c r="N3071" s="13">
        <v>188</v>
      </c>
      <c r="O3071" s="13">
        <v>33</v>
      </c>
      <c r="P3071" s="13">
        <v>2</v>
      </c>
      <c r="Q3071" s="13">
        <v>65</v>
      </c>
      <c r="R3071" s="13">
        <v>0</v>
      </c>
      <c r="S3071" s="13">
        <v>0</v>
      </c>
      <c r="T3071" s="23">
        <v>46247.805983796294</v>
      </c>
      <c r="U3071" s="55">
        <f t="shared" si="141"/>
        <v>1</v>
      </c>
      <c r="V3071" s="55">
        <f t="shared" si="142"/>
        <v>0</v>
      </c>
      <c r="W3071" s="56">
        <f t="shared" si="143"/>
        <v>1839.6666666666667</v>
      </c>
    </row>
    <row r="3072" spans="1:23" x14ac:dyDescent="0.3">
      <c r="A3072" s="13" t="str" cm="1">
        <f t="array" ref="A3072:B3072">INDEX(BenchmarkResults!$B$1:$D$35,SUMPRODUCT((T3072&gt;=BenchmarkResults!$F$3:$F$35)*(mongodb_hardware_log!T3072&lt;BenchmarkResults!$G$3:$G$35)*ROW(BenchmarkResults!$F$3:$F$35)),{1,3})</f>
        <v>q6_inactive_customers</v>
      </c>
      <c r="B3072">
        <v>3</v>
      </c>
      <c r="C3072" s="13">
        <v>1</v>
      </c>
      <c r="D3072" s="13">
        <v>0</v>
      </c>
      <c r="E3072" s="13">
        <v>179968</v>
      </c>
      <c r="F3072" s="13">
        <v>569284</v>
      </c>
      <c r="G3072" s="13">
        <v>9624</v>
      </c>
      <c r="H3072" s="13">
        <v>1802296</v>
      </c>
      <c r="I3072" s="13">
        <v>0</v>
      </c>
      <c r="J3072" s="13">
        <v>0</v>
      </c>
      <c r="K3072" s="13">
        <v>1123</v>
      </c>
      <c r="L3072" s="13">
        <v>19</v>
      </c>
      <c r="M3072" s="13">
        <v>703</v>
      </c>
      <c r="N3072" s="13">
        <v>192</v>
      </c>
      <c r="O3072" s="13">
        <v>33</v>
      </c>
      <c r="P3072" s="13">
        <v>2</v>
      </c>
      <c r="Q3072" s="13">
        <v>65</v>
      </c>
      <c r="R3072" s="13">
        <v>0</v>
      </c>
      <c r="S3072" s="13">
        <v>0</v>
      </c>
      <c r="T3072" s="23">
        <v>46247.805995370371</v>
      </c>
      <c r="U3072" s="55">
        <f t="shared" si="141"/>
        <v>1</v>
      </c>
      <c r="V3072" s="55">
        <f t="shared" si="142"/>
        <v>0</v>
      </c>
      <c r="W3072" s="56">
        <f t="shared" si="143"/>
        <v>1718.8333333333333</v>
      </c>
    </row>
    <row r="3073" spans="1:23" x14ac:dyDescent="0.3">
      <c r="A3073" s="13" t="str" cm="1">
        <f t="array" ref="A3073:B3073">INDEX(BenchmarkResults!$B$1:$D$35,SUMPRODUCT((T3073&gt;=BenchmarkResults!$F$3:$F$35)*(mongodb_hardware_log!T3073&lt;BenchmarkResults!$G$3:$G$35)*ROW(BenchmarkResults!$F$3:$F$35)),{1,3})</f>
        <v>q6_inactive_customers</v>
      </c>
      <c r="B3073">
        <v>3</v>
      </c>
      <c r="C3073" s="13">
        <v>1</v>
      </c>
      <c r="D3073" s="13">
        <v>0</v>
      </c>
      <c r="E3073" s="13">
        <v>179968</v>
      </c>
      <c r="F3073" s="13">
        <v>552932</v>
      </c>
      <c r="G3073" s="13">
        <v>9640</v>
      </c>
      <c r="H3073" s="13">
        <v>1819936</v>
      </c>
      <c r="I3073" s="13">
        <v>0</v>
      </c>
      <c r="J3073" s="13">
        <v>0</v>
      </c>
      <c r="K3073" s="13">
        <v>1969</v>
      </c>
      <c r="L3073" s="13">
        <v>1568</v>
      </c>
      <c r="M3073" s="13">
        <v>728</v>
      </c>
      <c r="N3073" s="13">
        <v>213</v>
      </c>
      <c r="O3073" s="13">
        <v>33</v>
      </c>
      <c r="P3073" s="13">
        <v>2</v>
      </c>
      <c r="Q3073" s="13">
        <v>63</v>
      </c>
      <c r="R3073" s="13">
        <v>3</v>
      </c>
      <c r="S3073" s="13">
        <v>0</v>
      </c>
      <c r="T3073" s="23">
        <v>46247.80609953704</v>
      </c>
      <c r="U3073" s="55">
        <f t="shared" si="141"/>
        <v>1</v>
      </c>
      <c r="V3073" s="55">
        <f t="shared" si="142"/>
        <v>0</v>
      </c>
      <c r="W3073" s="56">
        <f t="shared" si="143"/>
        <v>1708.3333333333333</v>
      </c>
    </row>
    <row r="3074" spans="1:23" x14ac:dyDescent="0.3">
      <c r="A3074" s="13" t="str" cm="1">
        <f t="array" ref="A3074:B3074">INDEX(BenchmarkResults!$B$1:$D$35,SUMPRODUCT((T3074&gt;=BenchmarkResults!$F$3:$F$35)*(mongodb_hardware_log!T3074&lt;BenchmarkResults!$G$3:$G$35)*ROW(BenchmarkResults!$F$3:$F$35)),{1,3})</f>
        <v>q6_inactive_customers</v>
      </c>
      <c r="B3074">
        <v>3</v>
      </c>
      <c r="C3074" s="13">
        <v>0</v>
      </c>
      <c r="D3074" s="13">
        <v>1</v>
      </c>
      <c r="E3074" s="13">
        <v>179968</v>
      </c>
      <c r="F3074" s="13">
        <v>552932</v>
      </c>
      <c r="G3074" s="13">
        <v>9640</v>
      </c>
      <c r="H3074" s="13">
        <v>1822812</v>
      </c>
      <c r="I3074" s="13">
        <v>0</v>
      </c>
      <c r="J3074" s="13">
        <v>0</v>
      </c>
      <c r="K3074" s="13">
        <v>2060</v>
      </c>
      <c r="L3074" s="13">
        <v>1569</v>
      </c>
      <c r="M3074" s="13">
        <v>731</v>
      </c>
      <c r="N3074" s="13">
        <v>216</v>
      </c>
      <c r="O3074" s="13">
        <v>33</v>
      </c>
      <c r="P3074" s="13">
        <v>2</v>
      </c>
      <c r="Q3074" s="13">
        <v>63</v>
      </c>
      <c r="R3074" s="13">
        <v>3</v>
      </c>
      <c r="S3074" s="13">
        <v>0</v>
      </c>
      <c r="T3074" s="23">
        <v>46247.806111111109</v>
      </c>
      <c r="U3074" s="55">
        <f t="shared" si="141"/>
        <v>0.83333333333333337</v>
      </c>
      <c r="V3074" s="55">
        <f t="shared" si="142"/>
        <v>0.16666666666666666</v>
      </c>
      <c r="W3074" s="56">
        <f t="shared" si="143"/>
        <v>1731</v>
      </c>
    </row>
    <row r="3075" spans="1:23" x14ac:dyDescent="0.3">
      <c r="A3075" s="13" t="str" cm="1">
        <f t="array" ref="A3075:B3075">INDEX(BenchmarkResults!$B$1:$D$35,SUMPRODUCT((T3075&gt;=BenchmarkResults!$F$3:$F$35)*(mongodb_hardware_log!T3075&lt;BenchmarkResults!$G$3:$G$35)*ROW(BenchmarkResults!$F$3:$F$35)),{1,3})</f>
        <v>q6_inactive_customers</v>
      </c>
      <c r="B3075">
        <v>3</v>
      </c>
      <c r="C3075" s="13">
        <v>1</v>
      </c>
      <c r="D3075" s="13">
        <v>0</v>
      </c>
      <c r="E3075" s="13">
        <v>179968</v>
      </c>
      <c r="F3075" s="13">
        <v>539104</v>
      </c>
      <c r="G3075" s="13">
        <v>9648</v>
      </c>
      <c r="H3075" s="13">
        <v>1838552</v>
      </c>
      <c r="I3075" s="13">
        <v>0</v>
      </c>
      <c r="J3075" s="13">
        <v>0</v>
      </c>
      <c r="K3075" s="13">
        <v>1861</v>
      </c>
      <c r="L3075" s="13">
        <v>10</v>
      </c>
      <c r="M3075" s="13">
        <v>733</v>
      </c>
      <c r="N3075" s="13">
        <v>221</v>
      </c>
      <c r="O3075" s="13">
        <v>34</v>
      </c>
      <c r="P3075" s="13">
        <v>2</v>
      </c>
      <c r="Q3075" s="13">
        <v>64</v>
      </c>
      <c r="R3075" s="13">
        <v>0</v>
      </c>
      <c r="S3075" s="13">
        <v>0</v>
      </c>
      <c r="T3075" s="23">
        <v>46247.806215277778</v>
      </c>
      <c r="U3075" s="55">
        <f t="shared" si="141"/>
        <v>0.83333333333333337</v>
      </c>
      <c r="V3075" s="55">
        <f t="shared" si="142"/>
        <v>0.16666666666666666</v>
      </c>
      <c r="W3075" s="56">
        <f t="shared" si="143"/>
        <v>1683.1666666666667</v>
      </c>
    </row>
    <row r="3076" spans="1:23" x14ac:dyDescent="0.3">
      <c r="A3076" s="13" t="str" cm="1">
        <f t="array" ref="A3076:B3076">INDEX(BenchmarkResults!$B$1:$D$35,SUMPRODUCT((T3076&gt;=BenchmarkResults!$F$3:$F$35)*(mongodb_hardware_log!T3076&lt;BenchmarkResults!$G$3:$G$35)*ROW(BenchmarkResults!$F$3:$F$35)),{1,3})</f>
        <v>q6_inactive_customers</v>
      </c>
      <c r="B3076">
        <v>3</v>
      </c>
      <c r="C3076" s="13">
        <v>1</v>
      </c>
      <c r="D3076" s="13">
        <v>0</v>
      </c>
      <c r="E3076" s="13">
        <v>179968</v>
      </c>
      <c r="F3076" s="13">
        <v>535072</v>
      </c>
      <c r="G3076" s="13">
        <v>9656</v>
      </c>
      <c r="H3076" s="13">
        <v>1842016</v>
      </c>
      <c r="I3076" s="13">
        <v>0</v>
      </c>
      <c r="J3076" s="13">
        <v>0</v>
      </c>
      <c r="K3076" s="13">
        <v>1922</v>
      </c>
      <c r="L3076" s="13">
        <v>16</v>
      </c>
      <c r="M3076" s="13">
        <v>728</v>
      </c>
      <c r="N3076" s="13">
        <v>219</v>
      </c>
      <c r="O3076" s="13">
        <v>34</v>
      </c>
      <c r="P3076" s="13">
        <v>2</v>
      </c>
      <c r="Q3076" s="13">
        <v>64</v>
      </c>
      <c r="R3076" s="13">
        <v>0</v>
      </c>
      <c r="S3076" s="13">
        <v>0</v>
      </c>
      <c r="T3076" s="23">
        <v>46247.806226851855</v>
      </c>
      <c r="U3076" s="55">
        <f t="shared" si="141"/>
        <v>0.83333333333333337</v>
      </c>
      <c r="V3076" s="55">
        <f t="shared" si="142"/>
        <v>0.16666666666666666</v>
      </c>
      <c r="W3076" s="56">
        <f t="shared" si="143"/>
        <v>1664.6666666666667</v>
      </c>
    </row>
    <row r="3077" spans="1:23" x14ac:dyDescent="0.3">
      <c r="A3077" s="13" t="str" cm="1">
        <f t="array" ref="A3077:B3077">INDEX(BenchmarkResults!$B$1:$D$35,SUMPRODUCT((T3077&gt;=BenchmarkResults!$F$3:$F$35)*(mongodb_hardware_log!T3077&lt;BenchmarkResults!$G$3:$G$35)*ROW(BenchmarkResults!$F$3:$F$35)),{1,3})</f>
        <v>q6_inactive_customers</v>
      </c>
      <c r="B3077">
        <v>3</v>
      </c>
      <c r="C3077" s="13">
        <v>1</v>
      </c>
      <c r="D3077" s="13">
        <v>0</v>
      </c>
      <c r="E3077" s="13">
        <v>179968</v>
      </c>
      <c r="F3077" s="13">
        <v>521872</v>
      </c>
      <c r="G3077" s="13">
        <v>9664</v>
      </c>
      <c r="H3077" s="13">
        <v>1858328</v>
      </c>
      <c r="I3077" s="13">
        <v>0</v>
      </c>
      <c r="J3077" s="13">
        <v>0</v>
      </c>
      <c r="K3077" s="13">
        <v>1976</v>
      </c>
      <c r="L3077" s="13">
        <v>30</v>
      </c>
      <c r="M3077" s="13">
        <v>735</v>
      </c>
      <c r="N3077" s="13">
        <v>217</v>
      </c>
      <c r="O3077" s="13">
        <v>33</v>
      </c>
      <c r="P3077" s="13">
        <v>1</v>
      </c>
      <c r="Q3077" s="13">
        <v>65</v>
      </c>
      <c r="R3077" s="13">
        <v>0</v>
      </c>
      <c r="S3077" s="13">
        <v>1</v>
      </c>
      <c r="T3077" s="23">
        <v>46247.806331018517</v>
      </c>
      <c r="U3077" s="55">
        <f t="shared" si="141"/>
        <v>0.83333333333333337</v>
      </c>
      <c r="V3077" s="55">
        <f t="shared" si="142"/>
        <v>0.16666666666666666</v>
      </c>
      <c r="W3077" s="56">
        <f t="shared" si="143"/>
        <v>1818.5</v>
      </c>
    </row>
    <row r="3078" spans="1:23" x14ac:dyDescent="0.3">
      <c r="A3078" s="13" t="str" cm="1">
        <f t="array" ref="A3078:B3078">INDEX(BenchmarkResults!$B$1:$D$35,SUMPRODUCT((T3078&gt;=BenchmarkResults!$F$3:$F$35)*(mongodb_hardware_log!T3078&lt;BenchmarkResults!$G$3:$G$35)*ROW(BenchmarkResults!$F$3:$F$35)),{1,3})</f>
        <v>q6_inactive_customers</v>
      </c>
      <c r="B3078">
        <v>3</v>
      </c>
      <c r="C3078" s="13">
        <v>1</v>
      </c>
      <c r="D3078" s="13">
        <v>0</v>
      </c>
      <c r="E3078" s="13">
        <v>179968</v>
      </c>
      <c r="F3078" s="13">
        <v>521872</v>
      </c>
      <c r="G3078" s="13">
        <v>9664</v>
      </c>
      <c r="H3078" s="13">
        <v>1862060</v>
      </c>
      <c r="I3078" s="13">
        <v>0</v>
      </c>
      <c r="J3078" s="13">
        <v>0</v>
      </c>
      <c r="K3078" s="13">
        <v>2007</v>
      </c>
      <c r="L3078" s="13">
        <v>23</v>
      </c>
      <c r="M3078" s="13">
        <v>738</v>
      </c>
      <c r="N3078" s="13">
        <v>216</v>
      </c>
      <c r="O3078" s="13">
        <v>33</v>
      </c>
      <c r="P3078" s="13">
        <v>1</v>
      </c>
      <c r="Q3078" s="13">
        <v>65</v>
      </c>
      <c r="R3078" s="13">
        <v>0</v>
      </c>
      <c r="S3078" s="13">
        <v>1</v>
      </c>
      <c r="T3078" s="23">
        <v>46247.806342592594</v>
      </c>
      <c r="U3078" s="55">
        <f t="shared" si="141"/>
        <v>0.83333333333333337</v>
      </c>
      <c r="V3078" s="55">
        <f t="shared" si="142"/>
        <v>0.16666666666666666</v>
      </c>
      <c r="W3078" s="56">
        <f t="shared" si="143"/>
        <v>1965.8333333333333</v>
      </c>
    </row>
    <row r="3079" spans="1:23" x14ac:dyDescent="0.3">
      <c r="A3079" s="13" t="str" cm="1">
        <f t="array" ref="A3079:B3079">INDEX(BenchmarkResults!$B$1:$D$35,SUMPRODUCT((T3079&gt;=BenchmarkResults!$F$3:$F$35)*(mongodb_hardware_log!T3079&lt;BenchmarkResults!$G$3:$G$35)*ROW(BenchmarkResults!$F$3:$F$35)),{1,3})</f>
        <v>q6_inactive_customers</v>
      </c>
      <c r="B3079">
        <v>3</v>
      </c>
      <c r="C3079" s="13">
        <v>1</v>
      </c>
      <c r="D3079" s="13">
        <v>0</v>
      </c>
      <c r="E3079" s="13">
        <v>179968</v>
      </c>
      <c r="F3079" s="13">
        <v>505492</v>
      </c>
      <c r="G3079" s="13">
        <v>9696</v>
      </c>
      <c r="H3079" s="13">
        <v>1875320</v>
      </c>
      <c r="I3079" s="13">
        <v>0</v>
      </c>
      <c r="J3079" s="13">
        <v>0</v>
      </c>
      <c r="K3079" s="13">
        <v>1707</v>
      </c>
      <c r="L3079" s="13">
        <v>36</v>
      </c>
      <c r="M3079" s="13">
        <v>739</v>
      </c>
      <c r="N3079" s="13">
        <v>214</v>
      </c>
      <c r="O3079" s="13">
        <v>33</v>
      </c>
      <c r="P3079" s="13">
        <v>1</v>
      </c>
      <c r="Q3079" s="13">
        <v>63</v>
      </c>
      <c r="R3079" s="13">
        <v>1</v>
      </c>
      <c r="S3079" s="13">
        <v>2</v>
      </c>
      <c r="T3079" s="23">
        <v>46247.806446759256</v>
      </c>
      <c r="U3079" s="55">
        <f t="shared" si="141"/>
        <v>0.83333333333333337</v>
      </c>
      <c r="V3079" s="55">
        <f t="shared" si="142"/>
        <v>0.16666666666666666</v>
      </c>
      <c r="W3079" s="56">
        <f t="shared" si="143"/>
        <v>1922.1666666666667</v>
      </c>
    </row>
    <row r="3080" spans="1:23" x14ac:dyDescent="0.3">
      <c r="A3080" s="13" t="str" cm="1">
        <f t="array" ref="A3080:B3080">INDEX(BenchmarkResults!$B$1:$D$35,SUMPRODUCT((T3080&gt;=BenchmarkResults!$F$3:$F$35)*(mongodb_hardware_log!T3080&lt;BenchmarkResults!$G$3:$G$35)*ROW(BenchmarkResults!$F$3:$F$35)),{1,3})</f>
        <v>q6_inactive_customers</v>
      </c>
      <c r="B3080">
        <v>3</v>
      </c>
      <c r="C3080" s="13">
        <v>1</v>
      </c>
      <c r="D3080" s="13">
        <v>0</v>
      </c>
      <c r="E3080" s="13">
        <v>179968</v>
      </c>
      <c r="F3080" s="13">
        <v>505492</v>
      </c>
      <c r="G3080" s="13">
        <v>9696</v>
      </c>
      <c r="H3080" s="13">
        <v>1876584</v>
      </c>
      <c r="I3080" s="13">
        <v>0</v>
      </c>
      <c r="J3080" s="13">
        <v>0</v>
      </c>
      <c r="K3080" s="13">
        <v>1446</v>
      </c>
      <c r="L3080" s="13">
        <v>36</v>
      </c>
      <c r="M3080" s="13">
        <v>737</v>
      </c>
      <c r="N3080" s="13">
        <v>215</v>
      </c>
      <c r="O3080" s="13">
        <v>33</v>
      </c>
      <c r="P3080" s="13">
        <v>1</v>
      </c>
      <c r="Q3080" s="13">
        <v>62</v>
      </c>
      <c r="R3080" s="13">
        <v>1</v>
      </c>
      <c r="S3080" s="13">
        <v>2</v>
      </c>
      <c r="T3080" s="23">
        <v>46247.806458333333</v>
      </c>
      <c r="U3080" s="55">
        <f t="shared" si="141"/>
        <v>1</v>
      </c>
      <c r="V3080" s="55">
        <f t="shared" si="142"/>
        <v>0</v>
      </c>
      <c r="W3080" s="56">
        <f t="shared" si="143"/>
        <v>1819.8333333333333</v>
      </c>
    </row>
    <row r="3081" spans="1:23" x14ac:dyDescent="0.3">
      <c r="A3081" s="13" t="str" cm="1">
        <f t="array" ref="A3081:B3081">INDEX(BenchmarkResults!$B$1:$D$35,SUMPRODUCT((T3081&gt;=BenchmarkResults!$F$3:$F$35)*(mongodb_hardware_log!T3081&lt;BenchmarkResults!$G$3:$G$35)*ROW(BenchmarkResults!$F$3:$F$35)),{1,3})</f>
        <v>q6_inactive_customers</v>
      </c>
      <c r="B3081">
        <v>3</v>
      </c>
      <c r="C3081" s="13">
        <v>1</v>
      </c>
      <c r="D3081" s="13">
        <v>0</v>
      </c>
      <c r="E3081" s="13">
        <v>179968</v>
      </c>
      <c r="F3081" s="13">
        <v>482560</v>
      </c>
      <c r="G3081" s="13">
        <v>9704</v>
      </c>
      <c r="H3081" s="13">
        <v>1898184</v>
      </c>
      <c r="I3081" s="13">
        <v>0</v>
      </c>
      <c r="J3081" s="13">
        <v>0</v>
      </c>
      <c r="K3081" s="13">
        <v>1381</v>
      </c>
      <c r="L3081" s="13">
        <v>418</v>
      </c>
      <c r="M3081" s="13">
        <v>701</v>
      </c>
      <c r="N3081" s="13">
        <v>198</v>
      </c>
      <c r="O3081" s="13">
        <v>33</v>
      </c>
      <c r="P3081" s="13">
        <v>1</v>
      </c>
      <c r="Q3081" s="13">
        <v>64</v>
      </c>
      <c r="R3081" s="13">
        <v>0</v>
      </c>
      <c r="S3081" s="13">
        <v>0</v>
      </c>
      <c r="T3081" s="23">
        <v>46247.806562500002</v>
      </c>
      <c r="U3081" s="55">
        <f t="shared" ref="U3081:U3144" si="144">AVERAGE(C3076:C3081)</f>
        <v>1</v>
      </c>
      <c r="V3081" s="55">
        <f t="shared" ref="V3081:V3144" si="145">AVERAGE(D3076:D3081)</f>
        <v>0</v>
      </c>
      <c r="W3081" s="56">
        <f t="shared" ref="W3081:W3144" si="146">AVERAGE(K3076:K3081)</f>
        <v>1739.8333333333333</v>
      </c>
    </row>
    <row r="3082" spans="1:23" x14ac:dyDescent="0.3">
      <c r="A3082" s="13" t="str" cm="1">
        <f t="array" ref="A3082:B3082">INDEX(BenchmarkResults!$B$1:$D$35,SUMPRODUCT((T3082&gt;=BenchmarkResults!$F$3:$F$35)*(mongodb_hardware_log!T3082&lt;BenchmarkResults!$G$3:$G$35)*ROW(BenchmarkResults!$F$3:$F$35)),{1,3})</f>
        <v>q6_inactive_customers</v>
      </c>
      <c r="B3082">
        <v>3</v>
      </c>
      <c r="C3082" s="13">
        <v>1</v>
      </c>
      <c r="D3082" s="13">
        <v>0</v>
      </c>
      <c r="E3082" s="13">
        <v>179968</v>
      </c>
      <c r="F3082" s="13">
        <v>474244</v>
      </c>
      <c r="G3082" s="13">
        <v>9712</v>
      </c>
      <c r="H3082" s="13">
        <v>1906772</v>
      </c>
      <c r="I3082" s="13">
        <v>0</v>
      </c>
      <c r="J3082" s="13">
        <v>0</v>
      </c>
      <c r="K3082" s="13">
        <v>1418</v>
      </c>
      <c r="L3082" s="13">
        <v>424</v>
      </c>
      <c r="M3082" s="13">
        <v>691</v>
      </c>
      <c r="N3082" s="13">
        <v>190</v>
      </c>
      <c r="O3082" s="13">
        <v>33</v>
      </c>
      <c r="P3082" s="13">
        <v>2</v>
      </c>
      <c r="Q3082" s="13">
        <v>65</v>
      </c>
      <c r="R3082" s="13">
        <v>1</v>
      </c>
      <c r="S3082" s="13">
        <v>0</v>
      </c>
      <c r="T3082" s="23">
        <v>46247.806574074071</v>
      </c>
      <c r="U3082" s="55">
        <f t="shared" si="144"/>
        <v>1</v>
      </c>
      <c r="V3082" s="55">
        <f t="shared" si="145"/>
        <v>0</v>
      </c>
      <c r="W3082" s="56">
        <f t="shared" si="146"/>
        <v>1655.8333333333333</v>
      </c>
    </row>
    <row r="3083" spans="1:23" x14ac:dyDescent="0.3">
      <c r="A3083" s="13" t="str" cm="1">
        <f t="array" ref="A3083:B3083">INDEX(BenchmarkResults!$B$1:$D$35,SUMPRODUCT((T3083&gt;=BenchmarkResults!$F$3:$F$35)*(mongodb_hardware_log!T3083&lt;BenchmarkResults!$G$3:$G$35)*ROW(BenchmarkResults!$F$3:$F$35)),{1,3})</f>
        <v>q6_inactive_customers</v>
      </c>
      <c r="B3083">
        <v>3</v>
      </c>
      <c r="C3083" s="13">
        <v>1</v>
      </c>
      <c r="D3083" s="13">
        <v>0</v>
      </c>
      <c r="E3083" s="13">
        <v>179968</v>
      </c>
      <c r="F3083" s="13">
        <v>459628</v>
      </c>
      <c r="G3083" s="13">
        <v>9724</v>
      </c>
      <c r="H3083" s="13">
        <v>1920372</v>
      </c>
      <c r="I3083" s="13">
        <v>0</v>
      </c>
      <c r="J3083" s="13">
        <v>0</v>
      </c>
      <c r="K3083" s="13">
        <v>1525</v>
      </c>
      <c r="L3083" s="13">
        <v>1177</v>
      </c>
      <c r="M3083" s="13">
        <v>712</v>
      </c>
      <c r="N3083" s="13">
        <v>202</v>
      </c>
      <c r="O3083" s="13">
        <v>33</v>
      </c>
      <c r="P3083" s="13">
        <v>1</v>
      </c>
      <c r="Q3083" s="13">
        <v>63</v>
      </c>
      <c r="R3083" s="13">
        <v>2</v>
      </c>
      <c r="S3083" s="13">
        <v>0</v>
      </c>
      <c r="T3083" s="23">
        <v>46247.80667824074</v>
      </c>
      <c r="U3083" s="55">
        <f t="shared" si="144"/>
        <v>1</v>
      </c>
      <c r="V3083" s="55">
        <f t="shared" si="145"/>
        <v>0</v>
      </c>
      <c r="W3083" s="56">
        <f t="shared" si="146"/>
        <v>1580.6666666666667</v>
      </c>
    </row>
    <row r="3084" spans="1:23" x14ac:dyDescent="0.3">
      <c r="A3084" s="13" t="str" cm="1">
        <f t="array" ref="A3084:B3084">INDEX(BenchmarkResults!$B$1:$D$35,SUMPRODUCT((T3084&gt;=BenchmarkResults!$F$3:$F$35)*(mongodb_hardware_log!T3084&lt;BenchmarkResults!$G$3:$G$35)*ROW(BenchmarkResults!$F$3:$F$35)),{1,3})</f>
        <v>q6_inactive_customers</v>
      </c>
      <c r="B3084">
        <v>3</v>
      </c>
      <c r="C3084" s="13">
        <v>1</v>
      </c>
      <c r="D3084" s="13">
        <v>0</v>
      </c>
      <c r="E3084" s="13">
        <v>179968</v>
      </c>
      <c r="F3084" s="13">
        <v>451564</v>
      </c>
      <c r="G3084" s="13">
        <v>9732</v>
      </c>
      <c r="H3084" s="13">
        <v>1924060</v>
      </c>
      <c r="I3084" s="13">
        <v>0</v>
      </c>
      <c r="J3084" s="13">
        <v>0</v>
      </c>
      <c r="K3084" s="13">
        <v>1736</v>
      </c>
      <c r="L3084" s="13">
        <v>1172</v>
      </c>
      <c r="M3084" s="13">
        <v>719</v>
      </c>
      <c r="N3084" s="13">
        <v>207</v>
      </c>
      <c r="O3084" s="13">
        <v>34</v>
      </c>
      <c r="P3084" s="13">
        <v>1</v>
      </c>
      <c r="Q3084" s="13">
        <v>63</v>
      </c>
      <c r="R3084" s="13">
        <v>2</v>
      </c>
      <c r="S3084" s="13">
        <v>0</v>
      </c>
      <c r="T3084" s="23">
        <v>46247.806689814817</v>
      </c>
      <c r="U3084" s="55">
        <f t="shared" si="144"/>
        <v>1</v>
      </c>
      <c r="V3084" s="55">
        <f t="shared" si="145"/>
        <v>0</v>
      </c>
      <c r="W3084" s="56">
        <f t="shared" si="146"/>
        <v>1535.5</v>
      </c>
    </row>
    <row r="3085" spans="1:23" x14ac:dyDescent="0.3">
      <c r="A3085" s="13" t="str" cm="1">
        <f t="array" ref="A3085:B3085">INDEX(BenchmarkResults!$B$1:$D$35,SUMPRODUCT((T3085&gt;=BenchmarkResults!$F$3:$F$35)*(mongodb_hardware_log!T3085&lt;BenchmarkResults!$G$3:$G$35)*ROW(BenchmarkResults!$F$3:$F$35)),{1,3})</f>
        <v>q6_inactive_customers</v>
      </c>
      <c r="B3085">
        <v>3</v>
      </c>
      <c r="C3085" s="13">
        <v>1</v>
      </c>
      <c r="D3085" s="13">
        <v>0</v>
      </c>
      <c r="E3085" s="13">
        <v>179968</v>
      </c>
      <c r="F3085" s="13">
        <v>440504</v>
      </c>
      <c r="G3085" s="13">
        <v>9740</v>
      </c>
      <c r="H3085" s="13">
        <v>1941256</v>
      </c>
      <c r="I3085" s="13">
        <v>0</v>
      </c>
      <c r="J3085" s="13">
        <v>0</v>
      </c>
      <c r="K3085" s="13">
        <v>2080</v>
      </c>
      <c r="L3085" s="13">
        <v>12</v>
      </c>
      <c r="M3085" s="13">
        <v>731</v>
      </c>
      <c r="N3085" s="13">
        <v>225</v>
      </c>
      <c r="O3085" s="13">
        <v>33</v>
      </c>
      <c r="P3085" s="13">
        <v>1</v>
      </c>
      <c r="Q3085" s="13">
        <v>64</v>
      </c>
      <c r="R3085" s="13">
        <v>1</v>
      </c>
      <c r="S3085" s="13">
        <v>0</v>
      </c>
      <c r="T3085" s="23">
        <v>46247.806793981479</v>
      </c>
      <c r="U3085" s="55">
        <f t="shared" si="144"/>
        <v>1</v>
      </c>
      <c r="V3085" s="55">
        <f t="shared" si="145"/>
        <v>0</v>
      </c>
      <c r="W3085" s="56">
        <f t="shared" si="146"/>
        <v>1597.6666666666667</v>
      </c>
    </row>
    <row r="3086" spans="1:23" x14ac:dyDescent="0.3">
      <c r="A3086" s="13" t="str" cm="1">
        <f t="array" ref="A3086:B3086">INDEX(BenchmarkResults!$B$1:$D$35,SUMPRODUCT((T3086&gt;=BenchmarkResults!$F$3:$F$35)*(mongodb_hardware_log!T3086&lt;BenchmarkResults!$G$3:$G$35)*ROW(BenchmarkResults!$F$3:$F$35)),{1,3})</f>
        <v>q6_inactive_customers</v>
      </c>
      <c r="B3086">
        <v>3</v>
      </c>
      <c r="C3086" s="13">
        <v>1</v>
      </c>
      <c r="D3086" s="13">
        <v>0</v>
      </c>
      <c r="E3086" s="13">
        <v>179968</v>
      </c>
      <c r="F3086" s="13">
        <v>434708</v>
      </c>
      <c r="G3086" s="13">
        <v>9740</v>
      </c>
      <c r="H3086" s="13">
        <v>1943736</v>
      </c>
      <c r="I3086" s="13">
        <v>0</v>
      </c>
      <c r="J3086" s="13">
        <v>0</v>
      </c>
      <c r="K3086" s="13">
        <v>1964</v>
      </c>
      <c r="L3086" s="13">
        <v>10</v>
      </c>
      <c r="M3086" s="13">
        <v>736</v>
      </c>
      <c r="N3086" s="13">
        <v>232</v>
      </c>
      <c r="O3086" s="13">
        <v>33</v>
      </c>
      <c r="P3086" s="13">
        <v>1</v>
      </c>
      <c r="Q3086" s="13">
        <v>65</v>
      </c>
      <c r="R3086" s="13">
        <v>1</v>
      </c>
      <c r="S3086" s="13">
        <v>0</v>
      </c>
      <c r="T3086" s="23">
        <v>46247.806805555556</v>
      </c>
      <c r="U3086" s="55">
        <f t="shared" si="144"/>
        <v>1</v>
      </c>
      <c r="V3086" s="55">
        <f t="shared" si="145"/>
        <v>0</v>
      </c>
      <c r="W3086" s="56">
        <f t="shared" si="146"/>
        <v>1684</v>
      </c>
    </row>
    <row r="3087" spans="1:23" x14ac:dyDescent="0.3">
      <c r="A3087" s="13" t="str" cm="1">
        <f t="array" ref="A3087:B3087">INDEX(BenchmarkResults!$B$1:$D$35,SUMPRODUCT((T3087&gt;=BenchmarkResults!$F$3:$F$35)*(mongodb_hardware_log!T3087&lt;BenchmarkResults!$G$3:$G$35)*ROW(BenchmarkResults!$F$3:$F$35)),{1,3})</f>
        <v>q6_inactive_customers</v>
      </c>
      <c r="B3087">
        <v>3</v>
      </c>
      <c r="C3087" s="13">
        <v>1</v>
      </c>
      <c r="D3087" s="13">
        <v>0</v>
      </c>
      <c r="E3087" s="13">
        <v>179968</v>
      </c>
      <c r="F3087" s="13">
        <v>420344</v>
      </c>
      <c r="G3087" s="13">
        <v>9748</v>
      </c>
      <c r="H3087" s="13">
        <v>1960184</v>
      </c>
      <c r="I3087" s="13">
        <v>0</v>
      </c>
      <c r="J3087" s="13">
        <v>0</v>
      </c>
      <c r="K3087" s="13">
        <v>1896</v>
      </c>
      <c r="L3087" s="13">
        <v>6</v>
      </c>
      <c r="M3087" s="13">
        <v>718</v>
      </c>
      <c r="N3087" s="13">
        <v>214</v>
      </c>
      <c r="O3087" s="13">
        <v>33</v>
      </c>
      <c r="P3087" s="13">
        <v>1</v>
      </c>
      <c r="Q3087" s="13">
        <v>65</v>
      </c>
      <c r="R3087" s="13">
        <v>0</v>
      </c>
      <c r="S3087" s="13">
        <v>0</v>
      </c>
      <c r="T3087" s="23">
        <v>46247.806909722225</v>
      </c>
      <c r="U3087" s="55">
        <f t="shared" si="144"/>
        <v>1</v>
      </c>
      <c r="V3087" s="55">
        <f t="shared" si="145"/>
        <v>0</v>
      </c>
      <c r="W3087" s="56">
        <f t="shared" si="146"/>
        <v>1769.8333333333333</v>
      </c>
    </row>
    <row r="3088" spans="1:23" x14ac:dyDescent="0.3">
      <c r="A3088" s="13" t="str" cm="1">
        <f t="array" ref="A3088:B3088">INDEX(BenchmarkResults!$B$1:$D$35,SUMPRODUCT((T3088&gt;=BenchmarkResults!$F$3:$F$35)*(mongodb_hardware_log!T3088&lt;BenchmarkResults!$G$3:$G$35)*ROW(BenchmarkResults!$F$3:$F$35)),{1,3})</f>
        <v>q6_inactive_customers</v>
      </c>
      <c r="B3088">
        <v>3</v>
      </c>
      <c r="C3088" s="13">
        <v>1</v>
      </c>
      <c r="D3088" s="13">
        <v>0</v>
      </c>
      <c r="E3088" s="13">
        <v>179968</v>
      </c>
      <c r="F3088" s="13">
        <v>415808</v>
      </c>
      <c r="G3088" s="13">
        <v>9756</v>
      </c>
      <c r="H3088" s="13">
        <v>1964548</v>
      </c>
      <c r="I3088" s="13">
        <v>0</v>
      </c>
      <c r="J3088" s="13">
        <v>0</v>
      </c>
      <c r="K3088" s="13">
        <v>2080</v>
      </c>
      <c r="L3088" s="13">
        <v>12</v>
      </c>
      <c r="M3088" s="13">
        <v>716</v>
      </c>
      <c r="N3088" s="13">
        <v>212</v>
      </c>
      <c r="O3088" s="13">
        <v>33</v>
      </c>
      <c r="P3088" s="13">
        <v>1</v>
      </c>
      <c r="Q3088" s="13">
        <v>65</v>
      </c>
      <c r="R3088" s="13">
        <v>0</v>
      </c>
      <c r="S3088" s="13">
        <v>0</v>
      </c>
      <c r="T3088" s="23">
        <v>46247.806921296295</v>
      </c>
      <c r="U3088" s="55">
        <f t="shared" si="144"/>
        <v>1</v>
      </c>
      <c r="V3088" s="55">
        <f t="shared" si="145"/>
        <v>0</v>
      </c>
      <c r="W3088" s="56">
        <f t="shared" si="146"/>
        <v>1880.1666666666667</v>
      </c>
    </row>
    <row r="3089" spans="1:23" x14ac:dyDescent="0.3">
      <c r="A3089" s="13" t="str" cm="1">
        <f t="array" ref="A3089:B3089">INDEX(BenchmarkResults!$B$1:$D$35,SUMPRODUCT((T3089&gt;=BenchmarkResults!$F$3:$F$35)*(mongodb_hardware_log!T3089&lt;BenchmarkResults!$G$3:$G$35)*ROW(BenchmarkResults!$F$3:$F$35)),{1,3})</f>
        <v>q6_inactive_customers</v>
      </c>
      <c r="B3089">
        <v>3</v>
      </c>
      <c r="C3089" s="13">
        <v>1</v>
      </c>
      <c r="D3089" s="13">
        <v>0</v>
      </c>
      <c r="E3089" s="13">
        <v>179968</v>
      </c>
      <c r="F3089" s="13">
        <v>398672</v>
      </c>
      <c r="G3089" s="13">
        <v>9764</v>
      </c>
      <c r="H3089" s="13">
        <v>1981328</v>
      </c>
      <c r="I3089" s="13">
        <v>0</v>
      </c>
      <c r="J3089" s="13">
        <v>0</v>
      </c>
      <c r="K3089" s="13">
        <v>2114</v>
      </c>
      <c r="L3089" s="13">
        <v>19</v>
      </c>
      <c r="M3089" s="13">
        <v>728</v>
      </c>
      <c r="N3089" s="13">
        <v>206</v>
      </c>
      <c r="O3089" s="13">
        <v>33</v>
      </c>
      <c r="P3089" s="13">
        <v>1</v>
      </c>
      <c r="Q3089" s="13">
        <v>65</v>
      </c>
      <c r="R3089" s="13">
        <v>0</v>
      </c>
      <c r="S3089" s="13">
        <v>0</v>
      </c>
      <c r="T3089" s="23">
        <v>46247.807025462964</v>
      </c>
      <c r="U3089" s="55">
        <f t="shared" si="144"/>
        <v>1</v>
      </c>
      <c r="V3089" s="55">
        <f t="shared" si="145"/>
        <v>0</v>
      </c>
      <c r="W3089" s="56">
        <f t="shared" si="146"/>
        <v>1978.3333333333333</v>
      </c>
    </row>
    <row r="3090" spans="1:23" x14ac:dyDescent="0.3">
      <c r="A3090" s="13" t="str" cm="1">
        <f t="array" ref="A3090:B3090">INDEX(BenchmarkResults!$B$1:$D$35,SUMPRODUCT((T3090&gt;=BenchmarkResults!$F$3:$F$35)*(mongodb_hardware_log!T3090&lt;BenchmarkResults!$G$3:$G$35)*ROW(BenchmarkResults!$F$3:$F$35)),{1,3})</f>
        <v>q6_inactive_customers</v>
      </c>
      <c r="B3090">
        <v>3</v>
      </c>
      <c r="C3090" s="13">
        <v>1</v>
      </c>
      <c r="D3090" s="13">
        <v>0</v>
      </c>
      <c r="E3090" s="13">
        <v>179968</v>
      </c>
      <c r="F3090" s="13">
        <v>391616</v>
      </c>
      <c r="G3090" s="13">
        <v>9764</v>
      </c>
      <c r="H3090" s="13">
        <v>1985120</v>
      </c>
      <c r="I3090" s="13">
        <v>0</v>
      </c>
      <c r="J3090" s="13">
        <v>0</v>
      </c>
      <c r="K3090" s="13">
        <v>2062</v>
      </c>
      <c r="L3090" s="13">
        <v>13</v>
      </c>
      <c r="M3090" s="13">
        <v>726</v>
      </c>
      <c r="N3090" s="13">
        <v>203</v>
      </c>
      <c r="O3090" s="13">
        <v>33</v>
      </c>
      <c r="P3090" s="13">
        <v>1</v>
      </c>
      <c r="Q3090" s="13">
        <v>65</v>
      </c>
      <c r="R3090" s="13">
        <v>0</v>
      </c>
      <c r="S3090" s="13">
        <v>0</v>
      </c>
      <c r="T3090" s="23">
        <v>46247.807037037041</v>
      </c>
      <c r="U3090" s="55">
        <f t="shared" si="144"/>
        <v>1</v>
      </c>
      <c r="V3090" s="55">
        <f t="shared" si="145"/>
        <v>0</v>
      </c>
      <c r="W3090" s="56">
        <f t="shared" si="146"/>
        <v>2032.6666666666667</v>
      </c>
    </row>
    <row r="3091" spans="1:23" x14ac:dyDescent="0.3">
      <c r="A3091" s="13" t="str" cm="1">
        <f t="array" ref="A3091:B3091">INDEX(BenchmarkResults!$B$1:$D$35,SUMPRODUCT((T3091&gt;=BenchmarkResults!$F$3:$F$35)*(mongodb_hardware_log!T3091&lt;BenchmarkResults!$G$3:$G$35)*ROW(BenchmarkResults!$F$3:$F$35)),{1,3})</f>
        <v>q6_inactive_customers</v>
      </c>
      <c r="B3091">
        <v>3</v>
      </c>
      <c r="C3091" s="13">
        <v>1</v>
      </c>
      <c r="D3091" s="13">
        <v>0</v>
      </c>
      <c r="E3091" s="13">
        <v>179968</v>
      </c>
      <c r="F3091" s="13">
        <v>375488</v>
      </c>
      <c r="G3091" s="13">
        <v>9788</v>
      </c>
      <c r="H3091" s="13">
        <v>2002224</v>
      </c>
      <c r="I3091" s="13">
        <v>0</v>
      </c>
      <c r="J3091" s="13">
        <v>0</v>
      </c>
      <c r="K3091" s="13">
        <v>2089</v>
      </c>
      <c r="L3091" s="13">
        <v>24</v>
      </c>
      <c r="M3091" s="13">
        <v>713</v>
      </c>
      <c r="N3091" s="13">
        <v>208</v>
      </c>
      <c r="O3091" s="13">
        <v>33</v>
      </c>
      <c r="P3091" s="13">
        <v>1</v>
      </c>
      <c r="Q3091" s="13">
        <v>65</v>
      </c>
      <c r="R3091" s="13">
        <v>0</v>
      </c>
      <c r="S3091" s="13">
        <v>0</v>
      </c>
      <c r="T3091" s="23">
        <v>46247.807141203702</v>
      </c>
      <c r="U3091" s="55">
        <f t="shared" si="144"/>
        <v>1</v>
      </c>
      <c r="V3091" s="55">
        <f t="shared" si="145"/>
        <v>0</v>
      </c>
      <c r="W3091" s="56">
        <f t="shared" si="146"/>
        <v>2034.1666666666667</v>
      </c>
    </row>
    <row r="3092" spans="1:23" x14ac:dyDescent="0.3">
      <c r="A3092" s="13" t="str" cm="1">
        <f t="array" ref="A3092:B3092">INDEX(BenchmarkResults!$B$1:$D$35,SUMPRODUCT((T3092&gt;=BenchmarkResults!$F$3:$F$35)*(mongodb_hardware_log!T3092&lt;BenchmarkResults!$G$3:$G$35)*ROW(BenchmarkResults!$F$3:$F$35)),{1,3})</f>
        <v>q6_inactive_customers</v>
      </c>
      <c r="B3092">
        <v>3</v>
      </c>
      <c r="C3092" s="13">
        <v>0</v>
      </c>
      <c r="D3092" s="13">
        <v>1</v>
      </c>
      <c r="E3092" s="13">
        <v>179968</v>
      </c>
      <c r="F3092" s="13">
        <v>375488</v>
      </c>
      <c r="G3092" s="13">
        <v>9788</v>
      </c>
      <c r="H3092" s="13">
        <v>2004736</v>
      </c>
      <c r="I3092" s="13">
        <v>0</v>
      </c>
      <c r="J3092" s="13">
        <v>0</v>
      </c>
      <c r="K3092" s="13">
        <v>1954</v>
      </c>
      <c r="L3092" s="13">
        <v>24</v>
      </c>
      <c r="M3092" s="13">
        <v>717</v>
      </c>
      <c r="N3092" s="13">
        <v>213</v>
      </c>
      <c r="O3092" s="13">
        <v>33</v>
      </c>
      <c r="P3092" s="13">
        <v>1</v>
      </c>
      <c r="Q3092" s="13">
        <v>65</v>
      </c>
      <c r="R3092" s="13">
        <v>0</v>
      </c>
      <c r="S3092" s="13">
        <v>0</v>
      </c>
      <c r="T3092" s="23">
        <v>46247.807152777779</v>
      </c>
      <c r="U3092" s="55">
        <f t="shared" si="144"/>
        <v>0.83333333333333337</v>
      </c>
      <c r="V3092" s="55">
        <f t="shared" si="145"/>
        <v>0.16666666666666666</v>
      </c>
      <c r="W3092" s="56">
        <f t="shared" si="146"/>
        <v>2032.5</v>
      </c>
    </row>
    <row r="3093" spans="1:23" x14ac:dyDescent="0.3">
      <c r="A3093" s="13" t="str" cm="1">
        <f t="array" ref="A3093:B3093">INDEX(BenchmarkResults!$B$1:$D$35,SUMPRODUCT((T3093&gt;=BenchmarkResults!$F$3:$F$35)*(mongodb_hardware_log!T3093&lt;BenchmarkResults!$G$3:$G$35)*ROW(BenchmarkResults!$F$3:$F$35)),{1,3})</f>
        <v>q6_inactive_customers</v>
      </c>
      <c r="B3093">
        <v>3</v>
      </c>
      <c r="C3093" s="13">
        <v>1</v>
      </c>
      <c r="D3093" s="13">
        <v>0</v>
      </c>
      <c r="E3093" s="13">
        <v>179968</v>
      </c>
      <c r="F3093" s="13">
        <v>348776</v>
      </c>
      <c r="G3093" s="13">
        <v>9808</v>
      </c>
      <c r="H3093" s="13">
        <v>2031320</v>
      </c>
      <c r="I3093" s="13">
        <v>0</v>
      </c>
      <c r="J3093" s="13">
        <v>0</v>
      </c>
      <c r="K3093" s="13">
        <v>1311</v>
      </c>
      <c r="L3093" s="13">
        <v>429</v>
      </c>
      <c r="M3093" s="13">
        <v>701</v>
      </c>
      <c r="N3093" s="13">
        <v>196</v>
      </c>
      <c r="O3093" s="13">
        <v>33</v>
      </c>
      <c r="P3093" s="13">
        <v>2</v>
      </c>
      <c r="Q3093" s="13">
        <v>65</v>
      </c>
      <c r="R3093" s="13">
        <v>1</v>
      </c>
      <c r="S3093" s="13">
        <v>0</v>
      </c>
      <c r="T3093" s="23">
        <v>46247.807256944441</v>
      </c>
      <c r="U3093" s="55">
        <f t="shared" si="144"/>
        <v>0.83333333333333337</v>
      </c>
      <c r="V3093" s="55">
        <f t="shared" si="145"/>
        <v>0.16666666666666666</v>
      </c>
      <c r="W3093" s="56">
        <f t="shared" si="146"/>
        <v>1935</v>
      </c>
    </row>
    <row r="3094" spans="1:23" x14ac:dyDescent="0.3">
      <c r="A3094" s="13" t="str" cm="1">
        <f t="array" ref="A3094:B3094">INDEX(BenchmarkResults!$B$1:$D$35,SUMPRODUCT((T3094&gt;=BenchmarkResults!$F$3:$F$35)*(mongodb_hardware_log!T3094&lt;BenchmarkResults!$G$3:$G$35)*ROW(BenchmarkResults!$F$3:$F$35)),{1,3})</f>
        <v>q6_inactive_customers</v>
      </c>
      <c r="B3094">
        <v>3</v>
      </c>
      <c r="C3094" s="13">
        <v>2</v>
      </c>
      <c r="D3094" s="13">
        <v>1</v>
      </c>
      <c r="E3094" s="13">
        <v>179968</v>
      </c>
      <c r="F3094" s="13">
        <v>347012</v>
      </c>
      <c r="G3094" s="13">
        <v>9808</v>
      </c>
      <c r="H3094" s="13">
        <v>2034328</v>
      </c>
      <c r="I3094" s="13">
        <v>0</v>
      </c>
      <c r="J3094" s="13">
        <v>0</v>
      </c>
      <c r="K3094" s="13">
        <v>1368</v>
      </c>
      <c r="L3094" s="13">
        <v>1248</v>
      </c>
      <c r="M3094" s="13">
        <v>701</v>
      </c>
      <c r="N3094" s="13">
        <v>194</v>
      </c>
      <c r="O3094" s="13">
        <v>33</v>
      </c>
      <c r="P3094" s="13">
        <v>2</v>
      </c>
      <c r="Q3094" s="13">
        <v>64</v>
      </c>
      <c r="R3094" s="13">
        <v>1</v>
      </c>
      <c r="S3094" s="13">
        <v>0</v>
      </c>
      <c r="T3094" s="23">
        <v>46247.807268518518</v>
      </c>
      <c r="U3094" s="55">
        <f t="shared" si="144"/>
        <v>1</v>
      </c>
      <c r="V3094" s="55">
        <f t="shared" si="145"/>
        <v>0.33333333333333331</v>
      </c>
      <c r="W3094" s="56">
        <f t="shared" si="146"/>
        <v>1816.3333333333333</v>
      </c>
    </row>
    <row r="3095" spans="1:23" x14ac:dyDescent="0.3">
      <c r="A3095" s="13" t="str" cm="1">
        <f t="array" ref="A3095:B3095">INDEX(BenchmarkResults!$B$1:$D$35,SUMPRODUCT((T3095&gt;=BenchmarkResults!$F$3:$F$35)*(mongodb_hardware_log!T3095&lt;BenchmarkResults!$G$3:$G$35)*ROW(BenchmarkResults!$F$3:$F$35)),{1,3})</f>
        <v>q6_inactive_customers</v>
      </c>
      <c r="B3095">
        <v>3</v>
      </c>
      <c r="C3095" s="13">
        <v>1</v>
      </c>
      <c r="D3095" s="13">
        <v>0</v>
      </c>
      <c r="E3095" s="13">
        <v>179968</v>
      </c>
      <c r="F3095" s="13">
        <v>329876</v>
      </c>
      <c r="G3095" s="13">
        <v>9820</v>
      </c>
      <c r="H3095" s="13">
        <v>2051296</v>
      </c>
      <c r="I3095" s="13">
        <v>0</v>
      </c>
      <c r="J3095" s="13">
        <v>0</v>
      </c>
      <c r="K3095" s="13">
        <v>2004</v>
      </c>
      <c r="L3095" s="13">
        <v>1158</v>
      </c>
      <c r="M3095" s="13">
        <v>728</v>
      </c>
      <c r="N3095" s="13">
        <v>218</v>
      </c>
      <c r="O3095" s="13">
        <v>33</v>
      </c>
      <c r="P3095" s="13">
        <v>1</v>
      </c>
      <c r="Q3095" s="13">
        <v>63</v>
      </c>
      <c r="R3095" s="13">
        <v>2</v>
      </c>
      <c r="S3095" s="13">
        <v>0</v>
      </c>
      <c r="T3095" s="23">
        <v>46247.807372685187</v>
      </c>
      <c r="U3095" s="55">
        <f t="shared" si="144"/>
        <v>1</v>
      </c>
      <c r="V3095" s="55">
        <f t="shared" si="145"/>
        <v>0.33333333333333331</v>
      </c>
      <c r="W3095" s="56">
        <f t="shared" si="146"/>
        <v>1798</v>
      </c>
    </row>
    <row r="3096" spans="1:23" x14ac:dyDescent="0.3">
      <c r="A3096" s="13" t="str" cm="1">
        <f t="array" ref="A3096:B3096">INDEX(BenchmarkResults!$B$1:$D$35,SUMPRODUCT((T3096&gt;=BenchmarkResults!$F$3:$F$35)*(mongodb_hardware_log!T3096&lt;BenchmarkResults!$G$3:$G$35)*ROW(BenchmarkResults!$F$3:$F$35)),{1,3})</f>
        <v>q6_inactive_customers</v>
      </c>
      <c r="B3096">
        <v>3</v>
      </c>
      <c r="C3096" s="13">
        <v>1</v>
      </c>
      <c r="D3096" s="13">
        <v>0</v>
      </c>
      <c r="E3096" s="13">
        <v>179968</v>
      </c>
      <c r="F3096" s="13">
        <v>325844</v>
      </c>
      <c r="G3096" s="13">
        <v>9828</v>
      </c>
      <c r="H3096" s="13">
        <v>2054312</v>
      </c>
      <c r="I3096" s="13">
        <v>0</v>
      </c>
      <c r="J3096" s="13">
        <v>0</v>
      </c>
      <c r="K3096" s="13">
        <v>1998</v>
      </c>
      <c r="L3096" s="13">
        <v>344</v>
      </c>
      <c r="M3096" s="13">
        <v>724</v>
      </c>
      <c r="N3096" s="13">
        <v>215</v>
      </c>
      <c r="O3096" s="13">
        <v>33</v>
      </c>
      <c r="P3096" s="13">
        <v>1</v>
      </c>
      <c r="Q3096" s="13">
        <v>64</v>
      </c>
      <c r="R3096" s="13">
        <v>1</v>
      </c>
      <c r="S3096" s="13">
        <v>0</v>
      </c>
      <c r="T3096" s="23">
        <v>46247.807384259257</v>
      </c>
      <c r="U3096" s="55">
        <f t="shared" si="144"/>
        <v>1</v>
      </c>
      <c r="V3096" s="55">
        <f t="shared" si="145"/>
        <v>0.33333333333333331</v>
      </c>
      <c r="W3096" s="56">
        <f t="shared" si="146"/>
        <v>1787.3333333333333</v>
      </c>
    </row>
    <row r="3097" spans="1:23" x14ac:dyDescent="0.3">
      <c r="A3097" s="13" t="str" cm="1">
        <f t="array" ref="A3097:B3097">INDEX(BenchmarkResults!$B$1:$D$35,SUMPRODUCT((T3097&gt;=BenchmarkResults!$F$3:$F$35)*(mongodb_hardware_log!T3097&lt;BenchmarkResults!$G$3:$G$35)*ROW(BenchmarkResults!$F$3:$F$35)),{1,3})</f>
        <v>q6_inactive_customers</v>
      </c>
      <c r="B3097">
        <v>3</v>
      </c>
      <c r="C3097" s="13">
        <v>1</v>
      </c>
      <c r="D3097" s="13">
        <v>0</v>
      </c>
      <c r="E3097" s="13">
        <v>179968</v>
      </c>
      <c r="F3097" s="13">
        <v>309212</v>
      </c>
      <c r="G3097" s="13">
        <v>9836</v>
      </c>
      <c r="H3097" s="13">
        <v>2070100</v>
      </c>
      <c r="I3097" s="13">
        <v>0</v>
      </c>
      <c r="J3097" s="13">
        <v>0</v>
      </c>
      <c r="K3097" s="13">
        <v>1882</v>
      </c>
      <c r="L3097" s="13">
        <v>16</v>
      </c>
      <c r="M3097" s="13">
        <v>722</v>
      </c>
      <c r="N3097" s="13">
        <v>214</v>
      </c>
      <c r="O3097" s="13">
        <v>33</v>
      </c>
      <c r="P3097" s="13">
        <v>1</v>
      </c>
      <c r="Q3097" s="13">
        <v>64</v>
      </c>
      <c r="R3097" s="13">
        <v>1</v>
      </c>
      <c r="S3097" s="13">
        <v>0</v>
      </c>
      <c r="T3097" s="23">
        <v>46247.807488425926</v>
      </c>
      <c r="U3097" s="55">
        <f t="shared" si="144"/>
        <v>1</v>
      </c>
      <c r="V3097" s="55">
        <f t="shared" si="145"/>
        <v>0.33333333333333331</v>
      </c>
      <c r="W3097" s="56">
        <f t="shared" si="146"/>
        <v>1752.8333333333333</v>
      </c>
    </row>
    <row r="3098" spans="1:23" x14ac:dyDescent="0.3">
      <c r="A3098" s="13" t="str" cm="1">
        <f t="array" ref="A3098:B3098">INDEX(BenchmarkResults!$B$1:$D$35,SUMPRODUCT((T3098&gt;=BenchmarkResults!$F$3:$F$35)*(mongodb_hardware_log!T3098&lt;BenchmarkResults!$G$3:$G$35)*ROW(BenchmarkResults!$F$3:$F$35)),{1,3})</f>
        <v>q6_inactive_customers</v>
      </c>
      <c r="B3098">
        <v>3</v>
      </c>
      <c r="C3098" s="13">
        <v>2</v>
      </c>
      <c r="D3098" s="13">
        <v>0</v>
      </c>
      <c r="E3098" s="13">
        <v>179968</v>
      </c>
      <c r="F3098" s="13">
        <v>308204</v>
      </c>
      <c r="G3098" s="13">
        <v>9836</v>
      </c>
      <c r="H3098" s="13">
        <v>2072924</v>
      </c>
      <c r="I3098" s="13">
        <v>0</v>
      </c>
      <c r="J3098" s="13">
        <v>0</v>
      </c>
      <c r="K3098" s="13">
        <v>1855</v>
      </c>
      <c r="L3098" s="13">
        <v>12</v>
      </c>
      <c r="M3098" s="13">
        <v>722</v>
      </c>
      <c r="N3098" s="13">
        <v>213</v>
      </c>
      <c r="O3098" s="13">
        <v>33</v>
      </c>
      <c r="P3098" s="13">
        <v>1</v>
      </c>
      <c r="Q3098" s="13">
        <v>65</v>
      </c>
      <c r="R3098" s="13">
        <v>0</v>
      </c>
      <c r="S3098" s="13">
        <v>0</v>
      </c>
      <c r="T3098" s="23">
        <v>46247.807500000003</v>
      </c>
      <c r="U3098" s="55">
        <f t="shared" si="144"/>
        <v>1.3333333333333333</v>
      </c>
      <c r="V3098" s="55">
        <f t="shared" si="145"/>
        <v>0.16666666666666666</v>
      </c>
      <c r="W3098" s="56">
        <f t="shared" si="146"/>
        <v>1736.3333333333333</v>
      </c>
    </row>
    <row r="3099" spans="1:23" x14ac:dyDescent="0.3">
      <c r="A3099" s="13" t="str" cm="1">
        <f t="array" ref="A3099:B3099">INDEX(BenchmarkResults!$B$1:$D$35,SUMPRODUCT((T3099&gt;=BenchmarkResults!$F$3:$F$35)*(mongodb_hardware_log!T3099&lt;BenchmarkResults!$G$3:$G$35)*ROW(BenchmarkResults!$F$3:$F$35)),{1,3})</f>
        <v>q6_inactive_customers</v>
      </c>
      <c r="B3099">
        <v>3</v>
      </c>
      <c r="C3099" s="13">
        <v>1</v>
      </c>
      <c r="D3099" s="13">
        <v>0</v>
      </c>
      <c r="E3099" s="13">
        <v>179968</v>
      </c>
      <c r="F3099" s="13">
        <v>292076</v>
      </c>
      <c r="G3099" s="13">
        <v>9844</v>
      </c>
      <c r="H3099" s="13">
        <v>2088284</v>
      </c>
      <c r="I3099" s="13">
        <v>0</v>
      </c>
      <c r="J3099" s="13">
        <v>0</v>
      </c>
      <c r="K3099" s="13">
        <v>1811</v>
      </c>
      <c r="L3099" s="13">
        <v>12</v>
      </c>
      <c r="M3099" s="13">
        <v>717</v>
      </c>
      <c r="N3099" s="13">
        <v>210</v>
      </c>
      <c r="O3099" s="13">
        <v>33</v>
      </c>
      <c r="P3099" s="13">
        <v>1</v>
      </c>
      <c r="Q3099" s="13">
        <v>65</v>
      </c>
      <c r="R3099" s="13">
        <v>0</v>
      </c>
      <c r="S3099" s="13">
        <v>0</v>
      </c>
      <c r="T3099" s="23">
        <v>46247.807604166665</v>
      </c>
      <c r="U3099" s="55">
        <f t="shared" si="144"/>
        <v>1.3333333333333333</v>
      </c>
      <c r="V3099" s="55">
        <f t="shared" si="145"/>
        <v>0.16666666666666666</v>
      </c>
      <c r="W3099" s="56">
        <f t="shared" si="146"/>
        <v>1819.6666666666667</v>
      </c>
    </row>
    <row r="3100" spans="1:23" x14ac:dyDescent="0.3">
      <c r="A3100" s="13" t="str" cm="1">
        <f t="array" ref="A3100:B3100">INDEX(BenchmarkResults!$B$1:$D$35,SUMPRODUCT((T3100&gt;=BenchmarkResults!$F$3:$F$35)*(mongodb_hardware_log!T3100&lt;BenchmarkResults!$G$3:$G$35)*ROW(BenchmarkResults!$F$3:$F$35)),{1,3})</f>
        <v>q6_inactive_customers</v>
      </c>
      <c r="B3100">
        <v>3</v>
      </c>
      <c r="C3100" s="13">
        <v>1</v>
      </c>
      <c r="D3100" s="13">
        <v>0</v>
      </c>
      <c r="E3100" s="13">
        <v>179968</v>
      </c>
      <c r="F3100" s="13">
        <v>287288</v>
      </c>
      <c r="G3100" s="13">
        <v>9852</v>
      </c>
      <c r="H3100" s="13">
        <v>2091644</v>
      </c>
      <c r="I3100" s="13">
        <v>0</v>
      </c>
      <c r="J3100" s="13">
        <v>0</v>
      </c>
      <c r="K3100" s="13">
        <v>1882</v>
      </c>
      <c r="L3100" s="13">
        <v>16</v>
      </c>
      <c r="M3100" s="13">
        <v>727</v>
      </c>
      <c r="N3100" s="13">
        <v>219</v>
      </c>
      <c r="O3100" s="13">
        <v>33</v>
      </c>
      <c r="P3100" s="13">
        <v>1</v>
      </c>
      <c r="Q3100" s="13">
        <v>65</v>
      </c>
      <c r="R3100" s="13">
        <v>0</v>
      </c>
      <c r="S3100" s="13">
        <v>0</v>
      </c>
      <c r="T3100" s="23">
        <v>46247.807615740741</v>
      </c>
      <c r="U3100" s="55">
        <f t="shared" si="144"/>
        <v>1.1666666666666667</v>
      </c>
      <c r="V3100" s="55">
        <f t="shared" si="145"/>
        <v>0</v>
      </c>
      <c r="W3100" s="56">
        <f t="shared" si="146"/>
        <v>1905.3333333333333</v>
      </c>
    </row>
    <row r="3101" spans="1:23" x14ac:dyDescent="0.3">
      <c r="A3101" s="13" t="str" cm="1">
        <f t="array" ref="A3101:B3101">INDEX(BenchmarkResults!$B$1:$D$35,SUMPRODUCT((T3101&gt;=BenchmarkResults!$F$3:$F$35)*(mongodb_hardware_log!T3101&lt;BenchmarkResults!$G$3:$G$35)*ROW(BenchmarkResults!$F$3:$F$35)),{1,3})</f>
        <v>q6_inactive_customers</v>
      </c>
      <c r="B3101">
        <v>3</v>
      </c>
      <c r="C3101" s="13">
        <v>1</v>
      </c>
      <c r="D3101" s="13">
        <v>0</v>
      </c>
      <c r="E3101" s="13">
        <v>179968</v>
      </c>
      <c r="F3101" s="13">
        <v>271664</v>
      </c>
      <c r="G3101" s="13">
        <v>9860</v>
      </c>
      <c r="H3101" s="13">
        <v>2105348</v>
      </c>
      <c r="I3101" s="13">
        <v>0</v>
      </c>
      <c r="J3101" s="13">
        <v>0</v>
      </c>
      <c r="K3101" s="13">
        <v>1712</v>
      </c>
      <c r="L3101" s="13">
        <v>16</v>
      </c>
      <c r="M3101" s="13">
        <v>754</v>
      </c>
      <c r="N3101" s="13">
        <v>224</v>
      </c>
      <c r="O3101" s="13">
        <v>33</v>
      </c>
      <c r="P3101" s="13">
        <v>1</v>
      </c>
      <c r="Q3101" s="13">
        <v>63</v>
      </c>
      <c r="R3101" s="13">
        <v>2</v>
      </c>
      <c r="S3101" s="13">
        <v>1</v>
      </c>
      <c r="T3101" s="23">
        <v>46247.807719907411</v>
      </c>
      <c r="U3101" s="55">
        <f t="shared" si="144"/>
        <v>1.1666666666666667</v>
      </c>
      <c r="V3101" s="55">
        <f t="shared" si="145"/>
        <v>0</v>
      </c>
      <c r="W3101" s="56">
        <f t="shared" si="146"/>
        <v>1856.6666666666667</v>
      </c>
    </row>
    <row r="3102" spans="1:23" x14ac:dyDescent="0.3">
      <c r="A3102" s="13" t="str" cm="1">
        <f t="array" ref="A3102:B3102">INDEX(BenchmarkResults!$B$1:$D$35,SUMPRODUCT((T3102&gt;=BenchmarkResults!$F$3:$F$35)*(mongodb_hardware_log!T3102&lt;BenchmarkResults!$G$3:$G$35)*ROW(BenchmarkResults!$F$3:$F$35)),{1,3})</f>
        <v>q6_inactive_customers</v>
      </c>
      <c r="B3102">
        <v>3</v>
      </c>
      <c r="C3102" s="13">
        <v>1</v>
      </c>
      <c r="D3102" s="13">
        <v>0</v>
      </c>
      <c r="E3102" s="13">
        <v>179968</v>
      </c>
      <c r="F3102" s="13">
        <v>263600</v>
      </c>
      <c r="G3102" s="13">
        <v>9860</v>
      </c>
      <c r="H3102" s="13">
        <v>2109564</v>
      </c>
      <c r="I3102" s="13">
        <v>0</v>
      </c>
      <c r="J3102" s="13">
        <v>0</v>
      </c>
      <c r="K3102" s="13">
        <v>1788</v>
      </c>
      <c r="L3102" s="13">
        <v>11</v>
      </c>
      <c r="M3102" s="13">
        <v>746</v>
      </c>
      <c r="N3102" s="13">
        <v>215</v>
      </c>
      <c r="O3102" s="13">
        <v>33</v>
      </c>
      <c r="P3102" s="13">
        <v>1</v>
      </c>
      <c r="Q3102" s="13">
        <v>63</v>
      </c>
      <c r="R3102" s="13">
        <v>1</v>
      </c>
      <c r="S3102" s="13">
        <v>1</v>
      </c>
      <c r="T3102" s="23">
        <v>46247.80773148148</v>
      </c>
      <c r="U3102" s="55">
        <f t="shared" si="144"/>
        <v>1.1666666666666667</v>
      </c>
      <c r="V3102" s="55">
        <f t="shared" si="145"/>
        <v>0</v>
      </c>
      <c r="W3102" s="56">
        <f t="shared" si="146"/>
        <v>1821.6666666666667</v>
      </c>
    </row>
    <row r="3103" spans="1:23" x14ac:dyDescent="0.3">
      <c r="A3103" s="13" t="str" cm="1">
        <f t="array" ref="A3103:B3103">INDEX(BenchmarkResults!$B$1:$D$35,SUMPRODUCT((T3103&gt;=BenchmarkResults!$F$3:$F$35)*(mongodb_hardware_log!T3103&lt;BenchmarkResults!$G$3:$G$35)*ROW(BenchmarkResults!$F$3:$F$35)),{1,3})</f>
        <v>q6_inactive_customers</v>
      </c>
      <c r="B3103">
        <v>3</v>
      </c>
      <c r="C3103" s="13">
        <v>1</v>
      </c>
      <c r="D3103" s="13">
        <v>0</v>
      </c>
      <c r="E3103" s="13">
        <v>179968</v>
      </c>
      <c r="F3103" s="13">
        <v>240164</v>
      </c>
      <c r="G3103" s="13">
        <v>9884</v>
      </c>
      <c r="H3103" s="13">
        <v>2134616</v>
      </c>
      <c r="I3103" s="13">
        <v>0</v>
      </c>
      <c r="J3103" s="13">
        <v>0</v>
      </c>
      <c r="K3103" s="13">
        <v>1426</v>
      </c>
      <c r="L3103" s="13">
        <v>24</v>
      </c>
      <c r="M3103" s="13">
        <v>683</v>
      </c>
      <c r="N3103" s="13">
        <v>176</v>
      </c>
      <c r="O3103" s="13">
        <v>33</v>
      </c>
      <c r="P3103" s="13">
        <v>2</v>
      </c>
      <c r="Q3103" s="13">
        <v>65</v>
      </c>
      <c r="R3103" s="13">
        <v>0</v>
      </c>
      <c r="S3103" s="13">
        <v>0</v>
      </c>
      <c r="T3103" s="23">
        <v>46247.807835648149</v>
      </c>
      <c r="U3103" s="55">
        <f t="shared" si="144"/>
        <v>1.1666666666666667</v>
      </c>
      <c r="V3103" s="55">
        <f t="shared" si="145"/>
        <v>0</v>
      </c>
      <c r="W3103" s="56">
        <f t="shared" si="146"/>
        <v>1745.6666666666667</v>
      </c>
    </row>
    <row r="3104" spans="1:23" x14ac:dyDescent="0.3">
      <c r="A3104" s="13" t="str" cm="1">
        <f t="array" ref="A3104:B3104">INDEX(BenchmarkResults!$B$1:$D$35,SUMPRODUCT((T3104&gt;=BenchmarkResults!$F$3:$F$35)*(mongodb_hardware_log!T3104&lt;BenchmarkResults!$G$3:$G$35)*ROW(BenchmarkResults!$F$3:$F$35)),{1,3})</f>
        <v>q6_inactive_customers</v>
      </c>
      <c r="B3104">
        <v>3</v>
      </c>
      <c r="C3104" s="13">
        <v>1</v>
      </c>
      <c r="D3104" s="13">
        <v>0</v>
      </c>
      <c r="E3104" s="13">
        <v>179968</v>
      </c>
      <c r="F3104" s="13">
        <v>232100</v>
      </c>
      <c r="G3104" s="13">
        <v>9884</v>
      </c>
      <c r="H3104" s="13">
        <v>2138852</v>
      </c>
      <c r="I3104" s="13">
        <v>0</v>
      </c>
      <c r="J3104" s="13">
        <v>0</v>
      </c>
      <c r="K3104" s="13">
        <v>1329</v>
      </c>
      <c r="L3104" s="13">
        <v>24</v>
      </c>
      <c r="M3104" s="13">
        <v>680</v>
      </c>
      <c r="N3104" s="13">
        <v>177</v>
      </c>
      <c r="O3104" s="13">
        <v>32</v>
      </c>
      <c r="P3104" s="13">
        <v>2</v>
      </c>
      <c r="Q3104" s="13">
        <v>65</v>
      </c>
      <c r="R3104" s="13">
        <v>0</v>
      </c>
      <c r="S3104" s="13">
        <v>0</v>
      </c>
      <c r="T3104" s="23">
        <v>46247.807847222219</v>
      </c>
      <c r="U3104" s="55">
        <f t="shared" si="144"/>
        <v>1</v>
      </c>
      <c r="V3104" s="55">
        <f t="shared" si="145"/>
        <v>0</v>
      </c>
      <c r="W3104" s="56">
        <f t="shared" si="146"/>
        <v>1658</v>
      </c>
    </row>
    <row r="3105" spans="1:23" x14ac:dyDescent="0.3">
      <c r="A3105" s="13" t="str" cm="1">
        <f t="array" ref="A3105:B3105">INDEX(BenchmarkResults!$B$1:$D$35,SUMPRODUCT((T3105&gt;=BenchmarkResults!$F$3:$F$35)*(mongodb_hardware_log!T3105&lt;BenchmarkResults!$G$3:$G$35)*ROW(BenchmarkResults!$F$3:$F$35)),{1,3})</f>
        <v>q6_inactive_customers</v>
      </c>
      <c r="B3105">
        <v>3</v>
      </c>
      <c r="C3105" s="13">
        <v>1</v>
      </c>
      <c r="D3105" s="13">
        <v>0</v>
      </c>
      <c r="E3105" s="13">
        <v>179968</v>
      </c>
      <c r="F3105" s="13">
        <v>225296</v>
      </c>
      <c r="G3105" s="13">
        <v>9892</v>
      </c>
      <c r="H3105" s="13">
        <v>2153868</v>
      </c>
      <c r="I3105" s="13">
        <v>0</v>
      </c>
      <c r="J3105" s="13">
        <v>0</v>
      </c>
      <c r="K3105" s="13">
        <v>1823</v>
      </c>
      <c r="L3105" s="13">
        <v>9</v>
      </c>
      <c r="M3105" s="13">
        <v>732</v>
      </c>
      <c r="N3105" s="13">
        <v>225</v>
      </c>
      <c r="O3105" s="13">
        <v>33</v>
      </c>
      <c r="P3105" s="13">
        <v>1</v>
      </c>
      <c r="Q3105" s="13">
        <v>65</v>
      </c>
      <c r="R3105" s="13">
        <v>0</v>
      </c>
      <c r="S3105" s="13">
        <v>0</v>
      </c>
      <c r="T3105" s="23">
        <v>46247.807951388888</v>
      </c>
      <c r="U3105" s="55">
        <f t="shared" si="144"/>
        <v>1</v>
      </c>
      <c r="V3105" s="55">
        <f t="shared" si="145"/>
        <v>0</v>
      </c>
      <c r="W3105" s="56">
        <f t="shared" si="146"/>
        <v>1660</v>
      </c>
    </row>
    <row r="3106" spans="1:23" x14ac:dyDescent="0.3">
      <c r="A3106" s="13" t="str" cm="1">
        <f t="array" ref="A3106:B3106">INDEX(BenchmarkResults!$B$1:$D$35,SUMPRODUCT((T3106&gt;=BenchmarkResults!$F$3:$F$35)*(mongodb_hardware_log!T3106&lt;BenchmarkResults!$G$3:$G$35)*ROW(BenchmarkResults!$F$3:$F$35)),{1,3})</f>
        <v>q6_inactive_customers</v>
      </c>
      <c r="B3106">
        <v>3</v>
      </c>
      <c r="C3106" s="13">
        <v>1</v>
      </c>
      <c r="D3106" s="13">
        <v>0</v>
      </c>
      <c r="E3106" s="13">
        <v>179968</v>
      </c>
      <c r="F3106" s="13">
        <v>221264</v>
      </c>
      <c r="G3106" s="13">
        <v>9900</v>
      </c>
      <c r="H3106" s="13">
        <v>2159344</v>
      </c>
      <c r="I3106" s="13">
        <v>0</v>
      </c>
      <c r="J3106" s="13">
        <v>0</v>
      </c>
      <c r="K3106" s="13">
        <v>2054</v>
      </c>
      <c r="L3106" s="13">
        <v>14</v>
      </c>
      <c r="M3106" s="13">
        <v>752</v>
      </c>
      <c r="N3106" s="13">
        <v>241</v>
      </c>
      <c r="O3106" s="13">
        <v>33</v>
      </c>
      <c r="P3106" s="13">
        <v>1</v>
      </c>
      <c r="Q3106" s="13">
        <v>64</v>
      </c>
      <c r="R3106" s="13">
        <v>2</v>
      </c>
      <c r="S3106" s="13">
        <v>0</v>
      </c>
      <c r="T3106" s="23">
        <v>46247.807962962965</v>
      </c>
      <c r="U3106" s="55">
        <f t="shared" si="144"/>
        <v>1</v>
      </c>
      <c r="V3106" s="55">
        <f t="shared" si="145"/>
        <v>0</v>
      </c>
      <c r="W3106" s="56">
        <f t="shared" si="146"/>
        <v>1688.6666666666667</v>
      </c>
    </row>
    <row r="3107" spans="1:23" x14ac:dyDescent="0.3">
      <c r="A3107" s="13" t="str" cm="1">
        <f t="array" ref="A3107:B3107">INDEX(BenchmarkResults!$B$1:$D$35,SUMPRODUCT((T3107&gt;=BenchmarkResults!$F$3:$F$35)*(mongodb_hardware_log!T3107&lt;BenchmarkResults!$G$3:$G$35)*ROW(BenchmarkResults!$F$3:$F$35)),{1,3})</f>
        <v>q6_inactive_customers</v>
      </c>
      <c r="B3107">
        <v>3</v>
      </c>
      <c r="C3107" s="13">
        <v>1</v>
      </c>
      <c r="D3107" s="13">
        <v>0</v>
      </c>
      <c r="E3107" s="13">
        <v>179968</v>
      </c>
      <c r="F3107" s="13">
        <v>206648</v>
      </c>
      <c r="G3107" s="13">
        <v>9908</v>
      </c>
      <c r="H3107" s="13">
        <v>2172976</v>
      </c>
      <c r="I3107" s="13">
        <v>0</v>
      </c>
      <c r="J3107" s="13">
        <v>0</v>
      </c>
      <c r="K3107" s="13">
        <v>1908</v>
      </c>
      <c r="L3107" s="13">
        <v>23</v>
      </c>
      <c r="M3107" s="13">
        <v>759</v>
      </c>
      <c r="N3107" s="13">
        <v>240</v>
      </c>
      <c r="O3107" s="13">
        <v>33</v>
      </c>
      <c r="P3107" s="13">
        <v>1</v>
      </c>
      <c r="Q3107" s="13">
        <v>64</v>
      </c>
      <c r="R3107" s="13">
        <v>2</v>
      </c>
      <c r="S3107" s="13">
        <v>0</v>
      </c>
      <c r="T3107" s="23">
        <v>46247.808067129627</v>
      </c>
      <c r="U3107" s="55">
        <f t="shared" si="144"/>
        <v>1</v>
      </c>
      <c r="V3107" s="55">
        <f t="shared" si="145"/>
        <v>0</v>
      </c>
      <c r="W3107" s="56">
        <f t="shared" si="146"/>
        <v>1721.3333333333333</v>
      </c>
    </row>
    <row r="3108" spans="1:23" x14ac:dyDescent="0.3">
      <c r="A3108" s="13" t="str" cm="1">
        <f t="array" ref="A3108:B3108">INDEX(BenchmarkResults!$B$1:$D$35,SUMPRODUCT((T3108&gt;=BenchmarkResults!$F$3:$F$35)*(mongodb_hardware_log!T3108&lt;BenchmarkResults!$G$3:$G$35)*ROW(BenchmarkResults!$F$3:$F$35)),{1,3})</f>
        <v>q6_inactive_customers</v>
      </c>
      <c r="B3108">
        <v>3</v>
      </c>
      <c r="C3108" s="13">
        <v>1</v>
      </c>
      <c r="D3108" s="13">
        <v>0</v>
      </c>
      <c r="E3108" s="13">
        <v>179968</v>
      </c>
      <c r="F3108" s="13">
        <v>202616</v>
      </c>
      <c r="G3108" s="13">
        <v>9908</v>
      </c>
      <c r="H3108" s="13">
        <v>2175320</v>
      </c>
      <c r="I3108" s="13">
        <v>0</v>
      </c>
      <c r="J3108" s="13">
        <v>0</v>
      </c>
      <c r="K3108" s="13">
        <v>1588</v>
      </c>
      <c r="L3108" s="13">
        <v>18</v>
      </c>
      <c r="M3108" s="13">
        <v>744</v>
      </c>
      <c r="N3108" s="13">
        <v>228</v>
      </c>
      <c r="O3108" s="13">
        <v>33</v>
      </c>
      <c r="P3108" s="13">
        <v>1</v>
      </c>
      <c r="Q3108" s="13">
        <v>64</v>
      </c>
      <c r="R3108" s="13">
        <v>1</v>
      </c>
      <c r="S3108" s="13">
        <v>1</v>
      </c>
      <c r="T3108" s="23">
        <v>46247.808078703703</v>
      </c>
      <c r="U3108" s="55">
        <f t="shared" si="144"/>
        <v>1</v>
      </c>
      <c r="V3108" s="55">
        <f t="shared" si="145"/>
        <v>0</v>
      </c>
      <c r="W3108" s="56">
        <f t="shared" si="146"/>
        <v>1688</v>
      </c>
    </row>
    <row r="3109" spans="1:23" x14ac:dyDescent="0.3">
      <c r="A3109" s="13" t="str" cm="1">
        <f t="array" ref="A3109:B3109">INDEX(BenchmarkResults!$B$1:$D$35,SUMPRODUCT((T3109&gt;=BenchmarkResults!$F$3:$F$35)*(mongodb_hardware_log!T3109&lt;BenchmarkResults!$G$3:$G$35)*ROW(BenchmarkResults!$F$3:$F$35)),{1,3})</f>
        <v>q6_inactive_customers</v>
      </c>
      <c r="B3109">
        <v>3</v>
      </c>
      <c r="C3109" s="13">
        <v>1</v>
      </c>
      <c r="D3109" s="13">
        <v>0</v>
      </c>
      <c r="E3109" s="13">
        <v>179968</v>
      </c>
      <c r="F3109" s="13">
        <v>187496</v>
      </c>
      <c r="G3109" s="13">
        <v>9916</v>
      </c>
      <c r="H3109" s="13">
        <v>2189380</v>
      </c>
      <c r="I3109" s="13">
        <v>0</v>
      </c>
      <c r="J3109" s="13">
        <v>0</v>
      </c>
      <c r="K3109" s="13">
        <v>1648</v>
      </c>
      <c r="L3109" s="13">
        <v>8</v>
      </c>
      <c r="M3109" s="13">
        <v>727</v>
      </c>
      <c r="N3109" s="13">
        <v>219</v>
      </c>
      <c r="O3109" s="13">
        <v>34</v>
      </c>
      <c r="P3109" s="13">
        <v>1</v>
      </c>
      <c r="Q3109" s="13">
        <v>64</v>
      </c>
      <c r="R3109" s="13">
        <v>1</v>
      </c>
      <c r="S3109" s="13">
        <v>1</v>
      </c>
      <c r="T3109" s="23">
        <v>46247.808182870373</v>
      </c>
      <c r="U3109" s="55">
        <f t="shared" si="144"/>
        <v>1</v>
      </c>
      <c r="V3109" s="55">
        <f t="shared" si="145"/>
        <v>0</v>
      </c>
      <c r="W3109" s="56">
        <f t="shared" si="146"/>
        <v>1725</v>
      </c>
    </row>
    <row r="3110" spans="1:23" x14ac:dyDescent="0.3">
      <c r="A3110" s="13" t="str" cm="1">
        <f t="array" ref="A3110:B3110">INDEX(BenchmarkResults!$B$1:$D$35,SUMPRODUCT((T3110&gt;=BenchmarkResults!$F$3:$F$35)*(mongodb_hardware_log!T3110&lt;BenchmarkResults!$G$3:$G$35)*ROW(BenchmarkResults!$F$3:$F$35)),{1,3})</f>
        <v>q6_inactive_customers</v>
      </c>
      <c r="B3110">
        <v>3</v>
      </c>
      <c r="C3110" s="13">
        <v>1</v>
      </c>
      <c r="D3110" s="13">
        <v>0</v>
      </c>
      <c r="E3110" s="13">
        <v>179968</v>
      </c>
      <c r="F3110" s="13">
        <v>187496</v>
      </c>
      <c r="G3110" s="13">
        <v>9928</v>
      </c>
      <c r="H3110" s="13">
        <v>2191444</v>
      </c>
      <c r="I3110" s="13">
        <v>0</v>
      </c>
      <c r="J3110" s="13">
        <v>0</v>
      </c>
      <c r="K3110" s="13">
        <v>1616</v>
      </c>
      <c r="L3110" s="13">
        <v>1573</v>
      </c>
      <c r="M3110" s="13">
        <v>738</v>
      </c>
      <c r="N3110" s="13">
        <v>225</v>
      </c>
      <c r="O3110" s="13">
        <v>34</v>
      </c>
      <c r="P3110" s="13">
        <v>1</v>
      </c>
      <c r="Q3110" s="13">
        <v>61</v>
      </c>
      <c r="R3110" s="13">
        <v>3</v>
      </c>
      <c r="S3110" s="13">
        <v>1</v>
      </c>
      <c r="T3110" s="23">
        <v>46247.808194444442</v>
      </c>
      <c r="U3110" s="55">
        <f t="shared" si="144"/>
        <v>1</v>
      </c>
      <c r="V3110" s="55">
        <f t="shared" si="145"/>
        <v>0</v>
      </c>
      <c r="W3110" s="56">
        <f t="shared" si="146"/>
        <v>1772.8333333333333</v>
      </c>
    </row>
    <row r="3111" spans="1:23" x14ac:dyDescent="0.3">
      <c r="A3111" s="13" t="str" cm="1">
        <f t="array" ref="A3111:B3111">INDEX(BenchmarkResults!$B$1:$D$35,SUMPRODUCT((T3111&gt;=BenchmarkResults!$F$3:$F$35)*(mongodb_hardware_log!T3111&lt;BenchmarkResults!$G$3:$G$35)*ROW(BenchmarkResults!$F$3:$F$35)),{1,3})</f>
        <v>q6_inactive_customers</v>
      </c>
      <c r="B3111">
        <v>3</v>
      </c>
      <c r="C3111" s="13">
        <v>1</v>
      </c>
      <c r="D3111" s="13">
        <v>0</v>
      </c>
      <c r="E3111" s="13">
        <v>179968</v>
      </c>
      <c r="F3111" s="13">
        <v>171872</v>
      </c>
      <c r="G3111" s="13">
        <v>9936</v>
      </c>
      <c r="H3111" s="13">
        <v>2207172</v>
      </c>
      <c r="I3111" s="13">
        <v>0</v>
      </c>
      <c r="J3111" s="13">
        <v>0</v>
      </c>
      <c r="K3111" s="13">
        <v>1772</v>
      </c>
      <c r="L3111" s="13">
        <v>1577</v>
      </c>
      <c r="M3111" s="13">
        <v>737</v>
      </c>
      <c r="N3111" s="13">
        <v>218</v>
      </c>
      <c r="O3111" s="13">
        <v>34</v>
      </c>
      <c r="P3111" s="13">
        <v>1</v>
      </c>
      <c r="Q3111" s="13">
        <v>61</v>
      </c>
      <c r="R3111" s="13">
        <v>3</v>
      </c>
      <c r="S3111" s="13">
        <v>1</v>
      </c>
      <c r="T3111" s="23">
        <v>46247.808298611111</v>
      </c>
      <c r="U3111" s="55">
        <f t="shared" si="144"/>
        <v>1</v>
      </c>
      <c r="V3111" s="55">
        <f t="shared" si="145"/>
        <v>0</v>
      </c>
      <c r="W3111" s="56">
        <f t="shared" si="146"/>
        <v>1764.3333333333333</v>
      </c>
    </row>
    <row r="3112" spans="1:23" x14ac:dyDescent="0.3">
      <c r="A3112" s="13" t="str" cm="1">
        <f t="array" ref="A3112:B3112">INDEX(BenchmarkResults!$B$1:$D$35,SUMPRODUCT((T3112&gt;=BenchmarkResults!$F$3:$F$35)*(mongodb_hardware_log!T3112&lt;BenchmarkResults!$G$3:$G$35)*ROW(BenchmarkResults!$F$3:$F$35)),{1,3})</f>
        <v>q6_inactive_customers</v>
      </c>
      <c r="B3112">
        <v>3</v>
      </c>
      <c r="C3112" s="13">
        <v>1</v>
      </c>
      <c r="D3112" s="13">
        <v>0</v>
      </c>
      <c r="E3112" s="13">
        <v>179968</v>
      </c>
      <c r="F3112" s="13">
        <v>171872</v>
      </c>
      <c r="G3112" s="13">
        <v>9936</v>
      </c>
      <c r="H3112" s="13">
        <v>2208512</v>
      </c>
      <c r="I3112" s="13">
        <v>0</v>
      </c>
      <c r="J3112" s="13">
        <v>0</v>
      </c>
      <c r="K3112" s="13">
        <v>1708</v>
      </c>
      <c r="L3112" s="13">
        <v>12</v>
      </c>
      <c r="M3112" s="13">
        <v>724</v>
      </c>
      <c r="N3112" s="13">
        <v>210</v>
      </c>
      <c r="O3112" s="13">
        <v>34</v>
      </c>
      <c r="P3112" s="13">
        <v>1</v>
      </c>
      <c r="Q3112" s="13">
        <v>64</v>
      </c>
      <c r="R3112" s="13">
        <v>0</v>
      </c>
      <c r="S3112" s="13">
        <v>1</v>
      </c>
      <c r="T3112" s="23">
        <v>46247.808310185188</v>
      </c>
      <c r="U3112" s="55">
        <f t="shared" si="144"/>
        <v>1</v>
      </c>
      <c r="V3112" s="55">
        <f t="shared" si="145"/>
        <v>0</v>
      </c>
      <c r="W3112" s="56">
        <f t="shared" si="146"/>
        <v>1706.6666666666667</v>
      </c>
    </row>
    <row r="3113" spans="1:23" x14ac:dyDescent="0.3">
      <c r="A3113" s="13" t="str" cm="1">
        <f t="array" ref="A3113:B3113">INDEX(BenchmarkResults!$B$1:$D$35,SUMPRODUCT((T3113&gt;=BenchmarkResults!$F$3:$F$35)*(mongodb_hardware_log!T3113&lt;BenchmarkResults!$G$3:$G$35)*ROW(BenchmarkResults!$F$3:$F$35)),{1,3})</f>
        <v>q6_inactive_customers</v>
      </c>
      <c r="B3113">
        <v>3</v>
      </c>
      <c r="C3113" s="13">
        <v>1</v>
      </c>
      <c r="D3113" s="13">
        <v>0</v>
      </c>
      <c r="E3113" s="13">
        <v>179968</v>
      </c>
      <c r="F3113" s="13">
        <v>152972</v>
      </c>
      <c r="G3113" s="13">
        <v>9944</v>
      </c>
      <c r="H3113" s="13">
        <v>2224284</v>
      </c>
      <c r="I3113" s="13">
        <v>0</v>
      </c>
      <c r="J3113" s="13">
        <v>0</v>
      </c>
      <c r="K3113" s="13">
        <v>1710</v>
      </c>
      <c r="L3113" s="13">
        <v>6</v>
      </c>
      <c r="M3113" s="13">
        <v>744</v>
      </c>
      <c r="N3113" s="13">
        <v>218</v>
      </c>
      <c r="O3113" s="13">
        <v>33</v>
      </c>
      <c r="P3113" s="13">
        <v>1</v>
      </c>
      <c r="Q3113" s="13">
        <v>64</v>
      </c>
      <c r="R3113" s="13">
        <v>1</v>
      </c>
      <c r="S3113" s="13">
        <v>1</v>
      </c>
      <c r="T3113" s="23">
        <v>46247.80841435185</v>
      </c>
      <c r="U3113" s="55">
        <f t="shared" si="144"/>
        <v>1</v>
      </c>
      <c r="V3113" s="55">
        <f t="shared" si="145"/>
        <v>0</v>
      </c>
      <c r="W3113" s="56">
        <f t="shared" si="146"/>
        <v>1673.6666666666667</v>
      </c>
    </row>
    <row r="3114" spans="1:23" x14ac:dyDescent="0.3">
      <c r="A3114" s="13" t="str" cm="1">
        <f t="array" ref="A3114:B3114">INDEX(BenchmarkResults!$B$1:$D$35,SUMPRODUCT((T3114&gt;=BenchmarkResults!$F$3:$F$35)*(mongodb_hardware_log!T3114&lt;BenchmarkResults!$G$3:$G$35)*ROW(BenchmarkResults!$F$3:$F$35)),{1,3})</f>
        <v>q6_inactive_customers</v>
      </c>
      <c r="B3114">
        <v>3</v>
      </c>
      <c r="C3114" s="13">
        <v>1</v>
      </c>
      <c r="D3114" s="13">
        <v>0</v>
      </c>
      <c r="E3114" s="13">
        <v>179968</v>
      </c>
      <c r="F3114" s="13">
        <v>152972</v>
      </c>
      <c r="G3114" s="13">
        <v>9952</v>
      </c>
      <c r="H3114" s="13">
        <v>2226596</v>
      </c>
      <c r="I3114" s="13">
        <v>0</v>
      </c>
      <c r="J3114" s="13">
        <v>0</v>
      </c>
      <c r="K3114" s="13">
        <v>1810</v>
      </c>
      <c r="L3114" s="13">
        <v>14</v>
      </c>
      <c r="M3114" s="13">
        <v>753</v>
      </c>
      <c r="N3114" s="13">
        <v>220</v>
      </c>
      <c r="O3114" s="13">
        <v>33</v>
      </c>
      <c r="P3114" s="13">
        <v>1</v>
      </c>
      <c r="Q3114" s="13">
        <v>64</v>
      </c>
      <c r="R3114" s="13">
        <v>2</v>
      </c>
      <c r="S3114" s="13">
        <v>1</v>
      </c>
      <c r="T3114" s="23">
        <v>46247.808425925927</v>
      </c>
      <c r="U3114" s="55">
        <f t="shared" si="144"/>
        <v>1</v>
      </c>
      <c r="V3114" s="55">
        <f t="shared" si="145"/>
        <v>0</v>
      </c>
      <c r="W3114" s="56">
        <f t="shared" si="146"/>
        <v>1710.6666666666667</v>
      </c>
    </row>
    <row r="3115" spans="1:23" x14ac:dyDescent="0.3">
      <c r="A3115" s="13" t="str" cm="1">
        <f t="array" ref="A3115:B3115">INDEX(BenchmarkResults!$B$1:$D$35,SUMPRODUCT((T3115&gt;=BenchmarkResults!$F$3:$F$35)*(mongodb_hardware_log!T3115&lt;BenchmarkResults!$G$3:$G$35)*ROW(BenchmarkResults!$F$3:$F$35)),{1,3})</f>
        <v>q6_inactive_customers</v>
      </c>
      <c r="B3115">
        <v>3</v>
      </c>
      <c r="C3115" s="13">
        <v>1</v>
      </c>
      <c r="D3115" s="13">
        <v>0</v>
      </c>
      <c r="E3115" s="13">
        <v>179968</v>
      </c>
      <c r="F3115" s="13">
        <v>112904</v>
      </c>
      <c r="G3115" s="13">
        <v>9992</v>
      </c>
      <c r="H3115" s="13">
        <v>2251716</v>
      </c>
      <c r="I3115" s="13">
        <v>0</v>
      </c>
      <c r="J3115" s="13">
        <v>0</v>
      </c>
      <c r="K3115" s="13">
        <v>1138</v>
      </c>
      <c r="L3115" s="13">
        <v>36</v>
      </c>
      <c r="M3115" s="13">
        <v>704</v>
      </c>
      <c r="N3115" s="13">
        <v>198</v>
      </c>
      <c r="O3115" s="13">
        <v>33</v>
      </c>
      <c r="P3115" s="13">
        <v>1</v>
      </c>
      <c r="Q3115" s="13">
        <v>64</v>
      </c>
      <c r="R3115" s="13">
        <v>1</v>
      </c>
      <c r="S3115" s="13">
        <v>1</v>
      </c>
      <c r="T3115" s="23">
        <v>46247.808530092596</v>
      </c>
      <c r="U3115" s="55">
        <f t="shared" si="144"/>
        <v>1</v>
      </c>
      <c r="V3115" s="55">
        <f t="shared" si="145"/>
        <v>0</v>
      </c>
      <c r="W3115" s="56">
        <f t="shared" si="146"/>
        <v>1625.6666666666667</v>
      </c>
    </row>
    <row r="3116" spans="1:23" x14ac:dyDescent="0.3">
      <c r="A3116" s="13" t="str" cm="1">
        <f t="array" ref="A3116:B3116">INDEX(BenchmarkResults!$B$1:$D$35,SUMPRODUCT((T3116&gt;=BenchmarkResults!$F$3:$F$35)*(mongodb_hardware_log!T3116&lt;BenchmarkResults!$G$3:$G$35)*ROW(BenchmarkResults!$F$3:$F$35)),{1,3})</f>
        <v>q6_inactive_customers</v>
      </c>
      <c r="B3116">
        <v>3</v>
      </c>
      <c r="C3116" s="13">
        <v>1</v>
      </c>
      <c r="D3116" s="13">
        <v>0</v>
      </c>
      <c r="E3116" s="13">
        <v>179968</v>
      </c>
      <c r="F3116" s="13">
        <v>112904</v>
      </c>
      <c r="G3116" s="13">
        <v>9992</v>
      </c>
      <c r="H3116" s="13">
        <v>2256020</v>
      </c>
      <c r="I3116" s="13">
        <v>0</v>
      </c>
      <c r="J3116" s="13">
        <v>0</v>
      </c>
      <c r="K3116" s="13">
        <v>1329</v>
      </c>
      <c r="L3116" s="13">
        <v>1595</v>
      </c>
      <c r="M3116" s="13">
        <v>733</v>
      </c>
      <c r="N3116" s="13">
        <v>225</v>
      </c>
      <c r="O3116" s="13">
        <v>33</v>
      </c>
      <c r="P3116" s="13">
        <v>1</v>
      </c>
      <c r="Q3116" s="13">
        <v>61</v>
      </c>
      <c r="R3116" s="13">
        <v>4</v>
      </c>
      <c r="S3116" s="13">
        <v>1</v>
      </c>
      <c r="T3116" s="23">
        <v>46247.808541666665</v>
      </c>
      <c r="U3116" s="55">
        <f t="shared" si="144"/>
        <v>1</v>
      </c>
      <c r="V3116" s="55">
        <f t="shared" si="145"/>
        <v>0</v>
      </c>
      <c r="W3116" s="56">
        <f t="shared" si="146"/>
        <v>1577.8333333333333</v>
      </c>
    </row>
    <row r="3117" spans="1:23" x14ac:dyDescent="0.3">
      <c r="A3117" s="13" t="str" cm="1">
        <f t="array" ref="A3117:B3117">INDEX(BenchmarkResults!$B$1:$D$35,SUMPRODUCT((T3117&gt;=BenchmarkResults!$F$3:$F$35)*(mongodb_hardware_log!T3117&lt;BenchmarkResults!$G$3:$G$35)*ROW(BenchmarkResults!$F$3:$F$35)),{1,3})</f>
        <v>q6_inactive_customers</v>
      </c>
      <c r="B3117">
        <v>3</v>
      </c>
      <c r="C3117" s="13">
        <v>1</v>
      </c>
      <c r="D3117" s="13">
        <v>0</v>
      </c>
      <c r="E3117" s="13">
        <v>179968</v>
      </c>
      <c r="F3117" s="13">
        <v>163888</v>
      </c>
      <c r="G3117" s="13">
        <v>10004</v>
      </c>
      <c r="H3117" s="13">
        <v>2213936</v>
      </c>
      <c r="I3117" s="13">
        <v>0</v>
      </c>
      <c r="J3117" s="13">
        <v>0</v>
      </c>
      <c r="K3117" s="13">
        <v>1812</v>
      </c>
      <c r="L3117" s="13">
        <v>1574</v>
      </c>
      <c r="M3117" s="13">
        <v>766</v>
      </c>
      <c r="N3117" s="13">
        <v>248</v>
      </c>
      <c r="O3117" s="13">
        <v>34</v>
      </c>
      <c r="P3117" s="13">
        <v>1</v>
      </c>
      <c r="Q3117" s="13">
        <v>61</v>
      </c>
      <c r="R3117" s="13">
        <v>3</v>
      </c>
      <c r="S3117" s="13">
        <v>1</v>
      </c>
      <c r="T3117" s="23">
        <v>46247.808645833335</v>
      </c>
      <c r="U3117" s="55">
        <f t="shared" si="144"/>
        <v>1</v>
      </c>
      <c r="V3117" s="55">
        <f t="shared" si="145"/>
        <v>0</v>
      </c>
      <c r="W3117" s="56">
        <f t="shared" si="146"/>
        <v>1584.5</v>
      </c>
    </row>
    <row r="3118" spans="1:23" x14ac:dyDescent="0.3">
      <c r="A3118" s="13" t="str" cm="1">
        <f t="array" ref="A3118:B3118">INDEX(BenchmarkResults!$B$1:$D$35,SUMPRODUCT((T3118&gt;=BenchmarkResults!$F$3:$F$35)*(mongodb_hardware_log!T3118&lt;BenchmarkResults!$G$3:$G$35)*ROW(BenchmarkResults!$F$3:$F$35)),{1,3})</f>
        <v>q6_inactive_customers</v>
      </c>
      <c r="B3118">
        <v>3</v>
      </c>
      <c r="C3118" s="13">
        <v>1</v>
      </c>
      <c r="D3118" s="13">
        <v>0</v>
      </c>
      <c r="E3118" s="13">
        <v>179968</v>
      </c>
      <c r="F3118" s="13">
        <v>155572</v>
      </c>
      <c r="G3118" s="13">
        <v>10012</v>
      </c>
      <c r="H3118" s="13">
        <v>2217196</v>
      </c>
      <c r="I3118" s="13">
        <v>0</v>
      </c>
      <c r="J3118" s="13">
        <v>0</v>
      </c>
      <c r="K3118" s="13">
        <v>1704</v>
      </c>
      <c r="L3118" s="13">
        <v>12</v>
      </c>
      <c r="M3118" s="13">
        <v>734</v>
      </c>
      <c r="N3118" s="13">
        <v>222</v>
      </c>
      <c r="O3118" s="13">
        <v>34</v>
      </c>
      <c r="P3118" s="13">
        <v>1</v>
      </c>
      <c r="Q3118" s="13">
        <v>64</v>
      </c>
      <c r="R3118" s="13">
        <v>1</v>
      </c>
      <c r="S3118" s="13">
        <v>0</v>
      </c>
      <c r="T3118" s="23">
        <v>46247.808657407404</v>
      </c>
      <c r="U3118" s="55">
        <f t="shared" si="144"/>
        <v>1</v>
      </c>
      <c r="V3118" s="55">
        <f t="shared" si="145"/>
        <v>0</v>
      </c>
      <c r="W3118" s="56">
        <f t="shared" si="146"/>
        <v>1583.8333333333333</v>
      </c>
    </row>
    <row r="3119" spans="1:23" x14ac:dyDescent="0.3">
      <c r="A3119" s="13" t="str" cm="1">
        <f t="array" ref="A3119:B3119">INDEX(BenchmarkResults!$B$1:$D$35,SUMPRODUCT((T3119&gt;=BenchmarkResults!$F$3:$F$35)*(mongodb_hardware_log!T3119&lt;BenchmarkResults!$G$3:$G$35)*ROW(BenchmarkResults!$F$3:$F$35)),{1,3})</f>
        <v>q6_inactive_customers</v>
      </c>
      <c r="B3119">
        <v>3</v>
      </c>
      <c r="C3119" s="13">
        <v>1</v>
      </c>
      <c r="D3119" s="13">
        <v>0</v>
      </c>
      <c r="E3119" s="13">
        <v>179968</v>
      </c>
      <c r="F3119" s="13">
        <v>146248</v>
      </c>
      <c r="G3119" s="13">
        <v>10020</v>
      </c>
      <c r="H3119" s="13">
        <v>2232672</v>
      </c>
      <c r="I3119" s="13">
        <v>0</v>
      </c>
      <c r="J3119" s="13">
        <v>0</v>
      </c>
      <c r="K3119" s="13">
        <v>1872</v>
      </c>
      <c r="L3119" s="13">
        <v>22</v>
      </c>
      <c r="M3119" s="13">
        <v>723</v>
      </c>
      <c r="N3119" s="13">
        <v>213</v>
      </c>
      <c r="O3119" s="13">
        <v>33</v>
      </c>
      <c r="P3119" s="13">
        <v>1</v>
      </c>
      <c r="Q3119" s="13">
        <v>65</v>
      </c>
      <c r="R3119" s="13">
        <v>0</v>
      </c>
      <c r="S3119" s="13">
        <v>0</v>
      </c>
      <c r="T3119" s="23">
        <v>46247.808761574073</v>
      </c>
      <c r="U3119" s="55">
        <f t="shared" si="144"/>
        <v>1</v>
      </c>
      <c r="V3119" s="55">
        <f t="shared" si="145"/>
        <v>0</v>
      </c>
      <c r="W3119" s="56">
        <f t="shared" si="146"/>
        <v>1610.8333333333333</v>
      </c>
    </row>
    <row r="3120" spans="1:23" x14ac:dyDescent="0.3">
      <c r="A3120" s="13" t="str" cm="1">
        <f t="array" ref="A3120:B3120">INDEX(BenchmarkResults!$B$1:$D$35,SUMPRODUCT((T3120&gt;=BenchmarkResults!$F$3:$F$35)*(mongodb_hardware_log!T3120&lt;BenchmarkResults!$G$3:$G$35)*ROW(BenchmarkResults!$F$3:$F$35)),{1,3})</f>
        <v>q6_inactive_customers</v>
      </c>
      <c r="B3120">
        <v>3</v>
      </c>
      <c r="C3120" s="13">
        <v>4</v>
      </c>
      <c r="D3120" s="13">
        <v>0</v>
      </c>
      <c r="E3120" s="13">
        <v>179968</v>
      </c>
      <c r="F3120" s="13">
        <v>140200</v>
      </c>
      <c r="G3120" s="13">
        <v>10020</v>
      </c>
      <c r="H3120" s="13">
        <v>2235252</v>
      </c>
      <c r="I3120" s="13">
        <v>0</v>
      </c>
      <c r="J3120" s="13">
        <v>0</v>
      </c>
      <c r="K3120" s="13">
        <v>1811</v>
      </c>
      <c r="L3120" s="13">
        <v>17</v>
      </c>
      <c r="M3120" s="13">
        <v>713</v>
      </c>
      <c r="N3120" s="13">
        <v>205</v>
      </c>
      <c r="O3120" s="13">
        <v>33</v>
      </c>
      <c r="P3120" s="13">
        <v>1</v>
      </c>
      <c r="Q3120" s="13">
        <v>65</v>
      </c>
      <c r="R3120" s="13">
        <v>0</v>
      </c>
      <c r="S3120" s="13">
        <v>0</v>
      </c>
      <c r="T3120" s="23">
        <v>46247.80877314815</v>
      </c>
      <c r="U3120" s="55">
        <f t="shared" si="144"/>
        <v>1.5</v>
      </c>
      <c r="V3120" s="55">
        <f t="shared" si="145"/>
        <v>0</v>
      </c>
      <c r="W3120" s="56">
        <f t="shared" si="146"/>
        <v>1611</v>
      </c>
    </row>
    <row r="3121" spans="1:23" x14ac:dyDescent="0.3">
      <c r="A3121" s="13" t="str" cm="1">
        <f t="array" ref="A3121:B3121">INDEX(BenchmarkResults!$B$1:$D$35,SUMPRODUCT((T3121&gt;=BenchmarkResults!$F$3:$F$35)*(mongodb_hardware_log!T3121&lt;BenchmarkResults!$G$3:$G$35)*ROW(BenchmarkResults!$F$3:$F$35)),{1,3})</f>
        <v>q6_inactive_customers</v>
      </c>
      <c r="B3121">
        <v>3</v>
      </c>
      <c r="C3121" s="13">
        <v>1</v>
      </c>
      <c r="D3121" s="13">
        <v>0</v>
      </c>
      <c r="E3121" s="13">
        <v>179968</v>
      </c>
      <c r="F3121" s="13">
        <v>125080</v>
      </c>
      <c r="G3121" s="13">
        <v>10028</v>
      </c>
      <c r="H3121" s="13">
        <v>2251204</v>
      </c>
      <c r="I3121" s="13">
        <v>0</v>
      </c>
      <c r="J3121" s="13">
        <v>0</v>
      </c>
      <c r="K3121" s="13">
        <v>1856</v>
      </c>
      <c r="L3121" s="13">
        <v>10</v>
      </c>
      <c r="M3121" s="13">
        <v>725</v>
      </c>
      <c r="N3121" s="13">
        <v>218</v>
      </c>
      <c r="O3121" s="13">
        <v>34</v>
      </c>
      <c r="P3121" s="13">
        <v>1</v>
      </c>
      <c r="Q3121" s="13">
        <v>63</v>
      </c>
      <c r="R3121" s="13">
        <v>1</v>
      </c>
      <c r="S3121" s="13">
        <v>0</v>
      </c>
      <c r="T3121" s="23">
        <v>46247.808877314812</v>
      </c>
      <c r="U3121" s="55">
        <f t="shared" si="144"/>
        <v>1.5</v>
      </c>
      <c r="V3121" s="55">
        <f t="shared" si="145"/>
        <v>0</v>
      </c>
      <c r="W3121" s="56">
        <f t="shared" si="146"/>
        <v>1730.6666666666667</v>
      </c>
    </row>
    <row r="3122" spans="1:23" x14ac:dyDescent="0.3">
      <c r="A3122" s="13" t="str" cm="1">
        <f t="array" ref="A3122:B3122">INDEX(BenchmarkResults!$B$1:$D$35,SUMPRODUCT((T3122&gt;=BenchmarkResults!$F$3:$F$35)*(mongodb_hardware_log!T3122&lt;BenchmarkResults!$G$3:$G$35)*ROW(BenchmarkResults!$F$3:$F$35)),{1,3})</f>
        <v>q6_inactive_customers</v>
      </c>
      <c r="B3122">
        <v>3</v>
      </c>
      <c r="C3122" s="13">
        <v>1</v>
      </c>
      <c r="D3122" s="13">
        <v>0</v>
      </c>
      <c r="E3122" s="13">
        <v>179968</v>
      </c>
      <c r="F3122" s="13">
        <v>125080</v>
      </c>
      <c r="G3122" s="13">
        <v>10036</v>
      </c>
      <c r="H3122" s="13">
        <v>2253288</v>
      </c>
      <c r="I3122" s="13">
        <v>0</v>
      </c>
      <c r="J3122" s="13">
        <v>0</v>
      </c>
      <c r="K3122" s="13">
        <v>1802</v>
      </c>
      <c r="L3122" s="13">
        <v>15</v>
      </c>
      <c r="M3122" s="13">
        <v>732</v>
      </c>
      <c r="N3122" s="13">
        <v>225</v>
      </c>
      <c r="O3122" s="13">
        <v>34</v>
      </c>
      <c r="P3122" s="13">
        <v>1</v>
      </c>
      <c r="Q3122" s="13">
        <v>64</v>
      </c>
      <c r="R3122" s="13">
        <v>1</v>
      </c>
      <c r="S3122" s="13">
        <v>0</v>
      </c>
      <c r="T3122" s="23">
        <v>46247.808888888889</v>
      </c>
      <c r="U3122" s="55">
        <f t="shared" si="144"/>
        <v>1.5</v>
      </c>
      <c r="V3122" s="55">
        <f t="shared" si="145"/>
        <v>0</v>
      </c>
      <c r="W3122" s="56">
        <f t="shared" si="146"/>
        <v>1809.5</v>
      </c>
    </row>
    <row r="3123" spans="1:23" x14ac:dyDescent="0.3">
      <c r="A3123" s="13" t="str" cm="1">
        <f t="array" ref="A3123:B3123">INDEX(BenchmarkResults!$B$1:$D$35,SUMPRODUCT((T3123&gt;=BenchmarkResults!$F$3:$F$35)*(mongodb_hardware_log!T3123&lt;BenchmarkResults!$G$3:$G$35)*ROW(BenchmarkResults!$F$3:$F$35)),{1,3})</f>
        <v>q6_inactive_customers</v>
      </c>
      <c r="B3123">
        <v>3</v>
      </c>
      <c r="C3123" s="13">
        <v>1</v>
      </c>
      <c r="D3123" s="13">
        <v>0</v>
      </c>
      <c r="E3123" s="13">
        <v>179968</v>
      </c>
      <c r="F3123" s="13">
        <v>162628</v>
      </c>
      <c r="G3123" s="13">
        <v>10044</v>
      </c>
      <c r="H3123" s="13">
        <v>2213704</v>
      </c>
      <c r="I3123" s="13">
        <v>0</v>
      </c>
      <c r="J3123" s="13">
        <v>0</v>
      </c>
      <c r="K3123" s="13">
        <v>1794</v>
      </c>
      <c r="L3123" s="13">
        <v>18</v>
      </c>
      <c r="M3123" s="13">
        <v>736</v>
      </c>
      <c r="N3123" s="13">
        <v>221</v>
      </c>
      <c r="O3123" s="13">
        <v>33</v>
      </c>
      <c r="P3123" s="13">
        <v>1</v>
      </c>
      <c r="Q3123" s="13">
        <v>65</v>
      </c>
      <c r="R3123" s="13">
        <v>1</v>
      </c>
      <c r="S3123" s="13">
        <v>0</v>
      </c>
      <c r="T3123" s="23">
        <v>46247.808993055558</v>
      </c>
      <c r="U3123" s="55">
        <f t="shared" si="144"/>
        <v>1.5</v>
      </c>
      <c r="V3123" s="55">
        <f t="shared" si="145"/>
        <v>0</v>
      </c>
      <c r="W3123" s="56">
        <f t="shared" si="146"/>
        <v>1806.5</v>
      </c>
    </row>
    <row r="3124" spans="1:23" x14ac:dyDescent="0.3">
      <c r="A3124" s="13" t="str" cm="1">
        <f t="array" ref="A3124:B3124">INDEX(BenchmarkResults!$B$1:$D$35,SUMPRODUCT((T3124&gt;=BenchmarkResults!$F$3:$F$35)*(mongodb_hardware_log!T3124&lt;BenchmarkResults!$G$3:$G$35)*ROW(BenchmarkResults!$F$3:$F$35)),{1,3})</f>
        <v>q6_inactive_customers</v>
      </c>
      <c r="B3124">
        <v>3</v>
      </c>
      <c r="C3124" s="13">
        <v>1</v>
      </c>
      <c r="D3124" s="13">
        <v>0</v>
      </c>
      <c r="E3124" s="13">
        <v>179968</v>
      </c>
      <c r="F3124" s="13">
        <v>162620</v>
      </c>
      <c r="G3124" s="13">
        <v>10044</v>
      </c>
      <c r="H3124" s="13">
        <v>2216492</v>
      </c>
      <c r="I3124" s="13">
        <v>0</v>
      </c>
      <c r="J3124" s="13">
        <v>0</v>
      </c>
      <c r="K3124" s="13">
        <v>1880</v>
      </c>
      <c r="L3124" s="13">
        <v>13</v>
      </c>
      <c r="M3124" s="13">
        <v>731</v>
      </c>
      <c r="N3124" s="13">
        <v>217</v>
      </c>
      <c r="O3124" s="13">
        <v>33</v>
      </c>
      <c r="P3124" s="13">
        <v>1</v>
      </c>
      <c r="Q3124" s="13">
        <v>65</v>
      </c>
      <c r="R3124" s="13">
        <v>1</v>
      </c>
      <c r="S3124" s="13">
        <v>0</v>
      </c>
      <c r="T3124" s="23">
        <v>46247.809004629627</v>
      </c>
      <c r="U3124" s="55">
        <f t="shared" si="144"/>
        <v>1.5</v>
      </c>
      <c r="V3124" s="55">
        <f t="shared" si="145"/>
        <v>0</v>
      </c>
      <c r="W3124" s="56">
        <f t="shared" si="146"/>
        <v>1835.8333333333333</v>
      </c>
    </row>
    <row r="3125" spans="1:23" x14ac:dyDescent="0.3">
      <c r="A3125" s="13" t="str" cm="1">
        <f t="array" ref="A3125:B3125">INDEX(BenchmarkResults!$B$1:$D$35,SUMPRODUCT((T3125&gt;=BenchmarkResults!$F$3:$F$35)*(mongodb_hardware_log!T3125&lt;BenchmarkResults!$G$3:$G$35)*ROW(BenchmarkResults!$F$3:$F$35)),{1,3})</f>
        <v>q6_inactive_customers</v>
      </c>
      <c r="B3125">
        <v>3</v>
      </c>
      <c r="C3125" s="13">
        <v>1</v>
      </c>
      <c r="D3125" s="13">
        <v>0</v>
      </c>
      <c r="E3125" s="13">
        <v>179968</v>
      </c>
      <c r="F3125" s="13">
        <v>146240</v>
      </c>
      <c r="G3125" s="13">
        <v>10052</v>
      </c>
      <c r="H3125" s="13">
        <v>2228748</v>
      </c>
      <c r="I3125" s="13">
        <v>0</v>
      </c>
      <c r="J3125" s="13">
        <v>0</v>
      </c>
      <c r="K3125" s="13">
        <v>1516</v>
      </c>
      <c r="L3125" s="13">
        <v>4</v>
      </c>
      <c r="M3125" s="13">
        <v>743</v>
      </c>
      <c r="N3125" s="13">
        <v>208</v>
      </c>
      <c r="O3125" s="13">
        <v>33</v>
      </c>
      <c r="P3125" s="13">
        <v>1</v>
      </c>
      <c r="Q3125" s="13">
        <v>64</v>
      </c>
      <c r="R3125" s="13">
        <v>0</v>
      </c>
      <c r="S3125" s="13">
        <v>2</v>
      </c>
      <c r="T3125" s="23">
        <v>46247.809108796297</v>
      </c>
      <c r="U3125" s="55">
        <f t="shared" si="144"/>
        <v>1.5</v>
      </c>
      <c r="V3125" s="55">
        <f t="shared" si="145"/>
        <v>0</v>
      </c>
      <c r="W3125" s="56">
        <f t="shared" si="146"/>
        <v>1776.5</v>
      </c>
    </row>
    <row r="3126" spans="1:23" x14ac:dyDescent="0.3">
      <c r="A3126" s="13" t="str" cm="1">
        <f t="array" ref="A3126:B3126">INDEX(BenchmarkResults!$B$1:$D$35,SUMPRODUCT((T3126&gt;=BenchmarkResults!$F$3:$F$35)*(mongodb_hardware_log!T3126&lt;BenchmarkResults!$G$3:$G$35)*ROW(BenchmarkResults!$F$3:$F$35)),{1,3})</f>
        <v>q6_inactive_customers</v>
      </c>
      <c r="B3126">
        <v>3</v>
      </c>
      <c r="C3126" s="13">
        <v>1</v>
      </c>
      <c r="D3126" s="13">
        <v>0</v>
      </c>
      <c r="E3126" s="13">
        <v>179968</v>
      </c>
      <c r="F3126" s="13">
        <v>145988</v>
      </c>
      <c r="G3126" s="13">
        <v>10060</v>
      </c>
      <c r="H3126" s="13">
        <v>2231580</v>
      </c>
      <c r="I3126" s="13">
        <v>0</v>
      </c>
      <c r="J3126" s="13">
        <v>0</v>
      </c>
      <c r="K3126" s="13">
        <v>1504</v>
      </c>
      <c r="L3126" s="13">
        <v>10</v>
      </c>
      <c r="M3126" s="13">
        <v>751</v>
      </c>
      <c r="N3126" s="13">
        <v>210</v>
      </c>
      <c r="O3126" s="13">
        <v>33</v>
      </c>
      <c r="P3126" s="13">
        <v>1</v>
      </c>
      <c r="Q3126" s="13">
        <v>64</v>
      </c>
      <c r="R3126" s="13">
        <v>0</v>
      </c>
      <c r="S3126" s="13">
        <v>2</v>
      </c>
      <c r="T3126" s="23">
        <v>46247.809120370373</v>
      </c>
      <c r="U3126" s="55">
        <f t="shared" si="144"/>
        <v>1</v>
      </c>
      <c r="V3126" s="55">
        <f t="shared" si="145"/>
        <v>0</v>
      </c>
      <c r="W3126" s="56">
        <f t="shared" si="146"/>
        <v>1725.3333333333333</v>
      </c>
    </row>
    <row r="3127" spans="1:23" x14ac:dyDescent="0.3">
      <c r="A3127" s="13" t="str" cm="1">
        <f t="array" ref="A3127:B3127">INDEX(BenchmarkResults!$B$1:$D$35,SUMPRODUCT((T3127&gt;=BenchmarkResults!$F$3:$F$35)*(mongodb_hardware_log!T3127&lt;BenchmarkResults!$G$3:$G$35)*ROW(BenchmarkResults!$F$3:$F$35)),{1,3})</f>
        <v>q6_inactive_customers</v>
      </c>
      <c r="B3127">
        <v>3</v>
      </c>
      <c r="C3127" s="13">
        <v>1</v>
      </c>
      <c r="D3127" s="13">
        <v>0</v>
      </c>
      <c r="E3127" s="13">
        <v>179968</v>
      </c>
      <c r="F3127" s="13">
        <v>115412</v>
      </c>
      <c r="G3127" s="13">
        <v>10084</v>
      </c>
      <c r="H3127" s="13">
        <v>2256068</v>
      </c>
      <c r="I3127" s="13">
        <v>0</v>
      </c>
      <c r="J3127" s="13">
        <v>0</v>
      </c>
      <c r="K3127" s="13">
        <v>1122</v>
      </c>
      <c r="L3127" s="13">
        <v>31</v>
      </c>
      <c r="M3127" s="13">
        <v>714</v>
      </c>
      <c r="N3127" s="13">
        <v>203</v>
      </c>
      <c r="O3127" s="13">
        <v>33</v>
      </c>
      <c r="P3127" s="13">
        <v>1</v>
      </c>
      <c r="Q3127" s="13">
        <v>64</v>
      </c>
      <c r="R3127" s="13">
        <v>1</v>
      </c>
      <c r="S3127" s="13">
        <v>1</v>
      </c>
      <c r="T3127" s="23">
        <v>46247.809224537035</v>
      </c>
      <c r="U3127" s="55">
        <f t="shared" si="144"/>
        <v>1</v>
      </c>
      <c r="V3127" s="55">
        <f t="shared" si="145"/>
        <v>0</v>
      </c>
      <c r="W3127" s="56">
        <f t="shared" si="146"/>
        <v>1603</v>
      </c>
    </row>
    <row r="3128" spans="1:23" x14ac:dyDescent="0.3">
      <c r="A3128" s="13" t="str" cm="1">
        <f t="array" ref="A3128:B3128">INDEX(BenchmarkResults!$B$1:$D$35,SUMPRODUCT((T3128&gt;=BenchmarkResults!$F$3:$F$35)*(mongodb_hardware_log!T3128&lt;BenchmarkResults!$G$3:$G$35)*ROW(BenchmarkResults!$F$3:$F$35)),{1,3})</f>
        <v>q6_inactive_customers</v>
      </c>
      <c r="B3128">
        <v>3</v>
      </c>
      <c r="C3128" s="13">
        <v>1</v>
      </c>
      <c r="D3128" s="13">
        <v>0</v>
      </c>
      <c r="E3128" s="13">
        <v>179968</v>
      </c>
      <c r="F3128" s="13">
        <v>113648</v>
      </c>
      <c r="G3128" s="13">
        <v>10084</v>
      </c>
      <c r="H3128" s="13">
        <v>2259144</v>
      </c>
      <c r="I3128" s="13">
        <v>0</v>
      </c>
      <c r="J3128" s="13">
        <v>0</v>
      </c>
      <c r="K3128" s="13">
        <v>1144</v>
      </c>
      <c r="L3128" s="13">
        <v>25</v>
      </c>
      <c r="M3128" s="13">
        <v>709</v>
      </c>
      <c r="N3128" s="13">
        <v>203</v>
      </c>
      <c r="O3128" s="13">
        <v>33</v>
      </c>
      <c r="P3128" s="13">
        <v>1</v>
      </c>
      <c r="Q3128" s="13">
        <v>64</v>
      </c>
      <c r="R3128" s="13">
        <v>1</v>
      </c>
      <c r="S3128" s="13">
        <v>1</v>
      </c>
      <c r="T3128" s="23">
        <v>46247.809236111112</v>
      </c>
      <c r="U3128" s="55">
        <f t="shared" si="144"/>
        <v>1</v>
      </c>
      <c r="V3128" s="55">
        <f t="shared" si="145"/>
        <v>0</v>
      </c>
      <c r="W3128" s="56">
        <f t="shared" si="146"/>
        <v>1493.3333333333333</v>
      </c>
    </row>
    <row r="3129" spans="1:23" x14ac:dyDescent="0.3">
      <c r="A3129" s="13" t="str" cm="1">
        <f t="array" ref="A3129:B3129">INDEX(BenchmarkResults!$B$1:$D$35,SUMPRODUCT((T3129&gt;=BenchmarkResults!$F$3:$F$35)*(mongodb_hardware_log!T3129&lt;BenchmarkResults!$G$3:$G$35)*ROW(BenchmarkResults!$F$3:$F$35)),{1,3})</f>
        <v>q6_inactive_customers</v>
      </c>
      <c r="B3129">
        <v>3</v>
      </c>
      <c r="C3129" s="13">
        <v>1</v>
      </c>
      <c r="D3129" s="13">
        <v>0</v>
      </c>
      <c r="E3129" s="13">
        <v>179968</v>
      </c>
      <c r="F3129" s="13">
        <v>139728</v>
      </c>
      <c r="G3129" s="13">
        <v>10092</v>
      </c>
      <c r="H3129" s="13">
        <v>2235624</v>
      </c>
      <c r="I3129" s="13">
        <v>0</v>
      </c>
      <c r="J3129" s="13">
        <v>0</v>
      </c>
      <c r="K3129" s="13">
        <v>1942</v>
      </c>
      <c r="L3129" s="13">
        <v>6</v>
      </c>
      <c r="M3129" s="13">
        <v>725</v>
      </c>
      <c r="N3129" s="13">
        <v>220</v>
      </c>
      <c r="O3129" s="13">
        <v>33</v>
      </c>
      <c r="P3129" s="13">
        <v>1</v>
      </c>
      <c r="Q3129" s="13">
        <v>65</v>
      </c>
      <c r="R3129" s="13">
        <v>1</v>
      </c>
      <c r="S3129" s="13">
        <v>0</v>
      </c>
      <c r="T3129" s="23">
        <v>46247.809340277781</v>
      </c>
      <c r="U3129" s="55">
        <f t="shared" si="144"/>
        <v>1</v>
      </c>
      <c r="V3129" s="55">
        <f t="shared" si="145"/>
        <v>0</v>
      </c>
      <c r="W3129" s="56">
        <f t="shared" si="146"/>
        <v>1518</v>
      </c>
    </row>
    <row r="3130" spans="1:23" x14ac:dyDescent="0.3">
      <c r="A3130" s="13" t="str" cm="1">
        <f t="array" ref="A3130:B3130">INDEX(BenchmarkResults!$B$1:$D$35,SUMPRODUCT((T3130&gt;=BenchmarkResults!$F$3:$F$35)*(mongodb_hardware_log!T3130&lt;BenchmarkResults!$G$3:$G$35)*ROW(BenchmarkResults!$F$3:$F$35)),{1,3})</f>
        <v>q6_inactive_customers</v>
      </c>
      <c r="B3130">
        <v>3</v>
      </c>
      <c r="C3130" s="13">
        <v>1</v>
      </c>
      <c r="D3130" s="13">
        <v>0</v>
      </c>
      <c r="E3130" s="13">
        <v>179968</v>
      </c>
      <c r="F3130" s="13">
        <v>136704</v>
      </c>
      <c r="G3130" s="13">
        <v>10100</v>
      </c>
      <c r="H3130" s="13">
        <v>2238268</v>
      </c>
      <c r="I3130" s="13">
        <v>0</v>
      </c>
      <c r="J3130" s="13">
        <v>0</v>
      </c>
      <c r="K3130" s="13">
        <v>1910</v>
      </c>
      <c r="L3130" s="13">
        <v>11</v>
      </c>
      <c r="M3130" s="13">
        <v>734</v>
      </c>
      <c r="N3130" s="13">
        <v>229</v>
      </c>
      <c r="O3130" s="13">
        <v>34</v>
      </c>
      <c r="P3130" s="13">
        <v>1</v>
      </c>
      <c r="Q3130" s="13">
        <v>64</v>
      </c>
      <c r="R3130" s="13">
        <v>1</v>
      </c>
      <c r="S3130" s="13">
        <v>0</v>
      </c>
      <c r="T3130" s="23">
        <v>46247.809351851851</v>
      </c>
      <c r="U3130" s="55">
        <f t="shared" si="144"/>
        <v>1</v>
      </c>
      <c r="V3130" s="55">
        <f t="shared" si="145"/>
        <v>0</v>
      </c>
      <c r="W3130" s="56">
        <f t="shared" si="146"/>
        <v>1523</v>
      </c>
    </row>
    <row r="3131" spans="1:23" x14ac:dyDescent="0.3">
      <c r="A3131" s="13" t="str" cm="1">
        <f t="array" ref="A3131:B3131">INDEX(BenchmarkResults!$B$1:$D$35,SUMPRODUCT((T3131&gt;=BenchmarkResults!$F$3:$F$35)*(mongodb_hardware_log!T3131&lt;BenchmarkResults!$G$3:$G$35)*ROW(BenchmarkResults!$F$3:$F$35)),{1,3})</f>
        <v>q6_inactive_customers</v>
      </c>
      <c r="B3131">
        <v>3</v>
      </c>
      <c r="C3131" s="13">
        <v>2</v>
      </c>
      <c r="D3131" s="13">
        <v>0</v>
      </c>
      <c r="E3131" s="13">
        <v>179968</v>
      </c>
      <c r="F3131" s="13">
        <v>116544</v>
      </c>
      <c r="G3131" s="13">
        <v>10108</v>
      </c>
      <c r="H3131" s="13">
        <v>2255716</v>
      </c>
      <c r="I3131" s="13">
        <v>0</v>
      </c>
      <c r="J3131" s="13">
        <v>0</v>
      </c>
      <c r="K3131" s="13">
        <v>2008</v>
      </c>
      <c r="L3131" s="13">
        <v>22</v>
      </c>
      <c r="M3131" s="13">
        <v>740</v>
      </c>
      <c r="N3131" s="13">
        <v>225</v>
      </c>
      <c r="O3131" s="13">
        <v>34</v>
      </c>
      <c r="P3131" s="13">
        <v>1</v>
      </c>
      <c r="Q3131" s="13">
        <v>64</v>
      </c>
      <c r="R3131" s="13">
        <v>1</v>
      </c>
      <c r="S3131" s="13">
        <v>0</v>
      </c>
      <c r="T3131" s="23">
        <v>46247.80945601852</v>
      </c>
      <c r="U3131" s="55">
        <f t="shared" si="144"/>
        <v>1.1666666666666667</v>
      </c>
      <c r="V3131" s="55">
        <f t="shared" si="145"/>
        <v>0</v>
      </c>
      <c r="W3131" s="56">
        <f t="shared" si="146"/>
        <v>1605</v>
      </c>
    </row>
    <row r="3132" spans="1:23" x14ac:dyDescent="0.3">
      <c r="A3132" s="13" t="str" cm="1">
        <f t="array" ref="A3132:B3132">INDEX(BenchmarkResults!$B$1:$D$35,SUMPRODUCT((T3132&gt;=BenchmarkResults!$F$3:$F$35)*(mongodb_hardware_log!T3132&lt;BenchmarkResults!$G$3:$G$35)*ROW(BenchmarkResults!$F$3:$F$35)),{1,3})</f>
        <v>q6_inactive_customers</v>
      </c>
      <c r="B3132">
        <v>3</v>
      </c>
      <c r="C3132" s="13">
        <v>1</v>
      </c>
      <c r="D3132" s="13">
        <v>0</v>
      </c>
      <c r="E3132" s="13">
        <v>179968</v>
      </c>
      <c r="F3132" s="13">
        <v>116544</v>
      </c>
      <c r="G3132" s="13">
        <v>10108</v>
      </c>
      <c r="H3132" s="13">
        <v>2258744</v>
      </c>
      <c r="I3132" s="13">
        <v>0</v>
      </c>
      <c r="J3132" s="13">
        <v>0</v>
      </c>
      <c r="K3132" s="13">
        <v>2039</v>
      </c>
      <c r="L3132" s="13">
        <v>16</v>
      </c>
      <c r="M3132" s="13">
        <v>741</v>
      </c>
      <c r="N3132" s="13">
        <v>221</v>
      </c>
      <c r="O3132" s="13">
        <v>33</v>
      </c>
      <c r="P3132" s="13">
        <v>1</v>
      </c>
      <c r="Q3132" s="13">
        <v>64</v>
      </c>
      <c r="R3132" s="13">
        <v>1</v>
      </c>
      <c r="S3132" s="13">
        <v>1</v>
      </c>
      <c r="T3132" s="23">
        <v>46247.809467592589</v>
      </c>
      <c r="U3132" s="55">
        <f t="shared" si="144"/>
        <v>1.1666666666666667</v>
      </c>
      <c r="V3132" s="55">
        <f t="shared" si="145"/>
        <v>0</v>
      </c>
      <c r="W3132" s="56">
        <f t="shared" si="146"/>
        <v>1694.1666666666667</v>
      </c>
    </row>
    <row r="3133" spans="1:23" x14ac:dyDescent="0.3">
      <c r="A3133" s="13" t="str" cm="1">
        <f t="array" ref="A3133:B3133">INDEX(BenchmarkResults!$B$1:$D$35,SUMPRODUCT((T3133&gt;=BenchmarkResults!$F$3:$F$35)*(mongodb_hardware_log!T3133&lt;BenchmarkResults!$G$3:$G$35)*ROW(BenchmarkResults!$F$3:$F$35)),{1,3})</f>
        <v>q6_inactive_customers</v>
      </c>
      <c r="B3133">
        <v>3</v>
      </c>
      <c r="C3133" s="13">
        <v>1</v>
      </c>
      <c r="D3133" s="13">
        <v>0</v>
      </c>
      <c r="E3133" s="13">
        <v>179968</v>
      </c>
      <c r="F3133" s="13">
        <v>159184</v>
      </c>
      <c r="G3133" s="13">
        <v>10116</v>
      </c>
      <c r="H3133" s="13">
        <v>2217476</v>
      </c>
      <c r="I3133" s="13">
        <v>0</v>
      </c>
      <c r="J3133" s="13">
        <v>0</v>
      </c>
      <c r="K3133" s="13">
        <v>1739</v>
      </c>
      <c r="L3133" s="13">
        <v>1588</v>
      </c>
      <c r="M3133" s="13">
        <v>753</v>
      </c>
      <c r="N3133" s="13">
        <v>236</v>
      </c>
      <c r="O3133" s="13">
        <v>33</v>
      </c>
      <c r="P3133" s="13">
        <v>1</v>
      </c>
      <c r="Q3133" s="13">
        <v>62</v>
      </c>
      <c r="R3133" s="13">
        <v>2</v>
      </c>
      <c r="S3133" s="13">
        <v>1</v>
      </c>
      <c r="T3133" s="23">
        <v>46247.809571759259</v>
      </c>
      <c r="U3133" s="55">
        <f t="shared" si="144"/>
        <v>1.1666666666666667</v>
      </c>
      <c r="V3133" s="55">
        <f t="shared" si="145"/>
        <v>0</v>
      </c>
      <c r="W3133" s="56">
        <f t="shared" si="146"/>
        <v>1797</v>
      </c>
    </row>
    <row r="3134" spans="1:23" x14ac:dyDescent="0.3">
      <c r="A3134" s="13" t="str" cm="1">
        <f t="array" ref="A3134:B3134">INDEX(BenchmarkResults!$B$1:$D$35,SUMPRODUCT((T3134&gt;=BenchmarkResults!$F$3:$F$35)*(mongodb_hardware_log!T3134&lt;BenchmarkResults!$G$3:$G$35)*ROW(BenchmarkResults!$F$3:$F$35)),{1,3})</f>
        <v>q6_inactive_customers</v>
      </c>
      <c r="B3134">
        <v>3</v>
      </c>
      <c r="C3134" s="13">
        <v>1</v>
      </c>
      <c r="D3134" s="13">
        <v>1</v>
      </c>
      <c r="E3134" s="13">
        <v>179968</v>
      </c>
      <c r="F3134" s="13">
        <v>158932</v>
      </c>
      <c r="G3134" s="13">
        <v>10128</v>
      </c>
      <c r="H3134" s="13">
        <v>2220200</v>
      </c>
      <c r="I3134" s="13">
        <v>0</v>
      </c>
      <c r="J3134" s="13">
        <v>0</v>
      </c>
      <c r="K3134" s="13">
        <v>1710</v>
      </c>
      <c r="L3134" s="13">
        <v>1596</v>
      </c>
      <c r="M3134" s="13">
        <v>745</v>
      </c>
      <c r="N3134" s="13">
        <v>235</v>
      </c>
      <c r="O3134" s="13">
        <v>34</v>
      </c>
      <c r="P3134" s="13">
        <v>1</v>
      </c>
      <c r="Q3134" s="13">
        <v>62</v>
      </c>
      <c r="R3134" s="13">
        <v>2</v>
      </c>
      <c r="S3134" s="13">
        <v>1</v>
      </c>
      <c r="T3134" s="23">
        <v>46247.809583333335</v>
      </c>
      <c r="U3134" s="55">
        <f t="shared" si="144"/>
        <v>1.1666666666666667</v>
      </c>
      <c r="V3134" s="55">
        <f t="shared" si="145"/>
        <v>0.16666666666666666</v>
      </c>
      <c r="W3134" s="56">
        <f t="shared" si="146"/>
        <v>1891.3333333333333</v>
      </c>
    </row>
    <row r="3135" spans="1:23" x14ac:dyDescent="0.3">
      <c r="A3135" s="13" t="str" cm="1">
        <f t="array" ref="A3135:B3135">INDEX(BenchmarkResults!$B$1:$D$35,SUMPRODUCT((T3135&gt;=BenchmarkResults!$F$3:$F$35)*(mongodb_hardware_log!T3135&lt;BenchmarkResults!$G$3:$G$35)*ROW(BenchmarkResults!$F$3:$F$35)),{1,3})</f>
        <v>q6_inactive_customers</v>
      </c>
      <c r="B3135">
        <v>3</v>
      </c>
      <c r="C3135" s="13">
        <v>1</v>
      </c>
      <c r="D3135" s="13">
        <v>0</v>
      </c>
      <c r="E3135" s="13">
        <v>179968</v>
      </c>
      <c r="F3135" s="13">
        <v>141544</v>
      </c>
      <c r="G3135" s="13">
        <v>10136</v>
      </c>
      <c r="H3135" s="13">
        <v>2237680</v>
      </c>
      <c r="I3135" s="13">
        <v>0</v>
      </c>
      <c r="J3135" s="13">
        <v>0</v>
      </c>
      <c r="K3135" s="13">
        <v>2011</v>
      </c>
      <c r="L3135" s="13">
        <v>18</v>
      </c>
      <c r="M3135" s="13">
        <v>742</v>
      </c>
      <c r="N3135" s="13">
        <v>226</v>
      </c>
      <c r="O3135" s="13">
        <v>35</v>
      </c>
      <c r="P3135" s="13">
        <v>1</v>
      </c>
      <c r="Q3135" s="13">
        <v>63</v>
      </c>
      <c r="R3135" s="13">
        <v>1</v>
      </c>
      <c r="S3135" s="13">
        <v>0</v>
      </c>
      <c r="T3135" s="23">
        <v>46247.809687499997</v>
      </c>
      <c r="U3135" s="55">
        <f t="shared" si="144"/>
        <v>1.1666666666666667</v>
      </c>
      <c r="V3135" s="55">
        <f t="shared" si="145"/>
        <v>0.16666666666666666</v>
      </c>
      <c r="W3135" s="56">
        <f t="shared" si="146"/>
        <v>1902.8333333333333</v>
      </c>
    </row>
    <row r="3136" spans="1:23" x14ac:dyDescent="0.3">
      <c r="A3136" s="13" t="str" cm="1">
        <f t="array" ref="A3136:B3136">INDEX(BenchmarkResults!$B$1:$D$35,SUMPRODUCT((T3136&gt;=BenchmarkResults!$F$3:$F$35)*(mongodb_hardware_log!T3136&lt;BenchmarkResults!$G$3:$G$35)*ROW(BenchmarkResults!$F$3:$F$35)),{1,3})</f>
        <v>q6_inactive_customers</v>
      </c>
      <c r="B3136">
        <v>3</v>
      </c>
      <c r="C3136" s="13">
        <v>1</v>
      </c>
      <c r="D3136" s="13">
        <v>0</v>
      </c>
      <c r="E3136" s="13">
        <v>179968</v>
      </c>
      <c r="F3136" s="13">
        <v>135496</v>
      </c>
      <c r="G3136" s="13">
        <v>10136</v>
      </c>
      <c r="H3136" s="13">
        <v>2240824</v>
      </c>
      <c r="I3136" s="13">
        <v>0</v>
      </c>
      <c r="J3136" s="13">
        <v>0</v>
      </c>
      <c r="K3136" s="13">
        <v>2061</v>
      </c>
      <c r="L3136" s="13">
        <v>10</v>
      </c>
      <c r="M3136" s="13">
        <v>739</v>
      </c>
      <c r="N3136" s="13">
        <v>221</v>
      </c>
      <c r="O3136" s="13">
        <v>34</v>
      </c>
      <c r="P3136" s="13">
        <v>1</v>
      </c>
      <c r="Q3136" s="13">
        <v>64</v>
      </c>
      <c r="R3136" s="13">
        <v>1</v>
      </c>
      <c r="S3136" s="13">
        <v>0</v>
      </c>
      <c r="T3136" s="23">
        <v>46247.809699074074</v>
      </c>
      <c r="U3136" s="55">
        <f t="shared" si="144"/>
        <v>1.1666666666666667</v>
      </c>
      <c r="V3136" s="55">
        <f t="shared" si="145"/>
        <v>0.16666666666666666</v>
      </c>
      <c r="W3136" s="56">
        <f t="shared" si="146"/>
        <v>1928</v>
      </c>
    </row>
    <row r="3137" spans="1:23" x14ac:dyDescent="0.3">
      <c r="A3137" s="13" t="str" cm="1">
        <f t="array" ref="A3137:B3137">INDEX(BenchmarkResults!$B$1:$D$35,SUMPRODUCT((T3137&gt;=BenchmarkResults!$F$3:$F$35)*(mongodb_hardware_log!T3137&lt;BenchmarkResults!$G$3:$G$35)*ROW(BenchmarkResults!$F$3:$F$35)),{1,3})</f>
        <v>q6_inactive_customers</v>
      </c>
      <c r="B3137">
        <v>3</v>
      </c>
      <c r="C3137" s="13">
        <v>1</v>
      </c>
      <c r="D3137" s="13">
        <v>0</v>
      </c>
      <c r="E3137" s="13">
        <v>179968</v>
      </c>
      <c r="F3137" s="13">
        <v>119368</v>
      </c>
      <c r="G3137" s="13">
        <v>10144</v>
      </c>
      <c r="H3137" s="13">
        <v>2255568</v>
      </c>
      <c r="I3137" s="13">
        <v>0</v>
      </c>
      <c r="J3137" s="13">
        <v>0</v>
      </c>
      <c r="K3137" s="13">
        <v>1789</v>
      </c>
      <c r="L3137" s="13">
        <v>9</v>
      </c>
      <c r="M3137" s="13">
        <v>755</v>
      </c>
      <c r="N3137" s="13">
        <v>221</v>
      </c>
      <c r="O3137" s="13">
        <v>33</v>
      </c>
      <c r="P3137" s="13">
        <v>1</v>
      </c>
      <c r="Q3137" s="13">
        <v>64</v>
      </c>
      <c r="R3137" s="13">
        <v>1</v>
      </c>
      <c r="S3137" s="13">
        <v>1</v>
      </c>
      <c r="T3137" s="23">
        <v>46247.809803240743</v>
      </c>
      <c r="U3137" s="55">
        <f t="shared" si="144"/>
        <v>1</v>
      </c>
      <c r="V3137" s="55">
        <f t="shared" si="145"/>
        <v>0.16666666666666666</v>
      </c>
      <c r="W3137" s="56">
        <f t="shared" si="146"/>
        <v>1891.5</v>
      </c>
    </row>
    <row r="3138" spans="1:23" x14ac:dyDescent="0.3">
      <c r="A3138" s="13" t="str" cm="1">
        <f t="array" ref="A3138:B3138">INDEX(BenchmarkResults!$B$1:$D$35,SUMPRODUCT((T3138&gt;=BenchmarkResults!$F$3:$F$35)*(mongodb_hardware_log!T3138&lt;BenchmarkResults!$G$3:$G$35)*ROW(BenchmarkResults!$F$3:$F$35)),{1,3})</f>
        <v>q6_inactive_customers</v>
      </c>
      <c r="B3138">
        <v>3</v>
      </c>
      <c r="C3138" s="13">
        <v>1</v>
      </c>
      <c r="D3138" s="13">
        <v>0</v>
      </c>
      <c r="E3138" s="13">
        <v>179968</v>
      </c>
      <c r="F3138" s="13">
        <v>118612</v>
      </c>
      <c r="G3138" s="13">
        <v>10152</v>
      </c>
      <c r="H3138" s="13">
        <v>2258804</v>
      </c>
      <c r="I3138" s="13">
        <v>0</v>
      </c>
      <c r="J3138" s="13">
        <v>0</v>
      </c>
      <c r="K3138" s="13">
        <v>1488</v>
      </c>
      <c r="L3138" s="13">
        <v>14</v>
      </c>
      <c r="M3138" s="13">
        <v>743</v>
      </c>
      <c r="N3138" s="13">
        <v>207</v>
      </c>
      <c r="O3138" s="13">
        <v>33</v>
      </c>
      <c r="P3138" s="13">
        <v>1</v>
      </c>
      <c r="Q3138" s="13">
        <v>64</v>
      </c>
      <c r="R3138" s="13">
        <v>1</v>
      </c>
      <c r="S3138" s="13">
        <v>1</v>
      </c>
      <c r="T3138" s="23">
        <v>46247.809814814813</v>
      </c>
      <c r="U3138" s="55">
        <f t="shared" si="144"/>
        <v>1</v>
      </c>
      <c r="V3138" s="55">
        <f t="shared" si="145"/>
        <v>0.16666666666666666</v>
      </c>
      <c r="W3138" s="56">
        <f t="shared" si="146"/>
        <v>1799.6666666666667</v>
      </c>
    </row>
    <row r="3139" spans="1:23" x14ac:dyDescent="0.3">
      <c r="A3139" s="13" t="str" cm="1">
        <f t="array" ref="A3139:B3139">INDEX(BenchmarkResults!$B$1:$D$35,SUMPRODUCT((T3139&gt;=BenchmarkResults!$F$3:$F$35)*(mongodb_hardware_log!T3139&lt;BenchmarkResults!$G$3:$G$35)*ROW(BenchmarkResults!$F$3:$F$35)),{1,3})</f>
        <v>q6_inactive_customers</v>
      </c>
      <c r="B3139">
        <v>3</v>
      </c>
      <c r="C3139" s="13">
        <v>1</v>
      </c>
      <c r="D3139" s="13">
        <v>0</v>
      </c>
      <c r="E3139" s="13">
        <v>179968</v>
      </c>
      <c r="F3139" s="13">
        <v>159352</v>
      </c>
      <c r="G3139" s="13">
        <v>10184</v>
      </c>
      <c r="H3139" s="13">
        <v>2227432</v>
      </c>
      <c r="I3139" s="13">
        <v>0</v>
      </c>
      <c r="J3139" s="13">
        <v>0</v>
      </c>
      <c r="K3139" s="13">
        <v>1076</v>
      </c>
      <c r="L3139" s="13">
        <v>1592</v>
      </c>
      <c r="M3139" s="13">
        <v>692</v>
      </c>
      <c r="N3139" s="13">
        <v>180</v>
      </c>
      <c r="O3139" s="13">
        <v>33</v>
      </c>
      <c r="P3139" s="13">
        <v>1</v>
      </c>
      <c r="Q3139" s="13">
        <v>62</v>
      </c>
      <c r="R3139" s="13">
        <v>3</v>
      </c>
      <c r="S3139" s="13">
        <v>1</v>
      </c>
      <c r="T3139" s="23">
        <v>46247.809918981482</v>
      </c>
      <c r="U3139" s="55">
        <f t="shared" si="144"/>
        <v>1</v>
      </c>
      <c r="V3139" s="55">
        <f t="shared" si="145"/>
        <v>0.16666666666666666</v>
      </c>
      <c r="W3139" s="56">
        <f t="shared" si="146"/>
        <v>1689.1666666666667</v>
      </c>
    </row>
    <row r="3140" spans="1:23" x14ac:dyDescent="0.3">
      <c r="A3140" s="13" t="str" cm="1">
        <f t="array" ref="A3140:B3140">INDEX(BenchmarkResults!$B$1:$D$35,SUMPRODUCT((T3140&gt;=BenchmarkResults!$F$3:$F$35)*(mongodb_hardware_log!T3140&lt;BenchmarkResults!$G$3:$G$35)*ROW(BenchmarkResults!$F$3:$F$35)),{1,3})</f>
        <v>q6_inactive_customers</v>
      </c>
      <c r="B3140">
        <v>3</v>
      </c>
      <c r="C3140" s="13">
        <v>1</v>
      </c>
      <c r="D3140" s="13">
        <v>0</v>
      </c>
      <c r="E3140" s="13">
        <v>179968</v>
      </c>
      <c r="F3140" s="13">
        <v>154564</v>
      </c>
      <c r="G3140" s="13">
        <v>10184</v>
      </c>
      <c r="H3140" s="13">
        <v>2230964</v>
      </c>
      <c r="I3140" s="13">
        <v>0</v>
      </c>
      <c r="J3140" s="13">
        <v>0</v>
      </c>
      <c r="K3140" s="13">
        <v>1409</v>
      </c>
      <c r="L3140" s="13">
        <v>1588</v>
      </c>
      <c r="M3140" s="13">
        <v>705</v>
      </c>
      <c r="N3140" s="13">
        <v>193</v>
      </c>
      <c r="O3140" s="13">
        <v>33</v>
      </c>
      <c r="P3140" s="13">
        <v>1</v>
      </c>
      <c r="Q3140" s="13">
        <v>62</v>
      </c>
      <c r="R3140" s="13">
        <v>3</v>
      </c>
      <c r="S3140" s="13">
        <v>1</v>
      </c>
      <c r="T3140" s="23">
        <v>46247.809930555559</v>
      </c>
      <c r="U3140" s="55">
        <f t="shared" si="144"/>
        <v>1</v>
      </c>
      <c r="V3140" s="55">
        <f t="shared" si="145"/>
        <v>0</v>
      </c>
      <c r="W3140" s="56">
        <f t="shared" si="146"/>
        <v>1639</v>
      </c>
    </row>
    <row r="3141" spans="1:23" x14ac:dyDescent="0.3">
      <c r="A3141" s="13" t="str" cm="1">
        <f t="array" ref="A3141:B3141">INDEX(BenchmarkResults!$B$1:$D$35,SUMPRODUCT((T3141&gt;=BenchmarkResults!$F$3:$F$35)*(mongodb_hardware_log!T3141&lt;BenchmarkResults!$G$3:$G$35)*ROW(BenchmarkResults!$F$3:$F$35)),{1,3})</f>
        <v>q6_inactive_customers</v>
      </c>
      <c r="B3141">
        <v>3</v>
      </c>
      <c r="C3141" s="13">
        <v>1</v>
      </c>
      <c r="D3141" s="13">
        <v>0</v>
      </c>
      <c r="E3141" s="13">
        <v>179968</v>
      </c>
      <c r="F3141" s="13">
        <v>139948</v>
      </c>
      <c r="G3141" s="13">
        <v>10196</v>
      </c>
      <c r="H3141" s="13">
        <v>2245200</v>
      </c>
      <c r="I3141" s="13">
        <v>0</v>
      </c>
      <c r="J3141" s="13">
        <v>0</v>
      </c>
      <c r="K3141" s="13">
        <v>1772</v>
      </c>
      <c r="L3141" s="13">
        <v>9</v>
      </c>
      <c r="M3141" s="13">
        <v>721</v>
      </c>
      <c r="N3141" s="13">
        <v>205</v>
      </c>
      <c r="O3141" s="13">
        <v>33</v>
      </c>
      <c r="P3141" s="13">
        <v>1</v>
      </c>
      <c r="Q3141" s="13">
        <v>65</v>
      </c>
      <c r="R3141" s="13">
        <v>0</v>
      </c>
      <c r="S3141" s="13">
        <v>1</v>
      </c>
      <c r="T3141" s="23">
        <v>46247.810034722221</v>
      </c>
      <c r="U3141" s="55">
        <f t="shared" si="144"/>
        <v>1</v>
      </c>
      <c r="V3141" s="55">
        <f t="shared" si="145"/>
        <v>0</v>
      </c>
      <c r="W3141" s="56">
        <f t="shared" si="146"/>
        <v>1599.1666666666667</v>
      </c>
    </row>
    <row r="3142" spans="1:23" x14ac:dyDescent="0.3">
      <c r="A3142" s="13" t="str" cm="1">
        <f t="array" ref="A3142:B3142">INDEX(BenchmarkResults!$B$1:$D$35,SUMPRODUCT((T3142&gt;=BenchmarkResults!$F$3:$F$35)*(mongodb_hardware_log!T3142&lt;BenchmarkResults!$G$3:$G$35)*ROW(BenchmarkResults!$F$3:$F$35)),{1,3})</f>
        <v>q6_inactive_customers</v>
      </c>
      <c r="B3142">
        <v>3</v>
      </c>
      <c r="C3142" s="13">
        <v>1</v>
      </c>
      <c r="D3142" s="13">
        <v>0</v>
      </c>
      <c r="E3142" s="13">
        <v>179968</v>
      </c>
      <c r="F3142" s="13">
        <v>131884</v>
      </c>
      <c r="G3142" s="13">
        <v>10204</v>
      </c>
      <c r="H3142" s="13">
        <v>2248084</v>
      </c>
      <c r="I3142" s="13">
        <v>0</v>
      </c>
      <c r="J3142" s="13">
        <v>0</v>
      </c>
      <c r="K3142" s="13">
        <v>1713</v>
      </c>
      <c r="L3142" s="13">
        <v>14</v>
      </c>
      <c r="M3142" s="13">
        <v>728</v>
      </c>
      <c r="N3142" s="13">
        <v>209</v>
      </c>
      <c r="O3142" s="13">
        <v>33</v>
      </c>
      <c r="P3142" s="13">
        <v>1</v>
      </c>
      <c r="Q3142" s="13">
        <v>64</v>
      </c>
      <c r="R3142" s="13">
        <v>0</v>
      </c>
      <c r="S3142" s="13">
        <v>2</v>
      </c>
      <c r="T3142" s="23">
        <v>46247.810046296298</v>
      </c>
      <c r="U3142" s="55">
        <f t="shared" si="144"/>
        <v>1</v>
      </c>
      <c r="V3142" s="55">
        <f t="shared" si="145"/>
        <v>0</v>
      </c>
      <c r="W3142" s="56">
        <f t="shared" si="146"/>
        <v>1541.1666666666667</v>
      </c>
    </row>
    <row r="3143" spans="1:23" x14ac:dyDescent="0.3">
      <c r="A3143" s="13" t="str" cm="1">
        <f t="array" ref="A3143:B3143">INDEX(BenchmarkResults!$B$1:$D$35,SUMPRODUCT((T3143&gt;=BenchmarkResults!$F$3:$F$35)*(mongodb_hardware_log!T3143&lt;BenchmarkResults!$G$3:$G$35)*ROW(BenchmarkResults!$F$3:$F$35)),{1,3})</f>
        <v>q6_inactive_customers</v>
      </c>
      <c r="B3143">
        <v>3</v>
      </c>
      <c r="C3143" s="13">
        <v>1</v>
      </c>
      <c r="D3143" s="13">
        <v>0</v>
      </c>
      <c r="E3143" s="13">
        <v>179968</v>
      </c>
      <c r="F3143" s="13">
        <v>121300</v>
      </c>
      <c r="G3143" s="13">
        <v>10212</v>
      </c>
      <c r="H3143" s="13">
        <v>2263092</v>
      </c>
      <c r="I3143" s="13">
        <v>0</v>
      </c>
      <c r="J3143" s="13">
        <v>0</v>
      </c>
      <c r="K3143" s="13">
        <v>1796</v>
      </c>
      <c r="L3143" s="13">
        <v>15</v>
      </c>
      <c r="M3143" s="13">
        <v>730</v>
      </c>
      <c r="N3143" s="13">
        <v>211</v>
      </c>
      <c r="O3143" s="13">
        <v>33</v>
      </c>
      <c r="P3143" s="13">
        <v>1</v>
      </c>
      <c r="Q3143" s="13">
        <v>64</v>
      </c>
      <c r="R3143" s="13">
        <v>0</v>
      </c>
      <c r="S3143" s="13">
        <v>2</v>
      </c>
      <c r="T3143" s="23">
        <v>46247.810150462959</v>
      </c>
      <c r="U3143" s="55">
        <f t="shared" si="144"/>
        <v>1</v>
      </c>
      <c r="V3143" s="55">
        <f t="shared" si="145"/>
        <v>0</v>
      </c>
      <c r="W3143" s="56">
        <f t="shared" si="146"/>
        <v>1542.3333333333333</v>
      </c>
    </row>
    <row r="3144" spans="1:23" x14ac:dyDescent="0.3">
      <c r="A3144" s="13" t="str" cm="1">
        <f t="array" ref="A3144:B3144">INDEX(BenchmarkResults!$B$1:$D$35,SUMPRODUCT((T3144&gt;=BenchmarkResults!$F$3:$F$35)*(mongodb_hardware_log!T3144&lt;BenchmarkResults!$G$3:$G$35)*ROW(BenchmarkResults!$F$3:$F$35)),{1,3})</f>
        <v>q6_inactive_customers</v>
      </c>
      <c r="B3144">
        <v>3</v>
      </c>
      <c r="C3144" s="13">
        <v>1</v>
      </c>
      <c r="D3144" s="13">
        <v>0</v>
      </c>
      <c r="E3144" s="13">
        <v>179968</v>
      </c>
      <c r="F3144" s="13">
        <v>117268</v>
      </c>
      <c r="G3144" s="13">
        <v>10212</v>
      </c>
      <c r="H3144" s="13">
        <v>2265564</v>
      </c>
      <c r="I3144" s="13">
        <v>0</v>
      </c>
      <c r="J3144" s="13">
        <v>0</v>
      </c>
      <c r="K3144" s="13">
        <v>1746</v>
      </c>
      <c r="L3144" s="13">
        <v>10</v>
      </c>
      <c r="M3144" s="13">
        <v>725</v>
      </c>
      <c r="N3144" s="13">
        <v>210</v>
      </c>
      <c r="O3144" s="13">
        <v>33</v>
      </c>
      <c r="P3144" s="13">
        <v>1</v>
      </c>
      <c r="Q3144" s="13">
        <v>64</v>
      </c>
      <c r="R3144" s="13">
        <v>0</v>
      </c>
      <c r="S3144" s="13">
        <v>1</v>
      </c>
      <c r="T3144" s="23">
        <v>46247.810162037036</v>
      </c>
      <c r="U3144" s="55">
        <f t="shared" si="144"/>
        <v>1</v>
      </c>
      <c r="V3144" s="55">
        <f t="shared" si="145"/>
        <v>0</v>
      </c>
      <c r="W3144" s="56">
        <f t="shared" si="146"/>
        <v>1585.3333333333333</v>
      </c>
    </row>
    <row r="3145" spans="1:23" x14ac:dyDescent="0.3">
      <c r="A3145" s="13" t="str" cm="1">
        <f t="array" ref="A3145:B3145">INDEX(BenchmarkResults!$B$1:$D$35,SUMPRODUCT((T3145&gt;=BenchmarkResults!$F$3:$F$35)*(mongodb_hardware_log!T3145&lt;BenchmarkResults!$G$3:$G$35)*ROW(BenchmarkResults!$F$3:$F$35)),{1,3})</f>
        <v>q6_inactive_customers</v>
      </c>
      <c r="B3145">
        <v>3</v>
      </c>
      <c r="C3145" s="13">
        <v>1</v>
      </c>
      <c r="D3145" s="13">
        <v>0</v>
      </c>
      <c r="E3145" s="13">
        <v>179968</v>
      </c>
      <c r="F3145" s="13">
        <v>157836</v>
      </c>
      <c r="G3145" s="13">
        <v>10220</v>
      </c>
      <c r="H3145" s="13">
        <v>2226092</v>
      </c>
      <c r="I3145" s="13">
        <v>0</v>
      </c>
      <c r="J3145" s="13">
        <v>0</v>
      </c>
      <c r="K3145" s="13">
        <v>1866</v>
      </c>
      <c r="L3145" s="13">
        <v>13</v>
      </c>
      <c r="M3145" s="13">
        <v>714</v>
      </c>
      <c r="N3145" s="13">
        <v>210</v>
      </c>
      <c r="O3145" s="13">
        <v>33</v>
      </c>
      <c r="P3145" s="13">
        <v>1</v>
      </c>
      <c r="Q3145" s="13">
        <v>65</v>
      </c>
      <c r="R3145" s="13">
        <v>0</v>
      </c>
      <c r="S3145" s="13">
        <v>1</v>
      </c>
      <c r="T3145" s="23">
        <v>46247.810266203705</v>
      </c>
      <c r="U3145" s="55">
        <f t="shared" ref="U3145:U3208" si="147">AVERAGE(C3140:C3145)</f>
        <v>1</v>
      </c>
      <c r="V3145" s="55">
        <f t="shared" ref="V3145:V3208" si="148">AVERAGE(D3140:D3145)</f>
        <v>0</v>
      </c>
      <c r="W3145" s="56">
        <f t="shared" ref="W3145:W3208" si="149">AVERAGE(K3140:K3145)</f>
        <v>1717</v>
      </c>
    </row>
    <row r="3146" spans="1:23" x14ac:dyDescent="0.3">
      <c r="A3146" s="13" t="str" cm="1">
        <f t="array" ref="A3146:B3146">INDEX(BenchmarkResults!$B$1:$D$35,SUMPRODUCT((T3146&gt;=BenchmarkResults!$F$3:$F$35)*(mongodb_hardware_log!T3146&lt;BenchmarkResults!$G$3:$G$35)*ROW(BenchmarkResults!$F$3:$F$35)),{1,3})</f>
        <v>q6_inactive_customers</v>
      </c>
      <c r="B3146">
        <v>3</v>
      </c>
      <c r="C3146" s="13">
        <v>1</v>
      </c>
      <c r="D3146" s="13">
        <v>0</v>
      </c>
      <c r="E3146" s="13">
        <v>179968</v>
      </c>
      <c r="F3146" s="13">
        <v>153552</v>
      </c>
      <c r="G3146" s="13">
        <v>10228</v>
      </c>
      <c r="H3146" s="13">
        <v>2228852</v>
      </c>
      <c r="I3146" s="13">
        <v>0</v>
      </c>
      <c r="J3146" s="13">
        <v>0</v>
      </c>
      <c r="K3146" s="13">
        <v>1897</v>
      </c>
      <c r="L3146" s="13">
        <v>19</v>
      </c>
      <c r="M3146" s="13">
        <v>720</v>
      </c>
      <c r="N3146" s="13">
        <v>220</v>
      </c>
      <c r="O3146" s="13">
        <v>33</v>
      </c>
      <c r="P3146" s="13">
        <v>1</v>
      </c>
      <c r="Q3146" s="13">
        <v>65</v>
      </c>
      <c r="R3146" s="13">
        <v>0</v>
      </c>
      <c r="S3146" s="13">
        <v>0</v>
      </c>
      <c r="T3146" s="23">
        <v>46247.810277777775</v>
      </c>
      <c r="U3146" s="55">
        <f t="shared" si="147"/>
        <v>1</v>
      </c>
      <c r="V3146" s="55">
        <f t="shared" si="148"/>
        <v>0</v>
      </c>
      <c r="W3146" s="56">
        <f t="shared" si="149"/>
        <v>1798.3333333333333</v>
      </c>
    </row>
    <row r="3147" spans="1:23" x14ac:dyDescent="0.3">
      <c r="A3147" s="13" t="str" cm="1">
        <f t="array" ref="A3147:B3147">INDEX(BenchmarkResults!$B$1:$D$35,SUMPRODUCT((T3147&gt;=BenchmarkResults!$F$3:$F$35)*(mongodb_hardware_log!T3147&lt;BenchmarkResults!$G$3:$G$35)*ROW(BenchmarkResults!$F$3:$F$35)),{1,3})</f>
        <v>q6_inactive_customers</v>
      </c>
      <c r="B3147">
        <v>3</v>
      </c>
      <c r="C3147" s="13">
        <v>4</v>
      </c>
      <c r="D3147" s="13">
        <v>0</v>
      </c>
      <c r="E3147" s="13">
        <v>179968</v>
      </c>
      <c r="F3147" s="13">
        <v>138432</v>
      </c>
      <c r="G3147" s="13">
        <v>10236</v>
      </c>
      <c r="H3147" s="13">
        <v>2244840</v>
      </c>
      <c r="I3147" s="13">
        <v>0</v>
      </c>
      <c r="J3147" s="13">
        <v>0</v>
      </c>
      <c r="K3147" s="13">
        <v>1876</v>
      </c>
      <c r="L3147" s="13">
        <v>20</v>
      </c>
      <c r="M3147" s="13">
        <v>725</v>
      </c>
      <c r="N3147" s="13">
        <v>220</v>
      </c>
      <c r="O3147" s="13">
        <v>33</v>
      </c>
      <c r="P3147" s="13">
        <v>1</v>
      </c>
      <c r="Q3147" s="13">
        <v>65</v>
      </c>
      <c r="R3147" s="13">
        <v>0</v>
      </c>
      <c r="S3147" s="13">
        <v>0</v>
      </c>
      <c r="T3147" s="23">
        <v>46247.810381944444</v>
      </c>
      <c r="U3147" s="55">
        <f t="shared" si="147"/>
        <v>1.5</v>
      </c>
      <c r="V3147" s="55">
        <f t="shared" si="148"/>
        <v>0</v>
      </c>
      <c r="W3147" s="56">
        <f t="shared" si="149"/>
        <v>1815.6666666666667</v>
      </c>
    </row>
    <row r="3148" spans="1:23" x14ac:dyDescent="0.3">
      <c r="A3148" s="13" t="str" cm="1">
        <f t="array" ref="A3148:B3148">INDEX(BenchmarkResults!$B$1:$D$35,SUMPRODUCT((T3148&gt;=BenchmarkResults!$F$3:$F$35)*(mongodb_hardware_log!T3148&lt;BenchmarkResults!$G$3:$G$35)*ROW(BenchmarkResults!$F$3:$F$35)),{1,3})</f>
        <v>q6_inactive_customers</v>
      </c>
      <c r="B3148">
        <v>3</v>
      </c>
      <c r="C3148" s="13">
        <v>1</v>
      </c>
      <c r="D3148" s="13">
        <v>0</v>
      </c>
      <c r="E3148" s="13">
        <v>179968</v>
      </c>
      <c r="F3148" s="13">
        <v>130620</v>
      </c>
      <c r="G3148" s="13">
        <v>10236</v>
      </c>
      <c r="H3148" s="13">
        <v>2250116</v>
      </c>
      <c r="I3148" s="13">
        <v>0</v>
      </c>
      <c r="J3148" s="13">
        <v>0</v>
      </c>
      <c r="K3148" s="13">
        <v>2130</v>
      </c>
      <c r="L3148" s="13">
        <v>15</v>
      </c>
      <c r="M3148" s="13">
        <v>721</v>
      </c>
      <c r="N3148" s="13">
        <v>212</v>
      </c>
      <c r="O3148" s="13">
        <v>34</v>
      </c>
      <c r="P3148" s="13">
        <v>1</v>
      </c>
      <c r="Q3148" s="13">
        <v>65</v>
      </c>
      <c r="R3148" s="13">
        <v>0</v>
      </c>
      <c r="S3148" s="13">
        <v>0</v>
      </c>
      <c r="T3148" s="23">
        <v>46247.810393518521</v>
      </c>
      <c r="U3148" s="55">
        <f t="shared" si="147"/>
        <v>1.5</v>
      </c>
      <c r="V3148" s="55">
        <f t="shared" si="148"/>
        <v>0</v>
      </c>
      <c r="W3148" s="56">
        <f t="shared" si="149"/>
        <v>1885.1666666666667</v>
      </c>
    </row>
    <row r="3149" spans="1:23" x14ac:dyDescent="0.3">
      <c r="A3149" s="13" t="str" cm="1">
        <f t="array" ref="A3149:B3149">INDEX(BenchmarkResults!$B$1:$D$35,SUMPRODUCT((T3149&gt;=BenchmarkResults!$F$3:$F$35)*(mongodb_hardware_log!T3149&lt;BenchmarkResults!$G$3:$G$35)*ROW(BenchmarkResults!$F$3:$F$35)),{1,3})</f>
        <v>q6_inactive_customers</v>
      </c>
      <c r="B3149">
        <v>3</v>
      </c>
      <c r="C3149" s="13">
        <v>1</v>
      </c>
      <c r="D3149" s="13">
        <v>0</v>
      </c>
      <c r="E3149" s="13">
        <v>179968</v>
      </c>
      <c r="F3149" s="13">
        <v>155316</v>
      </c>
      <c r="G3149" s="13">
        <v>10244</v>
      </c>
      <c r="H3149" s="13">
        <v>2215440</v>
      </c>
      <c r="I3149" s="13">
        <v>0</v>
      </c>
      <c r="J3149" s="13">
        <v>0</v>
      </c>
      <c r="K3149" s="13">
        <v>1506</v>
      </c>
      <c r="L3149" s="13">
        <v>6</v>
      </c>
      <c r="M3149" s="13">
        <v>707</v>
      </c>
      <c r="N3149" s="13">
        <v>191</v>
      </c>
      <c r="O3149" s="13">
        <v>33</v>
      </c>
      <c r="P3149" s="13">
        <v>1</v>
      </c>
      <c r="Q3149" s="13">
        <v>65</v>
      </c>
      <c r="R3149" s="13">
        <v>0</v>
      </c>
      <c r="S3149" s="13">
        <v>0</v>
      </c>
      <c r="T3149" s="23">
        <v>46247.810497685183</v>
      </c>
      <c r="U3149" s="55">
        <f t="shared" si="147"/>
        <v>1.5</v>
      </c>
      <c r="V3149" s="55">
        <f t="shared" si="148"/>
        <v>0</v>
      </c>
      <c r="W3149" s="56">
        <f t="shared" si="149"/>
        <v>1836.8333333333333</v>
      </c>
    </row>
    <row r="3150" spans="1:23" x14ac:dyDescent="0.3">
      <c r="A3150" s="13" t="str" cm="1">
        <f t="array" ref="A3150:B3150">INDEX(BenchmarkResults!$B$1:$D$35,SUMPRODUCT((T3150&gt;=BenchmarkResults!$F$3:$F$35)*(mongodb_hardware_log!T3150&lt;BenchmarkResults!$G$3:$G$35)*ROW(BenchmarkResults!$F$3:$F$35)),{1,3})</f>
        <v>q6_inactive_customers</v>
      </c>
      <c r="B3150">
        <v>3</v>
      </c>
      <c r="C3150" s="13">
        <v>1</v>
      </c>
      <c r="D3150" s="13">
        <v>0</v>
      </c>
      <c r="E3150" s="13">
        <v>179968</v>
      </c>
      <c r="F3150" s="13">
        <v>148532</v>
      </c>
      <c r="G3150" s="13">
        <v>10252</v>
      </c>
      <c r="H3150" s="13">
        <v>2226820</v>
      </c>
      <c r="I3150" s="13">
        <v>0</v>
      </c>
      <c r="J3150" s="13">
        <v>0</v>
      </c>
      <c r="K3150" s="13">
        <v>1168</v>
      </c>
      <c r="L3150" s="13">
        <v>12</v>
      </c>
      <c r="M3150" s="13">
        <v>694</v>
      </c>
      <c r="N3150" s="13">
        <v>175</v>
      </c>
      <c r="O3150" s="13">
        <v>33</v>
      </c>
      <c r="P3150" s="13">
        <v>1</v>
      </c>
      <c r="Q3150" s="13">
        <v>65</v>
      </c>
      <c r="R3150" s="13">
        <v>0</v>
      </c>
      <c r="S3150" s="13">
        <v>0</v>
      </c>
      <c r="T3150" s="23">
        <v>46247.81050925926</v>
      </c>
      <c r="U3150" s="55">
        <f t="shared" si="147"/>
        <v>1.5</v>
      </c>
      <c r="V3150" s="55">
        <f t="shared" si="148"/>
        <v>0</v>
      </c>
      <c r="W3150" s="56">
        <f t="shared" si="149"/>
        <v>1740.5</v>
      </c>
    </row>
    <row r="3151" spans="1:23" x14ac:dyDescent="0.3">
      <c r="A3151" s="13" t="str" cm="1">
        <f t="array" ref="A3151:B3151">INDEX(BenchmarkResults!$B$1:$D$35,SUMPRODUCT((T3151&gt;=BenchmarkResults!$F$3:$F$35)*(mongodb_hardware_log!T3151&lt;BenchmarkResults!$G$3:$G$35)*ROW(BenchmarkResults!$F$3:$F$35)),{1,3})</f>
        <v>q6_inactive_customers</v>
      </c>
      <c r="B3151">
        <v>3</v>
      </c>
      <c r="C3151" s="13">
        <v>1</v>
      </c>
      <c r="D3151" s="13">
        <v>0</v>
      </c>
      <c r="E3151" s="13">
        <v>179968</v>
      </c>
      <c r="F3151" s="13">
        <v>124620</v>
      </c>
      <c r="G3151" s="13">
        <v>10276</v>
      </c>
      <c r="H3151" s="13">
        <v>2242940</v>
      </c>
      <c r="I3151" s="13">
        <v>0</v>
      </c>
      <c r="J3151" s="13">
        <v>0</v>
      </c>
      <c r="K3151" s="13">
        <v>1800</v>
      </c>
      <c r="L3151" s="13">
        <v>30</v>
      </c>
      <c r="M3151" s="13">
        <v>727</v>
      </c>
      <c r="N3151" s="13">
        <v>214</v>
      </c>
      <c r="O3151" s="13">
        <v>33</v>
      </c>
      <c r="P3151" s="13">
        <v>1</v>
      </c>
      <c r="Q3151" s="13">
        <v>64</v>
      </c>
      <c r="R3151" s="13">
        <v>1</v>
      </c>
      <c r="S3151" s="13">
        <v>0</v>
      </c>
      <c r="T3151" s="23">
        <v>46247.810613425929</v>
      </c>
      <c r="U3151" s="55">
        <f t="shared" si="147"/>
        <v>1.5</v>
      </c>
      <c r="V3151" s="55">
        <f t="shared" si="148"/>
        <v>0</v>
      </c>
      <c r="W3151" s="56">
        <f t="shared" si="149"/>
        <v>1729.5</v>
      </c>
    </row>
    <row r="3152" spans="1:23" x14ac:dyDescent="0.3">
      <c r="A3152" s="13" t="str" cm="1">
        <f t="array" ref="A3152:B3152">INDEX(BenchmarkResults!$B$1:$D$35,SUMPRODUCT((T3152&gt;=BenchmarkResults!$F$3:$F$35)*(mongodb_hardware_log!T3152&lt;BenchmarkResults!$G$3:$G$35)*ROW(BenchmarkResults!$F$3:$F$35)),{1,3})</f>
        <v>q6_inactive_customers</v>
      </c>
      <c r="B3152">
        <v>3</v>
      </c>
      <c r="C3152" s="13">
        <v>1</v>
      </c>
      <c r="D3152" s="13">
        <v>0</v>
      </c>
      <c r="E3152" s="13">
        <v>179968</v>
      </c>
      <c r="F3152" s="13">
        <v>123040</v>
      </c>
      <c r="G3152" s="13">
        <v>10276</v>
      </c>
      <c r="H3152" s="13">
        <v>2245520</v>
      </c>
      <c r="I3152" s="13">
        <v>0</v>
      </c>
      <c r="J3152" s="13">
        <v>0</v>
      </c>
      <c r="K3152" s="13">
        <v>1868</v>
      </c>
      <c r="L3152" s="13">
        <v>24</v>
      </c>
      <c r="M3152" s="13">
        <v>738</v>
      </c>
      <c r="N3152" s="13">
        <v>227</v>
      </c>
      <c r="O3152" s="13">
        <v>33</v>
      </c>
      <c r="P3152" s="13">
        <v>1</v>
      </c>
      <c r="Q3152" s="13">
        <v>64</v>
      </c>
      <c r="R3152" s="13">
        <v>1</v>
      </c>
      <c r="S3152" s="13">
        <v>0</v>
      </c>
      <c r="T3152" s="23">
        <v>46247.810624999998</v>
      </c>
      <c r="U3152" s="55">
        <f t="shared" si="147"/>
        <v>1.5</v>
      </c>
      <c r="V3152" s="55">
        <f t="shared" si="148"/>
        <v>0</v>
      </c>
      <c r="W3152" s="56">
        <f t="shared" si="149"/>
        <v>1724.6666666666667</v>
      </c>
    </row>
    <row r="3153" spans="1:23" x14ac:dyDescent="0.3">
      <c r="A3153" s="13" t="str" cm="1">
        <f t="array" ref="A3153:B3153">INDEX(BenchmarkResults!$B$1:$D$35,SUMPRODUCT((T3153&gt;=BenchmarkResults!$F$3:$F$35)*(mongodb_hardware_log!T3153&lt;BenchmarkResults!$G$3:$G$35)*ROW(BenchmarkResults!$F$3:$F$35)),{1,3})</f>
        <v>q6_inactive_customers</v>
      </c>
      <c r="B3153">
        <v>3</v>
      </c>
      <c r="C3153" s="13">
        <v>1</v>
      </c>
      <c r="D3153" s="13">
        <v>0</v>
      </c>
      <c r="E3153" s="13">
        <v>179968</v>
      </c>
      <c r="F3153" s="13">
        <v>110892</v>
      </c>
      <c r="G3153" s="13">
        <v>10284</v>
      </c>
      <c r="H3153" s="13">
        <v>2259920</v>
      </c>
      <c r="I3153" s="13">
        <v>0</v>
      </c>
      <c r="J3153" s="13">
        <v>0</v>
      </c>
      <c r="K3153" s="13">
        <v>1702</v>
      </c>
      <c r="L3153" s="13">
        <v>7</v>
      </c>
      <c r="M3153" s="13">
        <v>737</v>
      </c>
      <c r="N3153" s="13">
        <v>223</v>
      </c>
      <c r="O3153" s="13">
        <v>34</v>
      </c>
      <c r="P3153" s="13">
        <v>1</v>
      </c>
      <c r="Q3153" s="13">
        <v>64</v>
      </c>
      <c r="R3153" s="13">
        <v>1</v>
      </c>
      <c r="S3153" s="13">
        <v>0</v>
      </c>
      <c r="T3153" s="23">
        <v>46247.810729166667</v>
      </c>
      <c r="U3153" s="55">
        <f t="shared" si="147"/>
        <v>1</v>
      </c>
      <c r="V3153" s="55">
        <f t="shared" si="148"/>
        <v>0</v>
      </c>
      <c r="W3153" s="56">
        <f t="shared" si="149"/>
        <v>1695.6666666666667</v>
      </c>
    </row>
    <row r="3154" spans="1:23" x14ac:dyDescent="0.3">
      <c r="A3154" s="13" t="str" cm="1">
        <f t="array" ref="A3154:B3154">INDEX(BenchmarkResults!$B$1:$D$35,SUMPRODUCT((T3154&gt;=BenchmarkResults!$F$3:$F$35)*(mongodb_hardware_log!T3154&lt;BenchmarkResults!$G$3:$G$35)*ROW(BenchmarkResults!$F$3:$F$35)),{1,3})</f>
        <v>q6_inactive_customers</v>
      </c>
      <c r="B3154">
        <v>3</v>
      </c>
      <c r="C3154" s="13">
        <v>1</v>
      </c>
      <c r="D3154" s="13">
        <v>0</v>
      </c>
      <c r="E3154" s="13">
        <v>179968</v>
      </c>
      <c r="F3154" s="13">
        <v>166372</v>
      </c>
      <c r="G3154" s="13">
        <v>10292</v>
      </c>
      <c r="H3154" s="13">
        <v>2217152</v>
      </c>
      <c r="I3154" s="13">
        <v>0</v>
      </c>
      <c r="J3154" s="13">
        <v>0</v>
      </c>
      <c r="K3154" s="13">
        <v>1796</v>
      </c>
      <c r="L3154" s="13">
        <v>13</v>
      </c>
      <c r="M3154" s="13">
        <v>740</v>
      </c>
      <c r="N3154" s="13">
        <v>226</v>
      </c>
      <c r="O3154" s="13">
        <v>34</v>
      </c>
      <c r="P3154" s="13">
        <v>1</v>
      </c>
      <c r="Q3154" s="13">
        <v>64</v>
      </c>
      <c r="R3154" s="13">
        <v>1</v>
      </c>
      <c r="S3154" s="13">
        <v>0</v>
      </c>
      <c r="T3154" s="23">
        <v>46247.810740740744</v>
      </c>
      <c r="U3154" s="55">
        <f t="shared" si="147"/>
        <v>1</v>
      </c>
      <c r="V3154" s="55">
        <f t="shared" si="148"/>
        <v>0</v>
      </c>
      <c r="W3154" s="56">
        <f t="shared" si="149"/>
        <v>1640</v>
      </c>
    </row>
    <row r="3155" spans="1:23" x14ac:dyDescent="0.3">
      <c r="A3155" s="13" t="str" cm="1">
        <f t="array" ref="A3155:B3155">INDEX(BenchmarkResults!$B$1:$D$35,SUMPRODUCT((T3155&gt;=BenchmarkResults!$F$3:$F$35)*(mongodb_hardware_log!T3155&lt;BenchmarkResults!$G$3:$G$35)*ROW(BenchmarkResults!$F$3:$F$35)),{1,3})</f>
        <v>q6_inactive_customers</v>
      </c>
      <c r="B3155">
        <v>3</v>
      </c>
      <c r="C3155" s="13">
        <v>1</v>
      </c>
      <c r="D3155" s="13">
        <v>0</v>
      </c>
      <c r="E3155" s="13">
        <v>179968</v>
      </c>
      <c r="F3155" s="13">
        <v>153640</v>
      </c>
      <c r="G3155" s="13">
        <v>10300</v>
      </c>
      <c r="H3155" s="13">
        <v>2233152</v>
      </c>
      <c r="I3155" s="13">
        <v>0</v>
      </c>
      <c r="J3155" s="13">
        <v>0</v>
      </c>
      <c r="K3155" s="13">
        <v>1948</v>
      </c>
      <c r="L3155" s="13">
        <v>24</v>
      </c>
      <c r="M3155" s="13">
        <v>745</v>
      </c>
      <c r="N3155" s="13">
        <v>253</v>
      </c>
      <c r="O3155" s="13">
        <v>34</v>
      </c>
      <c r="P3155" s="13">
        <v>1</v>
      </c>
      <c r="Q3155" s="13">
        <v>64</v>
      </c>
      <c r="R3155" s="13">
        <v>0</v>
      </c>
      <c r="S3155" s="13">
        <v>0</v>
      </c>
      <c r="T3155" s="23">
        <v>46247.810844907406</v>
      </c>
      <c r="U3155" s="55">
        <f t="shared" si="147"/>
        <v>1</v>
      </c>
      <c r="V3155" s="55">
        <f t="shared" si="148"/>
        <v>0</v>
      </c>
      <c r="W3155" s="56">
        <f t="shared" si="149"/>
        <v>1713.6666666666667</v>
      </c>
    </row>
    <row r="3156" spans="1:23" x14ac:dyDescent="0.3">
      <c r="A3156" s="13" t="str" cm="1">
        <f t="array" ref="A3156:B3156">INDEX(BenchmarkResults!$B$1:$D$35,SUMPRODUCT((T3156&gt;=BenchmarkResults!$F$3:$F$35)*(mongodb_hardware_log!T3156&lt;BenchmarkResults!$G$3:$G$35)*ROW(BenchmarkResults!$F$3:$F$35)),{1,3})</f>
        <v>q6_inactive_customers</v>
      </c>
      <c r="B3156">
        <v>3</v>
      </c>
      <c r="C3156" s="13">
        <v>1</v>
      </c>
      <c r="D3156" s="13">
        <v>0</v>
      </c>
      <c r="E3156" s="13">
        <v>179968</v>
      </c>
      <c r="F3156" s="13">
        <v>149860</v>
      </c>
      <c r="G3156" s="13">
        <v>10300</v>
      </c>
      <c r="H3156" s="13">
        <v>2236792</v>
      </c>
      <c r="I3156" s="13">
        <v>0</v>
      </c>
      <c r="J3156" s="13">
        <v>0</v>
      </c>
      <c r="K3156" s="13">
        <v>1962</v>
      </c>
      <c r="L3156" s="13">
        <v>17</v>
      </c>
      <c r="M3156" s="13">
        <v>743</v>
      </c>
      <c r="N3156" s="13">
        <v>251</v>
      </c>
      <c r="O3156" s="13">
        <v>34</v>
      </c>
      <c r="P3156" s="13">
        <v>1</v>
      </c>
      <c r="Q3156" s="13">
        <v>64</v>
      </c>
      <c r="R3156" s="13">
        <v>0</v>
      </c>
      <c r="S3156" s="13">
        <v>0</v>
      </c>
      <c r="T3156" s="23">
        <v>46247.810856481483</v>
      </c>
      <c r="U3156" s="55">
        <f t="shared" si="147"/>
        <v>1</v>
      </c>
      <c r="V3156" s="55">
        <f t="shared" si="148"/>
        <v>0</v>
      </c>
      <c r="W3156" s="56">
        <f t="shared" si="149"/>
        <v>1846</v>
      </c>
    </row>
    <row r="3157" spans="1:23" x14ac:dyDescent="0.3">
      <c r="A3157" s="13" t="str" cm="1">
        <f t="array" ref="A3157:B3157">INDEX(BenchmarkResults!$B$1:$D$35,SUMPRODUCT((T3157&gt;=BenchmarkResults!$F$3:$F$35)*(mongodb_hardware_log!T3157&lt;BenchmarkResults!$G$3:$G$35)*ROW(BenchmarkResults!$F$3:$F$35)),{1,3})</f>
        <v>q6_inactive_customers</v>
      </c>
      <c r="B3157">
        <v>3</v>
      </c>
      <c r="C3157" s="13">
        <v>1</v>
      </c>
      <c r="D3157" s="13">
        <v>0</v>
      </c>
      <c r="E3157" s="13">
        <v>179968</v>
      </c>
      <c r="F3157" s="13">
        <v>128944</v>
      </c>
      <c r="G3157" s="13">
        <v>10312</v>
      </c>
      <c r="H3157" s="13">
        <v>2254508</v>
      </c>
      <c r="I3157" s="13">
        <v>0</v>
      </c>
      <c r="J3157" s="13">
        <v>0</v>
      </c>
      <c r="K3157" s="13">
        <v>2139</v>
      </c>
      <c r="L3157" s="13">
        <v>1573</v>
      </c>
      <c r="M3157" s="13">
        <v>741</v>
      </c>
      <c r="N3157" s="13">
        <v>223</v>
      </c>
      <c r="O3157" s="13">
        <v>34</v>
      </c>
      <c r="P3157" s="13">
        <v>1</v>
      </c>
      <c r="Q3157" s="13">
        <v>63</v>
      </c>
      <c r="R3157" s="13">
        <v>2</v>
      </c>
      <c r="S3157" s="13">
        <v>0</v>
      </c>
      <c r="T3157" s="23">
        <v>46247.810960648145</v>
      </c>
      <c r="U3157" s="55">
        <f t="shared" si="147"/>
        <v>1</v>
      </c>
      <c r="V3157" s="55">
        <f t="shared" si="148"/>
        <v>0</v>
      </c>
      <c r="W3157" s="56">
        <f t="shared" si="149"/>
        <v>1902.5</v>
      </c>
    </row>
    <row r="3158" spans="1:23" x14ac:dyDescent="0.3">
      <c r="A3158" s="13" t="str" cm="1">
        <f t="array" ref="A3158:B3158">INDEX(BenchmarkResults!$B$1:$D$35,SUMPRODUCT((T3158&gt;=BenchmarkResults!$F$3:$F$35)*(mongodb_hardware_log!T3158&lt;BenchmarkResults!$G$3:$G$35)*ROW(BenchmarkResults!$F$3:$F$35)),{1,3})</f>
        <v>q6_inactive_customers</v>
      </c>
      <c r="B3158">
        <v>3</v>
      </c>
      <c r="C3158" s="13">
        <v>1</v>
      </c>
      <c r="D3158" s="13">
        <v>0</v>
      </c>
      <c r="E3158" s="13">
        <v>179968</v>
      </c>
      <c r="F3158" s="13">
        <v>120880</v>
      </c>
      <c r="G3158" s="13">
        <v>10320</v>
      </c>
      <c r="H3158" s="13">
        <v>2257504</v>
      </c>
      <c r="I3158" s="13">
        <v>0</v>
      </c>
      <c r="J3158" s="13">
        <v>0</v>
      </c>
      <c r="K3158" s="13">
        <v>2071</v>
      </c>
      <c r="L3158" s="13">
        <v>1579</v>
      </c>
      <c r="M3158" s="13">
        <v>742</v>
      </c>
      <c r="N3158" s="13">
        <v>225</v>
      </c>
      <c r="O3158" s="13">
        <v>34</v>
      </c>
      <c r="P3158" s="13">
        <v>1</v>
      </c>
      <c r="Q3158" s="13">
        <v>63</v>
      </c>
      <c r="R3158" s="13">
        <v>2</v>
      </c>
      <c r="S3158" s="13">
        <v>0</v>
      </c>
      <c r="T3158" s="23">
        <v>46247.810972222222</v>
      </c>
      <c r="U3158" s="55">
        <f t="shared" si="147"/>
        <v>1</v>
      </c>
      <c r="V3158" s="55">
        <f t="shared" si="148"/>
        <v>0</v>
      </c>
      <c r="W3158" s="56">
        <f t="shared" si="149"/>
        <v>1936.3333333333333</v>
      </c>
    </row>
    <row r="3159" spans="1:23" x14ac:dyDescent="0.3">
      <c r="A3159" s="13" t="str" cm="1">
        <f t="array" ref="A3159:B3159">INDEX(BenchmarkResults!$B$1:$D$35,SUMPRODUCT((T3159&gt;=BenchmarkResults!$F$3:$F$35)*(mongodb_hardware_log!T3159&lt;BenchmarkResults!$G$3:$G$35)*ROW(BenchmarkResults!$F$3:$F$35)),{1,3})</f>
        <v>q6_inactive_customers</v>
      </c>
      <c r="B3159">
        <v>3</v>
      </c>
      <c r="C3159" s="13">
        <v>1</v>
      </c>
      <c r="D3159" s="13">
        <v>0</v>
      </c>
      <c r="E3159" s="13">
        <v>179968</v>
      </c>
      <c r="F3159" s="13">
        <v>113196</v>
      </c>
      <c r="G3159" s="13">
        <v>10328</v>
      </c>
      <c r="H3159" s="13">
        <v>2273836</v>
      </c>
      <c r="I3159" s="13">
        <v>0</v>
      </c>
      <c r="J3159" s="13">
        <v>0</v>
      </c>
      <c r="K3159" s="13">
        <v>1928</v>
      </c>
      <c r="L3159" s="13">
        <v>17</v>
      </c>
      <c r="M3159" s="13">
        <v>717</v>
      </c>
      <c r="N3159" s="13">
        <v>209</v>
      </c>
      <c r="O3159" s="13">
        <v>33</v>
      </c>
      <c r="P3159" s="13">
        <v>1</v>
      </c>
      <c r="Q3159" s="13">
        <v>65</v>
      </c>
      <c r="R3159" s="13">
        <v>0</v>
      </c>
      <c r="S3159" s="13">
        <v>0</v>
      </c>
      <c r="T3159" s="23">
        <v>46247.811076388891</v>
      </c>
      <c r="U3159" s="55">
        <f t="shared" si="147"/>
        <v>1</v>
      </c>
      <c r="V3159" s="55">
        <f t="shared" si="148"/>
        <v>0</v>
      </c>
      <c r="W3159" s="56">
        <f t="shared" si="149"/>
        <v>1974</v>
      </c>
    </row>
    <row r="3160" spans="1:23" x14ac:dyDescent="0.3">
      <c r="A3160" s="13" t="str" cm="1">
        <f t="array" ref="A3160:B3160">INDEX(BenchmarkResults!$B$1:$D$35,SUMPRODUCT((T3160&gt;=BenchmarkResults!$F$3:$F$35)*(mongodb_hardware_log!T3160&lt;BenchmarkResults!$G$3:$G$35)*ROW(BenchmarkResults!$F$3:$F$35)),{1,3})</f>
        <v>q6_inactive_customers</v>
      </c>
      <c r="B3160">
        <v>3</v>
      </c>
      <c r="C3160" s="13">
        <v>1</v>
      </c>
      <c r="D3160" s="13">
        <v>0</v>
      </c>
      <c r="E3160" s="13">
        <v>179968</v>
      </c>
      <c r="F3160" s="13">
        <v>157884</v>
      </c>
      <c r="G3160" s="13">
        <v>10328</v>
      </c>
      <c r="H3160" s="13">
        <v>2221744</v>
      </c>
      <c r="I3160" s="13">
        <v>0</v>
      </c>
      <c r="J3160" s="13">
        <v>0</v>
      </c>
      <c r="K3160" s="13">
        <v>2008</v>
      </c>
      <c r="L3160" s="13">
        <v>12</v>
      </c>
      <c r="M3160" s="13">
        <v>719</v>
      </c>
      <c r="N3160" s="13">
        <v>209</v>
      </c>
      <c r="O3160" s="13">
        <v>34</v>
      </c>
      <c r="P3160" s="13">
        <v>1</v>
      </c>
      <c r="Q3160" s="13">
        <v>65</v>
      </c>
      <c r="R3160" s="13">
        <v>1</v>
      </c>
      <c r="S3160" s="13">
        <v>0</v>
      </c>
      <c r="T3160" s="23">
        <v>46247.81108796296</v>
      </c>
      <c r="U3160" s="55">
        <f t="shared" si="147"/>
        <v>1</v>
      </c>
      <c r="V3160" s="55">
        <f t="shared" si="148"/>
        <v>0</v>
      </c>
      <c r="W3160" s="56">
        <f t="shared" si="149"/>
        <v>2009.3333333333333</v>
      </c>
    </row>
    <row r="3161" spans="1:23" x14ac:dyDescent="0.3">
      <c r="A3161" s="13" t="str" cm="1">
        <f t="array" ref="A3161:B3161">INDEX(BenchmarkResults!$B$1:$D$35,SUMPRODUCT((T3161&gt;=BenchmarkResults!$F$3:$F$35)*(mongodb_hardware_log!T3161&lt;BenchmarkResults!$G$3:$G$35)*ROW(BenchmarkResults!$F$3:$F$35)),{1,3})</f>
        <v>q6_inactive_customers</v>
      </c>
      <c r="B3161">
        <v>3</v>
      </c>
      <c r="C3161" s="13">
        <v>1</v>
      </c>
      <c r="D3161" s="13">
        <v>0</v>
      </c>
      <c r="E3161" s="13">
        <v>179968</v>
      </c>
      <c r="F3161" s="13">
        <v>133216</v>
      </c>
      <c r="G3161" s="13">
        <v>10336</v>
      </c>
      <c r="H3161" s="13">
        <v>2247252</v>
      </c>
      <c r="I3161" s="13">
        <v>0</v>
      </c>
      <c r="J3161" s="13">
        <v>0</v>
      </c>
      <c r="K3161" s="13">
        <v>1344</v>
      </c>
      <c r="L3161" s="13">
        <v>32</v>
      </c>
      <c r="M3161" s="13">
        <v>714</v>
      </c>
      <c r="N3161" s="13">
        <v>193</v>
      </c>
      <c r="O3161" s="13">
        <v>33</v>
      </c>
      <c r="P3161" s="13">
        <v>1</v>
      </c>
      <c r="Q3161" s="13">
        <v>64</v>
      </c>
      <c r="R3161" s="13">
        <v>2</v>
      </c>
      <c r="S3161" s="13">
        <v>0</v>
      </c>
      <c r="T3161" s="23">
        <v>46247.811192129629</v>
      </c>
      <c r="U3161" s="55">
        <f t="shared" si="147"/>
        <v>1</v>
      </c>
      <c r="V3161" s="55">
        <f t="shared" si="148"/>
        <v>0</v>
      </c>
      <c r="W3161" s="56">
        <f t="shared" si="149"/>
        <v>1908.6666666666667</v>
      </c>
    </row>
    <row r="3162" spans="1:23" x14ac:dyDescent="0.3">
      <c r="A3162" s="13" t="str" cm="1">
        <f t="array" ref="A3162:B3162">INDEX(BenchmarkResults!$B$1:$D$35,SUMPRODUCT((T3162&gt;=BenchmarkResults!$F$3:$F$35)*(mongodb_hardware_log!T3162&lt;BenchmarkResults!$G$3:$G$35)*ROW(BenchmarkResults!$F$3:$F$35)),{1,3})</f>
        <v>q6_inactive_customers</v>
      </c>
      <c r="B3162">
        <v>3</v>
      </c>
      <c r="C3162" s="13">
        <v>1</v>
      </c>
      <c r="D3162" s="13">
        <v>0</v>
      </c>
      <c r="E3162" s="13">
        <v>179968</v>
      </c>
      <c r="F3162" s="13">
        <v>124900</v>
      </c>
      <c r="G3162" s="13">
        <v>10344</v>
      </c>
      <c r="H3162" s="13">
        <v>2250540</v>
      </c>
      <c r="I3162" s="13">
        <v>0</v>
      </c>
      <c r="J3162" s="13">
        <v>0</v>
      </c>
      <c r="K3162" s="13">
        <v>1284</v>
      </c>
      <c r="L3162" s="13">
        <v>37</v>
      </c>
      <c r="M3162" s="13">
        <v>711</v>
      </c>
      <c r="N3162" s="13">
        <v>190</v>
      </c>
      <c r="O3162" s="13">
        <v>33</v>
      </c>
      <c r="P3162" s="13">
        <v>1</v>
      </c>
      <c r="Q3162" s="13">
        <v>64</v>
      </c>
      <c r="R3162" s="13">
        <v>1</v>
      </c>
      <c r="S3162" s="13">
        <v>0</v>
      </c>
      <c r="T3162" s="23">
        <v>46247.811203703706</v>
      </c>
      <c r="U3162" s="55">
        <f t="shared" si="147"/>
        <v>1</v>
      </c>
      <c r="V3162" s="55">
        <f t="shared" si="148"/>
        <v>0</v>
      </c>
      <c r="W3162" s="56">
        <f t="shared" si="149"/>
        <v>1795.6666666666667</v>
      </c>
    </row>
    <row r="3163" spans="1:23" x14ac:dyDescent="0.3">
      <c r="A3163" s="13" t="str" cm="1">
        <f t="array" ref="A3163:B3163">INDEX(BenchmarkResults!$B$1:$D$35,SUMPRODUCT((T3163&gt;=BenchmarkResults!$F$3:$F$35)*(mongodb_hardware_log!T3163&lt;BenchmarkResults!$G$3:$G$35)*ROW(BenchmarkResults!$F$3:$F$35)),{1,3})</f>
        <v>q6_inactive_customers</v>
      </c>
      <c r="B3163">
        <v>3</v>
      </c>
      <c r="C3163" s="13">
        <v>1</v>
      </c>
      <c r="D3163" s="13">
        <v>0</v>
      </c>
      <c r="E3163" s="13">
        <v>179968</v>
      </c>
      <c r="F3163" s="13">
        <v>113560</v>
      </c>
      <c r="G3163" s="13">
        <v>10376</v>
      </c>
      <c r="H3163" s="13">
        <v>2267660</v>
      </c>
      <c r="I3163" s="13">
        <v>0</v>
      </c>
      <c r="J3163" s="13">
        <v>0</v>
      </c>
      <c r="K3163" s="13">
        <v>2034</v>
      </c>
      <c r="L3163" s="13">
        <v>32</v>
      </c>
      <c r="M3163" s="13">
        <v>724</v>
      </c>
      <c r="N3163" s="13">
        <v>212</v>
      </c>
      <c r="O3163" s="13">
        <v>34</v>
      </c>
      <c r="P3163" s="13">
        <v>1</v>
      </c>
      <c r="Q3163" s="13">
        <v>65</v>
      </c>
      <c r="R3163" s="13">
        <v>0</v>
      </c>
      <c r="S3163" s="13">
        <v>0</v>
      </c>
      <c r="T3163" s="23">
        <v>46247.811307870368</v>
      </c>
      <c r="U3163" s="55">
        <f t="shared" si="147"/>
        <v>1</v>
      </c>
      <c r="V3163" s="55">
        <f t="shared" si="148"/>
        <v>0</v>
      </c>
      <c r="W3163" s="56">
        <f t="shared" si="149"/>
        <v>1778.1666666666667</v>
      </c>
    </row>
    <row r="3164" spans="1:23" x14ac:dyDescent="0.3">
      <c r="A3164" s="13" t="str" cm="1">
        <f t="array" ref="A3164:B3164">INDEX(BenchmarkResults!$B$1:$D$35,SUMPRODUCT((T3164&gt;=BenchmarkResults!$F$3:$F$35)*(mongodb_hardware_log!T3164&lt;BenchmarkResults!$G$3:$G$35)*ROW(BenchmarkResults!$F$3:$F$35)),{1,3})</f>
        <v>q6_inactive_customers</v>
      </c>
      <c r="B3164">
        <v>3</v>
      </c>
      <c r="C3164" s="13">
        <v>1</v>
      </c>
      <c r="D3164" s="13">
        <v>0</v>
      </c>
      <c r="E3164" s="13">
        <v>179968</v>
      </c>
      <c r="F3164" s="13">
        <v>109528</v>
      </c>
      <c r="G3164" s="13">
        <v>10376</v>
      </c>
      <c r="H3164" s="13">
        <v>2271260</v>
      </c>
      <c r="I3164" s="13">
        <v>0</v>
      </c>
      <c r="J3164" s="13">
        <v>0</v>
      </c>
      <c r="K3164" s="13">
        <v>2074</v>
      </c>
      <c r="L3164" s="13">
        <v>28</v>
      </c>
      <c r="M3164" s="13">
        <v>722</v>
      </c>
      <c r="N3164" s="13">
        <v>213</v>
      </c>
      <c r="O3164" s="13">
        <v>34</v>
      </c>
      <c r="P3164" s="13">
        <v>1</v>
      </c>
      <c r="Q3164" s="13">
        <v>65</v>
      </c>
      <c r="R3164" s="13">
        <v>0</v>
      </c>
      <c r="S3164" s="13">
        <v>0</v>
      </c>
      <c r="T3164" s="23">
        <v>46247.811319444445</v>
      </c>
      <c r="U3164" s="55">
        <f t="shared" si="147"/>
        <v>1</v>
      </c>
      <c r="V3164" s="55">
        <f t="shared" si="148"/>
        <v>0</v>
      </c>
      <c r="W3164" s="56">
        <f t="shared" si="149"/>
        <v>1778.6666666666667</v>
      </c>
    </row>
    <row r="3165" spans="1:23" x14ac:dyDescent="0.3">
      <c r="A3165" s="13" t="str" cm="1">
        <f t="array" ref="A3165:B3165">INDEX(BenchmarkResults!$B$1:$D$35,SUMPRODUCT((T3165&gt;=BenchmarkResults!$F$3:$F$35)*(mongodb_hardware_log!T3165&lt;BenchmarkResults!$G$3:$G$35)*ROW(BenchmarkResults!$F$3:$F$35)),{1,3})</f>
        <v>q6_inactive_customers</v>
      </c>
      <c r="B3165">
        <v>3</v>
      </c>
      <c r="C3165" s="13">
        <v>1</v>
      </c>
      <c r="D3165" s="13">
        <v>0</v>
      </c>
      <c r="E3165" s="13">
        <v>179968</v>
      </c>
      <c r="F3165" s="13">
        <v>137604</v>
      </c>
      <c r="G3165" s="13">
        <v>10384</v>
      </c>
      <c r="H3165" s="13">
        <v>2247264</v>
      </c>
      <c r="I3165" s="13">
        <v>0</v>
      </c>
      <c r="J3165" s="13">
        <v>0</v>
      </c>
      <c r="K3165" s="13">
        <v>1979</v>
      </c>
      <c r="L3165" s="13">
        <v>1576</v>
      </c>
      <c r="M3165" s="13">
        <v>748</v>
      </c>
      <c r="N3165" s="13">
        <v>232</v>
      </c>
      <c r="O3165" s="13">
        <v>34</v>
      </c>
      <c r="P3165" s="13">
        <v>1</v>
      </c>
      <c r="Q3165" s="13">
        <v>62</v>
      </c>
      <c r="R3165" s="13">
        <v>2</v>
      </c>
      <c r="S3165" s="13">
        <v>0</v>
      </c>
      <c r="T3165" s="23">
        <v>46247.811423611114</v>
      </c>
      <c r="U3165" s="55">
        <f t="shared" si="147"/>
        <v>1</v>
      </c>
      <c r="V3165" s="55">
        <f t="shared" si="148"/>
        <v>0</v>
      </c>
      <c r="W3165" s="56">
        <f t="shared" si="149"/>
        <v>1787.1666666666667</v>
      </c>
    </row>
    <row r="3166" spans="1:23" x14ac:dyDescent="0.3">
      <c r="A3166" s="13" t="str" cm="1">
        <f t="array" ref="A3166:B3166">INDEX(BenchmarkResults!$B$1:$D$35,SUMPRODUCT((T3166&gt;=BenchmarkResults!$F$3:$F$35)*(mongodb_hardware_log!T3166&lt;BenchmarkResults!$G$3:$G$35)*ROW(BenchmarkResults!$F$3:$F$35)),{1,3})</f>
        <v>q6_inactive_customers</v>
      </c>
      <c r="B3166">
        <v>3</v>
      </c>
      <c r="C3166" s="13">
        <v>1</v>
      </c>
      <c r="D3166" s="13">
        <v>0</v>
      </c>
      <c r="E3166" s="13">
        <v>179968</v>
      </c>
      <c r="F3166" s="13">
        <v>133572</v>
      </c>
      <c r="G3166" s="13">
        <v>10396</v>
      </c>
      <c r="H3166" s="13">
        <v>2251012</v>
      </c>
      <c r="I3166" s="13">
        <v>0</v>
      </c>
      <c r="J3166" s="13">
        <v>0</v>
      </c>
      <c r="K3166" s="13">
        <v>1992</v>
      </c>
      <c r="L3166" s="13">
        <v>1584</v>
      </c>
      <c r="M3166" s="13">
        <v>761</v>
      </c>
      <c r="N3166" s="13">
        <v>244</v>
      </c>
      <c r="O3166" s="13">
        <v>34</v>
      </c>
      <c r="P3166" s="13">
        <v>1</v>
      </c>
      <c r="Q3166" s="13">
        <v>62</v>
      </c>
      <c r="R3166" s="13">
        <v>3</v>
      </c>
      <c r="S3166" s="13">
        <v>0</v>
      </c>
      <c r="T3166" s="23">
        <v>46247.811435185184</v>
      </c>
      <c r="U3166" s="55">
        <f t="shared" si="147"/>
        <v>1</v>
      </c>
      <c r="V3166" s="55">
        <f t="shared" si="148"/>
        <v>0</v>
      </c>
      <c r="W3166" s="56">
        <f t="shared" si="149"/>
        <v>1784.5</v>
      </c>
    </row>
    <row r="3167" spans="1:23" x14ac:dyDescent="0.3">
      <c r="A3167" s="13" t="str" cm="1">
        <f t="array" ref="A3167:B3167">INDEX(BenchmarkResults!$B$1:$D$35,SUMPRODUCT((T3167&gt;=BenchmarkResults!$F$3:$F$35)*(mongodb_hardware_log!T3167&lt;BenchmarkResults!$G$3:$G$35)*ROW(BenchmarkResults!$F$3:$F$35)),{1,3})</f>
        <v>q6_inactive_customers</v>
      </c>
      <c r="B3167">
        <v>3</v>
      </c>
      <c r="C3167" s="13">
        <v>1</v>
      </c>
      <c r="D3167" s="13">
        <v>0</v>
      </c>
      <c r="E3167" s="13">
        <v>179968</v>
      </c>
      <c r="F3167" s="13">
        <v>116436</v>
      </c>
      <c r="G3167" s="13">
        <v>10404</v>
      </c>
      <c r="H3167" s="13">
        <v>2266876</v>
      </c>
      <c r="I3167" s="13">
        <v>0</v>
      </c>
      <c r="J3167" s="13">
        <v>0</v>
      </c>
      <c r="K3167" s="13">
        <v>1962</v>
      </c>
      <c r="L3167" s="13">
        <v>19</v>
      </c>
      <c r="M3167" s="13">
        <v>723</v>
      </c>
      <c r="N3167" s="13">
        <v>219</v>
      </c>
      <c r="O3167" s="13">
        <v>33</v>
      </c>
      <c r="P3167" s="13">
        <v>1</v>
      </c>
      <c r="Q3167" s="13">
        <v>65</v>
      </c>
      <c r="R3167" s="13">
        <v>0</v>
      </c>
      <c r="S3167" s="13">
        <v>0</v>
      </c>
      <c r="T3167" s="23">
        <v>46247.811539351853</v>
      </c>
      <c r="U3167" s="55">
        <f t="shared" si="147"/>
        <v>1</v>
      </c>
      <c r="V3167" s="55">
        <f t="shared" si="148"/>
        <v>0</v>
      </c>
      <c r="W3167" s="56">
        <f t="shared" si="149"/>
        <v>1887.5</v>
      </c>
    </row>
    <row r="3168" spans="1:23" x14ac:dyDescent="0.3">
      <c r="A3168" s="13" t="str" cm="1">
        <f t="array" ref="A3168:B3168">INDEX(BenchmarkResults!$B$1:$D$35,SUMPRODUCT((T3168&gt;=BenchmarkResults!$F$3:$F$35)*(mongodb_hardware_log!T3168&lt;BenchmarkResults!$G$3:$G$35)*ROW(BenchmarkResults!$F$3:$F$35)),{1,3})</f>
        <v>q6_inactive_customers</v>
      </c>
      <c r="B3168">
        <v>3</v>
      </c>
      <c r="C3168" s="13">
        <v>1</v>
      </c>
      <c r="D3168" s="13">
        <v>0</v>
      </c>
      <c r="E3168" s="13">
        <v>179968</v>
      </c>
      <c r="F3168" s="13">
        <v>112404</v>
      </c>
      <c r="G3168" s="13">
        <v>10404</v>
      </c>
      <c r="H3168" s="13">
        <v>2269360</v>
      </c>
      <c r="I3168" s="13">
        <v>0</v>
      </c>
      <c r="J3168" s="13">
        <v>0</v>
      </c>
      <c r="K3168" s="13">
        <v>1834</v>
      </c>
      <c r="L3168" s="13">
        <v>12</v>
      </c>
      <c r="M3168" s="13">
        <v>711</v>
      </c>
      <c r="N3168" s="13">
        <v>208</v>
      </c>
      <c r="O3168" s="13">
        <v>33</v>
      </c>
      <c r="P3168" s="13">
        <v>1</v>
      </c>
      <c r="Q3168" s="13">
        <v>65</v>
      </c>
      <c r="R3168" s="13">
        <v>0</v>
      </c>
      <c r="S3168" s="13">
        <v>0</v>
      </c>
      <c r="T3168" s="23">
        <v>46247.811550925922</v>
      </c>
      <c r="U3168" s="55">
        <f t="shared" si="147"/>
        <v>1</v>
      </c>
      <c r="V3168" s="55">
        <f t="shared" si="148"/>
        <v>0</v>
      </c>
      <c r="W3168" s="56">
        <f t="shared" si="149"/>
        <v>1979.1666666666667</v>
      </c>
    </row>
    <row r="3169" spans="1:23" x14ac:dyDescent="0.3">
      <c r="A3169" s="13" t="str" cm="1">
        <f t="array" ref="A3169:B3169">INDEX(BenchmarkResults!$B$1:$D$35,SUMPRODUCT((T3169&gt;=BenchmarkResults!$F$3:$F$35)*(mongodb_hardware_log!T3169&lt;BenchmarkResults!$G$3:$G$35)*ROW(BenchmarkResults!$F$3:$F$35)),{1,3})</f>
        <v>q6_inactive_customers</v>
      </c>
      <c r="B3169">
        <v>3</v>
      </c>
      <c r="C3169" s="13">
        <v>1</v>
      </c>
      <c r="D3169" s="13">
        <v>0</v>
      </c>
      <c r="E3169" s="13">
        <v>179968</v>
      </c>
      <c r="F3169" s="13">
        <v>146732</v>
      </c>
      <c r="G3169" s="13">
        <v>10412</v>
      </c>
      <c r="H3169" s="13">
        <v>2231484</v>
      </c>
      <c r="I3169" s="13">
        <v>0</v>
      </c>
      <c r="J3169" s="13">
        <v>0</v>
      </c>
      <c r="K3169" s="13">
        <v>2034</v>
      </c>
      <c r="L3169" s="13">
        <v>8</v>
      </c>
      <c r="M3169" s="13">
        <v>715</v>
      </c>
      <c r="N3169" s="13">
        <v>209</v>
      </c>
      <c r="O3169" s="13">
        <v>34</v>
      </c>
      <c r="P3169" s="13">
        <v>1</v>
      </c>
      <c r="Q3169" s="13">
        <v>65</v>
      </c>
      <c r="R3169" s="13">
        <v>0</v>
      </c>
      <c r="S3169" s="13">
        <v>0</v>
      </c>
      <c r="T3169" s="23">
        <v>46247.811655092592</v>
      </c>
      <c r="U3169" s="55">
        <f t="shared" si="147"/>
        <v>1</v>
      </c>
      <c r="V3169" s="55">
        <f t="shared" si="148"/>
        <v>0</v>
      </c>
      <c r="W3169" s="56">
        <f t="shared" si="149"/>
        <v>1979.1666666666667</v>
      </c>
    </row>
    <row r="3170" spans="1:23" x14ac:dyDescent="0.3">
      <c r="A3170" s="13" t="str" cm="1">
        <f t="array" ref="A3170:B3170">INDEX(BenchmarkResults!$B$1:$D$35,SUMPRODUCT((T3170&gt;=BenchmarkResults!$F$3:$F$35)*(mongodb_hardware_log!T3170&lt;BenchmarkResults!$G$3:$G$35)*ROW(BenchmarkResults!$F$3:$F$35)),{1,3})</f>
        <v>q6_inactive_customers</v>
      </c>
      <c r="B3170">
        <v>3</v>
      </c>
      <c r="C3170" s="13">
        <v>1</v>
      </c>
      <c r="D3170" s="13">
        <v>0</v>
      </c>
      <c r="E3170" s="13">
        <v>179968</v>
      </c>
      <c r="F3170" s="13">
        <v>146480</v>
      </c>
      <c r="G3170" s="13">
        <v>10420</v>
      </c>
      <c r="H3170" s="13">
        <v>2233536</v>
      </c>
      <c r="I3170" s="13">
        <v>0</v>
      </c>
      <c r="J3170" s="13">
        <v>0</v>
      </c>
      <c r="K3170" s="13">
        <v>1993</v>
      </c>
      <c r="L3170" s="13">
        <v>13</v>
      </c>
      <c r="M3170" s="13">
        <v>714</v>
      </c>
      <c r="N3170" s="13">
        <v>207</v>
      </c>
      <c r="O3170" s="13">
        <v>34</v>
      </c>
      <c r="P3170" s="13">
        <v>1</v>
      </c>
      <c r="Q3170" s="13">
        <v>65</v>
      </c>
      <c r="R3170" s="13">
        <v>0</v>
      </c>
      <c r="S3170" s="13">
        <v>0</v>
      </c>
      <c r="T3170" s="23">
        <v>46247.811666666668</v>
      </c>
      <c r="U3170" s="55">
        <f t="shared" si="147"/>
        <v>1</v>
      </c>
      <c r="V3170" s="55">
        <f t="shared" si="148"/>
        <v>0</v>
      </c>
      <c r="W3170" s="56">
        <f t="shared" si="149"/>
        <v>1965.6666666666667</v>
      </c>
    </row>
    <row r="3171" spans="1:23" x14ac:dyDescent="0.3">
      <c r="A3171" s="13" t="str" cm="1">
        <f t="array" ref="A3171:B3171">INDEX(BenchmarkResults!$B$1:$D$35,SUMPRODUCT((T3171&gt;=BenchmarkResults!$F$3:$F$35)*(mongodb_hardware_log!T3171&lt;BenchmarkResults!$G$3:$G$35)*ROW(BenchmarkResults!$F$3:$F$35)),{1,3})</f>
        <v>q6_inactive_customers</v>
      </c>
      <c r="B3171">
        <v>3</v>
      </c>
      <c r="C3171" s="13">
        <v>1</v>
      </c>
      <c r="D3171" s="13">
        <v>0</v>
      </c>
      <c r="E3171" s="13">
        <v>179968</v>
      </c>
      <c r="F3171" s="13">
        <v>115736</v>
      </c>
      <c r="G3171" s="13">
        <v>10428</v>
      </c>
      <c r="H3171" s="13">
        <v>2259388</v>
      </c>
      <c r="I3171" s="13">
        <v>0</v>
      </c>
      <c r="J3171" s="13">
        <v>0</v>
      </c>
      <c r="K3171" s="13">
        <v>1201</v>
      </c>
      <c r="L3171" s="13">
        <v>23</v>
      </c>
      <c r="M3171" s="13">
        <v>683</v>
      </c>
      <c r="N3171" s="13">
        <v>177</v>
      </c>
      <c r="O3171" s="13">
        <v>33</v>
      </c>
      <c r="P3171" s="13">
        <v>1</v>
      </c>
      <c r="Q3171" s="13">
        <v>65</v>
      </c>
      <c r="R3171" s="13">
        <v>0</v>
      </c>
      <c r="S3171" s="13">
        <v>0</v>
      </c>
      <c r="T3171" s="23">
        <v>46247.81177083333</v>
      </c>
      <c r="U3171" s="55">
        <f t="shared" si="147"/>
        <v>1</v>
      </c>
      <c r="V3171" s="55">
        <f t="shared" si="148"/>
        <v>0</v>
      </c>
      <c r="W3171" s="56">
        <f t="shared" si="149"/>
        <v>1836</v>
      </c>
    </row>
    <row r="3172" spans="1:23" x14ac:dyDescent="0.3">
      <c r="A3172" s="13" t="str" cm="1">
        <f t="array" ref="A3172:B3172">INDEX(BenchmarkResults!$B$1:$D$35,SUMPRODUCT((T3172&gt;=BenchmarkResults!$F$3:$F$35)*(mongodb_hardware_log!T3172&lt;BenchmarkResults!$G$3:$G$35)*ROW(BenchmarkResults!$F$3:$F$35)),{1,3})</f>
        <v>q6_inactive_customers</v>
      </c>
      <c r="B3172">
        <v>3</v>
      </c>
      <c r="C3172" s="13">
        <v>1</v>
      </c>
      <c r="D3172" s="13">
        <v>0</v>
      </c>
      <c r="E3172" s="13">
        <v>179968</v>
      </c>
      <c r="F3172" s="13">
        <v>115736</v>
      </c>
      <c r="G3172" s="13">
        <v>10428</v>
      </c>
      <c r="H3172" s="13">
        <v>2262620</v>
      </c>
      <c r="I3172" s="13">
        <v>0</v>
      </c>
      <c r="J3172" s="13">
        <v>0</v>
      </c>
      <c r="K3172" s="13">
        <v>1318</v>
      </c>
      <c r="L3172" s="13">
        <v>19</v>
      </c>
      <c r="M3172" s="13">
        <v>684</v>
      </c>
      <c r="N3172" s="13">
        <v>177</v>
      </c>
      <c r="O3172" s="13">
        <v>33</v>
      </c>
      <c r="P3172" s="13">
        <v>1</v>
      </c>
      <c r="Q3172" s="13">
        <v>65</v>
      </c>
      <c r="R3172" s="13">
        <v>0</v>
      </c>
      <c r="S3172" s="13">
        <v>0</v>
      </c>
      <c r="T3172" s="23">
        <v>46247.811782407407</v>
      </c>
      <c r="U3172" s="55">
        <f t="shared" si="147"/>
        <v>1</v>
      </c>
      <c r="V3172" s="55">
        <f t="shared" si="148"/>
        <v>0</v>
      </c>
      <c r="W3172" s="56">
        <f t="shared" si="149"/>
        <v>1723.6666666666667</v>
      </c>
    </row>
    <row r="3173" spans="1:23" x14ac:dyDescent="0.3">
      <c r="A3173" s="13" t="str" cm="1">
        <f t="array" ref="A3173:B3173">INDEX(BenchmarkResults!$B$1:$D$35,SUMPRODUCT((T3173&gt;=BenchmarkResults!$F$3:$F$35)*(mongodb_hardware_log!T3173&lt;BenchmarkResults!$G$3:$G$35)*ROW(BenchmarkResults!$F$3:$F$35)),{1,3})</f>
        <v>q6_inactive_customers</v>
      </c>
      <c r="B3173">
        <v>3</v>
      </c>
      <c r="C3173" s="13">
        <v>1</v>
      </c>
      <c r="D3173" s="13">
        <v>0</v>
      </c>
      <c r="E3173" s="13">
        <v>179968</v>
      </c>
      <c r="F3173" s="13">
        <v>135648</v>
      </c>
      <c r="G3173" s="13">
        <v>10436</v>
      </c>
      <c r="H3173" s="13">
        <v>2239056</v>
      </c>
      <c r="I3173" s="13">
        <v>0</v>
      </c>
      <c r="J3173" s="13">
        <v>0</v>
      </c>
      <c r="K3173" s="13">
        <v>1981</v>
      </c>
      <c r="L3173" s="13">
        <v>3</v>
      </c>
      <c r="M3173" s="13">
        <v>721</v>
      </c>
      <c r="N3173" s="13">
        <v>201</v>
      </c>
      <c r="O3173" s="13">
        <v>34</v>
      </c>
      <c r="P3173" s="13">
        <v>1</v>
      </c>
      <c r="Q3173" s="13">
        <v>65</v>
      </c>
      <c r="R3173" s="13">
        <v>0</v>
      </c>
      <c r="S3173" s="13">
        <v>0</v>
      </c>
      <c r="T3173" s="23">
        <v>46247.811886574076</v>
      </c>
      <c r="U3173" s="55">
        <f t="shared" si="147"/>
        <v>1</v>
      </c>
      <c r="V3173" s="55">
        <f t="shared" si="148"/>
        <v>0</v>
      </c>
      <c r="W3173" s="56">
        <f t="shared" si="149"/>
        <v>1726.8333333333333</v>
      </c>
    </row>
    <row r="3174" spans="1:23" x14ac:dyDescent="0.3">
      <c r="A3174" s="13" t="str" cm="1">
        <f t="array" ref="A3174:B3174">INDEX(BenchmarkResults!$B$1:$D$35,SUMPRODUCT((T3174&gt;=BenchmarkResults!$F$3:$F$35)*(mongodb_hardware_log!T3174&lt;BenchmarkResults!$G$3:$G$35)*ROW(BenchmarkResults!$F$3:$F$35)),{1,3})</f>
        <v>q6_inactive_customers</v>
      </c>
      <c r="B3174">
        <v>3</v>
      </c>
      <c r="C3174" s="13">
        <v>2</v>
      </c>
      <c r="D3174" s="13">
        <v>0</v>
      </c>
      <c r="E3174" s="13">
        <v>179968</v>
      </c>
      <c r="F3174" s="13">
        <v>134892</v>
      </c>
      <c r="G3174" s="13">
        <v>10444</v>
      </c>
      <c r="H3174" s="13">
        <v>2242516</v>
      </c>
      <c r="I3174" s="13">
        <v>0</v>
      </c>
      <c r="J3174" s="13">
        <v>0</v>
      </c>
      <c r="K3174" s="13">
        <v>2016</v>
      </c>
      <c r="L3174" s="13">
        <v>7</v>
      </c>
      <c r="M3174" s="13">
        <v>720</v>
      </c>
      <c r="N3174" s="13">
        <v>200</v>
      </c>
      <c r="O3174" s="13">
        <v>34</v>
      </c>
      <c r="P3174" s="13">
        <v>1</v>
      </c>
      <c r="Q3174" s="13">
        <v>65</v>
      </c>
      <c r="R3174" s="13">
        <v>0</v>
      </c>
      <c r="S3174" s="13">
        <v>0</v>
      </c>
      <c r="T3174" s="23">
        <v>46247.811898148146</v>
      </c>
      <c r="U3174" s="55">
        <f t="shared" si="147"/>
        <v>1.1666666666666667</v>
      </c>
      <c r="V3174" s="55">
        <f t="shared" si="148"/>
        <v>0</v>
      </c>
      <c r="W3174" s="56">
        <f t="shared" si="149"/>
        <v>1757.1666666666667</v>
      </c>
    </row>
    <row r="3175" spans="1:23" x14ac:dyDescent="0.3">
      <c r="A3175" s="13" t="str" cm="1">
        <f t="array" ref="A3175:B3175">INDEX(BenchmarkResults!$B$1:$D$35,SUMPRODUCT((T3175&gt;=BenchmarkResults!$F$3:$F$35)*(mongodb_hardware_log!T3175&lt;BenchmarkResults!$G$3:$G$35)*ROW(BenchmarkResults!$F$3:$F$35)),{1,3})</f>
        <v>q6_inactive_customers</v>
      </c>
      <c r="B3175">
        <v>3</v>
      </c>
      <c r="C3175" s="13">
        <v>2</v>
      </c>
      <c r="D3175" s="13">
        <v>0</v>
      </c>
      <c r="E3175" s="13">
        <v>179968</v>
      </c>
      <c r="F3175" s="13">
        <v>114480</v>
      </c>
      <c r="G3175" s="13">
        <v>10492</v>
      </c>
      <c r="H3175" s="13">
        <v>2259844</v>
      </c>
      <c r="I3175" s="13">
        <v>0</v>
      </c>
      <c r="J3175" s="13">
        <v>0</v>
      </c>
      <c r="K3175" s="13">
        <v>2070</v>
      </c>
      <c r="L3175" s="13">
        <v>35</v>
      </c>
      <c r="M3175" s="13">
        <v>720</v>
      </c>
      <c r="N3175" s="13">
        <v>218</v>
      </c>
      <c r="O3175" s="13">
        <v>33</v>
      </c>
      <c r="P3175" s="13">
        <v>1</v>
      </c>
      <c r="Q3175" s="13">
        <v>64</v>
      </c>
      <c r="R3175" s="13">
        <v>1</v>
      </c>
      <c r="S3175" s="13">
        <v>0</v>
      </c>
      <c r="T3175" s="23">
        <v>46247.812002314815</v>
      </c>
      <c r="U3175" s="55">
        <f t="shared" si="147"/>
        <v>1.3333333333333333</v>
      </c>
      <c r="V3175" s="55">
        <f t="shared" si="148"/>
        <v>0</v>
      </c>
      <c r="W3175" s="56">
        <f t="shared" si="149"/>
        <v>1763.1666666666667</v>
      </c>
    </row>
    <row r="3176" spans="1:23" x14ac:dyDescent="0.3">
      <c r="A3176" s="13" t="str" cm="1">
        <f t="array" ref="A3176:B3176">INDEX(BenchmarkResults!$B$1:$D$35,SUMPRODUCT((T3176&gt;=BenchmarkResults!$F$3:$F$35)*(mongodb_hardware_log!T3176&lt;BenchmarkResults!$G$3:$G$35)*ROW(BenchmarkResults!$F$3:$F$35)),{1,3})</f>
        <v>q6_inactive_customers</v>
      </c>
      <c r="B3176">
        <v>3</v>
      </c>
      <c r="C3176" s="13">
        <v>1</v>
      </c>
      <c r="D3176" s="13">
        <v>0</v>
      </c>
      <c r="E3176" s="13">
        <v>179968</v>
      </c>
      <c r="F3176" s="13">
        <v>110448</v>
      </c>
      <c r="G3176" s="13">
        <v>10492</v>
      </c>
      <c r="H3176" s="13">
        <v>2263344</v>
      </c>
      <c r="I3176" s="13">
        <v>0</v>
      </c>
      <c r="J3176" s="13">
        <v>0</v>
      </c>
      <c r="K3176" s="13">
        <v>2065</v>
      </c>
      <c r="L3176" s="13">
        <v>30</v>
      </c>
      <c r="M3176" s="13">
        <v>731</v>
      </c>
      <c r="N3176" s="13">
        <v>228</v>
      </c>
      <c r="O3176" s="13">
        <v>33</v>
      </c>
      <c r="P3176" s="13">
        <v>1</v>
      </c>
      <c r="Q3176" s="13">
        <v>64</v>
      </c>
      <c r="R3176" s="13">
        <v>1</v>
      </c>
      <c r="S3176" s="13">
        <v>0</v>
      </c>
      <c r="T3176" s="23">
        <v>46247.812013888892</v>
      </c>
      <c r="U3176" s="55">
        <f t="shared" si="147"/>
        <v>1.3333333333333333</v>
      </c>
      <c r="V3176" s="55">
        <f t="shared" si="148"/>
        <v>0</v>
      </c>
      <c r="W3176" s="56">
        <f t="shared" si="149"/>
        <v>1775.1666666666667</v>
      </c>
    </row>
    <row r="3177" spans="1:23" x14ac:dyDescent="0.3">
      <c r="A3177" s="13" t="str" cm="1">
        <f t="array" ref="A3177:B3177">INDEX(BenchmarkResults!$B$1:$D$35,SUMPRODUCT((T3177&gt;=BenchmarkResults!$F$3:$F$35)*(mongodb_hardware_log!T3177&lt;BenchmarkResults!$G$3:$G$35)*ROW(BenchmarkResults!$F$3:$F$35)),{1,3})</f>
        <v>q6_inactive_customers</v>
      </c>
      <c r="B3177">
        <v>3</v>
      </c>
      <c r="C3177" s="13">
        <v>1</v>
      </c>
      <c r="D3177" s="13">
        <v>0</v>
      </c>
      <c r="E3177" s="13">
        <v>179968</v>
      </c>
      <c r="F3177" s="13">
        <v>703180</v>
      </c>
      <c r="G3177" s="13">
        <v>10500</v>
      </c>
      <c r="H3177" s="13">
        <v>1659840</v>
      </c>
      <c r="I3177" s="13">
        <v>0</v>
      </c>
      <c r="J3177" s="13">
        <v>0</v>
      </c>
      <c r="K3177" s="13">
        <v>1318</v>
      </c>
      <c r="L3177" s="13">
        <v>1565</v>
      </c>
      <c r="M3177" s="13">
        <v>1050</v>
      </c>
      <c r="N3177" s="13">
        <v>493</v>
      </c>
      <c r="O3177" s="13">
        <v>37</v>
      </c>
      <c r="P3177" s="13">
        <v>11</v>
      </c>
      <c r="Q3177" s="13">
        <v>51</v>
      </c>
      <c r="R3177" s="13">
        <v>2</v>
      </c>
      <c r="S3177" s="13">
        <v>0</v>
      </c>
      <c r="T3177" s="23">
        <v>46247.812118055554</v>
      </c>
      <c r="U3177" s="55">
        <f t="shared" si="147"/>
        <v>1.3333333333333333</v>
      </c>
      <c r="V3177" s="55">
        <f t="shared" si="148"/>
        <v>0</v>
      </c>
      <c r="W3177" s="56">
        <f t="shared" si="149"/>
        <v>1794.6666666666667</v>
      </c>
    </row>
    <row r="3178" spans="1:23" x14ac:dyDescent="0.3">
      <c r="A3178" s="13" t="str" cm="1">
        <f t="array" ref="A3178:B3178">INDEX(BenchmarkResults!$B$1:$D$35,SUMPRODUCT((T3178&gt;=BenchmarkResults!$F$3:$F$35)*(mongodb_hardware_log!T3178&lt;BenchmarkResults!$G$3:$G$35)*ROW(BenchmarkResults!$F$3:$F$35)),{1,3})</f>
        <v>q6_inactive_customers</v>
      </c>
      <c r="B3178">
        <v>3</v>
      </c>
      <c r="C3178" s="13">
        <v>1</v>
      </c>
      <c r="D3178" s="13">
        <v>0</v>
      </c>
      <c r="E3178" s="13">
        <v>179968</v>
      </c>
      <c r="F3178" s="13">
        <v>699904</v>
      </c>
      <c r="G3178" s="13">
        <v>10512</v>
      </c>
      <c r="H3178" s="13">
        <v>1663508</v>
      </c>
      <c r="I3178" s="13">
        <v>0</v>
      </c>
      <c r="J3178" s="13">
        <v>0</v>
      </c>
      <c r="K3178" s="13">
        <v>1338</v>
      </c>
      <c r="L3178" s="13">
        <v>1576</v>
      </c>
      <c r="M3178" s="13">
        <v>1074</v>
      </c>
      <c r="N3178" s="13">
        <v>525</v>
      </c>
      <c r="O3178" s="13">
        <v>37</v>
      </c>
      <c r="P3178" s="13">
        <v>11</v>
      </c>
      <c r="Q3178" s="13">
        <v>51</v>
      </c>
      <c r="R3178" s="13">
        <v>2</v>
      </c>
      <c r="S3178" s="13">
        <v>0</v>
      </c>
      <c r="T3178" s="23">
        <v>46247.81212962963</v>
      </c>
      <c r="U3178" s="55">
        <f t="shared" si="147"/>
        <v>1.3333333333333333</v>
      </c>
      <c r="V3178" s="55">
        <f t="shared" si="148"/>
        <v>0</v>
      </c>
      <c r="W3178" s="56">
        <f t="shared" si="149"/>
        <v>1798</v>
      </c>
    </row>
    <row r="3179" spans="1:23" x14ac:dyDescent="0.3">
      <c r="A3179" s="13" t="str" cm="1">
        <f t="array" ref="A3179:B3179">INDEX(BenchmarkResults!$B$1:$D$35,SUMPRODUCT((T3179&gt;=BenchmarkResults!$F$3:$F$35)*(mongodb_hardware_log!T3179&lt;BenchmarkResults!$G$3:$G$35)*ROW(BenchmarkResults!$F$3:$F$35)),{1,3})</f>
        <v>q6_inactive_customers</v>
      </c>
      <c r="B3179">
        <v>3</v>
      </c>
      <c r="C3179" s="13">
        <v>1</v>
      </c>
      <c r="D3179" s="13">
        <v>0</v>
      </c>
      <c r="E3179" s="13">
        <v>179968</v>
      </c>
      <c r="F3179" s="13">
        <v>683776</v>
      </c>
      <c r="G3179" s="13">
        <v>10520</v>
      </c>
      <c r="H3179" s="13">
        <v>1680192</v>
      </c>
      <c r="I3179" s="13">
        <v>0</v>
      </c>
      <c r="J3179" s="13">
        <v>0</v>
      </c>
      <c r="K3179" s="13">
        <v>2042</v>
      </c>
      <c r="L3179" s="13">
        <v>27</v>
      </c>
      <c r="M3179" s="13">
        <v>772</v>
      </c>
      <c r="N3179" s="13">
        <v>269</v>
      </c>
      <c r="O3179" s="13">
        <v>33</v>
      </c>
      <c r="P3179" s="13">
        <v>1</v>
      </c>
      <c r="Q3179" s="13">
        <v>65</v>
      </c>
      <c r="R3179" s="13">
        <v>0</v>
      </c>
      <c r="S3179" s="13">
        <v>0</v>
      </c>
      <c r="T3179" s="23">
        <v>46247.8122337963</v>
      </c>
      <c r="U3179" s="55">
        <f t="shared" si="147"/>
        <v>1.3333333333333333</v>
      </c>
      <c r="V3179" s="55">
        <f t="shared" si="148"/>
        <v>0</v>
      </c>
      <c r="W3179" s="56">
        <f t="shared" si="149"/>
        <v>1808.1666666666667</v>
      </c>
    </row>
    <row r="3180" spans="1:23" x14ac:dyDescent="0.3">
      <c r="A3180" s="13" t="str" cm="1">
        <f t="array" ref="A3180:B3180">INDEX(BenchmarkResults!$B$1:$D$35,SUMPRODUCT((T3180&gt;=BenchmarkResults!$F$3:$F$35)*(mongodb_hardware_log!T3180&lt;BenchmarkResults!$G$3:$G$35)*ROW(BenchmarkResults!$F$3:$F$35)),{1,3})</f>
        <v>q6_inactive_customers</v>
      </c>
      <c r="B3180">
        <v>3</v>
      </c>
      <c r="C3180" s="13">
        <v>1</v>
      </c>
      <c r="D3180" s="13">
        <v>0</v>
      </c>
      <c r="E3180" s="13">
        <v>179968</v>
      </c>
      <c r="F3180" s="13">
        <v>680248</v>
      </c>
      <c r="G3180" s="13">
        <v>10520</v>
      </c>
      <c r="H3180" s="13">
        <v>1683900</v>
      </c>
      <c r="I3180" s="13">
        <v>0</v>
      </c>
      <c r="J3180" s="13">
        <v>0</v>
      </c>
      <c r="K3180" s="13">
        <v>2045</v>
      </c>
      <c r="L3180" s="13">
        <v>17</v>
      </c>
      <c r="M3180" s="13">
        <v>736</v>
      </c>
      <c r="N3180" s="13">
        <v>228</v>
      </c>
      <c r="O3180" s="13">
        <v>33</v>
      </c>
      <c r="P3180" s="13">
        <v>1</v>
      </c>
      <c r="Q3180" s="13">
        <v>65</v>
      </c>
      <c r="R3180" s="13">
        <v>0</v>
      </c>
      <c r="S3180" s="13">
        <v>0</v>
      </c>
      <c r="T3180" s="23">
        <v>46247.812245370369</v>
      </c>
      <c r="U3180" s="55">
        <f t="shared" si="147"/>
        <v>1.1666666666666667</v>
      </c>
      <c r="V3180" s="55">
        <f t="shared" si="148"/>
        <v>0</v>
      </c>
      <c r="W3180" s="56">
        <f t="shared" si="149"/>
        <v>1813</v>
      </c>
    </row>
    <row r="3181" spans="1:23" x14ac:dyDescent="0.3">
      <c r="A3181" s="13" t="str" cm="1">
        <f t="array" ref="A3181:B3181">INDEX(BenchmarkResults!$B$1:$D$35,SUMPRODUCT((T3181&gt;=BenchmarkResults!$F$3:$F$35)*(mongodb_hardware_log!T3181&lt;BenchmarkResults!$G$3:$G$35)*ROW(BenchmarkResults!$F$3:$F$35)),{1,3})</f>
        <v>q6_inactive_customers</v>
      </c>
      <c r="B3181">
        <v>3</v>
      </c>
      <c r="C3181" s="13">
        <v>1</v>
      </c>
      <c r="D3181" s="13">
        <v>0</v>
      </c>
      <c r="E3181" s="13">
        <v>179968</v>
      </c>
      <c r="F3181" s="13">
        <v>659836</v>
      </c>
      <c r="G3181" s="13">
        <v>10528</v>
      </c>
      <c r="H3181" s="13">
        <v>1701816</v>
      </c>
      <c r="I3181" s="13">
        <v>0</v>
      </c>
      <c r="J3181" s="13">
        <v>0</v>
      </c>
      <c r="K3181" s="13">
        <v>2160</v>
      </c>
      <c r="L3181" s="13">
        <v>5</v>
      </c>
      <c r="M3181" s="13">
        <v>717</v>
      </c>
      <c r="N3181" s="13">
        <v>217</v>
      </c>
      <c r="O3181" s="13">
        <v>33</v>
      </c>
      <c r="P3181" s="13">
        <v>1</v>
      </c>
      <c r="Q3181" s="13">
        <v>65</v>
      </c>
      <c r="R3181" s="13">
        <v>0</v>
      </c>
      <c r="S3181" s="13">
        <v>0</v>
      </c>
      <c r="T3181" s="23">
        <v>46247.812349537038</v>
      </c>
      <c r="U3181" s="55">
        <f t="shared" si="147"/>
        <v>1</v>
      </c>
      <c r="V3181" s="55">
        <f t="shared" si="148"/>
        <v>0</v>
      </c>
      <c r="W3181" s="56">
        <f t="shared" si="149"/>
        <v>1828</v>
      </c>
    </row>
    <row r="3182" spans="1:23" x14ac:dyDescent="0.3">
      <c r="A3182" s="13" t="str" cm="1">
        <f t="array" ref="A3182:B3182">INDEX(BenchmarkResults!$B$1:$D$35,SUMPRODUCT((T3182&gt;=BenchmarkResults!$F$3:$F$35)*(mongodb_hardware_log!T3182&lt;BenchmarkResults!$G$3:$G$35)*ROW(BenchmarkResults!$F$3:$F$35)),{1,3})</f>
        <v>q6_inactive_customers</v>
      </c>
      <c r="B3182">
        <v>3</v>
      </c>
      <c r="C3182" s="13">
        <v>1</v>
      </c>
      <c r="D3182" s="13">
        <v>0</v>
      </c>
      <c r="E3182" s="13">
        <v>179968</v>
      </c>
      <c r="F3182" s="13">
        <v>659332</v>
      </c>
      <c r="G3182" s="13">
        <v>10536</v>
      </c>
      <c r="H3182" s="13">
        <v>1704724</v>
      </c>
      <c r="I3182" s="13">
        <v>0</v>
      </c>
      <c r="J3182" s="13">
        <v>0</v>
      </c>
      <c r="K3182" s="13">
        <v>1824</v>
      </c>
      <c r="L3182" s="13">
        <v>10</v>
      </c>
      <c r="M3182" s="13">
        <v>705</v>
      </c>
      <c r="N3182" s="13">
        <v>206</v>
      </c>
      <c r="O3182" s="13">
        <v>33</v>
      </c>
      <c r="P3182" s="13">
        <v>1</v>
      </c>
      <c r="Q3182" s="13">
        <v>65</v>
      </c>
      <c r="R3182" s="13">
        <v>0</v>
      </c>
      <c r="S3182" s="13">
        <v>0</v>
      </c>
      <c r="T3182" s="23">
        <v>46247.812361111108</v>
      </c>
      <c r="U3182" s="55">
        <f t="shared" si="147"/>
        <v>1</v>
      </c>
      <c r="V3182" s="55">
        <f t="shared" si="148"/>
        <v>0</v>
      </c>
      <c r="W3182" s="56">
        <f t="shared" si="149"/>
        <v>1787.8333333333333</v>
      </c>
    </row>
    <row r="3183" spans="1:23" x14ac:dyDescent="0.3">
      <c r="A3183" s="13" t="str" cm="1">
        <f t="array" ref="A3183:B3183">INDEX(BenchmarkResults!$B$1:$D$35,SUMPRODUCT((T3183&gt;=BenchmarkResults!$F$3:$F$35)*(mongodb_hardware_log!T3183&lt;BenchmarkResults!$G$3:$G$35)*ROW(BenchmarkResults!$F$3:$F$35)),{1,3})</f>
        <v>q6_inactive_customers</v>
      </c>
      <c r="B3183">
        <v>3</v>
      </c>
      <c r="C3183" s="13">
        <v>1</v>
      </c>
      <c r="D3183" s="13">
        <v>0</v>
      </c>
      <c r="E3183" s="13">
        <v>179968</v>
      </c>
      <c r="F3183" s="13">
        <v>638192</v>
      </c>
      <c r="G3183" s="13">
        <v>10544</v>
      </c>
      <c r="H3183" s="13">
        <v>1730660</v>
      </c>
      <c r="I3183" s="13">
        <v>0</v>
      </c>
      <c r="J3183" s="13">
        <v>0</v>
      </c>
      <c r="K3183" s="13">
        <v>1328</v>
      </c>
      <c r="L3183" s="13">
        <v>1573</v>
      </c>
      <c r="M3183" s="13">
        <v>699</v>
      </c>
      <c r="N3183" s="13">
        <v>187</v>
      </c>
      <c r="O3183" s="13">
        <v>33</v>
      </c>
      <c r="P3183" s="13">
        <v>2</v>
      </c>
      <c r="Q3183" s="13">
        <v>63</v>
      </c>
      <c r="R3183" s="13">
        <v>2</v>
      </c>
      <c r="S3183" s="13">
        <v>0</v>
      </c>
      <c r="T3183" s="23">
        <v>46247.812465277777</v>
      </c>
      <c r="U3183" s="55">
        <f t="shared" si="147"/>
        <v>1</v>
      </c>
      <c r="V3183" s="55">
        <f t="shared" si="148"/>
        <v>0</v>
      </c>
      <c r="W3183" s="56">
        <f t="shared" si="149"/>
        <v>1789.5</v>
      </c>
    </row>
    <row r="3184" spans="1:23" x14ac:dyDescent="0.3">
      <c r="A3184" s="13" t="str" cm="1">
        <f t="array" ref="A3184:B3184">INDEX(BenchmarkResults!$B$1:$D$35,SUMPRODUCT((T3184&gt;=BenchmarkResults!$F$3:$F$35)*(mongodb_hardware_log!T3184&lt;BenchmarkResults!$G$3:$G$35)*ROW(BenchmarkResults!$F$3:$F$35)),{1,3})</f>
        <v>q6_inactive_customers</v>
      </c>
      <c r="B3184">
        <v>3</v>
      </c>
      <c r="C3184" s="13">
        <v>1</v>
      </c>
      <c r="D3184" s="13">
        <v>0</v>
      </c>
      <c r="E3184" s="13">
        <v>179968</v>
      </c>
      <c r="F3184" s="13">
        <v>634160</v>
      </c>
      <c r="G3184" s="13">
        <v>10544</v>
      </c>
      <c r="H3184" s="13">
        <v>1733404</v>
      </c>
      <c r="I3184" s="13">
        <v>0</v>
      </c>
      <c r="J3184" s="13">
        <v>0</v>
      </c>
      <c r="K3184" s="13">
        <v>1563</v>
      </c>
      <c r="L3184" s="13">
        <v>1567</v>
      </c>
      <c r="M3184" s="13">
        <v>712</v>
      </c>
      <c r="N3184" s="13">
        <v>197</v>
      </c>
      <c r="O3184" s="13">
        <v>33</v>
      </c>
      <c r="P3184" s="13">
        <v>2</v>
      </c>
      <c r="Q3184" s="13">
        <v>63</v>
      </c>
      <c r="R3184" s="13">
        <v>2</v>
      </c>
      <c r="S3184" s="13">
        <v>0</v>
      </c>
      <c r="T3184" s="23">
        <v>46247.812476851854</v>
      </c>
      <c r="U3184" s="55">
        <f t="shared" si="147"/>
        <v>1</v>
      </c>
      <c r="V3184" s="55">
        <f t="shared" si="148"/>
        <v>0</v>
      </c>
      <c r="W3184" s="56">
        <f t="shared" si="149"/>
        <v>1827</v>
      </c>
    </row>
    <row r="3185" spans="1:23" x14ac:dyDescent="0.3">
      <c r="A3185" s="13" t="str" cm="1">
        <f t="array" ref="A3185:B3185">INDEX(BenchmarkResults!$B$1:$D$35,SUMPRODUCT((T3185&gt;=BenchmarkResults!$F$3:$F$35)*(mongodb_hardware_log!T3185&lt;BenchmarkResults!$G$3:$G$35)*ROW(BenchmarkResults!$F$3:$F$35)),{1,3})</f>
        <v>q6_inactive_customers</v>
      </c>
      <c r="B3185">
        <v>3</v>
      </c>
      <c r="C3185" s="13">
        <v>1</v>
      </c>
      <c r="D3185" s="13">
        <v>0</v>
      </c>
      <c r="E3185" s="13">
        <v>179968</v>
      </c>
      <c r="F3185" s="13">
        <v>618284</v>
      </c>
      <c r="G3185" s="13">
        <v>10556</v>
      </c>
      <c r="H3185" s="13">
        <v>1748756</v>
      </c>
      <c r="I3185" s="13">
        <v>0</v>
      </c>
      <c r="J3185" s="13">
        <v>0</v>
      </c>
      <c r="K3185" s="13">
        <v>1809</v>
      </c>
      <c r="L3185" s="13">
        <v>12</v>
      </c>
      <c r="M3185" s="13">
        <v>750</v>
      </c>
      <c r="N3185" s="13">
        <v>217</v>
      </c>
      <c r="O3185" s="13">
        <v>32</v>
      </c>
      <c r="P3185" s="13">
        <v>1</v>
      </c>
      <c r="Q3185" s="13">
        <v>64</v>
      </c>
      <c r="R3185" s="13">
        <v>0</v>
      </c>
      <c r="S3185" s="13">
        <v>1</v>
      </c>
      <c r="T3185" s="23">
        <v>46247.812581018516</v>
      </c>
      <c r="U3185" s="55">
        <f t="shared" si="147"/>
        <v>1</v>
      </c>
      <c r="V3185" s="55">
        <f t="shared" si="148"/>
        <v>0</v>
      </c>
      <c r="W3185" s="56">
        <f t="shared" si="149"/>
        <v>1788.1666666666667</v>
      </c>
    </row>
    <row r="3186" spans="1:23" x14ac:dyDescent="0.3">
      <c r="A3186" s="13" t="str" cm="1">
        <f t="array" ref="A3186:B3186">INDEX(BenchmarkResults!$B$1:$D$35,SUMPRODUCT((T3186&gt;=BenchmarkResults!$F$3:$F$35)*(mongodb_hardware_log!T3186&lt;BenchmarkResults!$G$3:$G$35)*ROW(BenchmarkResults!$F$3:$F$35)),{1,3})</f>
        <v>q6_inactive_customers</v>
      </c>
      <c r="B3186">
        <v>3</v>
      </c>
      <c r="C3186" s="13">
        <v>1</v>
      </c>
      <c r="D3186" s="13">
        <v>0</v>
      </c>
      <c r="E3186" s="13">
        <v>179968</v>
      </c>
      <c r="F3186" s="13">
        <v>618284</v>
      </c>
      <c r="G3186" s="13">
        <v>10564</v>
      </c>
      <c r="H3186" s="13">
        <v>1751988</v>
      </c>
      <c r="I3186" s="13">
        <v>0</v>
      </c>
      <c r="J3186" s="13">
        <v>0</v>
      </c>
      <c r="K3186" s="13">
        <v>1862</v>
      </c>
      <c r="L3186" s="13">
        <v>18</v>
      </c>
      <c r="M3186" s="13">
        <v>754</v>
      </c>
      <c r="N3186" s="13">
        <v>220</v>
      </c>
      <c r="O3186" s="13">
        <v>32</v>
      </c>
      <c r="P3186" s="13">
        <v>1</v>
      </c>
      <c r="Q3186" s="13">
        <v>64</v>
      </c>
      <c r="R3186" s="13">
        <v>1</v>
      </c>
      <c r="S3186" s="13">
        <v>1</v>
      </c>
      <c r="T3186" s="23">
        <v>46247.812592592592</v>
      </c>
      <c r="U3186" s="55">
        <f t="shared" si="147"/>
        <v>1</v>
      </c>
      <c r="V3186" s="55">
        <f t="shared" si="148"/>
        <v>0</v>
      </c>
      <c r="W3186" s="56">
        <f t="shared" si="149"/>
        <v>1757.6666666666667</v>
      </c>
    </row>
    <row r="3187" spans="1:23" x14ac:dyDescent="0.3">
      <c r="A3187" s="13" t="str" cm="1">
        <f t="array" ref="A3187:B3187">INDEX(BenchmarkResults!$B$1:$D$35,SUMPRODUCT((T3187&gt;=BenchmarkResults!$F$3:$F$35)*(mongodb_hardware_log!T3187&lt;BenchmarkResults!$G$3:$G$35)*ROW(BenchmarkResults!$F$3:$F$35)),{1,3})</f>
        <v>q6_inactive_customers</v>
      </c>
      <c r="B3187">
        <v>3</v>
      </c>
      <c r="C3187" s="13">
        <v>2</v>
      </c>
      <c r="D3187" s="13">
        <v>0</v>
      </c>
      <c r="E3187" s="13">
        <v>179968</v>
      </c>
      <c r="F3187" s="13">
        <v>606692</v>
      </c>
      <c r="G3187" s="13">
        <v>10588</v>
      </c>
      <c r="H3187" s="13">
        <v>1764880</v>
      </c>
      <c r="I3187" s="13">
        <v>0</v>
      </c>
      <c r="J3187" s="13">
        <v>0</v>
      </c>
      <c r="K3187" s="13">
        <v>1610</v>
      </c>
      <c r="L3187" s="13">
        <v>29</v>
      </c>
      <c r="M3187" s="13">
        <v>796</v>
      </c>
      <c r="N3187" s="13">
        <v>298</v>
      </c>
      <c r="O3187" s="13">
        <v>33</v>
      </c>
      <c r="P3187" s="13">
        <v>2</v>
      </c>
      <c r="Q3187" s="13">
        <v>65</v>
      </c>
      <c r="R3187" s="13">
        <v>0</v>
      </c>
      <c r="S3187" s="13">
        <v>0</v>
      </c>
      <c r="T3187" s="23">
        <v>46247.812696759262</v>
      </c>
      <c r="U3187" s="55">
        <f t="shared" si="147"/>
        <v>1.1666666666666667</v>
      </c>
      <c r="V3187" s="55">
        <f t="shared" si="148"/>
        <v>0</v>
      </c>
      <c r="W3187" s="56">
        <f t="shared" si="149"/>
        <v>1666</v>
      </c>
    </row>
    <row r="3188" spans="1:23" x14ac:dyDescent="0.3">
      <c r="A3188" s="13" t="str" cm="1">
        <f t="array" ref="A3188:B3188">INDEX(BenchmarkResults!$B$1:$D$35,SUMPRODUCT((T3188&gt;=BenchmarkResults!$F$3:$F$35)*(mongodb_hardware_log!T3188&lt;BenchmarkResults!$G$3:$G$35)*ROW(BenchmarkResults!$F$3:$F$35)),{1,3})</f>
        <v>q6_inactive_customers</v>
      </c>
      <c r="B3188">
        <v>3</v>
      </c>
      <c r="C3188" s="13">
        <v>1</v>
      </c>
      <c r="D3188" s="13">
        <v>0</v>
      </c>
      <c r="E3188" s="13">
        <v>179968</v>
      </c>
      <c r="F3188" s="13">
        <v>602660</v>
      </c>
      <c r="G3188" s="13">
        <v>10588</v>
      </c>
      <c r="H3188" s="13">
        <v>1768896</v>
      </c>
      <c r="I3188" s="13">
        <v>0</v>
      </c>
      <c r="J3188" s="13">
        <v>0</v>
      </c>
      <c r="K3188" s="13">
        <v>1683</v>
      </c>
      <c r="L3188" s="13">
        <v>23</v>
      </c>
      <c r="M3188" s="13">
        <v>791</v>
      </c>
      <c r="N3188" s="13">
        <v>296</v>
      </c>
      <c r="O3188" s="13">
        <v>33</v>
      </c>
      <c r="P3188" s="13">
        <v>2</v>
      </c>
      <c r="Q3188" s="13">
        <v>65</v>
      </c>
      <c r="R3188" s="13">
        <v>0</v>
      </c>
      <c r="S3188" s="13">
        <v>0</v>
      </c>
      <c r="T3188" s="23">
        <v>46247.812708333331</v>
      </c>
      <c r="U3188" s="55">
        <f t="shared" si="147"/>
        <v>1.1666666666666667</v>
      </c>
      <c r="V3188" s="55">
        <f t="shared" si="148"/>
        <v>0</v>
      </c>
      <c r="W3188" s="56">
        <f t="shared" si="149"/>
        <v>1642.5</v>
      </c>
    </row>
    <row r="3189" spans="1:23" x14ac:dyDescent="0.3">
      <c r="A3189" s="13" t="str" cm="1">
        <f t="array" ref="A3189:B3189">INDEX(BenchmarkResults!$B$1:$D$35,SUMPRODUCT((T3189&gt;=BenchmarkResults!$F$3:$F$35)*(mongodb_hardware_log!T3189&lt;BenchmarkResults!$G$3:$G$35)*ROW(BenchmarkResults!$F$3:$F$35)),{1,3})</f>
        <v>q6_inactive_customers</v>
      </c>
      <c r="B3189">
        <v>3</v>
      </c>
      <c r="C3189" s="13">
        <v>1</v>
      </c>
      <c r="D3189" s="13">
        <v>0</v>
      </c>
      <c r="E3189" s="13">
        <v>179968</v>
      </c>
      <c r="F3189" s="13">
        <v>591572</v>
      </c>
      <c r="G3189" s="13">
        <v>10596</v>
      </c>
      <c r="H3189" s="13">
        <v>1785056</v>
      </c>
      <c r="I3189" s="13">
        <v>0</v>
      </c>
      <c r="J3189" s="13">
        <v>0</v>
      </c>
      <c r="K3189" s="13">
        <v>2012</v>
      </c>
      <c r="L3189" s="13">
        <v>5</v>
      </c>
      <c r="M3189" s="13">
        <v>717</v>
      </c>
      <c r="N3189" s="13">
        <v>214</v>
      </c>
      <c r="O3189" s="13">
        <v>33</v>
      </c>
      <c r="P3189" s="13">
        <v>1</v>
      </c>
      <c r="Q3189" s="13">
        <v>64</v>
      </c>
      <c r="R3189" s="13">
        <v>1</v>
      </c>
      <c r="S3189" s="13">
        <v>0</v>
      </c>
      <c r="T3189" s="23">
        <v>46247.8128125</v>
      </c>
      <c r="U3189" s="55">
        <f t="shared" si="147"/>
        <v>1.1666666666666667</v>
      </c>
      <c r="V3189" s="55">
        <f t="shared" si="148"/>
        <v>0</v>
      </c>
      <c r="W3189" s="56">
        <f t="shared" si="149"/>
        <v>1756.5</v>
      </c>
    </row>
    <row r="3190" spans="1:23" x14ac:dyDescent="0.3">
      <c r="A3190" s="13" t="str" cm="1">
        <f t="array" ref="A3190:B3190">INDEX(BenchmarkResults!$B$1:$D$35,SUMPRODUCT((T3190&gt;=BenchmarkResults!$F$3:$F$35)*(mongodb_hardware_log!T3190&lt;BenchmarkResults!$G$3:$G$35)*ROW(BenchmarkResults!$F$3:$F$35)),{1,3})</f>
        <v>q6_inactive_customers</v>
      </c>
      <c r="B3190">
        <v>3</v>
      </c>
      <c r="C3190" s="13">
        <v>1</v>
      </c>
      <c r="D3190" s="13">
        <v>0</v>
      </c>
      <c r="E3190" s="13">
        <v>179968</v>
      </c>
      <c r="F3190" s="13">
        <v>591572</v>
      </c>
      <c r="G3190" s="13">
        <v>10604</v>
      </c>
      <c r="H3190" s="13">
        <v>1788748</v>
      </c>
      <c r="I3190" s="13">
        <v>0</v>
      </c>
      <c r="J3190" s="13">
        <v>0</v>
      </c>
      <c r="K3190" s="13">
        <v>1985</v>
      </c>
      <c r="L3190" s="13">
        <v>10</v>
      </c>
      <c r="M3190" s="13">
        <v>720</v>
      </c>
      <c r="N3190" s="13">
        <v>220</v>
      </c>
      <c r="O3190" s="13">
        <v>33</v>
      </c>
      <c r="P3190" s="13">
        <v>1</v>
      </c>
      <c r="Q3190" s="13">
        <v>64</v>
      </c>
      <c r="R3190" s="13">
        <v>1</v>
      </c>
      <c r="S3190" s="13">
        <v>0</v>
      </c>
      <c r="T3190" s="23">
        <v>46247.812824074077</v>
      </c>
      <c r="U3190" s="55">
        <f t="shared" si="147"/>
        <v>1.1666666666666667</v>
      </c>
      <c r="V3190" s="55">
        <f t="shared" si="148"/>
        <v>0</v>
      </c>
      <c r="W3190" s="56">
        <f t="shared" si="149"/>
        <v>1826.8333333333333</v>
      </c>
    </row>
    <row r="3191" spans="1:23" x14ac:dyDescent="0.3">
      <c r="A3191" s="13" t="str" cm="1">
        <f t="array" ref="A3191:B3191">INDEX(BenchmarkResults!$B$1:$D$35,SUMPRODUCT((T3191&gt;=BenchmarkResults!$F$3:$F$35)*(mongodb_hardware_log!T3191&lt;BenchmarkResults!$G$3:$G$35)*ROW(BenchmarkResults!$F$3:$F$35)),{1,3})</f>
        <v>q6_inactive_customers</v>
      </c>
      <c r="B3191">
        <v>3</v>
      </c>
      <c r="C3191" s="13">
        <v>2</v>
      </c>
      <c r="D3191" s="13">
        <v>0</v>
      </c>
      <c r="E3191" s="13">
        <v>179968</v>
      </c>
      <c r="F3191" s="13">
        <v>575696</v>
      </c>
      <c r="G3191" s="13">
        <v>10612</v>
      </c>
      <c r="H3191" s="13">
        <v>1804084</v>
      </c>
      <c r="I3191" s="13">
        <v>0</v>
      </c>
      <c r="J3191" s="13">
        <v>0</v>
      </c>
      <c r="K3191" s="13">
        <v>1908</v>
      </c>
      <c r="L3191" s="13">
        <v>28</v>
      </c>
      <c r="M3191" s="13">
        <v>736</v>
      </c>
      <c r="N3191" s="13">
        <v>227</v>
      </c>
      <c r="O3191" s="13">
        <v>33</v>
      </c>
      <c r="P3191" s="13">
        <v>1</v>
      </c>
      <c r="Q3191" s="13">
        <v>65</v>
      </c>
      <c r="R3191" s="13">
        <v>1</v>
      </c>
      <c r="S3191" s="13">
        <v>0</v>
      </c>
      <c r="T3191" s="23">
        <v>46247.812928240739</v>
      </c>
      <c r="U3191" s="55">
        <f t="shared" si="147"/>
        <v>1.3333333333333333</v>
      </c>
      <c r="V3191" s="55">
        <f t="shared" si="148"/>
        <v>0</v>
      </c>
      <c r="W3191" s="56">
        <f t="shared" si="149"/>
        <v>1843.3333333333333</v>
      </c>
    </row>
    <row r="3192" spans="1:23" x14ac:dyDescent="0.3">
      <c r="A3192" s="13" t="str" cm="1">
        <f t="array" ref="A3192:B3192">INDEX(BenchmarkResults!$B$1:$D$35,SUMPRODUCT((T3192&gt;=BenchmarkResults!$F$3:$F$35)*(mongodb_hardware_log!T3192&lt;BenchmarkResults!$G$3:$G$35)*ROW(BenchmarkResults!$F$3:$F$35)),{1,3})</f>
        <v>q6_inactive_customers</v>
      </c>
      <c r="B3192">
        <v>3</v>
      </c>
      <c r="C3192" s="13">
        <v>1</v>
      </c>
      <c r="D3192" s="13">
        <v>0</v>
      </c>
      <c r="E3192" s="13">
        <v>179968</v>
      </c>
      <c r="F3192" s="13">
        <v>575696</v>
      </c>
      <c r="G3192" s="13">
        <v>10612</v>
      </c>
      <c r="H3192" s="13">
        <v>1808236</v>
      </c>
      <c r="I3192" s="13">
        <v>0</v>
      </c>
      <c r="J3192" s="13">
        <v>0</v>
      </c>
      <c r="K3192" s="13">
        <v>1954</v>
      </c>
      <c r="L3192" s="13">
        <v>23</v>
      </c>
      <c r="M3192" s="13">
        <v>737</v>
      </c>
      <c r="N3192" s="13">
        <v>223</v>
      </c>
      <c r="O3192" s="13">
        <v>33</v>
      </c>
      <c r="P3192" s="13">
        <v>1</v>
      </c>
      <c r="Q3192" s="13">
        <v>65</v>
      </c>
      <c r="R3192" s="13">
        <v>1</v>
      </c>
      <c r="S3192" s="13">
        <v>0</v>
      </c>
      <c r="T3192" s="23">
        <v>46247.812939814816</v>
      </c>
      <c r="U3192" s="55">
        <f t="shared" si="147"/>
        <v>1.3333333333333333</v>
      </c>
      <c r="V3192" s="55">
        <f t="shared" si="148"/>
        <v>0</v>
      </c>
      <c r="W3192" s="56">
        <f t="shared" si="149"/>
        <v>1858.6666666666667</v>
      </c>
    </row>
    <row r="3193" spans="1:23" x14ac:dyDescent="0.3">
      <c r="A3193" s="13" t="str" cm="1">
        <f t="array" ref="A3193:B3193">INDEX(BenchmarkResults!$B$1:$D$35,SUMPRODUCT((T3193&gt;=BenchmarkResults!$F$3:$F$35)*(mongodb_hardware_log!T3193&lt;BenchmarkResults!$G$3:$G$35)*ROW(BenchmarkResults!$F$3:$F$35)),{1,3})</f>
        <v>q6_inactive_customers</v>
      </c>
      <c r="B3193">
        <v>3</v>
      </c>
      <c r="C3193" s="13">
        <v>1</v>
      </c>
      <c r="D3193" s="13">
        <v>0</v>
      </c>
      <c r="E3193" s="13">
        <v>179968</v>
      </c>
      <c r="F3193" s="13">
        <v>542432</v>
      </c>
      <c r="G3193" s="13">
        <v>10620</v>
      </c>
      <c r="H3193" s="13">
        <v>1833940</v>
      </c>
      <c r="I3193" s="13">
        <v>0</v>
      </c>
      <c r="J3193" s="13">
        <v>0</v>
      </c>
      <c r="K3193" s="13">
        <v>1390</v>
      </c>
      <c r="L3193" s="13">
        <v>8</v>
      </c>
      <c r="M3193" s="13">
        <v>684</v>
      </c>
      <c r="N3193" s="13">
        <v>179</v>
      </c>
      <c r="O3193" s="13">
        <v>32</v>
      </c>
      <c r="P3193" s="13">
        <v>2</v>
      </c>
      <c r="Q3193" s="13">
        <v>65</v>
      </c>
      <c r="R3193" s="13">
        <v>0</v>
      </c>
      <c r="S3193" s="13">
        <v>0</v>
      </c>
      <c r="T3193" s="23">
        <v>46247.813043981485</v>
      </c>
      <c r="U3193" s="55">
        <f t="shared" si="147"/>
        <v>1.1666666666666667</v>
      </c>
      <c r="V3193" s="55">
        <f t="shared" si="148"/>
        <v>0</v>
      </c>
      <c r="W3193" s="56">
        <f t="shared" si="149"/>
        <v>1822</v>
      </c>
    </row>
    <row r="3194" spans="1:23" x14ac:dyDescent="0.3">
      <c r="A3194" s="13" t="str" cm="1">
        <f t="array" ref="A3194:B3194">INDEX(BenchmarkResults!$B$1:$D$35,SUMPRODUCT((T3194&gt;=BenchmarkResults!$F$3:$F$35)*(mongodb_hardware_log!T3194&lt;BenchmarkResults!$G$3:$G$35)*ROW(BenchmarkResults!$F$3:$F$35)),{1,3})</f>
        <v>q6_inactive_customers</v>
      </c>
      <c r="B3194">
        <v>3</v>
      </c>
      <c r="C3194" s="13">
        <v>1</v>
      </c>
      <c r="D3194" s="13">
        <v>0</v>
      </c>
      <c r="E3194" s="13">
        <v>179968</v>
      </c>
      <c r="F3194" s="13">
        <v>540668</v>
      </c>
      <c r="G3194" s="13">
        <v>10632</v>
      </c>
      <c r="H3194" s="13">
        <v>1837308</v>
      </c>
      <c r="I3194" s="13">
        <v>0</v>
      </c>
      <c r="J3194" s="13">
        <v>0</v>
      </c>
      <c r="K3194" s="13">
        <v>1308</v>
      </c>
      <c r="L3194" s="13">
        <v>426</v>
      </c>
      <c r="M3194" s="13">
        <v>688</v>
      </c>
      <c r="N3194" s="13">
        <v>183</v>
      </c>
      <c r="O3194" s="13">
        <v>32</v>
      </c>
      <c r="P3194" s="13">
        <v>2</v>
      </c>
      <c r="Q3194" s="13">
        <v>65</v>
      </c>
      <c r="R3194" s="13">
        <v>0</v>
      </c>
      <c r="S3194" s="13">
        <v>0</v>
      </c>
      <c r="T3194" s="23">
        <v>46247.813055555554</v>
      </c>
      <c r="U3194" s="55">
        <f t="shared" si="147"/>
        <v>1.1666666666666667</v>
      </c>
      <c r="V3194" s="55">
        <f t="shared" si="148"/>
        <v>0</v>
      </c>
      <c r="W3194" s="56">
        <f t="shared" si="149"/>
        <v>1759.5</v>
      </c>
    </row>
    <row r="3195" spans="1:23" x14ac:dyDescent="0.3">
      <c r="A3195" s="13" t="str" cm="1">
        <f t="array" ref="A3195:B3195">INDEX(BenchmarkResults!$B$1:$D$35,SUMPRODUCT((T3195&gt;=BenchmarkResults!$F$3:$F$35)*(mongodb_hardware_log!T3195&lt;BenchmarkResults!$G$3:$G$35)*ROW(BenchmarkResults!$F$3:$F$35)),{1,3})</f>
        <v>q6_inactive_customers</v>
      </c>
      <c r="B3195">
        <v>3</v>
      </c>
      <c r="C3195" s="13">
        <v>1</v>
      </c>
      <c r="D3195" s="13">
        <v>0</v>
      </c>
      <c r="E3195" s="13">
        <v>179968</v>
      </c>
      <c r="F3195" s="13">
        <v>525296</v>
      </c>
      <c r="G3195" s="13">
        <v>10644</v>
      </c>
      <c r="H3195" s="13">
        <v>1853692</v>
      </c>
      <c r="I3195" s="13">
        <v>0</v>
      </c>
      <c r="J3195" s="13">
        <v>0</v>
      </c>
      <c r="K3195" s="13">
        <v>1974</v>
      </c>
      <c r="L3195" s="13">
        <v>1580</v>
      </c>
      <c r="M3195" s="13">
        <v>726</v>
      </c>
      <c r="N3195" s="13">
        <v>210</v>
      </c>
      <c r="O3195" s="13">
        <v>33</v>
      </c>
      <c r="P3195" s="13">
        <v>2</v>
      </c>
      <c r="Q3195" s="13">
        <v>63</v>
      </c>
      <c r="R3195" s="13">
        <v>2</v>
      </c>
      <c r="S3195" s="13">
        <v>0</v>
      </c>
      <c r="T3195" s="23">
        <v>46247.813159722224</v>
      </c>
      <c r="U3195" s="55">
        <f t="shared" si="147"/>
        <v>1.1666666666666667</v>
      </c>
      <c r="V3195" s="55">
        <f t="shared" si="148"/>
        <v>0</v>
      </c>
      <c r="W3195" s="56">
        <f t="shared" si="149"/>
        <v>1753.1666666666667</v>
      </c>
    </row>
    <row r="3196" spans="1:23" x14ac:dyDescent="0.3">
      <c r="A3196" s="13" t="str" cm="1">
        <f t="array" ref="A3196:B3196">INDEX(BenchmarkResults!$B$1:$D$35,SUMPRODUCT((T3196&gt;=BenchmarkResults!$F$3:$F$35)*(mongodb_hardware_log!T3196&lt;BenchmarkResults!$G$3:$G$35)*ROW(BenchmarkResults!$F$3:$F$35)),{1,3})</f>
        <v>q6_inactive_customers</v>
      </c>
      <c r="B3196">
        <v>3</v>
      </c>
      <c r="C3196" s="13">
        <v>1</v>
      </c>
      <c r="D3196" s="13">
        <v>0</v>
      </c>
      <c r="E3196" s="13">
        <v>179968</v>
      </c>
      <c r="F3196" s="13">
        <v>522272</v>
      </c>
      <c r="G3196" s="13">
        <v>10644</v>
      </c>
      <c r="H3196" s="13">
        <v>1856384</v>
      </c>
      <c r="I3196" s="13">
        <v>0</v>
      </c>
      <c r="J3196" s="13">
        <v>0</v>
      </c>
      <c r="K3196" s="13">
        <v>1916</v>
      </c>
      <c r="L3196" s="13">
        <v>1161</v>
      </c>
      <c r="M3196" s="13">
        <v>718</v>
      </c>
      <c r="N3196" s="13">
        <v>202</v>
      </c>
      <c r="O3196" s="13">
        <v>33</v>
      </c>
      <c r="P3196" s="13">
        <v>1</v>
      </c>
      <c r="Q3196" s="13">
        <v>63</v>
      </c>
      <c r="R3196" s="13">
        <v>2</v>
      </c>
      <c r="S3196" s="13">
        <v>0</v>
      </c>
      <c r="T3196" s="23">
        <v>46247.813171296293</v>
      </c>
      <c r="U3196" s="55">
        <f t="shared" si="147"/>
        <v>1.1666666666666667</v>
      </c>
      <c r="V3196" s="55">
        <f t="shared" si="148"/>
        <v>0</v>
      </c>
      <c r="W3196" s="56">
        <f t="shared" si="149"/>
        <v>1741.6666666666667</v>
      </c>
    </row>
    <row r="3197" spans="1:23" x14ac:dyDescent="0.3">
      <c r="A3197" s="13" t="str" cm="1">
        <f t="array" ref="A3197:B3197">INDEX(BenchmarkResults!$B$1:$D$35,SUMPRODUCT((T3197&gt;=BenchmarkResults!$F$3:$F$35)*(mongodb_hardware_log!T3197&lt;BenchmarkResults!$G$3:$G$35)*ROW(BenchmarkResults!$F$3:$F$35)),{1,3})</f>
        <v>q6_inactive_customers</v>
      </c>
      <c r="B3197">
        <v>3</v>
      </c>
      <c r="C3197" s="13">
        <v>2</v>
      </c>
      <c r="D3197" s="13">
        <v>0</v>
      </c>
      <c r="E3197" s="13">
        <v>179968</v>
      </c>
      <c r="F3197" s="13">
        <v>497324</v>
      </c>
      <c r="G3197" s="13">
        <v>10652</v>
      </c>
      <c r="H3197" s="13">
        <v>1874164</v>
      </c>
      <c r="I3197" s="13">
        <v>0</v>
      </c>
      <c r="J3197" s="13">
        <v>0</v>
      </c>
      <c r="K3197" s="13">
        <v>2046</v>
      </c>
      <c r="L3197" s="13">
        <v>5</v>
      </c>
      <c r="M3197" s="13">
        <v>742</v>
      </c>
      <c r="N3197" s="13">
        <v>214</v>
      </c>
      <c r="O3197" s="13">
        <v>33</v>
      </c>
      <c r="P3197" s="13">
        <v>1</v>
      </c>
      <c r="Q3197" s="13">
        <v>65</v>
      </c>
      <c r="R3197" s="13">
        <v>1</v>
      </c>
      <c r="S3197" s="13">
        <v>0</v>
      </c>
      <c r="T3197" s="23">
        <v>46247.813275462962</v>
      </c>
      <c r="U3197" s="55">
        <f t="shared" si="147"/>
        <v>1.1666666666666667</v>
      </c>
      <c r="V3197" s="55">
        <f t="shared" si="148"/>
        <v>0</v>
      </c>
      <c r="W3197" s="56">
        <f t="shared" si="149"/>
        <v>1764.6666666666667</v>
      </c>
    </row>
    <row r="3198" spans="1:23" x14ac:dyDescent="0.3">
      <c r="A3198" s="13" t="str" cm="1">
        <f t="array" ref="A3198:B3198">INDEX(BenchmarkResults!$B$1:$D$35,SUMPRODUCT((T3198&gt;=BenchmarkResults!$F$3:$F$35)*(mongodb_hardware_log!T3198&lt;BenchmarkResults!$G$3:$G$35)*ROW(BenchmarkResults!$F$3:$F$35)),{1,3})</f>
        <v>q6_inactive_customers</v>
      </c>
      <c r="B3198">
        <v>3</v>
      </c>
      <c r="C3198" s="13">
        <v>1</v>
      </c>
      <c r="D3198" s="13">
        <v>0</v>
      </c>
      <c r="E3198" s="13">
        <v>179968</v>
      </c>
      <c r="F3198" s="13">
        <v>497324</v>
      </c>
      <c r="G3198" s="13">
        <v>10660</v>
      </c>
      <c r="H3198" s="13">
        <v>1877172</v>
      </c>
      <c r="I3198" s="13">
        <v>0</v>
      </c>
      <c r="J3198" s="13">
        <v>0</v>
      </c>
      <c r="K3198" s="13">
        <v>2077</v>
      </c>
      <c r="L3198" s="13">
        <v>11</v>
      </c>
      <c r="M3198" s="13">
        <v>740</v>
      </c>
      <c r="N3198" s="13">
        <v>213</v>
      </c>
      <c r="O3198" s="13">
        <v>33</v>
      </c>
      <c r="P3198" s="13">
        <v>1</v>
      </c>
      <c r="Q3198" s="13">
        <v>65</v>
      </c>
      <c r="R3198" s="13">
        <v>1</v>
      </c>
      <c r="S3198" s="13">
        <v>0</v>
      </c>
      <c r="T3198" s="23">
        <v>46247.813287037039</v>
      </c>
      <c r="U3198" s="55">
        <f t="shared" si="147"/>
        <v>1.1666666666666667</v>
      </c>
      <c r="V3198" s="55">
        <f t="shared" si="148"/>
        <v>0</v>
      </c>
      <c r="W3198" s="56">
        <f t="shared" si="149"/>
        <v>1785.1666666666667</v>
      </c>
    </row>
    <row r="3199" spans="1:23" x14ac:dyDescent="0.3">
      <c r="A3199" s="13" t="str" cm="1">
        <f t="array" ref="A3199:B3199">INDEX(BenchmarkResults!$B$1:$D$35,SUMPRODUCT((T3199&gt;=BenchmarkResults!$F$3:$F$35)*(mongodb_hardware_log!T3199&lt;BenchmarkResults!$G$3:$G$35)*ROW(BenchmarkResults!$F$3:$F$35)),{1,3})</f>
        <v>q6_inactive_customers</v>
      </c>
      <c r="B3199">
        <v>3</v>
      </c>
      <c r="C3199" s="13">
        <v>1</v>
      </c>
      <c r="D3199" s="13">
        <v>0</v>
      </c>
      <c r="E3199" s="13">
        <v>179968</v>
      </c>
      <c r="F3199" s="13">
        <v>481196</v>
      </c>
      <c r="G3199" s="13">
        <v>10700</v>
      </c>
      <c r="H3199" s="13">
        <v>1892044</v>
      </c>
      <c r="I3199" s="13">
        <v>0</v>
      </c>
      <c r="J3199" s="13">
        <v>0</v>
      </c>
      <c r="K3199" s="13">
        <v>1784</v>
      </c>
      <c r="L3199" s="13">
        <v>32</v>
      </c>
      <c r="M3199" s="13">
        <v>720</v>
      </c>
      <c r="N3199" s="13">
        <v>213</v>
      </c>
      <c r="O3199" s="13">
        <v>34</v>
      </c>
      <c r="P3199" s="13">
        <v>1</v>
      </c>
      <c r="Q3199" s="13">
        <v>64</v>
      </c>
      <c r="R3199" s="13">
        <v>0</v>
      </c>
      <c r="S3199" s="13">
        <v>0</v>
      </c>
      <c r="T3199" s="23">
        <v>46247.813391203701</v>
      </c>
      <c r="U3199" s="55">
        <f t="shared" si="147"/>
        <v>1.1666666666666667</v>
      </c>
      <c r="V3199" s="55">
        <f t="shared" si="148"/>
        <v>0</v>
      </c>
      <c r="W3199" s="56">
        <f t="shared" si="149"/>
        <v>1850.8333333333333</v>
      </c>
    </row>
    <row r="3200" spans="1:23" x14ac:dyDescent="0.3">
      <c r="A3200" s="13" t="str" cm="1">
        <f t="array" ref="A3200:B3200">INDEX(BenchmarkResults!$B$1:$D$35,SUMPRODUCT((T3200&gt;=BenchmarkResults!$F$3:$F$35)*(mongodb_hardware_log!T3200&lt;BenchmarkResults!$G$3:$G$35)*ROW(BenchmarkResults!$F$3:$F$35)),{1,3})</f>
        <v>q6_inactive_customers</v>
      </c>
      <c r="B3200">
        <v>3</v>
      </c>
      <c r="C3200" s="13">
        <v>1</v>
      </c>
      <c r="D3200" s="13">
        <v>0</v>
      </c>
      <c r="E3200" s="13">
        <v>179968</v>
      </c>
      <c r="F3200" s="13">
        <v>477416</v>
      </c>
      <c r="G3200" s="13">
        <v>10700</v>
      </c>
      <c r="H3200" s="13">
        <v>1895244</v>
      </c>
      <c r="I3200" s="13">
        <v>0</v>
      </c>
      <c r="J3200" s="13">
        <v>0</v>
      </c>
      <c r="K3200" s="13">
        <v>1800</v>
      </c>
      <c r="L3200" s="13">
        <v>27</v>
      </c>
      <c r="M3200" s="13">
        <v>724</v>
      </c>
      <c r="N3200" s="13">
        <v>214</v>
      </c>
      <c r="O3200" s="13">
        <v>34</v>
      </c>
      <c r="P3200" s="13">
        <v>1</v>
      </c>
      <c r="Q3200" s="13">
        <v>64</v>
      </c>
      <c r="R3200" s="13">
        <v>0</v>
      </c>
      <c r="S3200" s="13">
        <v>0</v>
      </c>
      <c r="T3200" s="23">
        <v>46247.813402777778</v>
      </c>
      <c r="U3200" s="55">
        <f t="shared" si="147"/>
        <v>1.1666666666666667</v>
      </c>
      <c r="V3200" s="55">
        <f t="shared" si="148"/>
        <v>0</v>
      </c>
      <c r="W3200" s="56">
        <f t="shared" si="149"/>
        <v>1932.8333333333333</v>
      </c>
    </row>
    <row r="3201" spans="1:23" x14ac:dyDescent="0.3">
      <c r="A3201" s="13" t="str" cm="1">
        <f t="array" ref="A3201:B3201">INDEX(BenchmarkResults!$B$1:$D$35,SUMPRODUCT((T3201&gt;=BenchmarkResults!$F$3:$F$35)*(mongodb_hardware_log!T3201&lt;BenchmarkResults!$G$3:$G$35)*ROW(BenchmarkResults!$F$3:$F$35)),{1,3})</f>
        <v>q6_inactive_customers</v>
      </c>
      <c r="B3201">
        <v>3</v>
      </c>
      <c r="C3201" s="13">
        <v>1</v>
      </c>
      <c r="D3201" s="13">
        <v>0</v>
      </c>
      <c r="E3201" s="13">
        <v>179968</v>
      </c>
      <c r="F3201" s="13">
        <v>458264</v>
      </c>
      <c r="G3201" s="13">
        <v>10708</v>
      </c>
      <c r="H3201" s="13">
        <v>1910648</v>
      </c>
      <c r="I3201" s="13">
        <v>0</v>
      </c>
      <c r="J3201" s="13">
        <v>0</v>
      </c>
      <c r="K3201" s="13">
        <v>1861</v>
      </c>
      <c r="L3201" s="13">
        <v>14</v>
      </c>
      <c r="M3201" s="13">
        <v>723</v>
      </c>
      <c r="N3201" s="13">
        <v>212</v>
      </c>
      <c r="O3201" s="13">
        <v>33</v>
      </c>
      <c r="P3201" s="13">
        <v>1</v>
      </c>
      <c r="Q3201" s="13">
        <v>65</v>
      </c>
      <c r="R3201" s="13">
        <v>1</v>
      </c>
      <c r="S3201" s="13">
        <v>0</v>
      </c>
      <c r="T3201" s="23">
        <v>46247.813506944447</v>
      </c>
      <c r="U3201" s="55">
        <f t="shared" si="147"/>
        <v>1.1666666666666667</v>
      </c>
      <c r="V3201" s="55">
        <f t="shared" si="148"/>
        <v>0</v>
      </c>
      <c r="W3201" s="56">
        <f t="shared" si="149"/>
        <v>1914</v>
      </c>
    </row>
    <row r="3202" spans="1:23" x14ac:dyDescent="0.3">
      <c r="A3202" s="13" t="str" cm="1">
        <f t="array" ref="A3202:B3202">INDEX(BenchmarkResults!$B$1:$D$35,SUMPRODUCT((T3202&gt;=BenchmarkResults!$F$3:$F$35)*(mongodb_hardware_log!T3202&lt;BenchmarkResults!$G$3:$G$35)*ROW(BenchmarkResults!$F$3:$F$35)),{1,3})</f>
        <v>q6_inactive_customers</v>
      </c>
      <c r="B3202">
        <v>3</v>
      </c>
      <c r="C3202" s="13">
        <v>2</v>
      </c>
      <c r="D3202" s="13">
        <v>0</v>
      </c>
      <c r="E3202" s="13">
        <v>179968</v>
      </c>
      <c r="F3202" s="13">
        <v>458264</v>
      </c>
      <c r="G3202" s="13">
        <v>10716</v>
      </c>
      <c r="H3202" s="13">
        <v>1914512</v>
      </c>
      <c r="I3202" s="13">
        <v>0</v>
      </c>
      <c r="J3202" s="13">
        <v>0</v>
      </c>
      <c r="K3202" s="13">
        <v>1928</v>
      </c>
      <c r="L3202" s="13">
        <v>18</v>
      </c>
      <c r="M3202" s="13">
        <v>723</v>
      </c>
      <c r="N3202" s="13">
        <v>218</v>
      </c>
      <c r="O3202" s="13">
        <v>33</v>
      </c>
      <c r="P3202" s="13">
        <v>1</v>
      </c>
      <c r="Q3202" s="13">
        <v>65</v>
      </c>
      <c r="R3202" s="13">
        <v>1</v>
      </c>
      <c r="S3202" s="13">
        <v>0</v>
      </c>
      <c r="T3202" s="23">
        <v>46247.813518518517</v>
      </c>
      <c r="U3202" s="55">
        <f t="shared" si="147"/>
        <v>1.3333333333333333</v>
      </c>
      <c r="V3202" s="55">
        <f t="shared" si="148"/>
        <v>0</v>
      </c>
      <c r="W3202" s="56">
        <f t="shared" si="149"/>
        <v>1916</v>
      </c>
    </row>
    <row r="3203" spans="1:23" x14ac:dyDescent="0.3">
      <c r="A3203" s="13" t="str" cm="1">
        <f t="array" ref="A3203:B3203">INDEX(BenchmarkResults!$B$1:$D$35,SUMPRODUCT((T3203&gt;=BenchmarkResults!$F$3:$F$35)*(mongodb_hardware_log!T3203&lt;BenchmarkResults!$G$3:$G$35)*ROW(BenchmarkResults!$F$3:$F$35)),{1,3})</f>
        <v>q6_inactive_customers</v>
      </c>
      <c r="B3203">
        <v>3</v>
      </c>
      <c r="C3203" s="13">
        <v>1</v>
      </c>
      <c r="D3203" s="13">
        <v>0</v>
      </c>
      <c r="E3203" s="13">
        <v>179968</v>
      </c>
      <c r="F3203" s="13">
        <v>442136</v>
      </c>
      <c r="G3203" s="13">
        <v>10724</v>
      </c>
      <c r="H3203" s="13">
        <v>1931436</v>
      </c>
      <c r="I3203" s="13">
        <v>0</v>
      </c>
      <c r="J3203" s="13">
        <v>0</v>
      </c>
      <c r="K3203" s="13">
        <v>2080</v>
      </c>
      <c r="L3203" s="13">
        <v>15</v>
      </c>
      <c r="M3203" s="13">
        <v>710</v>
      </c>
      <c r="N3203" s="13">
        <v>206</v>
      </c>
      <c r="O3203" s="13">
        <v>33</v>
      </c>
      <c r="P3203" s="13">
        <v>1</v>
      </c>
      <c r="Q3203" s="13">
        <v>65</v>
      </c>
      <c r="R3203" s="13">
        <v>0</v>
      </c>
      <c r="S3203" s="13">
        <v>0</v>
      </c>
      <c r="T3203" s="23">
        <v>46247.813622685186</v>
      </c>
      <c r="U3203" s="55">
        <f t="shared" si="147"/>
        <v>1.1666666666666667</v>
      </c>
      <c r="V3203" s="55">
        <f t="shared" si="148"/>
        <v>0</v>
      </c>
      <c r="W3203" s="56">
        <f t="shared" si="149"/>
        <v>1921.6666666666667</v>
      </c>
    </row>
    <row r="3204" spans="1:23" x14ac:dyDescent="0.3">
      <c r="A3204" s="13" t="str" cm="1">
        <f t="array" ref="A3204:B3204">INDEX(BenchmarkResults!$B$1:$D$35,SUMPRODUCT((T3204&gt;=BenchmarkResults!$F$3:$F$35)*(mongodb_hardware_log!T3204&lt;BenchmarkResults!$G$3:$G$35)*ROW(BenchmarkResults!$F$3:$F$35)),{1,3})</f>
        <v>q6_inactive_customers</v>
      </c>
      <c r="B3204">
        <v>3</v>
      </c>
      <c r="C3204" s="13">
        <v>1</v>
      </c>
      <c r="D3204" s="13">
        <v>0</v>
      </c>
      <c r="E3204" s="13">
        <v>179968</v>
      </c>
      <c r="F3204" s="13">
        <v>428024</v>
      </c>
      <c r="G3204" s="13">
        <v>10724</v>
      </c>
      <c r="H3204" s="13">
        <v>1938888</v>
      </c>
      <c r="I3204" s="13">
        <v>0</v>
      </c>
      <c r="J3204" s="13">
        <v>0</v>
      </c>
      <c r="K3204" s="13">
        <v>1690</v>
      </c>
      <c r="L3204" s="13">
        <v>10</v>
      </c>
      <c r="M3204" s="13">
        <v>685</v>
      </c>
      <c r="N3204" s="13">
        <v>181</v>
      </c>
      <c r="O3204" s="13">
        <v>33</v>
      </c>
      <c r="P3204" s="13">
        <v>2</v>
      </c>
      <c r="Q3204" s="13">
        <v>65</v>
      </c>
      <c r="R3204" s="13">
        <v>0</v>
      </c>
      <c r="S3204" s="13">
        <v>0</v>
      </c>
      <c r="T3204" s="23">
        <v>46247.813634259262</v>
      </c>
      <c r="U3204" s="55">
        <f t="shared" si="147"/>
        <v>1.1666666666666667</v>
      </c>
      <c r="V3204" s="55">
        <f t="shared" si="148"/>
        <v>0</v>
      </c>
      <c r="W3204" s="56">
        <f t="shared" si="149"/>
        <v>1857.1666666666667</v>
      </c>
    </row>
    <row r="3205" spans="1:23" x14ac:dyDescent="0.3">
      <c r="A3205" s="13" t="str" cm="1">
        <f t="array" ref="A3205:B3205">INDEX(BenchmarkResults!$B$1:$D$35,SUMPRODUCT((T3205&gt;=BenchmarkResults!$F$3:$F$35)*(mongodb_hardware_log!T3205&lt;BenchmarkResults!$G$3:$G$35)*ROW(BenchmarkResults!$F$3:$F$35)),{1,3})</f>
        <v>q6_inactive_customers</v>
      </c>
      <c r="B3205">
        <v>3</v>
      </c>
      <c r="C3205" s="13">
        <v>5</v>
      </c>
      <c r="D3205" s="13">
        <v>0</v>
      </c>
      <c r="E3205" s="13">
        <v>179968</v>
      </c>
      <c r="F3205" s="13">
        <v>412400</v>
      </c>
      <c r="G3205" s="13">
        <v>10732</v>
      </c>
      <c r="H3205" s="13">
        <v>1959640</v>
      </c>
      <c r="I3205" s="13">
        <v>0</v>
      </c>
      <c r="J3205" s="13">
        <v>0</v>
      </c>
      <c r="K3205" s="13">
        <v>1225</v>
      </c>
      <c r="L3205" s="13">
        <v>6</v>
      </c>
      <c r="M3205" s="13">
        <v>670</v>
      </c>
      <c r="N3205" s="13">
        <v>174</v>
      </c>
      <c r="O3205" s="13">
        <v>33</v>
      </c>
      <c r="P3205" s="13">
        <v>2</v>
      </c>
      <c r="Q3205" s="13">
        <v>64</v>
      </c>
      <c r="R3205" s="13">
        <v>0</v>
      </c>
      <c r="S3205" s="13">
        <v>1</v>
      </c>
      <c r="T3205" s="23">
        <v>46247.813738425924</v>
      </c>
      <c r="U3205" s="55">
        <f t="shared" si="147"/>
        <v>1.8333333333333333</v>
      </c>
      <c r="V3205" s="55">
        <f t="shared" si="148"/>
        <v>0</v>
      </c>
      <c r="W3205" s="56">
        <f t="shared" si="149"/>
        <v>1764</v>
      </c>
    </row>
    <row r="3206" spans="1:23" x14ac:dyDescent="0.3">
      <c r="A3206" s="13" t="str" cm="1">
        <f t="array" ref="A3206:B3206">INDEX(BenchmarkResults!$B$1:$D$35,SUMPRODUCT((T3206&gt;=BenchmarkResults!$F$3:$F$35)*(mongodb_hardware_log!T3206&lt;BenchmarkResults!$G$3:$G$35)*ROW(BenchmarkResults!$F$3:$F$35)),{1,3})</f>
        <v>q6_inactive_customers</v>
      </c>
      <c r="B3206">
        <v>3</v>
      </c>
      <c r="C3206" s="13">
        <v>1</v>
      </c>
      <c r="D3206" s="13">
        <v>0</v>
      </c>
      <c r="E3206" s="13">
        <v>179968</v>
      </c>
      <c r="F3206" s="13">
        <v>412400</v>
      </c>
      <c r="G3206" s="13">
        <v>10740</v>
      </c>
      <c r="H3206" s="13">
        <v>1963828</v>
      </c>
      <c r="I3206" s="13">
        <v>0</v>
      </c>
      <c r="J3206" s="13">
        <v>0</v>
      </c>
      <c r="K3206" s="13">
        <v>1644</v>
      </c>
      <c r="L3206" s="13">
        <v>12</v>
      </c>
      <c r="M3206" s="13">
        <v>704</v>
      </c>
      <c r="N3206" s="13">
        <v>209</v>
      </c>
      <c r="O3206" s="13">
        <v>33</v>
      </c>
      <c r="P3206" s="13">
        <v>2</v>
      </c>
      <c r="Q3206" s="13">
        <v>64</v>
      </c>
      <c r="R3206" s="13">
        <v>0</v>
      </c>
      <c r="S3206" s="13">
        <v>1</v>
      </c>
      <c r="T3206" s="23">
        <v>46247.813750000001</v>
      </c>
      <c r="U3206" s="55">
        <f t="shared" si="147"/>
        <v>1.8333333333333333</v>
      </c>
      <c r="V3206" s="55">
        <f t="shared" si="148"/>
        <v>0</v>
      </c>
      <c r="W3206" s="56">
        <f t="shared" si="149"/>
        <v>1738</v>
      </c>
    </row>
    <row r="3207" spans="1:23" x14ac:dyDescent="0.3">
      <c r="A3207" s="13" t="str" cm="1">
        <f t="array" ref="A3207:B3207">INDEX(BenchmarkResults!$B$1:$D$35,SUMPRODUCT((T3207&gt;=BenchmarkResults!$F$3:$F$35)*(mongodb_hardware_log!T3207&lt;BenchmarkResults!$G$3:$G$35)*ROW(BenchmarkResults!$F$3:$F$35)),{1,3})</f>
        <v>q6_inactive_customers</v>
      </c>
      <c r="B3207">
        <v>3</v>
      </c>
      <c r="C3207" s="13">
        <v>1</v>
      </c>
      <c r="D3207" s="13">
        <v>0</v>
      </c>
      <c r="E3207" s="13">
        <v>179968</v>
      </c>
      <c r="F3207" s="13">
        <v>401312</v>
      </c>
      <c r="G3207" s="13">
        <v>10748</v>
      </c>
      <c r="H3207" s="13">
        <v>1977384</v>
      </c>
      <c r="I3207" s="13">
        <v>0</v>
      </c>
      <c r="J3207" s="13">
        <v>0</v>
      </c>
      <c r="K3207" s="13">
        <v>1776</v>
      </c>
      <c r="L3207" s="13">
        <v>23</v>
      </c>
      <c r="M3207" s="13">
        <v>745</v>
      </c>
      <c r="N3207" s="13">
        <v>231</v>
      </c>
      <c r="O3207" s="13">
        <v>33</v>
      </c>
      <c r="P3207" s="13">
        <v>1</v>
      </c>
      <c r="Q3207" s="13">
        <v>64</v>
      </c>
      <c r="R3207" s="13">
        <v>1</v>
      </c>
      <c r="S3207" s="13">
        <v>1</v>
      </c>
      <c r="T3207" s="23">
        <v>46247.813854166663</v>
      </c>
      <c r="U3207" s="55">
        <f t="shared" si="147"/>
        <v>1.8333333333333333</v>
      </c>
      <c r="V3207" s="55">
        <f t="shared" si="148"/>
        <v>0</v>
      </c>
      <c r="W3207" s="56">
        <f t="shared" si="149"/>
        <v>1723.8333333333333</v>
      </c>
    </row>
    <row r="3208" spans="1:23" x14ac:dyDescent="0.3">
      <c r="A3208" s="13" t="str" cm="1">
        <f t="array" ref="A3208:B3208">INDEX(BenchmarkResults!$B$1:$D$35,SUMPRODUCT((T3208&gt;=BenchmarkResults!$F$3:$F$35)*(mongodb_hardware_log!T3208&lt;BenchmarkResults!$G$3:$G$35)*ROW(BenchmarkResults!$F$3:$F$35)),{1,3})</f>
        <v>q6_inactive_customers</v>
      </c>
      <c r="B3208">
        <v>3</v>
      </c>
      <c r="C3208" s="13">
        <v>1</v>
      </c>
      <c r="D3208" s="13">
        <v>0</v>
      </c>
      <c r="E3208" s="13">
        <v>179968</v>
      </c>
      <c r="F3208" s="13">
        <v>397028</v>
      </c>
      <c r="G3208" s="13">
        <v>10748</v>
      </c>
      <c r="H3208" s="13">
        <v>1981060</v>
      </c>
      <c r="I3208" s="13">
        <v>0</v>
      </c>
      <c r="J3208" s="13">
        <v>0</v>
      </c>
      <c r="K3208" s="13">
        <v>1718</v>
      </c>
      <c r="L3208" s="13">
        <v>18</v>
      </c>
      <c r="M3208" s="13">
        <v>732</v>
      </c>
      <c r="N3208" s="13">
        <v>215</v>
      </c>
      <c r="O3208" s="13">
        <v>33</v>
      </c>
      <c r="P3208" s="13">
        <v>1</v>
      </c>
      <c r="Q3208" s="13">
        <v>65</v>
      </c>
      <c r="R3208" s="13">
        <v>0</v>
      </c>
      <c r="S3208" s="13">
        <v>1</v>
      </c>
      <c r="T3208" s="23">
        <v>46247.81386574074</v>
      </c>
      <c r="U3208" s="55">
        <f t="shared" si="147"/>
        <v>1.6666666666666667</v>
      </c>
      <c r="V3208" s="55">
        <f t="shared" si="148"/>
        <v>0</v>
      </c>
      <c r="W3208" s="56">
        <f t="shared" si="149"/>
        <v>1688.8333333333333</v>
      </c>
    </row>
    <row r="3209" spans="1:23" x14ac:dyDescent="0.3">
      <c r="A3209" s="13" t="str" cm="1">
        <f t="array" ref="A3209:B3209">INDEX(BenchmarkResults!$B$1:$D$35,SUMPRODUCT((T3209&gt;=BenchmarkResults!$F$3:$F$35)*(mongodb_hardware_log!T3209&lt;BenchmarkResults!$G$3:$G$35)*ROW(BenchmarkResults!$F$3:$F$35)),{1,3})</f>
        <v>q6_inactive_customers</v>
      </c>
      <c r="B3209">
        <v>3</v>
      </c>
      <c r="C3209" s="13">
        <v>1</v>
      </c>
      <c r="D3209" s="13">
        <v>0</v>
      </c>
      <c r="E3209" s="13">
        <v>179968</v>
      </c>
      <c r="F3209" s="13">
        <v>382412</v>
      </c>
      <c r="G3209" s="13">
        <v>10756</v>
      </c>
      <c r="H3209" s="13">
        <v>1995560</v>
      </c>
      <c r="I3209" s="13">
        <v>0</v>
      </c>
      <c r="J3209" s="13">
        <v>0</v>
      </c>
      <c r="K3209" s="13">
        <v>1811</v>
      </c>
      <c r="L3209" s="13">
        <v>826</v>
      </c>
      <c r="M3209" s="13">
        <v>731</v>
      </c>
      <c r="N3209" s="13">
        <v>207</v>
      </c>
      <c r="O3209" s="13">
        <v>33</v>
      </c>
      <c r="P3209" s="13">
        <v>1</v>
      </c>
      <c r="Q3209" s="13">
        <v>64</v>
      </c>
      <c r="R3209" s="13">
        <v>2</v>
      </c>
      <c r="S3209" s="13">
        <v>1</v>
      </c>
      <c r="T3209" s="23">
        <v>46247.813969907409</v>
      </c>
      <c r="U3209" s="55">
        <f t="shared" ref="U3209:U3272" si="150">AVERAGE(C3204:C3209)</f>
        <v>1.6666666666666667</v>
      </c>
      <c r="V3209" s="55">
        <f t="shared" ref="V3209:V3272" si="151">AVERAGE(D3204:D3209)</f>
        <v>0</v>
      </c>
      <c r="W3209" s="56">
        <f t="shared" ref="W3209:W3272" si="152">AVERAGE(K3204:K3209)</f>
        <v>1644</v>
      </c>
    </row>
    <row r="3210" spans="1:23" x14ac:dyDescent="0.3">
      <c r="A3210" s="13" t="str" cm="1">
        <f t="array" ref="A3210:B3210">INDEX(BenchmarkResults!$B$1:$D$35,SUMPRODUCT((T3210&gt;=BenchmarkResults!$F$3:$F$35)*(mongodb_hardware_log!T3210&lt;BenchmarkResults!$G$3:$G$35)*ROW(BenchmarkResults!$F$3:$F$35)),{1,3})</f>
        <v>q6_inactive_customers</v>
      </c>
      <c r="B3210">
        <v>3</v>
      </c>
      <c r="C3210" s="13">
        <v>1</v>
      </c>
      <c r="D3210" s="13">
        <v>0</v>
      </c>
      <c r="E3210" s="13">
        <v>179968</v>
      </c>
      <c r="F3210" s="13">
        <v>374348</v>
      </c>
      <c r="G3210" s="13">
        <v>10768</v>
      </c>
      <c r="H3210" s="13">
        <v>1997572</v>
      </c>
      <c r="I3210" s="13">
        <v>0</v>
      </c>
      <c r="J3210" s="13">
        <v>0</v>
      </c>
      <c r="K3210" s="13">
        <v>1650</v>
      </c>
      <c r="L3210" s="13">
        <v>834</v>
      </c>
      <c r="M3210" s="13">
        <v>735</v>
      </c>
      <c r="N3210" s="13">
        <v>211</v>
      </c>
      <c r="O3210" s="13">
        <v>33</v>
      </c>
      <c r="P3210" s="13">
        <v>1</v>
      </c>
      <c r="Q3210" s="13">
        <v>64</v>
      </c>
      <c r="R3210" s="13">
        <v>2</v>
      </c>
      <c r="S3210" s="13">
        <v>1</v>
      </c>
      <c r="T3210" s="23">
        <v>46247.813981481479</v>
      </c>
      <c r="U3210" s="55">
        <f t="shared" si="150"/>
        <v>1.6666666666666667</v>
      </c>
      <c r="V3210" s="55">
        <f t="shared" si="151"/>
        <v>0</v>
      </c>
      <c r="W3210" s="56">
        <f t="shared" si="152"/>
        <v>1637.3333333333333</v>
      </c>
    </row>
    <row r="3211" spans="1:23" x14ac:dyDescent="0.3">
      <c r="A3211" s="13" t="str" cm="1">
        <f t="array" ref="A3211:B3211">INDEX(BenchmarkResults!$B$1:$D$35,SUMPRODUCT((T3211&gt;=BenchmarkResults!$F$3:$F$35)*(mongodb_hardware_log!T3211&lt;BenchmarkResults!$G$3:$G$35)*ROW(BenchmarkResults!$F$3:$F$35)),{1,3})</f>
        <v>q6_inactive_customers</v>
      </c>
      <c r="B3211">
        <v>3</v>
      </c>
      <c r="C3211" s="13">
        <v>1</v>
      </c>
      <c r="D3211" s="13">
        <v>0</v>
      </c>
      <c r="E3211" s="13">
        <v>179968</v>
      </c>
      <c r="F3211" s="13">
        <v>369056</v>
      </c>
      <c r="G3211" s="13">
        <v>10796</v>
      </c>
      <c r="H3211" s="13">
        <v>2008440</v>
      </c>
      <c r="I3211" s="13">
        <v>0</v>
      </c>
      <c r="J3211" s="13">
        <v>0</v>
      </c>
      <c r="K3211" s="13">
        <v>1296</v>
      </c>
      <c r="L3211" s="13">
        <v>774</v>
      </c>
      <c r="M3211" s="13">
        <v>722</v>
      </c>
      <c r="N3211" s="13">
        <v>211</v>
      </c>
      <c r="O3211" s="13">
        <v>33</v>
      </c>
      <c r="P3211" s="13">
        <v>1</v>
      </c>
      <c r="Q3211" s="13">
        <v>64</v>
      </c>
      <c r="R3211" s="13">
        <v>1</v>
      </c>
      <c r="S3211" s="13">
        <v>0</v>
      </c>
      <c r="T3211" s="23">
        <v>46247.814085648148</v>
      </c>
      <c r="U3211" s="55">
        <f t="shared" si="150"/>
        <v>1</v>
      </c>
      <c r="V3211" s="55">
        <f t="shared" si="151"/>
        <v>0</v>
      </c>
      <c r="W3211" s="56">
        <f t="shared" si="152"/>
        <v>1649.1666666666667</v>
      </c>
    </row>
    <row r="3212" spans="1:23" x14ac:dyDescent="0.3">
      <c r="A3212" s="13" t="str" cm="1">
        <f t="array" ref="A3212:B3212">INDEX(BenchmarkResults!$B$1:$D$35,SUMPRODUCT((T3212&gt;=BenchmarkResults!$F$3:$F$35)*(mongodb_hardware_log!T3212&lt;BenchmarkResults!$G$3:$G$35)*ROW(BenchmarkResults!$F$3:$F$35)),{1,3})</f>
        <v>q6_inactive_customers</v>
      </c>
      <c r="B3212">
        <v>3</v>
      </c>
      <c r="C3212" s="13">
        <v>1</v>
      </c>
      <c r="D3212" s="13">
        <v>0</v>
      </c>
      <c r="E3212" s="13">
        <v>179968</v>
      </c>
      <c r="F3212" s="13">
        <v>365528</v>
      </c>
      <c r="G3212" s="13">
        <v>10796</v>
      </c>
      <c r="H3212" s="13">
        <v>2010788</v>
      </c>
      <c r="I3212" s="13">
        <v>0</v>
      </c>
      <c r="J3212" s="13">
        <v>0</v>
      </c>
      <c r="K3212" s="13">
        <v>1325</v>
      </c>
      <c r="L3212" s="13">
        <v>766</v>
      </c>
      <c r="M3212" s="13">
        <v>719</v>
      </c>
      <c r="N3212" s="13">
        <v>210</v>
      </c>
      <c r="O3212" s="13">
        <v>33</v>
      </c>
      <c r="P3212" s="13">
        <v>1</v>
      </c>
      <c r="Q3212" s="13">
        <v>65</v>
      </c>
      <c r="R3212" s="13">
        <v>1</v>
      </c>
      <c r="S3212" s="13">
        <v>0</v>
      </c>
      <c r="T3212" s="23">
        <v>46247.814097222225</v>
      </c>
      <c r="U3212" s="55">
        <f t="shared" si="150"/>
        <v>1</v>
      </c>
      <c r="V3212" s="55">
        <f t="shared" si="151"/>
        <v>0</v>
      </c>
      <c r="W3212" s="56">
        <f t="shared" si="152"/>
        <v>1596</v>
      </c>
    </row>
    <row r="3213" spans="1:23" x14ac:dyDescent="0.3">
      <c r="A3213" s="13" t="str" cm="1">
        <f t="array" ref="A3213:B3213">INDEX(BenchmarkResults!$B$1:$D$35,SUMPRODUCT((T3213&gt;=BenchmarkResults!$F$3:$F$35)*(mongodb_hardware_log!T3213&lt;BenchmarkResults!$G$3:$G$35)*ROW(BenchmarkResults!$F$3:$F$35)),{1,3})</f>
        <v>q6_inactive_customers</v>
      </c>
      <c r="B3213">
        <v>3</v>
      </c>
      <c r="C3213" s="13">
        <v>1</v>
      </c>
      <c r="D3213" s="13">
        <v>0</v>
      </c>
      <c r="E3213" s="13">
        <v>179968</v>
      </c>
      <c r="F3213" s="13">
        <v>354440</v>
      </c>
      <c r="G3213" s="13">
        <v>10804</v>
      </c>
      <c r="H3213" s="13">
        <v>2021752</v>
      </c>
      <c r="I3213" s="13">
        <v>0</v>
      </c>
      <c r="J3213" s="13">
        <v>0</v>
      </c>
      <c r="K3213" s="13">
        <v>1325</v>
      </c>
      <c r="L3213" s="13">
        <v>7</v>
      </c>
      <c r="M3213" s="13">
        <v>712</v>
      </c>
      <c r="N3213" s="13">
        <v>217</v>
      </c>
      <c r="O3213" s="13">
        <v>33</v>
      </c>
      <c r="P3213" s="13">
        <v>1</v>
      </c>
      <c r="Q3213" s="13">
        <v>65</v>
      </c>
      <c r="R3213" s="13">
        <v>0</v>
      </c>
      <c r="S3213" s="13">
        <v>0</v>
      </c>
      <c r="T3213" s="23">
        <v>46247.814201388886</v>
      </c>
      <c r="U3213" s="55">
        <f t="shared" si="150"/>
        <v>1</v>
      </c>
      <c r="V3213" s="55">
        <f t="shared" si="151"/>
        <v>0</v>
      </c>
      <c r="W3213" s="56">
        <f t="shared" si="152"/>
        <v>1520.8333333333333</v>
      </c>
    </row>
    <row r="3214" spans="1:23" x14ac:dyDescent="0.3">
      <c r="A3214" s="13" t="str" cm="1">
        <f t="array" ref="A3214:B3214">INDEX(BenchmarkResults!$B$1:$D$35,SUMPRODUCT((T3214&gt;=BenchmarkResults!$F$3:$F$35)*(mongodb_hardware_log!T3214&lt;BenchmarkResults!$G$3:$G$35)*ROW(BenchmarkResults!$F$3:$F$35)),{1,3})</f>
        <v>q6_inactive_customers</v>
      </c>
      <c r="B3214">
        <v>3</v>
      </c>
      <c r="C3214" s="13">
        <v>1</v>
      </c>
      <c r="D3214" s="13">
        <v>0</v>
      </c>
      <c r="E3214" s="13">
        <v>179968</v>
      </c>
      <c r="F3214" s="13">
        <v>346376</v>
      </c>
      <c r="G3214" s="13">
        <v>10812</v>
      </c>
      <c r="H3214" s="13">
        <v>2024228</v>
      </c>
      <c r="I3214" s="13">
        <v>0</v>
      </c>
      <c r="J3214" s="13">
        <v>0</v>
      </c>
      <c r="K3214" s="13">
        <v>1348</v>
      </c>
      <c r="L3214" s="13">
        <v>12</v>
      </c>
      <c r="M3214" s="13">
        <v>715</v>
      </c>
      <c r="N3214" s="13">
        <v>220</v>
      </c>
      <c r="O3214" s="13">
        <v>33</v>
      </c>
      <c r="P3214" s="13">
        <v>1</v>
      </c>
      <c r="Q3214" s="13">
        <v>65</v>
      </c>
      <c r="R3214" s="13">
        <v>0</v>
      </c>
      <c r="S3214" s="13">
        <v>0</v>
      </c>
      <c r="T3214" s="23">
        <v>46247.814212962963</v>
      </c>
      <c r="U3214" s="55">
        <f t="shared" si="150"/>
        <v>1</v>
      </c>
      <c r="V3214" s="55">
        <f t="shared" si="151"/>
        <v>0</v>
      </c>
      <c r="W3214" s="56">
        <f t="shared" si="152"/>
        <v>1459.1666666666667</v>
      </c>
    </row>
    <row r="3215" spans="1:23" x14ac:dyDescent="0.3">
      <c r="A3215" s="13" t="str" cm="1">
        <f t="array" ref="A3215:B3215">INDEX(BenchmarkResults!$B$1:$D$35,SUMPRODUCT((T3215&gt;=BenchmarkResults!$F$3:$F$35)*(mongodb_hardware_log!T3215&lt;BenchmarkResults!$G$3:$G$35)*ROW(BenchmarkResults!$F$3:$F$35)),{1,3})</f>
        <v>q6_inactive_customers</v>
      </c>
      <c r="B3215">
        <v>3</v>
      </c>
      <c r="C3215" s="13">
        <v>1</v>
      </c>
      <c r="D3215" s="13">
        <v>0</v>
      </c>
      <c r="E3215" s="13">
        <v>179968</v>
      </c>
      <c r="F3215" s="13">
        <v>328232</v>
      </c>
      <c r="G3215" s="13">
        <v>10820</v>
      </c>
      <c r="H3215" s="13">
        <v>2048128</v>
      </c>
      <c r="I3215" s="13">
        <v>0</v>
      </c>
      <c r="J3215" s="13">
        <v>0</v>
      </c>
      <c r="K3215" s="13">
        <v>1034</v>
      </c>
      <c r="L3215" s="13">
        <v>16</v>
      </c>
      <c r="M3215" s="13">
        <v>680</v>
      </c>
      <c r="N3215" s="13">
        <v>178</v>
      </c>
      <c r="O3215" s="13">
        <v>33</v>
      </c>
      <c r="P3215" s="13">
        <v>1</v>
      </c>
      <c r="Q3215" s="13">
        <v>65</v>
      </c>
      <c r="R3215" s="13">
        <v>0</v>
      </c>
      <c r="S3215" s="13">
        <v>0</v>
      </c>
      <c r="T3215" s="23">
        <v>46247.814317129632</v>
      </c>
      <c r="U3215" s="55">
        <f t="shared" si="150"/>
        <v>1</v>
      </c>
      <c r="V3215" s="55">
        <f t="shared" si="151"/>
        <v>0</v>
      </c>
      <c r="W3215" s="56">
        <f t="shared" si="152"/>
        <v>1329.6666666666667</v>
      </c>
    </row>
    <row r="3216" spans="1:23" x14ac:dyDescent="0.3">
      <c r="A3216" s="13" t="str" cm="1">
        <f t="array" ref="A3216:B3216">INDEX(BenchmarkResults!$B$1:$D$35,SUMPRODUCT((T3216&gt;=BenchmarkResults!$F$3:$F$35)*(mongodb_hardware_log!T3216&lt;BenchmarkResults!$G$3:$G$35)*ROW(BenchmarkResults!$F$3:$F$35)),{1,3})</f>
        <v>q6_inactive_customers</v>
      </c>
      <c r="B3216">
        <v>3</v>
      </c>
      <c r="C3216" s="13">
        <v>1</v>
      </c>
      <c r="D3216" s="13">
        <v>0</v>
      </c>
      <c r="E3216" s="13">
        <v>179968</v>
      </c>
      <c r="F3216" s="13">
        <v>320168</v>
      </c>
      <c r="G3216" s="13">
        <v>10820</v>
      </c>
      <c r="H3216" s="13">
        <v>2050440</v>
      </c>
      <c r="I3216" s="13">
        <v>0</v>
      </c>
      <c r="J3216" s="13">
        <v>0</v>
      </c>
      <c r="K3216" s="13">
        <v>1009</v>
      </c>
      <c r="L3216" s="13">
        <v>12</v>
      </c>
      <c r="M3216" s="13">
        <v>677</v>
      </c>
      <c r="N3216" s="13">
        <v>176</v>
      </c>
      <c r="O3216" s="13">
        <v>33</v>
      </c>
      <c r="P3216" s="13">
        <v>2</v>
      </c>
      <c r="Q3216" s="13">
        <v>65</v>
      </c>
      <c r="R3216" s="13">
        <v>0</v>
      </c>
      <c r="S3216" s="13">
        <v>0</v>
      </c>
      <c r="T3216" s="23">
        <v>46247.814328703702</v>
      </c>
      <c r="U3216" s="55">
        <f t="shared" si="150"/>
        <v>1</v>
      </c>
      <c r="V3216" s="55">
        <f t="shared" si="151"/>
        <v>0</v>
      </c>
      <c r="W3216" s="56">
        <f t="shared" si="152"/>
        <v>1222.8333333333333</v>
      </c>
    </row>
    <row r="3217" spans="1:23" x14ac:dyDescent="0.3">
      <c r="A3217" s="13" t="str" cm="1">
        <f t="array" ref="A3217:B3217">INDEX(BenchmarkResults!$B$1:$D$35,SUMPRODUCT((T3217&gt;=BenchmarkResults!$F$3:$F$35)*(mongodb_hardware_log!T3217&lt;BenchmarkResults!$G$3:$G$35)*ROW(BenchmarkResults!$F$3:$F$35)),{1,3})</f>
        <v>q6_inactive_customers</v>
      </c>
      <c r="B3217">
        <v>3</v>
      </c>
      <c r="C3217" s="13">
        <v>1</v>
      </c>
      <c r="D3217" s="13">
        <v>0</v>
      </c>
      <c r="E3217" s="13">
        <v>179968</v>
      </c>
      <c r="F3217" s="13">
        <v>317144</v>
      </c>
      <c r="G3217" s="13">
        <v>10828</v>
      </c>
      <c r="H3217" s="13">
        <v>2059776</v>
      </c>
      <c r="I3217" s="13">
        <v>0</v>
      </c>
      <c r="J3217" s="13">
        <v>0</v>
      </c>
      <c r="K3217" s="13">
        <v>1171</v>
      </c>
      <c r="L3217" s="13">
        <v>1578</v>
      </c>
      <c r="M3217" s="13">
        <v>717</v>
      </c>
      <c r="N3217" s="13">
        <v>213</v>
      </c>
      <c r="O3217" s="13">
        <v>33</v>
      </c>
      <c r="P3217" s="13">
        <v>1</v>
      </c>
      <c r="Q3217" s="13">
        <v>63</v>
      </c>
      <c r="R3217" s="13">
        <v>2</v>
      </c>
      <c r="S3217" s="13">
        <v>0</v>
      </c>
      <c r="T3217" s="23">
        <v>46247.814432870371</v>
      </c>
      <c r="U3217" s="55">
        <f t="shared" si="150"/>
        <v>1</v>
      </c>
      <c r="V3217" s="55">
        <f t="shared" si="151"/>
        <v>0</v>
      </c>
      <c r="W3217" s="56">
        <f t="shared" si="152"/>
        <v>1202</v>
      </c>
    </row>
    <row r="3218" spans="1:23" x14ac:dyDescent="0.3">
      <c r="A3218" s="13" t="str" cm="1">
        <f t="array" ref="A3218:B3218">INDEX(BenchmarkResults!$B$1:$D$35,SUMPRODUCT((T3218&gt;=BenchmarkResults!$F$3:$F$35)*(mongodb_hardware_log!T3218&lt;BenchmarkResults!$G$3:$G$35)*ROW(BenchmarkResults!$F$3:$F$35)),{1,3})</f>
        <v>q6_inactive_customers</v>
      </c>
      <c r="B3218">
        <v>3</v>
      </c>
      <c r="C3218" s="13">
        <v>1</v>
      </c>
      <c r="D3218" s="13">
        <v>0</v>
      </c>
      <c r="E3218" s="13">
        <v>179968</v>
      </c>
      <c r="F3218" s="13">
        <v>313616</v>
      </c>
      <c r="G3218" s="13">
        <v>10840</v>
      </c>
      <c r="H3218" s="13">
        <v>2062836</v>
      </c>
      <c r="I3218" s="13">
        <v>0</v>
      </c>
      <c r="J3218" s="13">
        <v>0</v>
      </c>
      <c r="K3218" s="13">
        <v>1244</v>
      </c>
      <c r="L3218" s="13">
        <v>1584</v>
      </c>
      <c r="M3218" s="13">
        <v>720</v>
      </c>
      <c r="N3218" s="13">
        <v>215</v>
      </c>
      <c r="O3218" s="13">
        <v>33</v>
      </c>
      <c r="P3218" s="13">
        <v>1</v>
      </c>
      <c r="Q3218" s="13">
        <v>63</v>
      </c>
      <c r="R3218" s="13">
        <v>2</v>
      </c>
      <c r="S3218" s="13">
        <v>0</v>
      </c>
      <c r="T3218" s="23">
        <v>46247.814444444448</v>
      </c>
      <c r="U3218" s="55">
        <f t="shared" si="150"/>
        <v>1</v>
      </c>
      <c r="V3218" s="55">
        <f t="shared" si="151"/>
        <v>0</v>
      </c>
      <c r="W3218" s="56">
        <f t="shared" si="152"/>
        <v>1188.5</v>
      </c>
    </row>
    <row r="3219" spans="1:23" x14ac:dyDescent="0.3">
      <c r="A3219" s="13" t="str" cm="1">
        <f t="array" ref="A3219:B3219">INDEX(BenchmarkResults!$B$1:$D$35,SUMPRODUCT((T3219&gt;=BenchmarkResults!$F$3:$F$35)*(mongodb_hardware_log!T3219&lt;BenchmarkResults!$G$3:$G$35)*ROW(BenchmarkResults!$F$3:$F$35)),{1,3})</f>
        <v>q6_inactive_customers</v>
      </c>
      <c r="B3219">
        <v>3</v>
      </c>
      <c r="C3219" s="13">
        <v>1</v>
      </c>
      <c r="D3219" s="13">
        <v>0</v>
      </c>
      <c r="E3219" s="13">
        <v>179968</v>
      </c>
      <c r="F3219" s="13">
        <v>307232</v>
      </c>
      <c r="G3219" s="13">
        <v>10848</v>
      </c>
      <c r="H3219" s="13">
        <v>2075020</v>
      </c>
      <c r="I3219" s="13">
        <v>0</v>
      </c>
      <c r="J3219" s="13">
        <v>0</v>
      </c>
      <c r="K3219" s="13">
        <v>1518</v>
      </c>
      <c r="L3219" s="13">
        <v>19</v>
      </c>
      <c r="M3219" s="13">
        <v>744</v>
      </c>
      <c r="N3219" s="13">
        <v>232</v>
      </c>
      <c r="O3219" s="13">
        <v>34</v>
      </c>
      <c r="P3219" s="13">
        <v>2</v>
      </c>
      <c r="Q3219" s="13">
        <v>64</v>
      </c>
      <c r="R3219" s="13">
        <v>0</v>
      </c>
      <c r="S3219" s="13">
        <v>0</v>
      </c>
      <c r="T3219" s="23">
        <v>46247.81454861111</v>
      </c>
      <c r="U3219" s="55">
        <f t="shared" si="150"/>
        <v>1</v>
      </c>
      <c r="V3219" s="55">
        <f t="shared" si="151"/>
        <v>0</v>
      </c>
      <c r="W3219" s="56">
        <f t="shared" si="152"/>
        <v>1220.6666666666667</v>
      </c>
    </row>
    <row r="3220" spans="1:23" x14ac:dyDescent="0.3">
      <c r="A3220" s="13" t="str" cm="1">
        <f t="array" ref="A3220:B3220">INDEX(BenchmarkResults!$B$1:$D$35,SUMPRODUCT((T3220&gt;=BenchmarkResults!$F$3:$F$35)*(mongodb_hardware_log!T3220&lt;BenchmarkResults!$G$3:$G$35)*ROW(BenchmarkResults!$F$3:$F$35)),{1,3})</f>
        <v>q6_inactive_customers</v>
      </c>
      <c r="B3220">
        <v>3</v>
      </c>
      <c r="C3220" s="13">
        <v>1</v>
      </c>
      <c r="D3220" s="13">
        <v>0</v>
      </c>
      <c r="E3220" s="13">
        <v>179968</v>
      </c>
      <c r="F3220" s="13">
        <v>307232</v>
      </c>
      <c r="G3220" s="13">
        <v>10848</v>
      </c>
      <c r="H3220" s="13">
        <v>2076088</v>
      </c>
      <c r="I3220" s="13">
        <v>0</v>
      </c>
      <c r="J3220" s="13">
        <v>0</v>
      </c>
      <c r="K3220" s="13">
        <v>1324</v>
      </c>
      <c r="L3220" s="13">
        <v>12</v>
      </c>
      <c r="M3220" s="13">
        <v>738</v>
      </c>
      <c r="N3220" s="13">
        <v>229</v>
      </c>
      <c r="O3220" s="13">
        <v>34</v>
      </c>
      <c r="P3220" s="13">
        <v>1</v>
      </c>
      <c r="Q3220" s="13">
        <v>64</v>
      </c>
      <c r="R3220" s="13">
        <v>0</v>
      </c>
      <c r="S3220" s="13">
        <v>0</v>
      </c>
      <c r="T3220" s="23">
        <v>46247.814560185187</v>
      </c>
      <c r="U3220" s="55">
        <f t="shared" si="150"/>
        <v>1</v>
      </c>
      <c r="V3220" s="55">
        <f t="shared" si="151"/>
        <v>0</v>
      </c>
      <c r="W3220" s="56">
        <f t="shared" si="152"/>
        <v>1216.6666666666667</v>
      </c>
    </row>
    <row r="3221" spans="1:23" x14ac:dyDescent="0.3">
      <c r="A3221" s="13" t="str" cm="1">
        <f t="array" ref="A3221:B3221">INDEX(BenchmarkResults!$B$1:$D$35,SUMPRODUCT((T3221&gt;=BenchmarkResults!$F$3:$F$35)*(mongodb_hardware_log!T3221&lt;BenchmarkResults!$G$3:$G$35)*ROW(BenchmarkResults!$F$3:$F$35)),{1,3})</f>
        <v>q6_inactive_customers</v>
      </c>
      <c r="B3221">
        <v>3</v>
      </c>
      <c r="C3221" s="13">
        <v>1</v>
      </c>
      <c r="D3221" s="13">
        <v>0</v>
      </c>
      <c r="E3221" s="13">
        <v>179968</v>
      </c>
      <c r="F3221" s="13">
        <v>298188</v>
      </c>
      <c r="G3221" s="13">
        <v>10864</v>
      </c>
      <c r="H3221" s="13">
        <v>2087256</v>
      </c>
      <c r="I3221" s="13">
        <v>0</v>
      </c>
      <c r="J3221" s="13">
        <v>0</v>
      </c>
      <c r="K3221" s="13">
        <v>1223</v>
      </c>
      <c r="L3221" s="13">
        <v>13</v>
      </c>
      <c r="M3221" s="13">
        <v>804</v>
      </c>
      <c r="N3221" s="13">
        <v>296</v>
      </c>
      <c r="O3221" s="13">
        <v>33</v>
      </c>
      <c r="P3221" s="13">
        <v>1</v>
      </c>
      <c r="Q3221" s="13">
        <v>65</v>
      </c>
      <c r="R3221" s="13">
        <v>0</v>
      </c>
      <c r="S3221" s="13">
        <v>0</v>
      </c>
      <c r="T3221" s="23">
        <v>46247.814664351848</v>
      </c>
      <c r="U3221" s="55">
        <f t="shared" si="150"/>
        <v>1</v>
      </c>
      <c r="V3221" s="55">
        <f t="shared" si="151"/>
        <v>0</v>
      </c>
      <c r="W3221" s="56">
        <f t="shared" si="152"/>
        <v>1248.1666666666667</v>
      </c>
    </row>
    <row r="3222" spans="1:23" x14ac:dyDescent="0.3">
      <c r="A3222" s="13" t="str" cm="1">
        <f t="array" ref="A3222:B3222">INDEX(BenchmarkResults!$B$1:$D$35,SUMPRODUCT((T3222&gt;=BenchmarkResults!$F$3:$F$35)*(mongodb_hardware_log!T3222&lt;BenchmarkResults!$G$3:$G$35)*ROW(BenchmarkResults!$F$3:$F$35)),{1,3})</f>
        <v>q6_inactive_customers</v>
      </c>
      <c r="B3222">
        <v>3</v>
      </c>
      <c r="C3222" s="13">
        <v>1</v>
      </c>
      <c r="D3222" s="13">
        <v>0</v>
      </c>
      <c r="E3222" s="13">
        <v>179968</v>
      </c>
      <c r="F3222" s="13">
        <v>295164</v>
      </c>
      <c r="G3222" s="13">
        <v>10864</v>
      </c>
      <c r="H3222" s="13">
        <v>2090676</v>
      </c>
      <c r="I3222" s="13">
        <v>0</v>
      </c>
      <c r="J3222" s="13">
        <v>0</v>
      </c>
      <c r="K3222" s="13">
        <v>1462</v>
      </c>
      <c r="L3222" s="13">
        <v>13</v>
      </c>
      <c r="M3222" s="13">
        <v>811</v>
      </c>
      <c r="N3222" s="13">
        <v>296</v>
      </c>
      <c r="O3222" s="13">
        <v>33</v>
      </c>
      <c r="P3222" s="13">
        <v>1</v>
      </c>
      <c r="Q3222" s="13">
        <v>65</v>
      </c>
      <c r="R3222" s="13">
        <v>0</v>
      </c>
      <c r="S3222" s="13">
        <v>0</v>
      </c>
      <c r="T3222" s="23">
        <v>46247.814675925925</v>
      </c>
      <c r="U3222" s="55">
        <f t="shared" si="150"/>
        <v>1</v>
      </c>
      <c r="V3222" s="55">
        <f t="shared" si="151"/>
        <v>0</v>
      </c>
      <c r="W3222" s="56">
        <f t="shared" si="152"/>
        <v>1323.6666666666667</v>
      </c>
    </row>
    <row r="3223" spans="1:23" x14ac:dyDescent="0.3">
      <c r="A3223" s="13" t="str" cm="1">
        <f t="array" ref="A3223:B3223">INDEX(BenchmarkResults!$B$1:$D$35,SUMPRODUCT((T3223&gt;=BenchmarkResults!$F$3:$F$35)*(mongodb_hardware_log!T3223&lt;BenchmarkResults!$G$3:$G$35)*ROW(BenchmarkResults!$F$3:$F$35)),{1,3})</f>
        <v>q6_inactive_customers</v>
      </c>
      <c r="B3223">
        <v>3</v>
      </c>
      <c r="C3223" s="13">
        <v>1</v>
      </c>
      <c r="D3223" s="13">
        <v>0</v>
      </c>
      <c r="E3223" s="13">
        <v>179968</v>
      </c>
      <c r="F3223" s="13">
        <v>283572</v>
      </c>
      <c r="G3223" s="13">
        <v>10888</v>
      </c>
      <c r="H3223" s="13">
        <v>2102304</v>
      </c>
      <c r="I3223" s="13">
        <v>0</v>
      </c>
      <c r="J3223" s="13">
        <v>0</v>
      </c>
      <c r="K3223" s="13">
        <v>1508</v>
      </c>
      <c r="L3223" s="13">
        <v>23</v>
      </c>
      <c r="M3223" s="13">
        <v>738</v>
      </c>
      <c r="N3223" s="13">
        <v>221</v>
      </c>
      <c r="O3223" s="13">
        <v>33</v>
      </c>
      <c r="P3223" s="13">
        <v>1</v>
      </c>
      <c r="Q3223" s="13">
        <v>65</v>
      </c>
      <c r="R3223" s="13">
        <v>1</v>
      </c>
      <c r="S3223" s="13">
        <v>0</v>
      </c>
      <c r="T3223" s="23">
        <v>46247.814780092594</v>
      </c>
      <c r="U3223" s="55">
        <f t="shared" si="150"/>
        <v>1</v>
      </c>
      <c r="V3223" s="55">
        <f t="shared" si="151"/>
        <v>0</v>
      </c>
      <c r="W3223" s="56">
        <f t="shared" si="152"/>
        <v>1379.8333333333333</v>
      </c>
    </row>
    <row r="3224" spans="1:23" x14ac:dyDescent="0.3">
      <c r="A3224" s="13" t="str" cm="1">
        <f t="array" ref="A3224:B3224">INDEX(BenchmarkResults!$B$1:$D$35,SUMPRODUCT((T3224&gt;=BenchmarkResults!$F$3:$F$35)*(mongodb_hardware_log!T3224&lt;BenchmarkResults!$G$3:$G$35)*ROW(BenchmarkResults!$F$3:$F$35)),{1,3})</f>
        <v>q6_inactive_customers</v>
      </c>
      <c r="B3224">
        <v>3</v>
      </c>
      <c r="C3224" s="13">
        <v>1</v>
      </c>
      <c r="D3224" s="13">
        <v>0</v>
      </c>
      <c r="E3224" s="13">
        <v>179968</v>
      </c>
      <c r="F3224" s="13">
        <v>271728</v>
      </c>
      <c r="G3224" s="13">
        <v>10888</v>
      </c>
      <c r="H3224" s="13">
        <v>2105004</v>
      </c>
      <c r="I3224" s="13">
        <v>0</v>
      </c>
      <c r="J3224" s="13">
        <v>0</v>
      </c>
      <c r="K3224" s="13">
        <v>1429</v>
      </c>
      <c r="L3224" s="13">
        <v>31</v>
      </c>
      <c r="M3224" s="13">
        <v>741</v>
      </c>
      <c r="N3224" s="13">
        <v>228</v>
      </c>
      <c r="O3224" s="13">
        <v>33</v>
      </c>
      <c r="P3224" s="13">
        <v>1</v>
      </c>
      <c r="Q3224" s="13">
        <v>65</v>
      </c>
      <c r="R3224" s="13">
        <v>1</v>
      </c>
      <c r="S3224" s="13">
        <v>0</v>
      </c>
      <c r="T3224" s="23">
        <v>46247.814791666664</v>
      </c>
      <c r="U3224" s="55">
        <f t="shared" si="150"/>
        <v>1</v>
      </c>
      <c r="V3224" s="55">
        <f t="shared" si="151"/>
        <v>0</v>
      </c>
      <c r="W3224" s="56">
        <f t="shared" si="152"/>
        <v>1410.6666666666667</v>
      </c>
    </row>
    <row r="3225" spans="1:23" x14ac:dyDescent="0.3">
      <c r="A3225" s="13" t="str" cm="1">
        <f t="array" ref="A3225:B3225">INDEX(BenchmarkResults!$B$1:$D$35,SUMPRODUCT((T3225&gt;=BenchmarkResults!$F$3:$F$35)*(mongodb_hardware_log!T3225&lt;BenchmarkResults!$G$3:$G$35)*ROW(BenchmarkResults!$F$3:$F$35)),{1,3})</f>
        <v>q6_inactive_customers</v>
      </c>
      <c r="B3225">
        <v>3</v>
      </c>
      <c r="C3225" s="13">
        <v>1</v>
      </c>
      <c r="D3225" s="13">
        <v>0</v>
      </c>
      <c r="E3225" s="13">
        <v>179968</v>
      </c>
      <c r="F3225" s="13">
        <v>252576</v>
      </c>
      <c r="G3225" s="13">
        <v>10896</v>
      </c>
      <c r="H3225" s="13">
        <v>2118164</v>
      </c>
      <c r="I3225" s="13">
        <v>0</v>
      </c>
      <c r="J3225" s="13">
        <v>0</v>
      </c>
      <c r="K3225" s="13">
        <v>1103</v>
      </c>
      <c r="L3225" s="13">
        <v>27</v>
      </c>
      <c r="M3225" s="13">
        <v>709</v>
      </c>
      <c r="N3225" s="13">
        <v>202</v>
      </c>
      <c r="O3225" s="13">
        <v>33</v>
      </c>
      <c r="P3225" s="13">
        <v>1</v>
      </c>
      <c r="Q3225" s="13">
        <v>65</v>
      </c>
      <c r="R3225" s="13">
        <v>0</v>
      </c>
      <c r="S3225" s="13">
        <v>0</v>
      </c>
      <c r="T3225" s="23">
        <v>46247.814895833333</v>
      </c>
      <c r="U3225" s="55">
        <f t="shared" si="150"/>
        <v>1</v>
      </c>
      <c r="V3225" s="55">
        <f t="shared" si="151"/>
        <v>0</v>
      </c>
      <c r="W3225" s="56">
        <f t="shared" si="152"/>
        <v>1341.5</v>
      </c>
    </row>
    <row r="3226" spans="1:23" x14ac:dyDescent="0.3">
      <c r="A3226" s="13" t="str" cm="1">
        <f t="array" ref="A3226:B3226">INDEX(BenchmarkResults!$B$1:$D$35,SUMPRODUCT((T3226&gt;=BenchmarkResults!$F$3:$F$35)*(mongodb_hardware_log!T3226&lt;BenchmarkResults!$G$3:$G$35)*ROW(BenchmarkResults!$F$3:$F$35)),{1,3})</f>
        <v>q6_inactive_customers</v>
      </c>
      <c r="B3226">
        <v>3</v>
      </c>
      <c r="C3226" s="13">
        <v>1</v>
      </c>
      <c r="D3226" s="13">
        <v>0</v>
      </c>
      <c r="E3226" s="13">
        <v>179968</v>
      </c>
      <c r="F3226" s="13">
        <v>244512</v>
      </c>
      <c r="G3226" s="13">
        <v>10904</v>
      </c>
      <c r="H3226" s="13">
        <v>2129400</v>
      </c>
      <c r="I3226" s="13">
        <v>0</v>
      </c>
      <c r="J3226" s="13">
        <v>0</v>
      </c>
      <c r="K3226" s="13">
        <v>841</v>
      </c>
      <c r="L3226" s="13">
        <v>26</v>
      </c>
      <c r="M3226" s="13">
        <v>685</v>
      </c>
      <c r="N3226" s="13">
        <v>184</v>
      </c>
      <c r="O3226" s="13">
        <v>33</v>
      </c>
      <c r="P3226" s="13">
        <v>2</v>
      </c>
      <c r="Q3226" s="13">
        <v>65</v>
      </c>
      <c r="R3226" s="13">
        <v>0</v>
      </c>
      <c r="S3226" s="13">
        <v>0</v>
      </c>
      <c r="T3226" s="23">
        <v>46247.81490740741</v>
      </c>
      <c r="U3226" s="55">
        <f t="shared" si="150"/>
        <v>1</v>
      </c>
      <c r="V3226" s="55">
        <f t="shared" si="151"/>
        <v>0</v>
      </c>
      <c r="W3226" s="56">
        <f t="shared" si="152"/>
        <v>1261</v>
      </c>
    </row>
    <row r="3227" spans="1:23" x14ac:dyDescent="0.3">
      <c r="A3227" s="13" t="str" cm="1">
        <f t="array" ref="A3227:B3227">INDEX(BenchmarkResults!$B$1:$D$35,SUMPRODUCT((T3227&gt;=BenchmarkResults!$F$3:$F$35)*(mongodb_hardware_log!T3227&lt;BenchmarkResults!$G$3:$G$35)*ROW(BenchmarkResults!$F$3:$F$35)),{1,3})</f>
        <v>q6_inactive_customers</v>
      </c>
      <c r="B3227">
        <v>3</v>
      </c>
      <c r="C3227" s="13">
        <v>2</v>
      </c>
      <c r="D3227" s="13">
        <v>0</v>
      </c>
      <c r="E3227" s="13">
        <v>179968</v>
      </c>
      <c r="F3227" s="13">
        <v>236700</v>
      </c>
      <c r="G3227" s="13">
        <v>10912</v>
      </c>
      <c r="H3227" s="13">
        <v>2138872</v>
      </c>
      <c r="I3227" s="13">
        <v>0</v>
      </c>
      <c r="J3227" s="13">
        <v>0</v>
      </c>
      <c r="K3227" s="13">
        <v>962</v>
      </c>
      <c r="L3227" s="13">
        <v>18</v>
      </c>
      <c r="M3227" s="13">
        <v>698</v>
      </c>
      <c r="N3227" s="13">
        <v>200</v>
      </c>
      <c r="O3227" s="13">
        <v>33</v>
      </c>
      <c r="P3227" s="13">
        <v>1</v>
      </c>
      <c r="Q3227" s="13">
        <v>65</v>
      </c>
      <c r="R3227" s="13">
        <v>0</v>
      </c>
      <c r="S3227" s="13">
        <v>0</v>
      </c>
      <c r="T3227" s="23">
        <v>46247.815011574072</v>
      </c>
      <c r="U3227" s="55">
        <f t="shared" si="150"/>
        <v>1.1666666666666667</v>
      </c>
      <c r="V3227" s="55">
        <f t="shared" si="151"/>
        <v>0</v>
      </c>
      <c r="W3227" s="56">
        <f t="shared" si="152"/>
        <v>1217.5</v>
      </c>
    </row>
    <row r="3228" spans="1:23" x14ac:dyDescent="0.3">
      <c r="A3228" s="13" t="str" cm="1">
        <f t="array" ref="A3228:B3228">INDEX(BenchmarkResults!$B$1:$D$35,SUMPRODUCT((T3228&gt;=BenchmarkResults!$F$3:$F$35)*(mongodb_hardware_log!T3228&lt;BenchmarkResults!$G$3:$G$35)*ROW(BenchmarkResults!$F$3:$F$35)),{1,3})</f>
        <v>q6_inactive_customers</v>
      </c>
      <c r="B3228">
        <v>3</v>
      </c>
      <c r="C3228" s="13">
        <v>1</v>
      </c>
      <c r="D3228" s="13">
        <v>0</v>
      </c>
      <c r="E3228" s="13">
        <v>179968</v>
      </c>
      <c r="F3228" s="13">
        <v>236700</v>
      </c>
      <c r="G3228" s="13">
        <v>10912</v>
      </c>
      <c r="H3228" s="13">
        <v>2141364</v>
      </c>
      <c r="I3228" s="13">
        <v>0</v>
      </c>
      <c r="J3228" s="13">
        <v>0</v>
      </c>
      <c r="K3228" s="13">
        <v>1203</v>
      </c>
      <c r="L3228" s="13">
        <v>12</v>
      </c>
      <c r="M3228" s="13">
        <v>718</v>
      </c>
      <c r="N3228" s="13">
        <v>220</v>
      </c>
      <c r="O3228" s="13">
        <v>34</v>
      </c>
      <c r="P3228" s="13">
        <v>1</v>
      </c>
      <c r="Q3228" s="13">
        <v>65</v>
      </c>
      <c r="R3228" s="13">
        <v>0</v>
      </c>
      <c r="S3228" s="13">
        <v>0</v>
      </c>
      <c r="T3228" s="23">
        <v>46247.815023148149</v>
      </c>
      <c r="U3228" s="55">
        <f t="shared" si="150"/>
        <v>1.1666666666666667</v>
      </c>
      <c r="V3228" s="55">
        <f t="shared" si="151"/>
        <v>0</v>
      </c>
      <c r="W3228" s="56">
        <f t="shared" si="152"/>
        <v>1174.3333333333333</v>
      </c>
    </row>
    <row r="3229" spans="1:23" x14ac:dyDescent="0.3">
      <c r="A3229" s="13" t="str" cm="1">
        <f t="array" ref="A3229:B3229">INDEX(BenchmarkResults!$B$1:$D$35,SUMPRODUCT((T3229&gt;=BenchmarkResults!$F$3:$F$35)*(mongodb_hardware_log!T3229&lt;BenchmarkResults!$G$3:$G$35)*ROW(BenchmarkResults!$F$3:$F$35)),{1,3})</f>
        <v>q6_inactive_customers</v>
      </c>
      <c r="B3229">
        <v>3</v>
      </c>
      <c r="C3229" s="13">
        <v>1</v>
      </c>
      <c r="D3229" s="13">
        <v>0</v>
      </c>
      <c r="E3229" s="13">
        <v>179968</v>
      </c>
      <c r="F3229" s="13">
        <v>219312</v>
      </c>
      <c r="G3229" s="13">
        <v>10920</v>
      </c>
      <c r="H3229" s="13">
        <v>2155124</v>
      </c>
      <c r="I3229" s="13">
        <v>0</v>
      </c>
      <c r="J3229" s="13">
        <v>0</v>
      </c>
      <c r="K3229" s="13">
        <v>1625</v>
      </c>
      <c r="L3229" s="13">
        <v>8</v>
      </c>
      <c r="M3229" s="13">
        <v>721</v>
      </c>
      <c r="N3229" s="13">
        <v>219</v>
      </c>
      <c r="O3229" s="13">
        <v>33</v>
      </c>
      <c r="P3229" s="13">
        <v>1</v>
      </c>
      <c r="Q3229" s="13">
        <v>65</v>
      </c>
      <c r="R3229" s="13">
        <v>0</v>
      </c>
      <c r="S3229" s="13">
        <v>0</v>
      </c>
      <c r="T3229" s="23">
        <v>46247.815127314818</v>
      </c>
      <c r="U3229" s="55">
        <f t="shared" si="150"/>
        <v>1.1666666666666667</v>
      </c>
      <c r="V3229" s="55">
        <f t="shared" si="151"/>
        <v>0</v>
      </c>
      <c r="W3229" s="56">
        <f t="shared" si="152"/>
        <v>1193.8333333333333</v>
      </c>
    </row>
    <row r="3230" spans="1:23" x14ac:dyDescent="0.3">
      <c r="A3230" s="13" t="str" cm="1">
        <f t="array" ref="A3230:B3230">INDEX(BenchmarkResults!$B$1:$D$35,SUMPRODUCT((T3230&gt;=BenchmarkResults!$F$3:$F$35)*(mongodb_hardware_log!T3230&lt;BenchmarkResults!$G$3:$G$35)*ROW(BenchmarkResults!$F$3:$F$35)),{1,3})</f>
        <v>q6_inactive_customers</v>
      </c>
      <c r="B3230">
        <v>3</v>
      </c>
      <c r="C3230" s="13">
        <v>1</v>
      </c>
      <c r="D3230" s="13">
        <v>0</v>
      </c>
      <c r="E3230" s="13">
        <v>179968</v>
      </c>
      <c r="F3230" s="13">
        <v>219312</v>
      </c>
      <c r="G3230" s="13">
        <v>10928</v>
      </c>
      <c r="H3230" s="13">
        <v>2156352</v>
      </c>
      <c r="I3230" s="13">
        <v>0</v>
      </c>
      <c r="J3230" s="13">
        <v>0</v>
      </c>
      <c r="K3230" s="13">
        <v>1496</v>
      </c>
      <c r="L3230" s="13">
        <v>13</v>
      </c>
      <c r="M3230" s="13">
        <v>715</v>
      </c>
      <c r="N3230" s="13">
        <v>209</v>
      </c>
      <c r="O3230" s="13">
        <v>33</v>
      </c>
      <c r="P3230" s="13">
        <v>1</v>
      </c>
      <c r="Q3230" s="13">
        <v>65</v>
      </c>
      <c r="R3230" s="13">
        <v>0</v>
      </c>
      <c r="S3230" s="13">
        <v>0</v>
      </c>
      <c r="T3230" s="23">
        <v>46247.815138888887</v>
      </c>
      <c r="U3230" s="55">
        <f t="shared" si="150"/>
        <v>1.1666666666666667</v>
      </c>
      <c r="V3230" s="55">
        <f t="shared" si="151"/>
        <v>0</v>
      </c>
      <c r="W3230" s="56">
        <f t="shared" si="152"/>
        <v>1205</v>
      </c>
    </row>
    <row r="3231" spans="1:23" x14ac:dyDescent="0.3">
      <c r="A3231" s="13" t="str" cm="1">
        <f t="array" ref="A3231:B3231">INDEX(BenchmarkResults!$B$1:$D$35,SUMPRODUCT((T3231&gt;=BenchmarkResults!$F$3:$F$35)*(mongodb_hardware_log!T3231&lt;BenchmarkResults!$G$3:$G$35)*ROW(BenchmarkResults!$F$3:$F$35)),{1,3})</f>
        <v>q6_inactive_customers</v>
      </c>
      <c r="B3231">
        <v>3</v>
      </c>
      <c r="C3231" s="13">
        <v>1</v>
      </c>
      <c r="D3231" s="13">
        <v>0</v>
      </c>
      <c r="E3231" s="13">
        <v>179968</v>
      </c>
      <c r="F3231" s="13">
        <v>211500</v>
      </c>
      <c r="G3231" s="13">
        <v>10936</v>
      </c>
      <c r="H3231" s="13">
        <v>2167276</v>
      </c>
      <c r="I3231" s="13">
        <v>0</v>
      </c>
      <c r="J3231" s="13">
        <v>0</v>
      </c>
      <c r="K3231" s="13">
        <v>1206</v>
      </c>
      <c r="L3231" s="13">
        <v>19</v>
      </c>
      <c r="M3231" s="13">
        <v>727</v>
      </c>
      <c r="N3231" s="13">
        <v>214</v>
      </c>
      <c r="O3231" s="13">
        <v>33</v>
      </c>
      <c r="P3231" s="13">
        <v>1</v>
      </c>
      <c r="Q3231" s="13">
        <v>65</v>
      </c>
      <c r="R3231" s="13">
        <v>0</v>
      </c>
      <c r="S3231" s="13">
        <v>0</v>
      </c>
      <c r="T3231" s="23">
        <v>46247.815243055556</v>
      </c>
      <c r="U3231" s="55">
        <f t="shared" si="150"/>
        <v>1.1666666666666667</v>
      </c>
      <c r="V3231" s="55">
        <f t="shared" si="151"/>
        <v>0</v>
      </c>
      <c r="W3231" s="56">
        <f t="shared" si="152"/>
        <v>1222.1666666666667</v>
      </c>
    </row>
    <row r="3232" spans="1:23" x14ac:dyDescent="0.3">
      <c r="A3232" s="13" t="str" cm="1">
        <f t="array" ref="A3232:B3232">INDEX(BenchmarkResults!$B$1:$D$35,SUMPRODUCT((T3232&gt;=BenchmarkResults!$F$3:$F$35)*(mongodb_hardware_log!T3232&lt;BenchmarkResults!$G$3:$G$35)*ROW(BenchmarkResults!$F$3:$F$35)),{1,3})</f>
        <v>q6_inactive_customers</v>
      </c>
      <c r="B3232">
        <v>3</v>
      </c>
      <c r="C3232" s="13">
        <v>2</v>
      </c>
      <c r="D3232" s="13">
        <v>0</v>
      </c>
      <c r="E3232" s="13">
        <v>179968</v>
      </c>
      <c r="F3232" s="13">
        <v>204444</v>
      </c>
      <c r="G3232" s="13">
        <v>10936</v>
      </c>
      <c r="H3232" s="13">
        <v>2171384</v>
      </c>
      <c r="I3232" s="13">
        <v>0</v>
      </c>
      <c r="J3232" s="13">
        <v>0</v>
      </c>
      <c r="K3232" s="13">
        <v>1498</v>
      </c>
      <c r="L3232" s="13">
        <v>13</v>
      </c>
      <c r="M3232" s="13">
        <v>731</v>
      </c>
      <c r="N3232" s="13">
        <v>214</v>
      </c>
      <c r="O3232" s="13">
        <v>33</v>
      </c>
      <c r="P3232" s="13">
        <v>1</v>
      </c>
      <c r="Q3232" s="13">
        <v>65</v>
      </c>
      <c r="R3232" s="13">
        <v>0</v>
      </c>
      <c r="S3232" s="13">
        <v>0</v>
      </c>
      <c r="T3232" s="23">
        <v>46247.815254629626</v>
      </c>
      <c r="U3232" s="55">
        <f t="shared" si="150"/>
        <v>1.3333333333333333</v>
      </c>
      <c r="V3232" s="55">
        <f t="shared" si="151"/>
        <v>0</v>
      </c>
      <c r="W3232" s="56">
        <f t="shared" si="152"/>
        <v>1331.6666666666667</v>
      </c>
    </row>
    <row r="3233" spans="1:23" x14ac:dyDescent="0.3">
      <c r="A3233" s="13" t="str" cm="1">
        <f t="array" ref="A3233:B3233">INDEX(BenchmarkResults!$B$1:$D$35,SUMPRODUCT((T3233&gt;=BenchmarkResults!$F$3:$F$35)*(mongodb_hardware_log!T3233&lt;BenchmarkResults!$G$3:$G$35)*ROW(BenchmarkResults!$F$3:$F$35)),{1,3})</f>
        <v>q6_inactive_customers</v>
      </c>
      <c r="B3233">
        <v>3</v>
      </c>
      <c r="C3233" s="13">
        <v>1</v>
      </c>
      <c r="D3233" s="13">
        <v>0</v>
      </c>
      <c r="E3233" s="13">
        <v>179968</v>
      </c>
      <c r="F3233" s="13">
        <v>196380</v>
      </c>
      <c r="G3233" s="13">
        <v>10948</v>
      </c>
      <c r="H3233" s="13">
        <v>2182532</v>
      </c>
      <c r="I3233" s="13">
        <v>0</v>
      </c>
      <c r="J3233" s="13">
        <v>0</v>
      </c>
      <c r="K3233" s="13">
        <v>1531</v>
      </c>
      <c r="L3233" s="13">
        <v>1566</v>
      </c>
      <c r="M3233" s="13">
        <v>738</v>
      </c>
      <c r="N3233" s="13">
        <v>212</v>
      </c>
      <c r="O3233" s="13">
        <v>34</v>
      </c>
      <c r="P3233" s="13">
        <v>1</v>
      </c>
      <c r="Q3233" s="13">
        <v>63</v>
      </c>
      <c r="R3233" s="13">
        <v>2</v>
      </c>
      <c r="S3233" s="13">
        <v>0</v>
      </c>
      <c r="T3233" s="23">
        <v>46247.815358796295</v>
      </c>
      <c r="U3233" s="55">
        <f t="shared" si="150"/>
        <v>1.1666666666666667</v>
      </c>
      <c r="V3233" s="55">
        <f t="shared" si="151"/>
        <v>0</v>
      </c>
      <c r="W3233" s="56">
        <f t="shared" si="152"/>
        <v>1426.5</v>
      </c>
    </row>
    <row r="3234" spans="1:23" x14ac:dyDescent="0.3">
      <c r="A3234" s="13" t="str" cm="1">
        <f t="array" ref="A3234:B3234">INDEX(BenchmarkResults!$B$1:$D$35,SUMPRODUCT((T3234&gt;=BenchmarkResults!$F$3:$F$35)*(mongodb_hardware_log!T3234&lt;BenchmarkResults!$G$3:$G$35)*ROW(BenchmarkResults!$F$3:$F$35)),{1,3})</f>
        <v>q6_inactive_customers</v>
      </c>
      <c r="B3234">
        <v>3</v>
      </c>
      <c r="C3234" s="13">
        <v>2</v>
      </c>
      <c r="D3234" s="13">
        <v>0</v>
      </c>
      <c r="E3234" s="13">
        <v>179968</v>
      </c>
      <c r="F3234" s="13">
        <v>194868</v>
      </c>
      <c r="G3234" s="13">
        <v>10948</v>
      </c>
      <c r="H3234" s="13">
        <v>2185260</v>
      </c>
      <c r="I3234" s="13">
        <v>0</v>
      </c>
      <c r="J3234" s="13">
        <v>0</v>
      </c>
      <c r="K3234" s="13">
        <v>1387</v>
      </c>
      <c r="L3234" s="13">
        <v>1566</v>
      </c>
      <c r="M3234" s="13">
        <v>741</v>
      </c>
      <c r="N3234" s="13">
        <v>215</v>
      </c>
      <c r="O3234" s="13">
        <v>34</v>
      </c>
      <c r="P3234" s="13">
        <v>1</v>
      </c>
      <c r="Q3234" s="13">
        <v>63</v>
      </c>
      <c r="R3234" s="13">
        <v>2</v>
      </c>
      <c r="S3234" s="13">
        <v>0</v>
      </c>
      <c r="T3234" s="23">
        <v>46247.815370370372</v>
      </c>
      <c r="U3234" s="55">
        <f t="shared" si="150"/>
        <v>1.3333333333333333</v>
      </c>
      <c r="V3234" s="55">
        <f t="shared" si="151"/>
        <v>0</v>
      </c>
      <c r="W3234" s="56">
        <f t="shared" si="152"/>
        <v>1457.1666666666667</v>
      </c>
    </row>
    <row r="3235" spans="1:23" x14ac:dyDescent="0.3">
      <c r="A3235" s="13" t="str" cm="1">
        <f t="array" ref="A3235:B3235">INDEX(BenchmarkResults!$B$1:$D$35,SUMPRODUCT((T3235&gt;=BenchmarkResults!$F$3:$F$35)*(mongodb_hardware_log!T3235&lt;BenchmarkResults!$G$3:$G$35)*ROW(BenchmarkResults!$F$3:$F$35)),{1,3})</f>
        <v>q6_inactive_customers</v>
      </c>
      <c r="B3235">
        <v>3</v>
      </c>
      <c r="C3235" s="13">
        <v>1</v>
      </c>
      <c r="D3235" s="13">
        <v>0</v>
      </c>
      <c r="E3235" s="13">
        <v>179968</v>
      </c>
      <c r="F3235" s="13">
        <v>180756</v>
      </c>
      <c r="G3235" s="13">
        <v>10980</v>
      </c>
      <c r="H3235" s="13">
        <v>2198720</v>
      </c>
      <c r="I3235" s="13">
        <v>0</v>
      </c>
      <c r="J3235" s="13">
        <v>0</v>
      </c>
      <c r="K3235" s="13">
        <v>1610</v>
      </c>
      <c r="L3235" s="13">
        <v>23</v>
      </c>
      <c r="M3235" s="13">
        <v>742</v>
      </c>
      <c r="N3235" s="13">
        <v>233</v>
      </c>
      <c r="O3235" s="13">
        <v>34</v>
      </c>
      <c r="P3235" s="13">
        <v>1</v>
      </c>
      <c r="Q3235" s="13">
        <v>65</v>
      </c>
      <c r="R3235" s="13">
        <v>1</v>
      </c>
      <c r="S3235" s="13">
        <v>0</v>
      </c>
      <c r="T3235" s="23">
        <v>46247.815474537034</v>
      </c>
      <c r="U3235" s="55">
        <f t="shared" si="150"/>
        <v>1.3333333333333333</v>
      </c>
      <c r="V3235" s="55">
        <f t="shared" si="151"/>
        <v>0</v>
      </c>
      <c r="W3235" s="56">
        <f t="shared" si="152"/>
        <v>1454.6666666666667</v>
      </c>
    </row>
    <row r="3236" spans="1:23" x14ac:dyDescent="0.3">
      <c r="A3236" s="13" t="str" cm="1">
        <f t="array" ref="A3236:B3236">INDEX(BenchmarkResults!$B$1:$D$35,SUMPRODUCT((T3236&gt;=BenchmarkResults!$F$3:$F$35)*(mongodb_hardware_log!T3236&lt;BenchmarkResults!$G$3:$G$35)*ROW(BenchmarkResults!$F$3:$F$35)),{1,3})</f>
        <v>q6_inactive_customers</v>
      </c>
      <c r="B3236">
        <v>3</v>
      </c>
      <c r="C3236" s="13">
        <v>1</v>
      </c>
      <c r="D3236" s="13">
        <v>0</v>
      </c>
      <c r="E3236" s="13">
        <v>179968</v>
      </c>
      <c r="F3236" s="13">
        <v>180756</v>
      </c>
      <c r="G3236" s="13">
        <v>10980</v>
      </c>
      <c r="H3236" s="13">
        <v>2201260</v>
      </c>
      <c r="I3236" s="13">
        <v>0</v>
      </c>
      <c r="J3236" s="13">
        <v>0</v>
      </c>
      <c r="K3236" s="13">
        <v>1594</v>
      </c>
      <c r="L3236" s="13">
        <v>23</v>
      </c>
      <c r="M3236" s="13">
        <v>742</v>
      </c>
      <c r="N3236" s="13">
        <v>236</v>
      </c>
      <c r="O3236" s="13">
        <v>33</v>
      </c>
      <c r="P3236" s="13">
        <v>1</v>
      </c>
      <c r="Q3236" s="13">
        <v>65</v>
      </c>
      <c r="R3236" s="13">
        <v>0</v>
      </c>
      <c r="S3236" s="13">
        <v>0</v>
      </c>
      <c r="T3236" s="23">
        <v>46247.815486111111</v>
      </c>
      <c r="U3236" s="55">
        <f t="shared" si="150"/>
        <v>1.3333333333333333</v>
      </c>
      <c r="V3236" s="55">
        <f t="shared" si="151"/>
        <v>0</v>
      </c>
      <c r="W3236" s="56">
        <f t="shared" si="152"/>
        <v>1471</v>
      </c>
    </row>
    <row r="3237" spans="1:23" x14ac:dyDescent="0.3">
      <c r="A3237" s="13" t="str" cm="1">
        <f t="array" ref="A3237:B3237">INDEX(BenchmarkResults!$B$1:$D$35,SUMPRODUCT((T3237&gt;=BenchmarkResults!$F$3:$F$35)*(mongodb_hardware_log!T3237&lt;BenchmarkResults!$G$3:$G$35)*ROW(BenchmarkResults!$F$3:$F$35)),{1,3})</f>
        <v>q6_inactive_customers</v>
      </c>
      <c r="B3237">
        <v>3</v>
      </c>
      <c r="C3237" s="13">
        <v>1</v>
      </c>
      <c r="D3237" s="13">
        <v>0</v>
      </c>
      <c r="E3237" s="13">
        <v>179968</v>
      </c>
      <c r="F3237" s="13">
        <v>153544</v>
      </c>
      <c r="G3237" s="13">
        <v>10996</v>
      </c>
      <c r="H3237" s="13">
        <v>2226688</v>
      </c>
      <c r="I3237" s="13">
        <v>0</v>
      </c>
      <c r="J3237" s="13">
        <v>0</v>
      </c>
      <c r="K3237" s="13">
        <v>1202</v>
      </c>
      <c r="L3237" s="13">
        <v>14</v>
      </c>
      <c r="M3237" s="13">
        <v>712</v>
      </c>
      <c r="N3237" s="13">
        <v>206</v>
      </c>
      <c r="O3237" s="13">
        <v>33</v>
      </c>
      <c r="P3237" s="13">
        <v>1</v>
      </c>
      <c r="Q3237" s="13">
        <v>65</v>
      </c>
      <c r="R3237" s="13">
        <v>0</v>
      </c>
      <c r="S3237" s="13">
        <v>0</v>
      </c>
      <c r="T3237" s="23">
        <v>46247.81559027778</v>
      </c>
      <c r="U3237" s="55">
        <f t="shared" si="150"/>
        <v>1.3333333333333333</v>
      </c>
      <c r="V3237" s="55">
        <f t="shared" si="151"/>
        <v>0</v>
      </c>
      <c r="W3237" s="56">
        <f t="shared" si="152"/>
        <v>1470.3333333333333</v>
      </c>
    </row>
    <row r="3238" spans="1:23" x14ac:dyDescent="0.3">
      <c r="A3238" s="13" t="str" cm="1">
        <f t="array" ref="A3238:B3238">INDEX(BenchmarkResults!$B$1:$D$35,SUMPRODUCT((T3238&gt;=BenchmarkResults!$F$3:$F$35)*(mongodb_hardware_log!T3238&lt;BenchmarkResults!$G$3:$G$35)*ROW(BenchmarkResults!$F$3:$F$35)),{1,3})</f>
        <v>q6_inactive_customers</v>
      </c>
      <c r="B3238">
        <v>3</v>
      </c>
      <c r="C3238" s="13">
        <v>1</v>
      </c>
      <c r="D3238" s="13">
        <v>0</v>
      </c>
      <c r="E3238" s="13">
        <v>179968</v>
      </c>
      <c r="F3238" s="13">
        <v>149512</v>
      </c>
      <c r="G3238" s="13">
        <v>10996</v>
      </c>
      <c r="H3238" s="13">
        <v>2228412</v>
      </c>
      <c r="I3238" s="13">
        <v>0</v>
      </c>
      <c r="J3238" s="13">
        <v>0</v>
      </c>
      <c r="K3238" s="13">
        <v>1119</v>
      </c>
      <c r="L3238" s="13">
        <v>14</v>
      </c>
      <c r="M3238" s="13">
        <v>707</v>
      </c>
      <c r="N3238" s="13">
        <v>202</v>
      </c>
      <c r="O3238" s="13">
        <v>33</v>
      </c>
      <c r="P3238" s="13">
        <v>1</v>
      </c>
      <c r="Q3238" s="13">
        <v>65</v>
      </c>
      <c r="R3238" s="13">
        <v>0</v>
      </c>
      <c r="S3238" s="13">
        <v>0</v>
      </c>
      <c r="T3238" s="23">
        <v>46247.815601851849</v>
      </c>
      <c r="U3238" s="55">
        <f t="shared" si="150"/>
        <v>1.1666666666666667</v>
      </c>
      <c r="V3238" s="55">
        <f t="shared" si="151"/>
        <v>0</v>
      </c>
      <c r="W3238" s="56">
        <f t="shared" si="152"/>
        <v>1407.1666666666667</v>
      </c>
    </row>
    <row r="3239" spans="1:23" x14ac:dyDescent="0.3">
      <c r="A3239" s="13" t="str" cm="1">
        <f t="array" ref="A3239:B3239">INDEX(BenchmarkResults!$B$1:$D$35,SUMPRODUCT((T3239&gt;=BenchmarkResults!$F$3:$F$35)*(mongodb_hardware_log!T3239&lt;BenchmarkResults!$G$3:$G$35)*ROW(BenchmarkResults!$F$3:$F$35)),{1,3})</f>
        <v>q6_inactive_customers</v>
      </c>
      <c r="B3239">
        <v>3</v>
      </c>
      <c r="C3239" s="13">
        <v>1</v>
      </c>
      <c r="D3239" s="13">
        <v>0</v>
      </c>
      <c r="E3239" s="13">
        <v>179968</v>
      </c>
      <c r="F3239" s="13">
        <v>133636</v>
      </c>
      <c r="G3239" s="13">
        <v>11008</v>
      </c>
      <c r="H3239" s="13">
        <v>2242984</v>
      </c>
      <c r="I3239" s="13">
        <v>0</v>
      </c>
      <c r="J3239" s="13">
        <v>0</v>
      </c>
      <c r="K3239" s="13">
        <v>1632</v>
      </c>
      <c r="L3239" s="13">
        <v>1571</v>
      </c>
      <c r="M3239" s="13">
        <v>737</v>
      </c>
      <c r="N3239" s="13">
        <v>223</v>
      </c>
      <c r="O3239" s="13">
        <v>33</v>
      </c>
      <c r="P3239" s="13">
        <v>1</v>
      </c>
      <c r="Q3239" s="13">
        <v>64</v>
      </c>
      <c r="R3239" s="13">
        <v>2</v>
      </c>
      <c r="S3239" s="13">
        <v>0</v>
      </c>
      <c r="T3239" s="23">
        <v>46247.815706018519</v>
      </c>
      <c r="U3239" s="55">
        <f t="shared" si="150"/>
        <v>1.1666666666666667</v>
      </c>
      <c r="V3239" s="55">
        <f t="shared" si="151"/>
        <v>0</v>
      </c>
      <c r="W3239" s="56">
        <f t="shared" si="152"/>
        <v>1424</v>
      </c>
    </row>
    <row r="3240" spans="1:23" x14ac:dyDescent="0.3">
      <c r="A3240" s="13" t="str" cm="1">
        <f t="array" ref="A3240:B3240">INDEX(BenchmarkResults!$B$1:$D$35,SUMPRODUCT((T3240&gt;=BenchmarkResults!$F$3:$F$35)*(mongodb_hardware_log!T3240&lt;BenchmarkResults!$G$3:$G$35)*ROW(BenchmarkResults!$F$3:$F$35)),{1,3})</f>
        <v>q6_inactive_customers</v>
      </c>
      <c r="B3240">
        <v>3</v>
      </c>
      <c r="C3240" s="13">
        <v>1</v>
      </c>
      <c r="D3240" s="13">
        <v>0</v>
      </c>
      <c r="E3240" s="13">
        <v>179968</v>
      </c>
      <c r="F3240" s="13">
        <v>126580</v>
      </c>
      <c r="G3240" s="13">
        <v>11016</v>
      </c>
      <c r="H3240" s="13">
        <v>2246996</v>
      </c>
      <c r="I3240" s="13">
        <v>0</v>
      </c>
      <c r="J3240" s="13">
        <v>0</v>
      </c>
      <c r="K3240" s="13">
        <v>1864</v>
      </c>
      <c r="L3240" s="13">
        <v>1576</v>
      </c>
      <c r="M3240" s="13">
        <v>747</v>
      </c>
      <c r="N3240" s="13">
        <v>229</v>
      </c>
      <c r="O3240" s="13">
        <v>33</v>
      </c>
      <c r="P3240" s="13">
        <v>1</v>
      </c>
      <c r="Q3240" s="13">
        <v>64</v>
      </c>
      <c r="R3240" s="13">
        <v>2</v>
      </c>
      <c r="S3240" s="13">
        <v>0</v>
      </c>
      <c r="T3240" s="23">
        <v>46247.815717592595</v>
      </c>
      <c r="U3240" s="55">
        <f t="shared" si="150"/>
        <v>1</v>
      </c>
      <c r="V3240" s="55">
        <f t="shared" si="151"/>
        <v>0</v>
      </c>
      <c r="W3240" s="56">
        <f t="shared" si="152"/>
        <v>1503.5</v>
      </c>
    </row>
    <row r="3241" spans="1:23" x14ac:dyDescent="0.3">
      <c r="A3241" s="13" t="str" cm="1">
        <f t="array" ref="A3241:B3241">INDEX(BenchmarkResults!$B$1:$D$35,SUMPRODUCT((T3241&gt;=BenchmarkResults!$F$3:$F$35)*(mongodb_hardware_log!T3241&lt;BenchmarkResults!$G$3:$G$35)*ROW(BenchmarkResults!$F$3:$F$35)),{1,3})</f>
        <v>q6_inactive_customers</v>
      </c>
      <c r="B3241">
        <v>3</v>
      </c>
      <c r="C3241" s="13">
        <v>1</v>
      </c>
      <c r="D3241" s="13">
        <v>0</v>
      </c>
      <c r="E3241" s="13">
        <v>179968</v>
      </c>
      <c r="F3241" s="13">
        <v>117256</v>
      </c>
      <c r="G3241" s="13">
        <v>11024</v>
      </c>
      <c r="H3241" s="13">
        <v>2258880</v>
      </c>
      <c r="I3241" s="13">
        <v>0</v>
      </c>
      <c r="J3241" s="13">
        <v>0</v>
      </c>
      <c r="K3241" s="13">
        <v>1585</v>
      </c>
      <c r="L3241" s="13">
        <v>14</v>
      </c>
      <c r="M3241" s="13">
        <v>737</v>
      </c>
      <c r="N3241" s="13">
        <v>225</v>
      </c>
      <c r="O3241" s="13">
        <v>33</v>
      </c>
      <c r="P3241" s="13">
        <v>1</v>
      </c>
      <c r="Q3241" s="13">
        <v>65</v>
      </c>
      <c r="R3241" s="13">
        <v>0</v>
      </c>
      <c r="S3241" s="13">
        <v>0</v>
      </c>
      <c r="T3241" s="23">
        <v>46247.815821759257</v>
      </c>
      <c r="U3241" s="55">
        <f t="shared" si="150"/>
        <v>1</v>
      </c>
      <c r="V3241" s="55">
        <f t="shared" si="151"/>
        <v>0</v>
      </c>
      <c r="W3241" s="56">
        <f t="shared" si="152"/>
        <v>1499.3333333333333</v>
      </c>
    </row>
    <row r="3242" spans="1:23" x14ac:dyDescent="0.3">
      <c r="A3242" s="13" t="str" cm="1">
        <f t="array" ref="A3242:B3242">INDEX(BenchmarkResults!$B$1:$D$35,SUMPRODUCT((T3242&gt;=BenchmarkResults!$F$3:$F$35)*(mongodb_hardware_log!T3242&lt;BenchmarkResults!$G$3:$G$35)*ROW(BenchmarkResults!$F$3:$F$35)),{1,3})</f>
        <v>q6_inactive_customers</v>
      </c>
      <c r="B3242">
        <v>3</v>
      </c>
      <c r="C3242" s="13">
        <v>1</v>
      </c>
      <c r="D3242" s="13">
        <v>0</v>
      </c>
      <c r="E3242" s="13">
        <v>179968</v>
      </c>
      <c r="F3242" s="13">
        <v>115748</v>
      </c>
      <c r="G3242" s="13">
        <v>11024</v>
      </c>
      <c r="H3242" s="13">
        <v>2261516</v>
      </c>
      <c r="I3242" s="13">
        <v>0</v>
      </c>
      <c r="J3242" s="13">
        <v>0</v>
      </c>
      <c r="K3242" s="13">
        <v>1452</v>
      </c>
      <c r="L3242" s="13">
        <v>8</v>
      </c>
      <c r="M3242" s="13">
        <v>744</v>
      </c>
      <c r="N3242" s="13">
        <v>230</v>
      </c>
      <c r="O3242" s="13">
        <v>34</v>
      </c>
      <c r="P3242" s="13">
        <v>1</v>
      </c>
      <c r="Q3242" s="13">
        <v>64</v>
      </c>
      <c r="R3242" s="13">
        <v>0</v>
      </c>
      <c r="S3242" s="13">
        <v>0</v>
      </c>
      <c r="T3242" s="23">
        <v>46247.815833333334</v>
      </c>
      <c r="U3242" s="55">
        <f t="shared" si="150"/>
        <v>1</v>
      </c>
      <c r="V3242" s="55">
        <f t="shared" si="151"/>
        <v>0</v>
      </c>
      <c r="W3242" s="56">
        <f t="shared" si="152"/>
        <v>1475.6666666666667</v>
      </c>
    </row>
    <row r="3243" spans="1:23" x14ac:dyDescent="0.3">
      <c r="A3243" s="13" t="str" cm="1">
        <f t="array" ref="A3243:B3243">INDEX(BenchmarkResults!$B$1:$D$35,SUMPRODUCT((T3243&gt;=BenchmarkResults!$F$3:$F$35)*(mongodb_hardware_log!T3243&lt;BenchmarkResults!$G$3:$G$35)*ROW(BenchmarkResults!$F$3:$F$35)),{1,3})</f>
        <v>q6_inactive_customers</v>
      </c>
      <c r="B3243">
        <v>3</v>
      </c>
      <c r="C3243" s="13">
        <v>1</v>
      </c>
      <c r="D3243" s="13">
        <v>0</v>
      </c>
      <c r="E3243" s="13">
        <v>179968</v>
      </c>
      <c r="F3243" s="13">
        <v>162604</v>
      </c>
      <c r="G3243" s="13">
        <v>11032</v>
      </c>
      <c r="H3243" s="13">
        <v>2218584</v>
      </c>
      <c r="I3243" s="13">
        <v>0</v>
      </c>
      <c r="J3243" s="13">
        <v>0</v>
      </c>
      <c r="K3243" s="13">
        <v>1529</v>
      </c>
      <c r="L3243" s="13">
        <v>10</v>
      </c>
      <c r="M3243" s="13">
        <v>745</v>
      </c>
      <c r="N3243" s="13">
        <v>221</v>
      </c>
      <c r="O3243" s="13">
        <v>34</v>
      </c>
      <c r="P3243" s="13">
        <v>1</v>
      </c>
      <c r="Q3243" s="13">
        <v>64</v>
      </c>
      <c r="R3243" s="13">
        <v>0</v>
      </c>
      <c r="S3243" s="13">
        <v>0</v>
      </c>
      <c r="T3243" s="23">
        <v>46247.815937500003</v>
      </c>
      <c r="U3243" s="55">
        <f t="shared" si="150"/>
        <v>1</v>
      </c>
      <c r="V3243" s="55">
        <f t="shared" si="151"/>
        <v>0</v>
      </c>
      <c r="W3243" s="56">
        <f t="shared" si="152"/>
        <v>1530.1666666666667</v>
      </c>
    </row>
    <row r="3244" spans="1:23" x14ac:dyDescent="0.3">
      <c r="A3244" s="13" t="str" cm="1">
        <f t="array" ref="A3244:B3244">INDEX(BenchmarkResults!$B$1:$D$35,SUMPRODUCT((T3244&gt;=BenchmarkResults!$F$3:$F$35)*(mongodb_hardware_log!T3244&lt;BenchmarkResults!$G$3:$G$35)*ROW(BenchmarkResults!$F$3:$F$35)),{1,3})</f>
        <v>q6_inactive_customers</v>
      </c>
      <c r="B3244">
        <v>3</v>
      </c>
      <c r="C3244" s="13">
        <v>1</v>
      </c>
      <c r="D3244" s="13">
        <v>0</v>
      </c>
      <c r="E3244" s="13">
        <v>179968</v>
      </c>
      <c r="F3244" s="13">
        <v>158572</v>
      </c>
      <c r="G3244" s="13">
        <v>11040</v>
      </c>
      <c r="H3244" s="13">
        <v>2221840</v>
      </c>
      <c r="I3244" s="13">
        <v>0</v>
      </c>
      <c r="J3244" s="13">
        <v>0</v>
      </c>
      <c r="K3244" s="13">
        <v>1580</v>
      </c>
      <c r="L3244" s="13">
        <v>15</v>
      </c>
      <c r="M3244" s="13">
        <v>735</v>
      </c>
      <c r="N3244" s="13">
        <v>213</v>
      </c>
      <c r="O3244" s="13">
        <v>33</v>
      </c>
      <c r="P3244" s="13">
        <v>1</v>
      </c>
      <c r="Q3244" s="13">
        <v>65</v>
      </c>
      <c r="R3244" s="13">
        <v>1</v>
      </c>
      <c r="S3244" s="13">
        <v>0</v>
      </c>
      <c r="T3244" s="23">
        <v>46247.815949074073</v>
      </c>
      <c r="U3244" s="55">
        <f t="shared" si="150"/>
        <v>1</v>
      </c>
      <c r="V3244" s="55">
        <f t="shared" si="151"/>
        <v>0</v>
      </c>
      <c r="W3244" s="56">
        <f t="shared" si="152"/>
        <v>1607</v>
      </c>
    </row>
    <row r="3245" spans="1:23" x14ac:dyDescent="0.3">
      <c r="A3245" s="13" t="str" cm="1">
        <f t="array" ref="A3245:B3245">INDEX(BenchmarkResults!$B$1:$D$35,SUMPRODUCT((T3245&gt;=BenchmarkResults!$F$3:$F$35)*(mongodb_hardware_log!T3245&lt;BenchmarkResults!$G$3:$G$35)*ROW(BenchmarkResults!$F$3:$F$35)),{1,3})</f>
        <v>q6_inactive_customers</v>
      </c>
      <c r="B3245">
        <v>3</v>
      </c>
      <c r="C3245" s="13">
        <v>1</v>
      </c>
      <c r="D3245" s="13">
        <v>0</v>
      </c>
      <c r="E3245" s="13">
        <v>179968</v>
      </c>
      <c r="F3245" s="13">
        <v>146224</v>
      </c>
      <c r="G3245" s="13">
        <v>11048</v>
      </c>
      <c r="H3245" s="13">
        <v>2234416</v>
      </c>
      <c r="I3245" s="13">
        <v>0</v>
      </c>
      <c r="J3245" s="13">
        <v>0</v>
      </c>
      <c r="K3245" s="13">
        <v>1578</v>
      </c>
      <c r="L3245" s="13">
        <v>17</v>
      </c>
      <c r="M3245" s="13">
        <v>754</v>
      </c>
      <c r="N3245" s="13">
        <v>224</v>
      </c>
      <c r="O3245" s="13">
        <v>34</v>
      </c>
      <c r="P3245" s="13">
        <v>1</v>
      </c>
      <c r="Q3245" s="13">
        <v>64</v>
      </c>
      <c r="R3245" s="13">
        <v>1</v>
      </c>
      <c r="S3245" s="13">
        <v>0</v>
      </c>
      <c r="T3245" s="23">
        <v>46247.816053240742</v>
      </c>
      <c r="U3245" s="55">
        <f t="shared" si="150"/>
        <v>1</v>
      </c>
      <c r="V3245" s="55">
        <f t="shared" si="151"/>
        <v>0</v>
      </c>
      <c r="W3245" s="56">
        <f t="shared" si="152"/>
        <v>1598</v>
      </c>
    </row>
    <row r="3246" spans="1:23" x14ac:dyDescent="0.3">
      <c r="A3246" s="13" t="str" cm="1">
        <f t="array" ref="A3246:B3246">INDEX(BenchmarkResults!$B$1:$D$35,SUMPRODUCT((T3246&gt;=BenchmarkResults!$F$3:$F$35)*(mongodb_hardware_log!T3246&lt;BenchmarkResults!$G$3:$G$35)*ROW(BenchmarkResults!$F$3:$F$35)),{1,3})</f>
        <v>q6_inactive_customers</v>
      </c>
      <c r="B3246">
        <v>3</v>
      </c>
      <c r="C3246" s="13">
        <v>1</v>
      </c>
      <c r="D3246" s="13">
        <v>0</v>
      </c>
      <c r="E3246" s="13">
        <v>179968</v>
      </c>
      <c r="F3246" s="13">
        <v>142192</v>
      </c>
      <c r="G3246" s="13">
        <v>11048</v>
      </c>
      <c r="H3246" s="13">
        <v>2236444</v>
      </c>
      <c r="I3246" s="13">
        <v>0</v>
      </c>
      <c r="J3246" s="13">
        <v>0</v>
      </c>
      <c r="K3246" s="13">
        <v>1460</v>
      </c>
      <c r="L3246" s="13">
        <v>12</v>
      </c>
      <c r="M3246" s="13">
        <v>745</v>
      </c>
      <c r="N3246" s="13">
        <v>219</v>
      </c>
      <c r="O3246" s="13">
        <v>34</v>
      </c>
      <c r="P3246" s="13">
        <v>1</v>
      </c>
      <c r="Q3246" s="13">
        <v>64</v>
      </c>
      <c r="R3246" s="13">
        <v>0</v>
      </c>
      <c r="S3246" s="13">
        <v>0</v>
      </c>
      <c r="T3246" s="23">
        <v>46247.816064814811</v>
      </c>
      <c r="U3246" s="55">
        <f t="shared" si="150"/>
        <v>1</v>
      </c>
      <c r="V3246" s="55">
        <f t="shared" si="151"/>
        <v>0</v>
      </c>
      <c r="W3246" s="56">
        <f t="shared" si="152"/>
        <v>1530.6666666666667</v>
      </c>
    </row>
    <row r="3247" spans="1:23" x14ac:dyDescent="0.3">
      <c r="A3247" s="13" t="str" cm="1">
        <f t="array" ref="A3247:B3247">INDEX(BenchmarkResults!$B$1:$D$35,SUMPRODUCT((T3247&gt;=BenchmarkResults!$F$3:$F$35)*(mongodb_hardware_log!T3247&lt;BenchmarkResults!$G$3:$G$35)*ROW(BenchmarkResults!$F$3:$F$35)),{1,3})</f>
        <v>q6_inactive_customers</v>
      </c>
      <c r="B3247">
        <v>3</v>
      </c>
      <c r="C3247" s="13">
        <v>1</v>
      </c>
      <c r="D3247" s="13">
        <v>0</v>
      </c>
      <c r="E3247" s="13">
        <v>179968</v>
      </c>
      <c r="F3247" s="13">
        <v>109184</v>
      </c>
      <c r="G3247" s="13">
        <v>11080</v>
      </c>
      <c r="H3247" s="13">
        <v>2260608</v>
      </c>
      <c r="I3247" s="13">
        <v>0</v>
      </c>
      <c r="J3247" s="13">
        <v>0</v>
      </c>
      <c r="K3247" s="13">
        <v>1050</v>
      </c>
      <c r="L3247" s="13">
        <v>23</v>
      </c>
      <c r="M3247" s="13">
        <v>692</v>
      </c>
      <c r="N3247" s="13">
        <v>188</v>
      </c>
      <c r="O3247" s="13">
        <v>33</v>
      </c>
      <c r="P3247" s="13">
        <v>1</v>
      </c>
      <c r="Q3247" s="13">
        <v>65</v>
      </c>
      <c r="R3247" s="13">
        <v>0</v>
      </c>
      <c r="S3247" s="13">
        <v>0</v>
      </c>
      <c r="T3247" s="23">
        <v>46247.816168981481</v>
      </c>
      <c r="U3247" s="55">
        <f t="shared" si="150"/>
        <v>1</v>
      </c>
      <c r="V3247" s="55">
        <f t="shared" si="151"/>
        <v>0</v>
      </c>
      <c r="W3247" s="56">
        <f t="shared" si="152"/>
        <v>1441.5</v>
      </c>
    </row>
    <row r="3248" spans="1:23" x14ac:dyDescent="0.3">
      <c r="A3248" s="13" t="str" cm="1">
        <f t="array" ref="A3248:B3248">INDEX(BenchmarkResults!$B$1:$D$35,SUMPRODUCT((T3248&gt;=BenchmarkResults!$F$3:$F$35)*(mongodb_hardware_log!T3248&lt;BenchmarkResults!$G$3:$G$35)*ROW(BenchmarkResults!$F$3:$F$35)),{1,3})</f>
        <v>q6_inactive_customers</v>
      </c>
      <c r="B3248">
        <v>3</v>
      </c>
      <c r="C3248" s="13">
        <v>1</v>
      </c>
      <c r="D3248" s="13">
        <v>0</v>
      </c>
      <c r="E3248" s="13">
        <v>179968</v>
      </c>
      <c r="F3248" s="13">
        <v>109184</v>
      </c>
      <c r="G3248" s="13">
        <v>11080</v>
      </c>
      <c r="H3248" s="13">
        <v>2263292</v>
      </c>
      <c r="I3248" s="13">
        <v>0</v>
      </c>
      <c r="J3248" s="13">
        <v>0</v>
      </c>
      <c r="K3248" s="13">
        <v>1118</v>
      </c>
      <c r="L3248" s="13">
        <v>37</v>
      </c>
      <c r="M3248" s="13">
        <v>699</v>
      </c>
      <c r="N3248" s="13">
        <v>194</v>
      </c>
      <c r="O3248" s="13">
        <v>33</v>
      </c>
      <c r="P3248" s="13">
        <v>1</v>
      </c>
      <c r="Q3248" s="13">
        <v>65</v>
      </c>
      <c r="R3248" s="13">
        <v>0</v>
      </c>
      <c r="S3248" s="13">
        <v>0</v>
      </c>
      <c r="T3248" s="23">
        <v>46247.816180555557</v>
      </c>
      <c r="U3248" s="55">
        <f t="shared" si="150"/>
        <v>1</v>
      </c>
      <c r="V3248" s="55">
        <f t="shared" si="151"/>
        <v>0</v>
      </c>
      <c r="W3248" s="56">
        <f t="shared" si="152"/>
        <v>1385.8333333333333</v>
      </c>
    </row>
    <row r="3249" spans="1:23" x14ac:dyDescent="0.3">
      <c r="A3249" s="13" t="str" cm="1">
        <f t="array" ref="A3249:B3249">INDEX(BenchmarkResults!$B$1:$D$35,SUMPRODUCT((T3249&gt;=BenchmarkResults!$F$3:$F$35)*(mongodb_hardware_log!T3249&lt;BenchmarkResults!$G$3:$G$35)*ROW(BenchmarkResults!$F$3:$F$35)),{1,3})</f>
        <v>q6_inactive_customers</v>
      </c>
      <c r="B3249">
        <v>3</v>
      </c>
      <c r="C3249" s="13">
        <v>1</v>
      </c>
      <c r="D3249" s="13">
        <v>0</v>
      </c>
      <c r="E3249" s="13">
        <v>179968</v>
      </c>
      <c r="F3249" s="13">
        <v>135720</v>
      </c>
      <c r="G3249" s="13">
        <v>11088</v>
      </c>
      <c r="H3249" s="13">
        <v>2237312</v>
      </c>
      <c r="I3249" s="13">
        <v>0</v>
      </c>
      <c r="J3249" s="13">
        <v>0</v>
      </c>
      <c r="K3249" s="13">
        <v>1659</v>
      </c>
      <c r="L3249" s="13">
        <v>20</v>
      </c>
      <c r="M3249" s="13">
        <v>743</v>
      </c>
      <c r="N3249" s="13">
        <v>224</v>
      </c>
      <c r="O3249" s="13">
        <v>34</v>
      </c>
      <c r="P3249" s="13">
        <v>1</v>
      </c>
      <c r="Q3249" s="13">
        <v>64</v>
      </c>
      <c r="R3249" s="13">
        <v>1</v>
      </c>
      <c r="S3249" s="13">
        <v>0</v>
      </c>
      <c r="T3249" s="23">
        <v>46247.816284722219</v>
      </c>
      <c r="U3249" s="55">
        <f t="shared" si="150"/>
        <v>1</v>
      </c>
      <c r="V3249" s="55">
        <f t="shared" si="151"/>
        <v>0</v>
      </c>
      <c r="W3249" s="56">
        <f t="shared" si="152"/>
        <v>1407.5</v>
      </c>
    </row>
    <row r="3250" spans="1:23" x14ac:dyDescent="0.3">
      <c r="A3250" s="13" t="str" cm="1">
        <f t="array" ref="A3250:B3250">INDEX(BenchmarkResults!$B$1:$D$35,SUMPRODUCT((T3250&gt;=BenchmarkResults!$F$3:$F$35)*(mongodb_hardware_log!T3250&lt;BenchmarkResults!$G$3:$G$35)*ROW(BenchmarkResults!$F$3:$F$35)),{1,3})</f>
        <v>q6_inactive_customers</v>
      </c>
      <c r="B3250">
        <v>3</v>
      </c>
      <c r="C3250" s="13">
        <v>1</v>
      </c>
      <c r="D3250" s="13">
        <v>0</v>
      </c>
      <c r="E3250" s="13">
        <v>179968</v>
      </c>
      <c r="F3250" s="13">
        <v>131436</v>
      </c>
      <c r="G3250" s="13">
        <v>11096</v>
      </c>
      <c r="H3250" s="13">
        <v>2240744</v>
      </c>
      <c r="I3250" s="13">
        <v>0</v>
      </c>
      <c r="J3250" s="13">
        <v>0</v>
      </c>
      <c r="K3250" s="13">
        <v>1727</v>
      </c>
      <c r="L3250" s="13">
        <v>10</v>
      </c>
      <c r="M3250" s="13">
        <v>745</v>
      </c>
      <c r="N3250" s="13">
        <v>225</v>
      </c>
      <c r="O3250" s="13">
        <v>34</v>
      </c>
      <c r="P3250" s="13">
        <v>1</v>
      </c>
      <c r="Q3250" s="13">
        <v>64</v>
      </c>
      <c r="R3250" s="13">
        <v>1</v>
      </c>
      <c r="S3250" s="13">
        <v>0</v>
      </c>
      <c r="T3250" s="23">
        <v>46247.816296296296</v>
      </c>
      <c r="U3250" s="55">
        <f t="shared" si="150"/>
        <v>1</v>
      </c>
      <c r="V3250" s="55">
        <f t="shared" si="151"/>
        <v>0</v>
      </c>
      <c r="W3250" s="56">
        <f t="shared" si="152"/>
        <v>1432</v>
      </c>
    </row>
    <row r="3251" spans="1:23" x14ac:dyDescent="0.3">
      <c r="A3251" s="13" t="str" cm="1">
        <f t="array" ref="A3251:B3251">INDEX(BenchmarkResults!$B$1:$D$35,SUMPRODUCT((T3251&gt;=BenchmarkResults!$F$3:$F$35)*(mongodb_hardware_log!T3251&lt;BenchmarkResults!$G$3:$G$35)*ROW(BenchmarkResults!$F$3:$F$35)),{1,3})</f>
        <v>q6_inactive_customers</v>
      </c>
      <c r="B3251">
        <v>3</v>
      </c>
      <c r="C3251" s="13">
        <v>1</v>
      </c>
      <c r="D3251" s="13">
        <v>0</v>
      </c>
      <c r="E3251" s="13">
        <v>179968</v>
      </c>
      <c r="F3251" s="13">
        <v>116316</v>
      </c>
      <c r="G3251" s="13">
        <v>11104</v>
      </c>
      <c r="H3251" s="13">
        <v>2252888</v>
      </c>
      <c r="I3251" s="13">
        <v>0</v>
      </c>
      <c r="J3251" s="13">
        <v>0</v>
      </c>
      <c r="K3251" s="13">
        <v>1554</v>
      </c>
      <c r="L3251" s="13">
        <v>14</v>
      </c>
      <c r="M3251" s="13">
        <v>744</v>
      </c>
      <c r="N3251" s="13">
        <v>241</v>
      </c>
      <c r="O3251" s="13">
        <v>34</v>
      </c>
      <c r="P3251" s="13">
        <v>1</v>
      </c>
      <c r="Q3251" s="13">
        <v>65</v>
      </c>
      <c r="R3251" s="13">
        <v>1</v>
      </c>
      <c r="S3251" s="13">
        <v>0</v>
      </c>
      <c r="T3251" s="23">
        <v>46247.816400462965</v>
      </c>
      <c r="U3251" s="55">
        <f t="shared" si="150"/>
        <v>1</v>
      </c>
      <c r="V3251" s="55">
        <f t="shared" si="151"/>
        <v>0</v>
      </c>
      <c r="W3251" s="56">
        <f t="shared" si="152"/>
        <v>1428</v>
      </c>
    </row>
    <row r="3252" spans="1:23" x14ac:dyDescent="0.3">
      <c r="A3252" s="13" t="str" cm="1">
        <f t="array" ref="A3252:B3252">INDEX(BenchmarkResults!$B$1:$D$35,SUMPRODUCT((T3252&gt;=BenchmarkResults!$F$3:$F$35)*(mongodb_hardware_log!T3252&lt;BenchmarkResults!$G$3:$G$35)*ROW(BenchmarkResults!$F$3:$F$35)),{1,3})</f>
        <v>q6_inactive_customers</v>
      </c>
      <c r="B3252">
        <v>3</v>
      </c>
      <c r="C3252" s="13">
        <v>1</v>
      </c>
      <c r="D3252" s="13">
        <v>0</v>
      </c>
      <c r="E3252" s="13">
        <v>179968</v>
      </c>
      <c r="F3252" s="13">
        <v>116316</v>
      </c>
      <c r="G3252" s="13">
        <v>11104</v>
      </c>
      <c r="H3252" s="13">
        <v>2255216</v>
      </c>
      <c r="I3252" s="13">
        <v>0</v>
      </c>
      <c r="J3252" s="13">
        <v>0</v>
      </c>
      <c r="K3252" s="13">
        <v>1449</v>
      </c>
      <c r="L3252" s="13">
        <v>9</v>
      </c>
      <c r="M3252" s="13">
        <v>740</v>
      </c>
      <c r="N3252" s="13">
        <v>238</v>
      </c>
      <c r="O3252" s="13">
        <v>34</v>
      </c>
      <c r="P3252" s="13">
        <v>1</v>
      </c>
      <c r="Q3252" s="13">
        <v>64</v>
      </c>
      <c r="R3252" s="13">
        <v>1</v>
      </c>
      <c r="S3252" s="13">
        <v>0</v>
      </c>
      <c r="T3252" s="23">
        <v>46247.816412037035</v>
      </c>
      <c r="U3252" s="55">
        <f t="shared" si="150"/>
        <v>1</v>
      </c>
      <c r="V3252" s="55">
        <f t="shared" si="151"/>
        <v>0</v>
      </c>
      <c r="W3252" s="56">
        <f t="shared" si="152"/>
        <v>1426.1666666666667</v>
      </c>
    </row>
    <row r="3253" spans="1:23" x14ac:dyDescent="0.3">
      <c r="A3253" s="13" t="str" cm="1">
        <f t="array" ref="A3253:B3253">INDEX(BenchmarkResults!$B$1:$D$35,SUMPRODUCT((T3253&gt;=BenchmarkResults!$F$3:$F$35)*(mongodb_hardware_log!T3253&lt;BenchmarkResults!$G$3:$G$35)*ROW(BenchmarkResults!$F$3:$F$35)),{1,3})</f>
        <v>q6_inactive_customers</v>
      </c>
      <c r="B3253">
        <v>3</v>
      </c>
      <c r="C3253" s="13">
        <v>1</v>
      </c>
      <c r="D3253" s="13">
        <v>0</v>
      </c>
      <c r="E3253" s="13">
        <v>179968</v>
      </c>
      <c r="F3253" s="13">
        <v>151236</v>
      </c>
      <c r="G3253" s="13">
        <v>11112</v>
      </c>
      <c r="H3253" s="13">
        <v>2214240</v>
      </c>
      <c r="I3253" s="13">
        <v>0</v>
      </c>
      <c r="J3253" s="13">
        <v>0</v>
      </c>
      <c r="K3253" s="13">
        <v>1706</v>
      </c>
      <c r="L3253" s="13">
        <v>1570</v>
      </c>
      <c r="M3253" s="13">
        <v>734</v>
      </c>
      <c r="N3253" s="13">
        <v>218</v>
      </c>
      <c r="O3253" s="13">
        <v>34</v>
      </c>
      <c r="P3253" s="13">
        <v>1</v>
      </c>
      <c r="Q3253" s="13">
        <v>63</v>
      </c>
      <c r="R3253" s="13">
        <v>2</v>
      </c>
      <c r="S3253" s="13">
        <v>0</v>
      </c>
      <c r="T3253" s="23">
        <v>46247.816516203704</v>
      </c>
      <c r="U3253" s="55">
        <f t="shared" si="150"/>
        <v>1</v>
      </c>
      <c r="V3253" s="55">
        <f t="shared" si="151"/>
        <v>0</v>
      </c>
      <c r="W3253" s="56">
        <f t="shared" si="152"/>
        <v>1535.5</v>
      </c>
    </row>
    <row r="3254" spans="1:23" x14ac:dyDescent="0.3">
      <c r="A3254" s="13" t="str" cm="1">
        <f t="array" ref="A3254:B3254">INDEX(BenchmarkResults!$B$1:$D$35,SUMPRODUCT((T3254&gt;=BenchmarkResults!$F$3:$F$35)*(mongodb_hardware_log!T3254&lt;BenchmarkResults!$G$3:$G$35)*ROW(BenchmarkResults!$F$3:$F$35)),{1,3})</f>
        <v>q6_inactive_customers</v>
      </c>
      <c r="B3254">
        <v>3</v>
      </c>
      <c r="C3254" s="13">
        <v>1</v>
      </c>
      <c r="D3254" s="13">
        <v>0</v>
      </c>
      <c r="E3254" s="13">
        <v>179968</v>
      </c>
      <c r="F3254" s="13">
        <v>144360</v>
      </c>
      <c r="G3254" s="13">
        <v>11124</v>
      </c>
      <c r="H3254" s="13">
        <v>2216016</v>
      </c>
      <c r="I3254" s="13">
        <v>0</v>
      </c>
      <c r="J3254" s="13">
        <v>0</v>
      </c>
      <c r="K3254" s="13">
        <v>1647</v>
      </c>
      <c r="L3254" s="13">
        <v>1576</v>
      </c>
      <c r="M3254" s="13">
        <v>734</v>
      </c>
      <c r="N3254" s="13">
        <v>219</v>
      </c>
      <c r="O3254" s="13">
        <v>33</v>
      </c>
      <c r="P3254" s="13">
        <v>1</v>
      </c>
      <c r="Q3254" s="13">
        <v>63</v>
      </c>
      <c r="R3254" s="13">
        <v>2</v>
      </c>
      <c r="S3254" s="13">
        <v>0</v>
      </c>
      <c r="T3254" s="23">
        <v>46247.816527777781</v>
      </c>
      <c r="U3254" s="55">
        <f t="shared" si="150"/>
        <v>1</v>
      </c>
      <c r="V3254" s="55">
        <f t="shared" si="151"/>
        <v>0</v>
      </c>
      <c r="W3254" s="56">
        <f t="shared" si="152"/>
        <v>1623.6666666666667</v>
      </c>
    </row>
    <row r="3255" spans="1:23" x14ac:dyDescent="0.3">
      <c r="A3255" s="13" t="str" cm="1">
        <f t="array" ref="A3255:B3255">INDEX(BenchmarkResults!$B$1:$D$35,SUMPRODUCT((T3255&gt;=BenchmarkResults!$F$3:$F$35)*(mongodb_hardware_log!T3255&lt;BenchmarkResults!$G$3:$G$35)*ROW(BenchmarkResults!$F$3:$F$35)),{1,3})</f>
        <v>q6_inactive_customers</v>
      </c>
      <c r="B3255">
        <v>3</v>
      </c>
      <c r="C3255" s="13">
        <v>1</v>
      </c>
      <c r="D3255" s="13">
        <v>0</v>
      </c>
      <c r="E3255" s="13">
        <v>179968</v>
      </c>
      <c r="F3255" s="13">
        <v>137748</v>
      </c>
      <c r="G3255" s="13">
        <v>11132</v>
      </c>
      <c r="H3255" s="13">
        <v>2231964</v>
      </c>
      <c r="I3255" s="13">
        <v>0</v>
      </c>
      <c r="J3255" s="13">
        <v>0</v>
      </c>
      <c r="K3255" s="13">
        <v>1767</v>
      </c>
      <c r="L3255" s="13">
        <v>16</v>
      </c>
      <c r="M3255" s="13">
        <v>734</v>
      </c>
      <c r="N3255" s="13">
        <v>217</v>
      </c>
      <c r="O3255" s="13">
        <v>33</v>
      </c>
      <c r="P3255" s="13">
        <v>1</v>
      </c>
      <c r="Q3255" s="13">
        <v>65</v>
      </c>
      <c r="R3255" s="13">
        <v>0</v>
      </c>
      <c r="S3255" s="13">
        <v>0</v>
      </c>
      <c r="T3255" s="23">
        <v>46247.816631944443</v>
      </c>
      <c r="U3255" s="55">
        <f t="shared" si="150"/>
        <v>1</v>
      </c>
      <c r="V3255" s="55">
        <f t="shared" si="151"/>
        <v>0</v>
      </c>
      <c r="W3255" s="56">
        <f t="shared" si="152"/>
        <v>1641.6666666666667</v>
      </c>
    </row>
    <row r="3256" spans="1:23" x14ac:dyDescent="0.3">
      <c r="A3256" s="13" t="str" cm="1">
        <f t="array" ref="A3256:B3256">INDEX(BenchmarkResults!$B$1:$D$35,SUMPRODUCT((T3256&gt;=BenchmarkResults!$F$3:$F$35)*(mongodb_hardware_log!T3256&lt;BenchmarkResults!$G$3:$G$35)*ROW(BenchmarkResults!$F$3:$F$35)),{1,3})</f>
        <v>q6_inactive_customers</v>
      </c>
      <c r="B3256">
        <v>3</v>
      </c>
      <c r="C3256" s="13">
        <v>1</v>
      </c>
      <c r="D3256" s="13">
        <v>0</v>
      </c>
      <c r="E3256" s="13">
        <v>179968</v>
      </c>
      <c r="F3256" s="13">
        <v>134360</v>
      </c>
      <c r="G3256" s="13">
        <v>11132</v>
      </c>
      <c r="H3256" s="13">
        <v>2233968</v>
      </c>
      <c r="I3256" s="13">
        <v>0</v>
      </c>
      <c r="J3256" s="13">
        <v>0</v>
      </c>
      <c r="K3256" s="13">
        <v>1797</v>
      </c>
      <c r="L3256" s="13">
        <v>9</v>
      </c>
      <c r="M3256" s="13">
        <v>733</v>
      </c>
      <c r="N3256" s="13">
        <v>214</v>
      </c>
      <c r="O3256" s="13">
        <v>33</v>
      </c>
      <c r="P3256" s="13">
        <v>1</v>
      </c>
      <c r="Q3256" s="13">
        <v>65</v>
      </c>
      <c r="R3256" s="13">
        <v>0</v>
      </c>
      <c r="S3256" s="13">
        <v>0</v>
      </c>
      <c r="T3256" s="23">
        <v>46247.816643518519</v>
      </c>
      <c r="U3256" s="55">
        <f t="shared" si="150"/>
        <v>1</v>
      </c>
      <c r="V3256" s="55">
        <f t="shared" si="151"/>
        <v>0</v>
      </c>
      <c r="W3256" s="56">
        <f t="shared" si="152"/>
        <v>1653.3333333333333</v>
      </c>
    </row>
    <row r="3257" spans="1:23" x14ac:dyDescent="0.3">
      <c r="A3257" s="13" t="str" cm="1">
        <f t="array" ref="A3257:B3257">INDEX(BenchmarkResults!$B$1:$D$35,SUMPRODUCT((T3257&gt;=BenchmarkResults!$F$3:$F$35)*(mongodb_hardware_log!T3257&lt;BenchmarkResults!$G$3:$G$35)*ROW(BenchmarkResults!$F$3:$F$35)),{1,3})</f>
        <v>q6_inactive_customers</v>
      </c>
      <c r="B3257">
        <v>3</v>
      </c>
      <c r="C3257" s="13">
        <v>1</v>
      </c>
      <c r="D3257" s="13">
        <v>0</v>
      </c>
      <c r="E3257" s="13">
        <v>179968</v>
      </c>
      <c r="F3257" s="13">
        <v>112776</v>
      </c>
      <c r="G3257" s="13">
        <v>11140</v>
      </c>
      <c r="H3257" s="13">
        <v>2253772</v>
      </c>
      <c r="I3257" s="13">
        <v>0</v>
      </c>
      <c r="J3257" s="13">
        <v>0</v>
      </c>
      <c r="K3257" s="13">
        <v>1230</v>
      </c>
      <c r="L3257" s="13">
        <v>5</v>
      </c>
      <c r="M3257" s="13">
        <v>710</v>
      </c>
      <c r="N3257" s="13">
        <v>190</v>
      </c>
      <c r="O3257" s="13">
        <v>33</v>
      </c>
      <c r="P3257" s="13">
        <v>1</v>
      </c>
      <c r="Q3257" s="13">
        <v>65</v>
      </c>
      <c r="R3257" s="13">
        <v>0</v>
      </c>
      <c r="S3257" s="13">
        <v>0</v>
      </c>
      <c r="T3257" s="23">
        <v>46247.816747685189</v>
      </c>
      <c r="U3257" s="55">
        <f t="shared" si="150"/>
        <v>1</v>
      </c>
      <c r="V3257" s="55">
        <f t="shared" si="151"/>
        <v>0</v>
      </c>
      <c r="W3257" s="56">
        <f t="shared" si="152"/>
        <v>1599.3333333333333</v>
      </c>
    </row>
    <row r="3258" spans="1:23" x14ac:dyDescent="0.3">
      <c r="A3258" s="13" t="str" cm="1">
        <f t="array" ref="A3258:B3258">INDEX(BenchmarkResults!$B$1:$D$35,SUMPRODUCT((T3258&gt;=BenchmarkResults!$F$3:$F$35)*(mongodb_hardware_log!T3258&lt;BenchmarkResults!$G$3:$G$35)*ROW(BenchmarkResults!$F$3:$F$35)),{1,3})</f>
        <v>q6_inactive_customers</v>
      </c>
      <c r="B3258">
        <v>3</v>
      </c>
      <c r="C3258" s="13">
        <v>1</v>
      </c>
      <c r="D3258" s="13">
        <v>0</v>
      </c>
      <c r="E3258" s="13">
        <v>179968</v>
      </c>
      <c r="F3258" s="13">
        <v>160828</v>
      </c>
      <c r="G3258" s="13">
        <v>11148</v>
      </c>
      <c r="H3258" s="13">
        <v>2220620</v>
      </c>
      <c r="I3258" s="13">
        <v>0</v>
      </c>
      <c r="J3258" s="13">
        <v>0</v>
      </c>
      <c r="K3258" s="13">
        <v>1218</v>
      </c>
      <c r="L3258" s="13">
        <v>11</v>
      </c>
      <c r="M3258" s="13">
        <v>704</v>
      </c>
      <c r="N3258" s="13">
        <v>183</v>
      </c>
      <c r="O3258" s="13">
        <v>33</v>
      </c>
      <c r="P3258" s="13">
        <v>1</v>
      </c>
      <c r="Q3258" s="13">
        <v>65</v>
      </c>
      <c r="R3258" s="13">
        <v>0</v>
      </c>
      <c r="S3258" s="13">
        <v>0</v>
      </c>
      <c r="T3258" s="23">
        <v>46247.816759259258</v>
      </c>
      <c r="U3258" s="55">
        <f t="shared" si="150"/>
        <v>1</v>
      </c>
      <c r="V3258" s="55">
        <f t="shared" si="151"/>
        <v>0</v>
      </c>
      <c r="W3258" s="56">
        <f t="shared" si="152"/>
        <v>1560.8333333333333</v>
      </c>
    </row>
    <row r="3259" spans="1:23" x14ac:dyDescent="0.3">
      <c r="A3259" s="13" t="str" cm="1">
        <f t="array" ref="A3259:B3259">INDEX(BenchmarkResults!$B$1:$D$35,SUMPRODUCT((T3259&gt;=BenchmarkResults!$F$3:$F$35)*(mongodb_hardware_log!T3259&lt;BenchmarkResults!$G$3:$G$35)*ROW(BenchmarkResults!$F$3:$F$35)),{1,3})</f>
        <v>q6_inactive_customers</v>
      </c>
      <c r="B3259">
        <v>3</v>
      </c>
      <c r="C3259" s="13">
        <v>1</v>
      </c>
      <c r="D3259" s="13">
        <v>0</v>
      </c>
      <c r="E3259" s="13">
        <v>179968</v>
      </c>
      <c r="F3259" s="13">
        <v>152784</v>
      </c>
      <c r="G3259" s="13">
        <v>11180</v>
      </c>
      <c r="H3259" s="13">
        <v>2233280</v>
      </c>
      <c r="I3259" s="13">
        <v>0</v>
      </c>
      <c r="J3259" s="13">
        <v>0</v>
      </c>
      <c r="K3259" s="13">
        <v>1456</v>
      </c>
      <c r="L3259" s="13">
        <v>1610</v>
      </c>
      <c r="M3259" s="13">
        <v>734</v>
      </c>
      <c r="N3259" s="13">
        <v>221</v>
      </c>
      <c r="O3259" s="13">
        <v>33</v>
      </c>
      <c r="P3259" s="13">
        <v>1</v>
      </c>
      <c r="Q3259" s="13">
        <v>64</v>
      </c>
      <c r="R3259" s="13">
        <v>1</v>
      </c>
      <c r="S3259" s="13">
        <v>0</v>
      </c>
      <c r="T3259" s="23">
        <v>46247.816863425927</v>
      </c>
      <c r="U3259" s="55">
        <f t="shared" si="150"/>
        <v>1</v>
      </c>
      <c r="V3259" s="55">
        <f t="shared" si="151"/>
        <v>0</v>
      </c>
      <c r="W3259" s="56">
        <f t="shared" si="152"/>
        <v>1519.1666666666667</v>
      </c>
    </row>
    <row r="3260" spans="1:23" x14ac:dyDescent="0.3">
      <c r="A3260" s="13" t="str" cm="1">
        <f t="array" ref="A3260:B3260">INDEX(BenchmarkResults!$B$1:$D$35,SUMPRODUCT((T3260&gt;=BenchmarkResults!$F$3:$F$35)*(mongodb_hardware_log!T3260&lt;BenchmarkResults!$G$3:$G$35)*ROW(BenchmarkResults!$F$3:$F$35)),{1,3})</f>
        <v>q6_inactive_customers</v>
      </c>
      <c r="B3260">
        <v>3</v>
      </c>
      <c r="C3260" s="13">
        <v>1</v>
      </c>
      <c r="D3260" s="13">
        <v>0</v>
      </c>
      <c r="E3260" s="13">
        <v>179968</v>
      </c>
      <c r="F3260" s="13">
        <v>150516</v>
      </c>
      <c r="G3260" s="13">
        <v>11180</v>
      </c>
      <c r="H3260" s="13">
        <v>2235032</v>
      </c>
      <c r="I3260" s="13">
        <v>0</v>
      </c>
      <c r="J3260" s="13">
        <v>0</v>
      </c>
      <c r="K3260" s="13">
        <v>1444</v>
      </c>
      <c r="L3260" s="13">
        <v>1604</v>
      </c>
      <c r="M3260" s="13">
        <v>740</v>
      </c>
      <c r="N3260" s="13">
        <v>229</v>
      </c>
      <c r="O3260" s="13">
        <v>34</v>
      </c>
      <c r="P3260" s="13">
        <v>1</v>
      </c>
      <c r="Q3260" s="13">
        <v>64</v>
      </c>
      <c r="R3260" s="13">
        <v>1</v>
      </c>
      <c r="S3260" s="13">
        <v>0</v>
      </c>
      <c r="T3260" s="23">
        <v>46247.816874999997</v>
      </c>
      <c r="U3260" s="55">
        <f t="shared" si="150"/>
        <v>1</v>
      </c>
      <c r="V3260" s="55">
        <f t="shared" si="151"/>
        <v>0</v>
      </c>
      <c r="W3260" s="56">
        <f t="shared" si="152"/>
        <v>1485.3333333333333</v>
      </c>
    </row>
    <row r="3261" spans="1:23" x14ac:dyDescent="0.3">
      <c r="A3261" s="13" t="str" cm="1">
        <f t="array" ref="A3261:B3261">INDEX(BenchmarkResults!$B$1:$D$35,SUMPRODUCT((T3261&gt;=BenchmarkResults!$F$3:$F$35)*(mongodb_hardware_log!T3261&lt;BenchmarkResults!$G$3:$G$35)*ROW(BenchmarkResults!$F$3:$F$35)),{1,3})</f>
        <v>q6_inactive_customers</v>
      </c>
      <c r="B3261">
        <v>3</v>
      </c>
      <c r="C3261" s="13">
        <v>1</v>
      </c>
      <c r="D3261" s="13">
        <v>0</v>
      </c>
      <c r="E3261" s="13">
        <v>179968</v>
      </c>
      <c r="F3261" s="13">
        <v>132624</v>
      </c>
      <c r="G3261" s="13">
        <v>11188</v>
      </c>
      <c r="H3261" s="13">
        <v>2249664</v>
      </c>
      <c r="I3261" s="13">
        <v>0</v>
      </c>
      <c r="J3261" s="13">
        <v>0</v>
      </c>
      <c r="K3261" s="13">
        <v>1636</v>
      </c>
      <c r="L3261" s="13">
        <v>6</v>
      </c>
      <c r="M3261" s="13">
        <v>730</v>
      </c>
      <c r="N3261" s="13">
        <v>218</v>
      </c>
      <c r="O3261" s="13">
        <v>33</v>
      </c>
      <c r="P3261" s="13">
        <v>1</v>
      </c>
      <c r="Q3261" s="13">
        <v>65</v>
      </c>
      <c r="R3261" s="13">
        <v>0</v>
      </c>
      <c r="S3261" s="13">
        <v>0</v>
      </c>
      <c r="T3261" s="23">
        <v>46247.816979166666</v>
      </c>
      <c r="U3261" s="55">
        <f t="shared" si="150"/>
        <v>1</v>
      </c>
      <c r="V3261" s="55">
        <f t="shared" si="151"/>
        <v>0</v>
      </c>
      <c r="W3261" s="56">
        <f t="shared" si="152"/>
        <v>1463.5</v>
      </c>
    </row>
    <row r="3262" spans="1:23" x14ac:dyDescent="0.3">
      <c r="A3262" s="13" t="str" cm="1">
        <f t="array" ref="A3262:B3262">INDEX(BenchmarkResults!$B$1:$D$35,SUMPRODUCT((T3262&gt;=BenchmarkResults!$F$3:$F$35)*(mongodb_hardware_log!T3262&lt;BenchmarkResults!$G$3:$G$35)*ROW(BenchmarkResults!$F$3:$F$35)),{1,3})</f>
        <v>q6_inactive_customers</v>
      </c>
      <c r="B3262">
        <v>3</v>
      </c>
      <c r="C3262" s="13">
        <v>1</v>
      </c>
      <c r="D3262" s="13">
        <v>0</v>
      </c>
      <c r="E3262" s="13">
        <v>179968</v>
      </c>
      <c r="F3262" s="13">
        <v>124560</v>
      </c>
      <c r="G3262" s="13">
        <v>11196</v>
      </c>
      <c r="H3262" s="13">
        <v>2253284</v>
      </c>
      <c r="I3262" s="13">
        <v>0</v>
      </c>
      <c r="J3262" s="13">
        <v>0</v>
      </c>
      <c r="K3262" s="13">
        <v>1820</v>
      </c>
      <c r="L3262" s="13">
        <v>11</v>
      </c>
      <c r="M3262" s="13">
        <v>729</v>
      </c>
      <c r="N3262" s="13">
        <v>216</v>
      </c>
      <c r="O3262" s="13">
        <v>33</v>
      </c>
      <c r="P3262" s="13">
        <v>1</v>
      </c>
      <c r="Q3262" s="13">
        <v>65</v>
      </c>
      <c r="R3262" s="13">
        <v>0</v>
      </c>
      <c r="S3262" s="13">
        <v>0</v>
      </c>
      <c r="T3262" s="23">
        <v>46247.816990740743</v>
      </c>
      <c r="U3262" s="55">
        <f t="shared" si="150"/>
        <v>1</v>
      </c>
      <c r="V3262" s="55">
        <f t="shared" si="151"/>
        <v>0</v>
      </c>
      <c r="W3262" s="56">
        <f t="shared" si="152"/>
        <v>1467.3333333333333</v>
      </c>
    </row>
    <row r="3263" spans="1:23" x14ac:dyDescent="0.3">
      <c r="A3263" s="13" t="str" cm="1">
        <f t="array" ref="A3263:B3263">INDEX(BenchmarkResults!$B$1:$D$35,SUMPRODUCT((T3263&gt;=BenchmarkResults!$F$3:$F$35)*(mongodb_hardware_log!T3263&lt;BenchmarkResults!$G$3:$G$35)*ROW(BenchmarkResults!$F$3:$F$35)),{1,3})</f>
        <v>q6_inactive_customers</v>
      </c>
      <c r="B3263">
        <v>3</v>
      </c>
      <c r="C3263" s="13">
        <v>1</v>
      </c>
      <c r="D3263" s="13">
        <v>0</v>
      </c>
      <c r="E3263" s="13">
        <v>179968</v>
      </c>
      <c r="F3263" s="13">
        <v>116496</v>
      </c>
      <c r="G3263" s="13">
        <v>11204</v>
      </c>
      <c r="H3263" s="13">
        <v>2266472</v>
      </c>
      <c r="I3263" s="13">
        <v>0</v>
      </c>
      <c r="J3263" s="13">
        <v>0</v>
      </c>
      <c r="K3263" s="13">
        <v>1679</v>
      </c>
      <c r="L3263" s="13">
        <v>14</v>
      </c>
      <c r="M3263" s="13">
        <v>719</v>
      </c>
      <c r="N3263" s="13">
        <v>211</v>
      </c>
      <c r="O3263" s="13">
        <v>33</v>
      </c>
      <c r="P3263" s="13">
        <v>1</v>
      </c>
      <c r="Q3263" s="13">
        <v>65</v>
      </c>
      <c r="R3263" s="13">
        <v>0</v>
      </c>
      <c r="S3263" s="13">
        <v>0</v>
      </c>
      <c r="T3263" s="23">
        <v>46247.817094907405</v>
      </c>
      <c r="U3263" s="55">
        <f t="shared" si="150"/>
        <v>1</v>
      </c>
      <c r="V3263" s="55">
        <f t="shared" si="151"/>
        <v>0</v>
      </c>
      <c r="W3263" s="56">
        <f t="shared" si="152"/>
        <v>1542.1666666666667</v>
      </c>
    </row>
    <row r="3264" spans="1:23" x14ac:dyDescent="0.3">
      <c r="A3264" s="13" t="str" cm="1">
        <f t="array" ref="A3264:B3264">INDEX(BenchmarkResults!$B$1:$D$35,SUMPRODUCT((T3264&gt;=BenchmarkResults!$F$3:$F$35)*(mongodb_hardware_log!T3264&lt;BenchmarkResults!$G$3:$G$35)*ROW(BenchmarkResults!$F$3:$F$35)),{1,3})</f>
        <v>q6_inactive_customers</v>
      </c>
      <c r="B3264">
        <v>3</v>
      </c>
      <c r="C3264" s="13">
        <v>1</v>
      </c>
      <c r="D3264" s="13">
        <v>0</v>
      </c>
      <c r="E3264" s="13">
        <v>179968</v>
      </c>
      <c r="F3264" s="13">
        <v>114016</v>
      </c>
      <c r="G3264" s="13">
        <v>11204</v>
      </c>
      <c r="H3264" s="13">
        <v>2269024</v>
      </c>
      <c r="I3264" s="13">
        <v>0</v>
      </c>
      <c r="J3264" s="13">
        <v>0</v>
      </c>
      <c r="K3264" s="13">
        <v>1572</v>
      </c>
      <c r="L3264" s="13">
        <v>10</v>
      </c>
      <c r="M3264" s="13">
        <v>719</v>
      </c>
      <c r="N3264" s="13">
        <v>211</v>
      </c>
      <c r="O3264" s="13">
        <v>33</v>
      </c>
      <c r="P3264" s="13">
        <v>1</v>
      </c>
      <c r="Q3264" s="13">
        <v>65</v>
      </c>
      <c r="R3264" s="13">
        <v>0</v>
      </c>
      <c r="S3264" s="13">
        <v>0</v>
      </c>
      <c r="T3264" s="23">
        <v>46247.817106481481</v>
      </c>
      <c r="U3264" s="55">
        <f t="shared" si="150"/>
        <v>1</v>
      </c>
      <c r="V3264" s="55">
        <f t="shared" si="151"/>
        <v>0</v>
      </c>
      <c r="W3264" s="56">
        <f t="shared" si="152"/>
        <v>1601.1666666666667</v>
      </c>
    </row>
    <row r="3265" spans="1:23" x14ac:dyDescent="0.3">
      <c r="A3265" s="13" t="str" cm="1">
        <f t="array" ref="A3265:B3265">INDEX(BenchmarkResults!$B$1:$D$35,SUMPRODUCT((T3265&gt;=BenchmarkResults!$F$3:$F$35)*(mongodb_hardware_log!T3265&lt;BenchmarkResults!$G$3:$G$35)*ROW(BenchmarkResults!$F$3:$F$35)),{1,3})</f>
        <v>q6_inactive_customers</v>
      </c>
      <c r="B3265">
        <v>3</v>
      </c>
      <c r="C3265" s="13">
        <v>3</v>
      </c>
      <c r="D3265" s="13">
        <v>0</v>
      </c>
      <c r="E3265" s="13">
        <v>179968</v>
      </c>
      <c r="F3265" s="13">
        <v>146744</v>
      </c>
      <c r="G3265" s="13">
        <v>11212</v>
      </c>
      <c r="H3265" s="13">
        <v>2228592</v>
      </c>
      <c r="I3265" s="13">
        <v>0</v>
      </c>
      <c r="J3265" s="13">
        <v>0</v>
      </c>
      <c r="K3265" s="13">
        <v>1792</v>
      </c>
      <c r="L3265" s="13">
        <v>11</v>
      </c>
      <c r="M3265" s="13">
        <v>729</v>
      </c>
      <c r="N3265" s="13">
        <v>213</v>
      </c>
      <c r="O3265" s="13">
        <v>33</v>
      </c>
      <c r="P3265" s="13">
        <v>1</v>
      </c>
      <c r="Q3265" s="13">
        <v>65</v>
      </c>
      <c r="R3265" s="13">
        <v>0</v>
      </c>
      <c r="S3265" s="13">
        <v>0</v>
      </c>
      <c r="T3265" s="23">
        <v>46247.817210648151</v>
      </c>
      <c r="U3265" s="55">
        <f t="shared" si="150"/>
        <v>1.3333333333333333</v>
      </c>
      <c r="V3265" s="55">
        <f t="shared" si="151"/>
        <v>0</v>
      </c>
      <c r="W3265" s="56">
        <f t="shared" si="152"/>
        <v>1657.1666666666667</v>
      </c>
    </row>
    <row r="3266" spans="1:23" x14ac:dyDescent="0.3">
      <c r="A3266" s="13" t="str" cm="1">
        <f t="array" ref="A3266:B3266">INDEX(BenchmarkResults!$B$1:$D$35,SUMPRODUCT((T3266&gt;=BenchmarkResults!$F$3:$F$35)*(mongodb_hardware_log!T3266&lt;BenchmarkResults!$G$3:$G$35)*ROW(BenchmarkResults!$F$3:$F$35)),{1,3})</f>
        <v>q6_inactive_customers</v>
      </c>
      <c r="B3266">
        <v>3</v>
      </c>
      <c r="C3266" s="13">
        <v>1</v>
      </c>
      <c r="D3266" s="13">
        <v>0</v>
      </c>
      <c r="E3266" s="13">
        <v>179968</v>
      </c>
      <c r="F3266" s="13">
        <v>146492</v>
      </c>
      <c r="G3266" s="13">
        <v>11220</v>
      </c>
      <c r="H3266" s="13">
        <v>2232000</v>
      </c>
      <c r="I3266" s="13">
        <v>0</v>
      </c>
      <c r="J3266" s="13">
        <v>0</v>
      </c>
      <c r="K3266" s="13">
        <v>1880</v>
      </c>
      <c r="L3266" s="13">
        <v>16</v>
      </c>
      <c r="M3266" s="13">
        <v>732</v>
      </c>
      <c r="N3266" s="13">
        <v>217</v>
      </c>
      <c r="O3266" s="13">
        <v>33</v>
      </c>
      <c r="P3266" s="13">
        <v>1</v>
      </c>
      <c r="Q3266" s="13">
        <v>65</v>
      </c>
      <c r="R3266" s="13">
        <v>0</v>
      </c>
      <c r="S3266" s="13">
        <v>0</v>
      </c>
      <c r="T3266" s="23">
        <v>46247.81722222222</v>
      </c>
      <c r="U3266" s="55">
        <f t="shared" si="150"/>
        <v>1.3333333333333333</v>
      </c>
      <c r="V3266" s="55">
        <f t="shared" si="151"/>
        <v>0</v>
      </c>
      <c r="W3266" s="56">
        <f t="shared" si="152"/>
        <v>1729.8333333333333</v>
      </c>
    </row>
    <row r="3267" spans="1:23" x14ac:dyDescent="0.3">
      <c r="A3267" s="13" t="str" cm="1">
        <f t="array" ref="A3267:B3267">INDEX(BenchmarkResults!$B$1:$D$35,SUMPRODUCT((T3267&gt;=BenchmarkResults!$F$3:$F$35)*(mongodb_hardware_log!T3267&lt;BenchmarkResults!$G$3:$G$35)*ROW(BenchmarkResults!$F$3:$F$35)),{1,3})</f>
        <v>q6_inactive_customers</v>
      </c>
      <c r="B3267">
        <v>3</v>
      </c>
      <c r="C3267" s="13">
        <v>1</v>
      </c>
      <c r="D3267" s="13">
        <v>0</v>
      </c>
      <c r="E3267" s="13">
        <v>179968</v>
      </c>
      <c r="F3267" s="13">
        <v>131372</v>
      </c>
      <c r="G3267" s="13">
        <v>11228</v>
      </c>
      <c r="H3267" s="13">
        <v>2243728</v>
      </c>
      <c r="I3267" s="13">
        <v>0</v>
      </c>
      <c r="J3267" s="13">
        <v>0</v>
      </c>
      <c r="K3267" s="13">
        <v>1520</v>
      </c>
      <c r="L3267" s="13">
        <v>14</v>
      </c>
      <c r="M3267" s="13">
        <v>719</v>
      </c>
      <c r="N3267" s="13">
        <v>207</v>
      </c>
      <c r="O3267" s="13">
        <v>33</v>
      </c>
      <c r="P3267" s="13">
        <v>1</v>
      </c>
      <c r="Q3267" s="13">
        <v>64</v>
      </c>
      <c r="R3267" s="13">
        <v>1</v>
      </c>
      <c r="S3267" s="13">
        <v>0</v>
      </c>
      <c r="T3267" s="23">
        <v>46247.817326388889</v>
      </c>
      <c r="U3267" s="55">
        <f t="shared" si="150"/>
        <v>1.3333333333333333</v>
      </c>
      <c r="V3267" s="55">
        <f t="shared" si="151"/>
        <v>0</v>
      </c>
      <c r="W3267" s="56">
        <f t="shared" si="152"/>
        <v>1710.5</v>
      </c>
    </row>
    <row r="3268" spans="1:23" x14ac:dyDescent="0.3">
      <c r="A3268" s="13" t="str" cm="1">
        <f t="array" ref="A3268:B3268">INDEX(BenchmarkResults!$B$1:$D$35,SUMPRODUCT((T3268&gt;=BenchmarkResults!$F$3:$F$35)*(mongodb_hardware_log!T3268&lt;BenchmarkResults!$G$3:$G$35)*ROW(BenchmarkResults!$F$3:$F$35)),{1,3})</f>
        <v>q6_inactive_customers</v>
      </c>
      <c r="B3268">
        <v>3</v>
      </c>
      <c r="C3268" s="13">
        <v>1</v>
      </c>
      <c r="D3268" s="13">
        <v>0</v>
      </c>
      <c r="E3268" s="13">
        <v>179968</v>
      </c>
      <c r="F3268" s="13">
        <v>123308</v>
      </c>
      <c r="G3268" s="13">
        <v>11228</v>
      </c>
      <c r="H3268" s="13">
        <v>2253096</v>
      </c>
      <c r="I3268" s="13">
        <v>0</v>
      </c>
      <c r="J3268" s="13">
        <v>0</v>
      </c>
      <c r="K3268" s="13">
        <v>1176</v>
      </c>
      <c r="L3268" s="13">
        <v>10</v>
      </c>
      <c r="M3268" s="13">
        <v>695</v>
      </c>
      <c r="N3268" s="13">
        <v>185</v>
      </c>
      <c r="O3268" s="13">
        <v>33</v>
      </c>
      <c r="P3268" s="13">
        <v>1</v>
      </c>
      <c r="Q3268" s="13">
        <v>64</v>
      </c>
      <c r="R3268" s="13">
        <v>1</v>
      </c>
      <c r="S3268" s="13">
        <v>0</v>
      </c>
      <c r="T3268" s="23">
        <v>46247.817337962966</v>
      </c>
      <c r="U3268" s="55">
        <f t="shared" si="150"/>
        <v>1.3333333333333333</v>
      </c>
      <c r="V3268" s="55">
        <f t="shared" si="151"/>
        <v>0</v>
      </c>
      <c r="W3268" s="56">
        <f t="shared" si="152"/>
        <v>1603.1666666666667</v>
      </c>
    </row>
    <row r="3269" spans="1:23" x14ac:dyDescent="0.3">
      <c r="A3269" s="13" t="str" cm="1">
        <f t="array" ref="A3269:B3269">INDEX(BenchmarkResults!$B$1:$D$35,SUMPRODUCT((T3269&gt;=BenchmarkResults!$F$3:$F$35)*(mongodb_hardware_log!T3269&lt;BenchmarkResults!$G$3:$G$35)*ROW(BenchmarkResults!$F$3:$F$35)),{1,3})</f>
        <v>q6_inactive_customers</v>
      </c>
      <c r="B3269">
        <v>3</v>
      </c>
      <c r="C3269" s="13">
        <v>1</v>
      </c>
      <c r="D3269" s="13">
        <v>0</v>
      </c>
      <c r="E3269" s="13">
        <v>179968</v>
      </c>
      <c r="F3269" s="13">
        <v>111464</v>
      </c>
      <c r="G3269" s="13">
        <v>11236</v>
      </c>
      <c r="H3269" s="13">
        <v>2271352</v>
      </c>
      <c r="I3269" s="13">
        <v>0</v>
      </c>
      <c r="J3269" s="13">
        <v>0</v>
      </c>
      <c r="K3269" s="13">
        <v>1200</v>
      </c>
      <c r="L3269" s="13">
        <v>7</v>
      </c>
      <c r="M3269" s="13">
        <v>773</v>
      </c>
      <c r="N3269" s="13">
        <v>260</v>
      </c>
      <c r="O3269" s="13">
        <v>33</v>
      </c>
      <c r="P3269" s="13">
        <v>1</v>
      </c>
      <c r="Q3269" s="13">
        <v>65</v>
      </c>
      <c r="R3269" s="13">
        <v>0</v>
      </c>
      <c r="S3269" s="13">
        <v>0</v>
      </c>
      <c r="T3269" s="23">
        <v>46247.817442129628</v>
      </c>
      <c r="U3269" s="55">
        <f t="shared" si="150"/>
        <v>1.3333333333333333</v>
      </c>
      <c r="V3269" s="55">
        <f t="shared" si="151"/>
        <v>0</v>
      </c>
      <c r="W3269" s="56">
        <f t="shared" si="152"/>
        <v>1523.3333333333333</v>
      </c>
    </row>
    <row r="3270" spans="1:23" x14ac:dyDescent="0.3">
      <c r="A3270" s="13" t="str" cm="1">
        <f t="array" ref="A3270:B3270">INDEX(BenchmarkResults!$B$1:$D$35,SUMPRODUCT((T3270&gt;=BenchmarkResults!$F$3:$F$35)*(mongodb_hardware_log!T3270&lt;BenchmarkResults!$G$3:$G$35)*ROW(BenchmarkResults!$F$3:$F$35)),{1,3})</f>
        <v>q6_inactive_customers</v>
      </c>
      <c r="B3270">
        <v>3</v>
      </c>
      <c r="C3270" s="13">
        <v>1</v>
      </c>
      <c r="D3270" s="13">
        <v>0</v>
      </c>
      <c r="E3270" s="13">
        <v>179968</v>
      </c>
      <c r="F3270" s="13">
        <v>142744</v>
      </c>
      <c r="G3270" s="13">
        <v>11244</v>
      </c>
      <c r="H3270" s="13">
        <v>2234412</v>
      </c>
      <c r="I3270" s="13">
        <v>0</v>
      </c>
      <c r="J3270" s="13">
        <v>0</v>
      </c>
      <c r="K3270" s="13">
        <v>1522</v>
      </c>
      <c r="L3270" s="13">
        <v>12</v>
      </c>
      <c r="M3270" s="13">
        <v>795</v>
      </c>
      <c r="N3270" s="13">
        <v>280</v>
      </c>
      <c r="O3270" s="13">
        <v>33</v>
      </c>
      <c r="P3270" s="13">
        <v>1</v>
      </c>
      <c r="Q3270" s="13">
        <v>65</v>
      </c>
      <c r="R3270" s="13">
        <v>0</v>
      </c>
      <c r="S3270" s="13">
        <v>0</v>
      </c>
      <c r="T3270" s="23">
        <v>46247.817453703705</v>
      </c>
      <c r="U3270" s="55">
        <f t="shared" si="150"/>
        <v>1.3333333333333333</v>
      </c>
      <c r="V3270" s="55">
        <f t="shared" si="151"/>
        <v>0</v>
      </c>
      <c r="W3270" s="56">
        <f t="shared" si="152"/>
        <v>1515</v>
      </c>
    </row>
    <row r="3271" spans="1:23" x14ac:dyDescent="0.3">
      <c r="A3271" s="13" t="str" cm="1">
        <f t="array" ref="A3271:B3271">INDEX(BenchmarkResults!$B$1:$D$35,SUMPRODUCT((T3271&gt;=BenchmarkResults!$F$3:$F$35)*(mongodb_hardware_log!T3271&lt;BenchmarkResults!$G$3:$G$35)*ROW(BenchmarkResults!$F$3:$F$35)),{1,3})</f>
        <v>q6_inactive_customers</v>
      </c>
      <c r="B3271">
        <v>3</v>
      </c>
      <c r="C3271" s="13">
        <v>1</v>
      </c>
      <c r="D3271" s="13">
        <v>0</v>
      </c>
      <c r="E3271" s="13">
        <v>179968</v>
      </c>
      <c r="F3271" s="13">
        <v>134960</v>
      </c>
      <c r="G3271" s="13">
        <v>11268</v>
      </c>
      <c r="H3271" s="13">
        <v>2246816</v>
      </c>
      <c r="I3271" s="13">
        <v>0</v>
      </c>
      <c r="J3271" s="13">
        <v>0</v>
      </c>
      <c r="K3271" s="13">
        <v>1557</v>
      </c>
      <c r="L3271" s="13">
        <v>28</v>
      </c>
      <c r="M3271" s="13">
        <v>720</v>
      </c>
      <c r="N3271" s="13">
        <v>215</v>
      </c>
      <c r="O3271" s="13">
        <v>33</v>
      </c>
      <c r="P3271" s="13">
        <v>1</v>
      </c>
      <c r="Q3271" s="13">
        <v>65</v>
      </c>
      <c r="R3271" s="13">
        <v>1</v>
      </c>
      <c r="S3271" s="13">
        <v>0</v>
      </c>
      <c r="T3271" s="23">
        <v>46247.817557870374</v>
      </c>
      <c r="U3271" s="55">
        <f t="shared" si="150"/>
        <v>1</v>
      </c>
      <c r="V3271" s="55">
        <f t="shared" si="151"/>
        <v>0</v>
      </c>
      <c r="W3271" s="56">
        <f t="shared" si="152"/>
        <v>1475.8333333333333</v>
      </c>
    </row>
    <row r="3272" spans="1:23" x14ac:dyDescent="0.3">
      <c r="A3272" s="13" t="str" cm="1">
        <f t="array" ref="A3272:B3272">INDEX(BenchmarkResults!$B$1:$D$35,SUMPRODUCT((T3272&gt;=BenchmarkResults!$F$3:$F$35)*(mongodb_hardware_log!T3272&lt;BenchmarkResults!$G$3:$G$35)*ROW(BenchmarkResults!$F$3:$F$35)),{1,3})</f>
        <v>q6_inactive_customers</v>
      </c>
      <c r="B3272">
        <v>3</v>
      </c>
      <c r="C3272" s="13">
        <v>1</v>
      </c>
      <c r="D3272" s="13">
        <v>0</v>
      </c>
      <c r="E3272" s="13">
        <v>179968</v>
      </c>
      <c r="F3272" s="13">
        <v>131936</v>
      </c>
      <c r="G3272" s="13">
        <v>11268</v>
      </c>
      <c r="H3272" s="13">
        <v>2249584</v>
      </c>
      <c r="I3272" s="13">
        <v>0</v>
      </c>
      <c r="J3272" s="13">
        <v>0</v>
      </c>
      <c r="K3272" s="13">
        <v>1511</v>
      </c>
      <c r="L3272" s="13">
        <v>438</v>
      </c>
      <c r="M3272" s="13">
        <v>720</v>
      </c>
      <c r="N3272" s="13">
        <v>214</v>
      </c>
      <c r="O3272" s="13">
        <v>33</v>
      </c>
      <c r="P3272" s="13">
        <v>1</v>
      </c>
      <c r="Q3272" s="13">
        <v>64</v>
      </c>
      <c r="R3272" s="13">
        <v>2</v>
      </c>
      <c r="S3272" s="13">
        <v>0</v>
      </c>
      <c r="T3272" s="23">
        <v>46247.817569444444</v>
      </c>
      <c r="U3272" s="55">
        <f t="shared" si="150"/>
        <v>1</v>
      </c>
      <c r="V3272" s="55">
        <f t="shared" si="151"/>
        <v>0</v>
      </c>
      <c r="W3272" s="56">
        <f t="shared" si="152"/>
        <v>1414.3333333333333</v>
      </c>
    </row>
    <row r="3273" spans="1:23" x14ac:dyDescent="0.3">
      <c r="A3273" s="13" t="str" cm="1">
        <f t="array" ref="A3273:B3273">INDEX(BenchmarkResults!$B$1:$D$35,SUMPRODUCT((T3273&gt;=BenchmarkResults!$F$3:$F$35)*(mongodb_hardware_log!T3273&lt;BenchmarkResults!$G$3:$G$35)*ROW(BenchmarkResults!$F$3:$F$35)),{1,3})</f>
        <v>q6_inactive_customers</v>
      </c>
      <c r="B3273">
        <v>3</v>
      </c>
      <c r="C3273" s="13">
        <v>1</v>
      </c>
      <c r="D3273" s="13">
        <v>0</v>
      </c>
      <c r="E3273" s="13">
        <v>179968</v>
      </c>
      <c r="F3273" s="13">
        <v>117824</v>
      </c>
      <c r="G3273" s="13">
        <v>11276</v>
      </c>
      <c r="H3273" s="13">
        <v>2261728</v>
      </c>
      <c r="I3273" s="13">
        <v>0</v>
      </c>
      <c r="J3273" s="13">
        <v>0</v>
      </c>
      <c r="K3273" s="13">
        <v>1493</v>
      </c>
      <c r="L3273" s="13">
        <v>1579</v>
      </c>
      <c r="M3273" s="13">
        <v>726</v>
      </c>
      <c r="N3273" s="13">
        <v>213</v>
      </c>
      <c r="O3273" s="13">
        <v>34</v>
      </c>
      <c r="P3273" s="13">
        <v>1</v>
      </c>
      <c r="Q3273" s="13">
        <v>62</v>
      </c>
      <c r="R3273" s="13">
        <v>3</v>
      </c>
      <c r="S3273" s="13">
        <v>1</v>
      </c>
      <c r="T3273" s="23">
        <v>46247.817673611113</v>
      </c>
      <c r="U3273" s="55">
        <f t="shared" ref="U3273:U3336" si="153">AVERAGE(C3268:C3273)</f>
        <v>1</v>
      </c>
      <c r="V3273" s="55">
        <f t="shared" ref="V3273:V3336" si="154">AVERAGE(D3268:D3273)</f>
        <v>0</v>
      </c>
      <c r="W3273" s="56">
        <f t="shared" ref="W3273:W3336" si="155">AVERAGE(K3268:K3273)</f>
        <v>1409.8333333333333</v>
      </c>
    </row>
    <row r="3274" spans="1:23" x14ac:dyDescent="0.3">
      <c r="A3274" s="13" t="str" cm="1">
        <f t="array" ref="A3274:B3274">INDEX(BenchmarkResults!$B$1:$D$35,SUMPRODUCT((T3274&gt;=BenchmarkResults!$F$3:$F$35)*(mongodb_hardware_log!T3274&lt;BenchmarkResults!$G$3:$G$35)*ROW(BenchmarkResults!$F$3:$F$35)),{1,3})</f>
        <v>q6_inactive_customers</v>
      </c>
      <c r="B3274">
        <v>3</v>
      </c>
      <c r="C3274" s="13">
        <v>1</v>
      </c>
      <c r="D3274" s="13">
        <v>0</v>
      </c>
      <c r="E3274" s="13">
        <v>179968</v>
      </c>
      <c r="F3274" s="13">
        <v>117824</v>
      </c>
      <c r="G3274" s="13">
        <v>11284</v>
      </c>
      <c r="H3274" s="13">
        <v>2263808</v>
      </c>
      <c r="I3274" s="13">
        <v>0</v>
      </c>
      <c r="J3274" s="13">
        <v>0</v>
      </c>
      <c r="K3274" s="13">
        <v>1421</v>
      </c>
      <c r="L3274" s="13">
        <v>1170</v>
      </c>
      <c r="M3274" s="13">
        <v>727</v>
      </c>
      <c r="N3274" s="13">
        <v>215</v>
      </c>
      <c r="O3274" s="13">
        <v>33</v>
      </c>
      <c r="P3274" s="13">
        <v>1</v>
      </c>
      <c r="Q3274" s="13">
        <v>63</v>
      </c>
      <c r="R3274" s="13">
        <v>3</v>
      </c>
      <c r="S3274" s="13">
        <v>0</v>
      </c>
      <c r="T3274" s="23">
        <v>46247.817685185182</v>
      </c>
      <c r="U3274" s="55">
        <f t="shared" si="153"/>
        <v>1</v>
      </c>
      <c r="V3274" s="55">
        <f t="shared" si="154"/>
        <v>0</v>
      </c>
      <c r="W3274" s="56">
        <f t="shared" si="155"/>
        <v>1450.6666666666667</v>
      </c>
    </row>
    <row r="3275" spans="1:23" x14ac:dyDescent="0.3">
      <c r="A3275" s="13" t="str" cm="1">
        <f t="array" ref="A3275:B3275">INDEX(BenchmarkResults!$B$1:$D$35,SUMPRODUCT((T3275&gt;=BenchmarkResults!$F$3:$F$35)*(mongodb_hardware_log!T3275&lt;BenchmarkResults!$G$3:$G$35)*ROW(BenchmarkResults!$F$3:$F$35)),{1,3})</f>
        <v>q6_inactive_customers</v>
      </c>
      <c r="B3275">
        <v>3</v>
      </c>
      <c r="C3275" s="13">
        <v>1</v>
      </c>
      <c r="D3275" s="13">
        <v>0</v>
      </c>
      <c r="E3275" s="13">
        <v>179968</v>
      </c>
      <c r="F3275" s="13">
        <v>162364</v>
      </c>
      <c r="G3275" s="13">
        <v>11292</v>
      </c>
      <c r="H3275" s="13">
        <v>2220980</v>
      </c>
      <c r="I3275" s="13">
        <v>0</v>
      </c>
      <c r="J3275" s="13">
        <v>0</v>
      </c>
      <c r="K3275" s="13">
        <v>1478</v>
      </c>
      <c r="L3275" s="13">
        <v>17</v>
      </c>
      <c r="M3275" s="13">
        <v>738</v>
      </c>
      <c r="N3275" s="13">
        <v>230</v>
      </c>
      <c r="O3275" s="13">
        <v>33</v>
      </c>
      <c r="P3275" s="13">
        <v>1</v>
      </c>
      <c r="Q3275" s="13">
        <v>64</v>
      </c>
      <c r="R3275" s="13">
        <v>1</v>
      </c>
      <c r="S3275" s="13">
        <v>0</v>
      </c>
      <c r="T3275" s="23">
        <v>46247.817789351851</v>
      </c>
      <c r="U3275" s="55">
        <f t="shared" si="153"/>
        <v>1</v>
      </c>
      <c r="V3275" s="55">
        <f t="shared" si="154"/>
        <v>0</v>
      </c>
      <c r="W3275" s="56">
        <f t="shared" si="155"/>
        <v>1497</v>
      </c>
    </row>
    <row r="3276" spans="1:23" x14ac:dyDescent="0.3">
      <c r="A3276" s="13" t="str" cm="1">
        <f t="array" ref="A3276:B3276">INDEX(BenchmarkResults!$B$1:$D$35,SUMPRODUCT((T3276&gt;=BenchmarkResults!$F$3:$F$35)*(mongodb_hardware_log!T3276&lt;BenchmarkResults!$G$3:$G$35)*ROW(BenchmarkResults!$F$3:$F$35)),{1,3})</f>
        <v>q6_inactive_customers</v>
      </c>
      <c r="B3276">
        <v>3</v>
      </c>
      <c r="C3276" s="13">
        <v>1</v>
      </c>
      <c r="D3276" s="13">
        <v>0</v>
      </c>
      <c r="E3276" s="13">
        <v>179968</v>
      </c>
      <c r="F3276" s="13">
        <v>158332</v>
      </c>
      <c r="G3276" s="13">
        <v>11292</v>
      </c>
      <c r="H3276" s="13">
        <v>2223860</v>
      </c>
      <c r="I3276" s="13">
        <v>0</v>
      </c>
      <c r="J3276" s="13">
        <v>0</v>
      </c>
      <c r="K3276" s="13">
        <v>1559</v>
      </c>
      <c r="L3276" s="13">
        <v>10</v>
      </c>
      <c r="M3276" s="13">
        <v>735</v>
      </c>
      <c r="N3276" s="13">
        <v>225</v>
      </c>
      <c r="O3276" s="13">
        <v>34</v>
      </c>
      <c r="P3276" s="13">
        <v>1</v>
      </c>
      <c r="Q3276" s="13">
        <v>65</v>
      </c>
      <c r="R3276" s="13">
        <v>1</v>
      </c>
      <c r="S3276" s="13">
        <v>0</v>
      </c>
      <c r="T3276" s="23">
        <v>46247.817800925928</v>
      </c>
      <c r="U3276" s="55">
        <f t="shared" si="153"/>
        <v>1</v>
      </c>
      <c r="V3276" s="55">
        <f t="shared" si="154"/>
        <v>0</v>
      </c>
      <c r="W3276" s="56">
        <f t="shared" si="155"/>
        <v>1503.1666666666667</v>
      </c>
    </row>
    <row r="3277" spans="1:23" x14ac:dyDescent="0.3">
      <c r="A3277" s="13" t="str" cm="1">
        <f t="array" ref="A3277:B3277">INDEX(BenchmarkResults!$B$1:$D$35,SUMPRODUCT((T3277&gt;=BenchmarkResults!$F$3:$F$35)*(mongodb_hardware_log!T3277&lt;BenchmarkResults!$G$3:$G$35)*ROW(BenchmarkResults!$F$3:$F$35)),{1,3})</f>
        <v>q6_inactive_customers</v>
      </c>
      <c r="B3277">
        <v>3</v>
      </c>
      <c r="C3277" s="13">
        <v>1</v>
      </c>
      <c r="D3277" s="13">
        <v>0</v>
      </c>
      <c r="E3277" s="13">
        <v>179968</v>
      </c>
      <c r="F3277" s="13">
        <v>145576</v>
      </c>
      <c r="G3277" s="13">
        <v>11300</v>
      </c>
      <c r="H3277" s="13">
        <v>2237200</v>
      </c>
      <c r="I3277" s="13">
        <v>0</v>
      </c>
      <c r="J3277" s="13">
        <v>0</v>
      </c>
      <c r="K3277" s="13">
        <v>1623</v>
      </c>
      <c r="L3277" s="13">
        <v>7</v>
      </c>
      <c r="M3277" s="13">
        <v>742</v>
      </c>
      <c r="N3277" s="13">
        <v>246</v>
      </c>
      <c r="O3277" s="13">
        <v>34</v>
      </c>
      <c r="P3277" s="13">
        <v>1</v>
      </c>
      <c r="Q3277" s="13">
        <v>64</v>
      </c>
      <c r="R3277" s="13">
        <v>0</v>
      </c>
      <c r="S3277" s="13">
        <v>0</v>
      </c>
      <c r="T3277" s="23">
        <v>46247.81790509259</v>
      </c>
      <c r="U3277" s="55">
        <f t="shared" si="153"/>
        <v>1</v>
      </c>
      <c r="V3277" s="55">
        <f t="shared" si="154"/>
        <v>0</v>
      </c>
      <c r="W3277" s="56">
        <f t="shared" si="155"/>
        <v>1514.1666666666667</v>
      </c>
    </row>
    <row r="3278" spans="1:23" x14ac:dyDescent="0.3">
      <c r="A3278" s="13" t="str" cm="1">
        <f t="array" ref="A3278:B3278">INDEX(BenchmarkResults!$B$1:$D$35,SUMPRODUCT((T3278&gt;=BenchmarkResults!$F$3:$F$35)*(mongodb_hardware_log!T3278&lt;BenchmarkResults!$G$3:$G$35)*ROW(BenchmarkResults!$F$3:$F$35)),{1,3})</f>
        <v>q6_inactive_customers</v>
      </c>
      <c r="B3278">
        <v>3</v>
      </c>
      <c r="C3278" s="13">
        <v>2</v>
      </c>
      <c r="D3278" s="13">
        <v>0</v>
      </c>
      <c r="E3278" s="13">
        <v>179968</v>
      </c>
      <c r="F3278" s="13">
        <v>141292</v>
      </c>
      <c r="G3278" s="13">
        <v>11308</v>
      </c>
      <c r="H3278" s="13">
        <v>2240192</v>
      </c>
      <c r="I3278" s="13">
        <v>0</v>
      </c>
      <c r="J3278" s="13">
        <v>0</v>
      </c>
      <c r="K3278" s="13">
        <v>1634</v>
      </c>
      <c r="L3278" s="13">
        <v>12</v>
      </c>
      <c r="M3278" s="13">
        <v>744</v>
      </c>
      <c r="N3278" s="13">
        <v>248</v>
      </c>
      <c r="O3278" s="13">
        <v>34</v>
      </c>
      <c r="P3278" s="13">
        <v>1</v>
      </c>
      <c r="Q3278" s="13">
        <v>64</v>
      </c>
      <c r="R3278" s="13">
        <v>0</v>
      </c>
      <c r="S3278" s="13">
        <v>0</v>
      </c>
      <c r="T3278" s="23">
        <v>46247.817916666667</v>
      </c>
      <c r="U3278" s="55">
        <f t="shared" si="153"/>
        <v>1.1666666666666667</v>
      </c>
      <c r="V3278" s="55">
        <f t="shared" si="154"/>
        <v>0</v>
      </c>
      <c r="W3278" s="56">
        <f t="shared" si="155"/>
        <v>1534.6666666666667</v>
      </c>
    </row>
    <row r="3279" spans="1:23" x14ac:dyDescent="0.3">
      <c r="A3279" s="13" t="str" cm="1">
        <f t="array" ref="A3279:B3279">INDEX(BenchmarkResults!$B$1:$D$35,SUMPRODUCT((T3279&gt;=BenchmarkResults!$F$3:$F$35)*(mongodb_hardware_log!T3279&lt;BenchmarkResults!$G$3:$G$35)*ROW(BenchmarkResults!$F$3:$F$35)),{1,3})</f>
        <v>q6_inactive_customers</v>
      </c>
      <c r="B3279">
        <v>3</v>
      </c>
      <c r="C3279" s="13">
        <v>1</v>
      </c>
      <c r="D3279" s="13">
        <v>0</v>
      </c>
      <c r="E3279" s="13">
        <v>179968</v>
      </c>
      <c r="F3279" s="13">
        <v>116708</v>
      </c>
      <c r="G3279" s="13">
        <v>11324</v>
      </c>
      <c r="H3279" s="13">
        <v>2265948</v>
      </c>
      <c r="I3279" s="13">
        <v>0</v>
      </c>
      <c r="J3279" s="13">
        <v>0</v>
      </c>
      <c r="K3279" s="13">
        <v>1313</v>
      </c>
      <c r="L3279" s="13">
        <v>62</v>
      </c>
      <c r="M3279" s="13">
        <v>703</v>
      </c>
      <c r="N3279" s="13">
        <v>195</v>
      </c>
      <c r="O3279" s="13">
        <v>34</v>
      </c>
      <c r="P3279" s="13">
        <v>1</v>
      </c>
      <c r="Q3279" s="13">
        <v>65</v>
      </c>
      <c r="R3279" s="13">
        <v>0</v>
      </c>
      <c r="S3279" s="13">
        <v>0</v>
      </c>
      <c r="T3279" s="23">
        <v>46247.818020833336</v>
      </c>
      <c r="U3279" s="55">
        <f t="shared" si="153"/>
        <v>1.1666666666666667</v>
      </c>
      <c r="V3279" s="55">
        <f t="shared" si="154"/>
        <v>0</v>
      </c>
      <c r="W3279" s="56">
        <f t="shared" si="155"/>
        <v>1504.6666666666667</v>
      </c>
    </row>
    <row r="3280" spans="1:23" x14ac:dyDescent="0.3">
      <c r="A3280" s="13" t="str" cm="1">
        <f t="array" ref="A3280:B3280">INDEX(BenchmarkResults!$B$1:$D$35,SUMPRODUCT((T3280&gt;=BenchmarkResults!$F$3:$F$35)*(mongodb_hardware_log!T3280&lt;BenchmarkResults!$G$3:$G$35)*ROW(BenchmarkResults!$F$3:$F$35)),{1,3})</f>
        <v>q6_inactive_customers</v>
      </c>
      <c r="B3280">
        <v>3</v>
      </c>
      <c r="C3280" s="13">
        <v>1</v>
      </c>
      <c r="D3280" s="13">
        <v>0</v>
      </c>
      <c r="E3280" s="13">
        <v>179968</v>
      </c>
      <c r="F3280" s="13">
        <v>114692</v>
      </c>
      <c r="G3280" s="13">
        <v>11324</v>
      </c>
      <c r="H3280" s="13">
        <v>2267392</v>
      </c>
      <c r="I3280" s="13">
        <v>0</v>
      </c>
      <c r="J3280" s="13">
        <v>0</v>
      </c>
      <c r="K3280" s="13">
        <v>1160</v>
      </c>
      <c r="L3280" s="13">
        <v>56</v>
      </c>
      <c r="M3280" s="13">
        <v>701</v>
      </c>
      <c r="N3280" s="13">
        <v>194</v>
      </c>
      <c r="O3280" s="13">
        <v>34</v>
      </c>
      <c r="P3280" s="13">
        <v>1</v>
      </c>
      <c r="Q3280" s="13">
        <v>65</v>
      </c>
      <c r="R3280" s="13">
        <v>0</v>
      </c>
      <c r="S3280" s="13">
        <v>0</v>
      </c>
      <c r="T3280" s="23">
        <v>46247.818032407406</v>
      </c>
      <c r="U3280" s="55">
        <f t="shared" si="153"/>
        <v>1.1666666666666667</v>
      </c>
      <c r="V3280" s="55">
        <f t="shared" si="154"/>
        <v>0</v>
      </c>
      <c r="W3280" s="56">
        <f t="shared" si="155"/>
        <v>1461.1666666666667</v>
      </c>
    </row>
    <row r="3281" spans="1:23" x14ac:dyDescent="0.3">
      <c r="A3281" s="13" t="str" cm="1">
        <f t="array" ref="A3281:B3281">INDEX(BenchmarkResults!$B$1:$D$35,SUMPRODUCT((T3281&gt;=BenchmarkResults!$F$3:$F$35)*(mongodb_hardware_log!T3281&lt;BenchmarkResults!$G$3:$G$35)*ROW(BenchmarkResults!$F$3:$F$35)),{1,3})</f>
        <v>q6_inactive_customers</v>
      </c>
      <c r="B3281">
        <v>3</v>
      </c>
      <c r="C3281" s="13">
        <v>1</v>
      </c>
      <c r="D3281" s="13">
        <v>0</v>
      </c>
      <c r="E3281" s="13">
        <v>179968</v>
      </c>
      <c r="F3281" s="13">
        <v>137464</v>
      </c>
      <c r="G3281" s="13">
        <v>11332</v>
      </c>
      <c r="H3281" s="13">
        <v>2241364</v>
      </c>
      <c r="I3281" s="13">
        <v>0</v>
      </c>
      <c r="J3281" s="13">
        <v>0</v>
      </c>
      <c r="K3281" s="13">
        <v>1560</v>
      </c>
      <c r="L3281" s="13">
        <v>419</v>
      </c>
      <c r="M3281" s="13">
        <v>741</v>
      </c>
      <c r="N3281" s="13">
        <v>220</v>
      </c>
      <c r="O3281" s="13">
        <v>33</v>
      </c>
      <c r="P3281" s="13">
        <v>1</v>
      </c>
      <c r="Q3281" s="13">
        <v>65</v>
      </c>
      <c r="R3281" s="13">
        <v>0</v>
      </c>
      <c r="S3281" s="13">
        <v>0</v>
      </c>
      <c r="T3281" s="23">
        <v>46247.818136574075</v>
      </c>
      <c r="U3281" s="55">
        <f t="shared" si="153"/>
        <v>1.1666666666666667</v>
      </c>
      <c r="V3281" s="55">
        <f t="shared" si="154"/>
        <v>0</v>
      </c>
      <c r="W3281" s="56">
        <f t="shared" si="155"/>
        <v>1474.8333333333333</v>
      </c>
    </row>
    <row r="3282" spans="1:23" x14ac:dyDescent="0.3">
      <c r="A3282" s="13" t="str" cm="1">
        <f t="array" ref="A3282:B3282">INDEX(BenchmarkResults!$B$1:$D$35,SUMPRODUCT((T3282&gt;=BenchmarkResults!$F$3:$F$35)*(mongodb_hardware_log!T3282&lt;BenchmarkResults!$G$3:$G$35)*ROW(BenchmarkResults!$F$3:$F$35)),{1,3})</f>
        <v>q6_inactive_customers</v>
      </c>
      <c r="B3282">
        <v>3</v>
      </c>
      <c r="C3282" s="13">
        <v>1</v>
      </c>
      <c r="D3282" s="13">
        <v>0</v>
      </c>
      <c r="E3282" s="13">
        <v>179968</v>
      </c>
      <c r="F3282" s="13">
        <v>129400</v>
      </c>
      <c r="G3282" s="13">
        <v>11340</v>
      </c>
      <c r="H3282" s="13">
        <v>2244056</v>
      </c>
      <c r="I3282" s="13">
        <v>0</v>
      </c>
      <c r="J3282" s="13">
        <v>0</v>
      </c>
      <c r="K3282" s="13">
        <v>1683</v>
      </c>
      <c r="L3282" s="13">
        <v>426</v>
      </c>
      <c r="M3282" s="13">
        <v>744</v>
      </c>
      <c r="N3282" s="13">
        <v>223</v>
      </c>
      <c r="O3282" s="13">
        <v>33</v>
      </c>
      <c r="P3282" s="13">
        <v>1</v>
      </c>
      <c r="Q3282" s="13">
        <v>65</v>
      </c>
      <c r="R3282" s="13">
        <v>1</v>
      </c>
      <c r="S3282" s="13">
        <v>0</v>
      </c>
      <c r="T3282" s="23">
        <v>46247.818148148152</v>
      </c>
      <c r="U3282" s="55">
        <f t="shared" si="153"/>
        <v>1.1666666666666667</v>
      </c>
      <c r="V3282" s="55">
        <f t="shared" si="154"/>
        <v>0</v>
      </c>
      <c r="W3282" s="56">
        <f t="shared" si="155"/>
        <v>1495.5</v>
      </c>
    </row>
    <row r="3283" spans="1:23" x14ac:dyDescent="0.3">
      <c r="A3283" s="13" t="str" cm="1">
        <f t="array" ref="A3283:B3283">INDEX(BenchmarkResults!$B$1:$D$35,SUMPRODUCT((T3283&gt;=BenchmarkResults!$F$3:$F$35)*(mongodb_hardware_log!T3283&lt;BenchmarkResults!$G$3:$G$35)*ROW(BenchmarkResults!$F$3:$F$35)),{1,3})</f>
        <v>q6_inactive_customers</v>
      </c>
      <c r="B3283">
        <v>3</v>
      </c>
      <c r="C3283" s="13">
        <v>1</v>
      </c>
      <c r="D3283" s="13">
        <v>0</v>
      </c>
      <c r="E3283" s="13">
        <v>179968</v>
      </c>
      <c r="F3283" s="13">
        <v>114280</v>
      </c>
      <c r="G3283" s="13">
        <v>11364</v>
      </c>
      <c r="H3283" s="13">
        <v>2258280</v>
      </c>
      <c r="I3283" s="13">
        <v>0</v>
      </c>
      <c r="J3283" s="13">
        <v>0</v>
      </c>
      <c r="K3283" s="13">
        <v>1698</v>
      </c>
      <c r="L3283" s="13">
        <v>1182</v>
      </c>
      <c r="M3283" s="13">
        <v>733</v>
      </c>
      <c r="N3283" s="13">
        <v>220</v>
      </c>
      <c r="O3283" s="13">
        <v>34</v>
      </c>
      <c r="P3283" s="13">
        <v>1</v>
      </c>
      <c r="Q3283" s="13">
        <v>63</v>
      </c>
      <c r="R3283" s="13">
        <v>2</v>
      </c>
      <c r="S3283" s="13">
        <v>0</v>
      </c>
      <c r="T3283" s="23">
        <v>46247.818252314813</v>
      </c>
      <c r="U3283" s="55">
        <f t="shared" si="153"/>
        <v>1.1666666666666667</v>
      </c>
      <c r="V3283" s="55">
        <f t="shared" si="154"/>
        <v>0</v>
      </c>
      <c r="W3283" s="56">
        <f t="shared" si="155"/>
        <v>1508</v>
      </c>
    </row>
    <row r="3284" spans="1:23" x14ac:dyDescent="0.3">
      <c r="A3284" s="13" t="str" cm="1">
        <f t="array" ref="A3284:B3284">INDEX(BenchmarkResults!$B$1:$D$35,SUMPRODUCT((T3284&gt;=BenchmarkResults!$F$3:$F$35)*(mongodb_hardware_log!T3284&lt;BenchmarkResults!$G$3:$G$35)*ROW(BenchmarkResults!$F$3:$F$35)),{1,3})</f>
        <v>q6_inactive_customers</v>
      </c>
      <c r="B3284">
        <v>3</v>
      </c>
      <c r="C3284" s="13">
        <v>1</v>
      </c>
      <c r="D3284" s="13">
        <v>0</v>
      </c>
      <c r="E3284" s="13">
        <v>179968</v>
      </c>
      <c r="F3284" s="13">
        <v>112768</v>
      </c>
      <c r="G3284" s="13">
        <v>11364</v>
      </c>
      <c r="H3284" s="13">
        <v>2261060</v>
      </c>
      <c r="I3284" s="13">
        <v>0</v>
      </c>
      <c r="J3284" s="13">
        <v>0</v>
      </c>
      <c r="K3284" s="13">
        <v>1702</v>
      </c>
      <c r="L3284" s="13">
        <v>1175</v>
      </c>
      <c r="M3284" s="13">
        <v>733</v>
      </c>
      <c r="N3284" s="13">
        <v>220</v>
      </c>
      <c r="O3284" s="13">
        <v>34</v>
      </c>
      <c r="P3284" s="13">
        <v>1</v>
      </c>
      <c r="Q3284" s="13">
        <v>63</v>
      </c>
      <c r="R3284" s="13">
        <v>2</v>
      </c>
      <c r="S3284" s="13">
        <v>0</v>
      </c>
      <c r="T3284" s="23">
        <v>46247.81826388889</v>
      </c>
      <c r="U3284" s="55">
        <f t="shared" si="153"/>
        <v>1</v>
      </c>
      <c r="V3284" s="55">
        <f t="shared" si="154"/>
        <v>0</v>
      </c>
      <c r="W3284" s="56">
        <f t="shared" si="155"/>
        <v>1519.3333333333333</v>
      </c>
    </row>
    <row r="3285" spans="1:23" x14ac:dyDescent="0.3">
      <c r="A3285" s="13" t="str" cm="1">
        <f t="array" ref="A3285:B3285">INDEX(BenchmarkResults!$B$1:$D$35,SUMPRODUCT((T3285&gt;=BenchmarkResults!$F$3:$F$35)*(mongodb_hardware_log!T3285&lt;BenchmarkResults!$G$3:$G$35)*ROW(BenchmarkResults!$F$3:$F$35)),{1,3})</f>
        <v>q6_inactive_customers</v>
      </c>
      <c r="B3285">
        <v>3</v>
      </c>
      <c r="C3285" s="13">
        <v>1</v>
      </c>
      <c r="D3285" s="13">
        <v>0</v>
      </c>
      <c r="E3285" s="13">
        <v>179968</v>
      </c>
      <c r="F3285" s="13">
        <v>162512</v>
      </c>
      <c r="G3285" s="13">
        <v>11372</v>
      </c>
      <c r="H3285" s="13">
        <v>2219404</v>
      </c>
      <c r="I3285" s="13">
        <v>0</v>
      </c>
      <c r="J3285" s="13">
        <v>0</v>
      </c>
      <c r="K3285" s="13">
        <v>1664</v>
      </c>
      <c r="L3285" s="13">
        <v>8</v>
      </c>
      <c r="M3285" s="13">
        <v>731</v>
      </c>
      <c r="N3285" s="13">
        <v>225</v>
      </c>
      <c r="O3285" s="13">
        <v>33</v>
      </c>
      <c r="P3285" s="13">
        <v>1</v>
      </c>
      <c r="Q3285" s="13">
        <v>65</v>
      </c>
      <c r="R3285" s="13">
        <v>1</v>
      </c>
      <c r="S3285" s="13">
        <v>0</v>
      </c>
      <c r="T3285" s="23">
        <v>46247.818368055552</v>
      </c>
      <c r="U3285" s="55">
        <f t="shared" si="153"/>
        <v>1</v>
      </c>
      <c r="V3285" s="55">
        <f t="shared" si="154"/>
        <v>0</v>
      </c>
      <c r="W3285" s="56">
        <f t="shared" si="155"/>
        <v>1577.8333333333333</v>
      </c>
    </row>
    <row r="3286" spans="1:23" x14ac:dyDescent="0.3">
      <c r="A3286" s="13" t="str" cm="1">
        <f t="array" ref="A3286:B3286">INDEX(BenchmarkResults!$B$1:$D$35,SUMPRODUCT((T3286&gt;=BenchmarkResults!$F$3:$F$35)*(mongodb_hardware_log!T3286&lt;BenchmarkResults!$G$3:$G$35)*ROW(BenchmarkResults!$F$3:$F$35)),{1,3})</f>
        <v>q6_inactive_customers</v>
      </c>
      <c r="B3286">
        <v>3</v>
      </c>
      <c r="C3286" s="13">
        <v>1</v>
      </c>
      <c r="D3286" s="13">
        <v>0</v>
      </c>
      <c r="E3286" s="13">
        <v>179968</v>
      </c>
      <c r="F3286" s="13">
        <v>159488</v>
      </c>
      <c r="G3286" s="13">
        <v>11380</v>
      </c>
      <c r="H3286" s="13">
        <v>2222856</v>
      </c>
      <c r="I3286" s="13">
        <v>0</v>
      </c>
      <c r="J3286" s="13">
        <v>0</v>
      </c>
      <c r="K3286" s="13">
        <v>1732</v>
      </c>
      <c r="L3286" s="13">
        <v>13</v>
      </c>
      <c r="M3286" s="13">
        <v>736</v>
      </c>
      <c r="N3286" s="13">
        <v>233</v>
      </c>
      <c r="O3286" s="13">
        <v>33</v>
      </c>
      <c r="P3286" s="13">
        <v>1</v>
      </c>
      <c r="Q3286" s="13">
        <v>65</v>
      </c>
      <c r="R3286" s="13">
        <v>1</v>
      </c>
      <c r="S3286" s="13">
        <v>0</v>
      </c>
      <c r="T3286" s="23">
        <v>46247.818379629629</v>
      </c>
      <c r="U3286" s="55">
        <f t="shared" si="153"/>
        <v>1</v>
      </c>
      <c r="V3286" s="55">
        <f t="shared" si="154"/>
        <v>0</v>
      </c>
      <c r="W3286" s="56">
        <f t="shared" si="155"/>
        <v>1673.1666666666667</v>
      </c>
    </row>
    <row r="3287" spans="1:23" x14ac:dyDescent="0.3">
      <c r="A3287" s="13" t="str" cm="1">
        <f t="array" ref="A3287:B3287">INDEX(BenchmarkResults!$B$1:$D$35,SUMPRODUCT((T3287&gt;=BenchmarkResults!$F$3:$F$35)*(mongodb_hardware_log!T3287&lt;BenchmarkResults!$G$3:$G$35)*ROW(BenchmarkResults!$F$3:$F$35)),{1,3})</f>
        <v>q6_inactive_customers</v>
      </c>
      <c r="B3287">
        <v>3</v>
      </c>
      <c r="C3287" s="13">
        <v>1</v>
      </c>
      <c r="D3287" s="13">
        <v>0</v>
      </c>
      <c r="E3287" s="13">
        <v>179968</v>
      </c>
      <c r="F3287" s="13">
        <v>144368</v>
      </c>
      <c r="G3287" s="13">
        <v>11388</v>
      </c>
      <c r="H3287" s="13">
        <v>2237072</v>
      </c>
      <c r="I3287" s="13">
        <v>0</v>
      </c>
      <c r="J3287" s="13">
        <v>0</v>
      </c>
      <c r="K3287" s="13">
        <v>1770</v>
      </c>
      <c r="L3287" s="13">
        <v>17</v>
      </c>
      <c r="M3287" s="13">
        <v>741</v>
      </c>
      <c r="N3287" s="13">
        <v>235</v>
      </c>
      <c r="O3287" s="13">
        <v>33</v>
      </c>
      <c r="P3287" s="13">
        <v>1</v>
      </c>
      <c r="Q3287" s="13">
        <v>65</v>
      </c>
      <c r="R3287" s="13">
        <v>1</v>
      </c>
      <c r="S3287" s="13">
        <v>0</v>
      </c>
      <c r="T3287" s="23">
        <v>46247.818483796298</v>
      </c>
      <c r="U3287" s="55">
        <f t="shared" si="153"/>
        <v>1</v>
      </c>
      <c r="V3287" s="55">
        <f t="shared" si="154"/>
        <v>0</v>
      </c>
      <c r="W3287" s="56">
        <f t="shared" si="155"/>
        <v>1708.1666666666667</v>
      </c>
    </row>
    <row r="3288" spans="1:23" x14ac:dyDescent="0.3">
      <c r="A3288" s="13" t="str" cm="1">
        <f t="array" ref="A3288:B3288">INDEX(BenchmarkResults!$B$1:$D$35,SUMPRODUCT((T3288&gt;=BenchmarkResults!$F$3:$F$35)*(mongodb_hardware_log!T3288&lt;BenchmarkResults!$G$3:$G$35)*ROW(BenchmarkResults!$F$3:$F$35)),{1,3})</f>
        <v>q6_inactive_customers</v>
      </c>
      <c r="B3288">
        <v>3</v>
      </c>
      <c r="C3288" s="13">
        <v>1</v>
      </c>
      <c r="D3288" s="13">
        <v>0</v>
      </c>
      <c r="E3288" s="13">
        <v>179968</v>
      </c>
      <c r="F3288" s="13">
        <v>141344</v>
      </c>
      <c r="G3288" s="13">
        <v>11388</v>
      </c>
      <c r="H3288" s="13">
        <v>2240268</v>
      </c>
      <c r="I3288" s="13">
        <v>0</v>
      </c>
      <c r="J3288" s="13">
        <v>0</v>
      </c>
      <c r="K3288" s="13">
        <v>1748</v>
      </c>
      <c r="L3288" s="13">
        <v>11</v>
      </c>
      <c r="M3288" s="13">
        <v>732</v>
      </c>
      <c r="N3288" s="13">
        <v>222</v>
      </c>
      <c r="O3288" s="13">
        <v>33</v>
      </c>
      <c r="P3288" s="13">
        <v>1</v>
      </c>
      <c r="Q3288" s="13">
        <v>65</v>
      </c>
      <c r="R3288" s="13">
        <v>1</v>
      </c>
      <c r="S3288" s="13">
        <v>0</v>
      </c>
      <c r="T3288" s="23">
        <v>46247.818495370368</v>
      </c>
      <c r="U3288" s="55">
        <f t="shared" si="153"/>
        <v>1</v>
      </c>
      <c r="V3288" s="55">
        <f t="shared" si="154"/>
        <v>0</v>
      </c>
      <c r="W3288" s="56">
        <f t="shared" si="155"/>
        <v>1719</v>
      </c>
    </row>
    <row r="3289" spans="1:23" x14ac:dyDescent="0.3">
      <c r="A3289" s="13" t="str" cm="1">
        <f t="array" ref="A3289:B3289">INDEX(BenchmarkResults!$B$1:$D$35,SUMPRODUCT((T3289&gt;=BenchmarkResults!$F$3:$F$35)*(mongodb_hardware_log!T3289&lt;BenchmarkResults!$G$3:$G$35)*ROW(BenchmarkResults!$F$3:$F$35)),{1,3})</f>
        <v>q6_inactive_customers</v>
      </c>
      <c r="B3289">
        <v>3</v>
      </c>
      <c r="C3289" s="13">
        <v>1</v>
      </c>
      <c r="D3289" s="13">
        <v>0</v>
      </c>
      <c r="E3289" s="13">
        <v>179968</v>
      </c>
      <c r="F3289" s="13">
        <v>114380</v>
      </c>
      <c r="G3289" s="13">
        <v>11396</v>
      </c>
      <c r="H3289" s="13">
        <v>2264216</v>
      </c>
      <c r="I3289" s="13">
        <v>0</v>
      </c>
      <c r="J3289" s="13">
        <v>0</v>
      </c>
      <c r="K3289" s="13">
        <v>1148</v>
      </c>
      <c r="L3289" s="13">
        <v>11</v>
      </c>
      <c r="M3289" s="13">
        <v>675</v>
      </c>
      <c r="N3289" s="13">
        <v>175</v>
      </c>
      <c r="O3289" s="13">
        <v>33</v>
      </c>
      <c r="P3289" s="13">
        <v>1</v>
      </c>
      <c r="Q3289" s="13">
        <v>65</v>
      </c>
      <c r="R3289" s="13">
        <v>0</v>
      </c>
      <c r="S3289" s="13">
        <v>0</v>
      </c>
      <c r="T3289" s="23">
        <v>46247.818599537037</v>
      </c>
      <c r="U3289" s="55">
        <f t="shared" si="153"/>
        <v>1</v>
      </c>
      <c r="V3289" s="55">
        <f t="shared" si="154"/>
        <v>0</v>
      </c>
      <c r="W3289" s="56">
        <f t="shared" si="155"/>
        <v>1627.3333333333333</v>
      </c>
    </row>
    <row r="3290" spans="1:23" x14ac:dyDescent="0.3">
      <c r="A3290" s="13" t="str" cm="1">
        <f t="array" ref="A3290:B3290">INDEX(BenchmarkResults!$B$1:$D$35,SUMPRODUCT((T3290&gt;=BenchmarkResults!$F$3:$F$35)*(mongodb_hardware_log!T3290&lt;BenchmarkResults!$G$3:$G$35)*ROW(BenchmarkResults!$F$3:$F$35)),{1,3})</f>
        <v>q6_inactive_customers</v>
      </c>
      <c r="B3290">
        <v>3</v>
      </c>
      <c r="C3290" s="13">
        <v>1</v>
      </c>
      <c r="D3290" s="13">
        <v>0</v>
      </c>
      <c r="E3290" s="13">
        <v>179968</v>
      </c>
      <c r="F3290" s="13">
        <v>114380</v>
      </c>
      <c r="G3290" s="13">
        <v>11404</v>
      </c>
      <c r="H3290" s="13">
        <v>2266372</v>
      </c>
      <c r="I3290" s="13">
        <v>0</v>
      </c>
      <c r="J3290" s="13">
        <v>0</v>
      </c>
      <c r="K3290" s="13">
        <v>1048</v>
      </c>
      <c r="L3290" s="13">
        <v>19</v>
      </c>
      <c r="M3290" s="13">
        <v>677</v>
      </c>
      <c r="N3290" s="13">
        <v>179</v>
      </c>
      <c r="O3290" s="13">
        <v>33</v>
      </c>
      <c r="P3290" s="13">
        <v>1</v>
      </c>
      <c r="Q3290" s="13">
        <v>65</v>
      </c>
      <c r="R3290" s="13">
        <v>0</v>
      </c>
      <c r="S3290" s="13">
        <v>0</v>
      </c>
      <c r="T3290" s="23">
        <v>46247.818611111114</v>
      </c>
      <c r="U3290" s="55">
        <f t="shared" si="153"/>
        <v>1</v>
      </c>
      <c r="V3290" s="55">
        <f t="shared" si="154"/>
        <v>0</v>
      </c>
      <c r="W3290" s="56">
        <f t="shared" si="155"/>
        <v>1518.3333333333333</v>
      </c>
    </row>
    <row r="3291" spans="1:23" x14ac:dyDescent="0.3">
      <c r="A3291" s="13" t="str" cm="1">
        <f t="array" ref="A3291:B3291">INDEX(BenchmarkResults!$B$1:$D$35,SUMPRODUCT((T3291&gt;=BenchmarkResults!$F$3:$F$35)*(mongodb_hardware_log!T3291&lt;BenchmarkResults!$G$3:$G$35)*ROW(BenchmarkResults!$F$3:$F$35)),{1,3})</f>
        <v>q6_inactive_customers</v>
      </c>
      <c r="B3291">
        <v>3</v>
      </c>
      <c r="C3291" s="13">
        <v>1</v>
      </c>
      <c r="D3291" s="13">
        <v>0</v>
      </c>
      <c r="E3291" s="13">
        <v>179968</v>
      </c>
      <c r="F3291" s="13">
        <v>141660</v>
      </c>
      <c r="G3291" s="13">
        <v>11412</v>
      </c>
      <c r="H3291" s="13">
        <v>2240228</v>
      </c>
      <c r="I3291" s="13">
        <v>0</v>
      </c>
      <c r="J3291" s="13">
        <v>0</v>
      </c>
      <c r="K3291" s="13">
        <v>1629</v>
      </c>
      <c r="L3291" s="13">
        <v>20</v>
      </c>
      <c r="M3291" s="13">
        <v>719</v>
      </c>
      <c r="N3291" s="13">
        <v>212</v>
      </c>
      <c r="O3291" s="13">
        <v>33</v>
      </c>
      <c r="P3291" s="13">
        <v>1</v>
      </c>
      <c r="Q3291" s="13">
        <v>65</v>
      </c>
      <c r="R3291" s="13">
        <v>0</v>
      </c>
      <c r="S3291" s="13">
        <v>0</v>
      </c>
      <c r="T3291" s="23">
        <v>46247.818715277775</v>
      </c>
      <c r="U3291" s="55">
        <f t="shared" si="153"/>
        <v>1</v>
      </c>
      <c r="V3291" s="55">
        <f t="shared" si="154"/>
        <v>0</v>
      </c>
      <c r="W3291" s="56">
        <f t="shared" si="155"/>
        <v>1512.5</v>
      </c>
    </row>
    <row r="3292" spans="1:23" x14ac:dyDescent="0.3">
      <c r="A3292" s="13" t="str" cm="1">
        <f t="array" ref="A3292:B3292">INDEX(BenchmarkResults!$B$1:$D$35,SUMPRODUCT((T3292&gt;=BenchmarkResults!$F$3:$F$35)*(mongodb_hardware_log!T3292&lt;BenchmarkResults!$G$3:$G$35)*ROW(BenchmarkResults!$F$3:$F$35)),{1,3})</f>
        <v>q6_inactive_customers</v>
      </c>
      <c r="B3292">
        <v>3</v>
      </c>
      <c r="C3292" s="13">
        <v>1</v>
      </c>
      <c r="D3292" s="13">
        <v>0</v>
      </c>
      <c r="E3292" s="13">
        <v>179968</v>
      </c>
      <c r="F3292" s="13">
        <v>133596</v>
      </c>
      <c r="G3292" s="13">
        <v>11412</v>
      </c>
      <c r="H3292" s="13">
        <v>2243784</v>
      </c>
      <c r="I3292" s="13">
        <v>0</v>
      </c>
      <c r="J3292" s="13">
        <v>0</v>
      </c>
      <c r="K3292" s="13">
        <v>1767</v>
      </c>
      <c r="L3292" s="13">
        <v>12</v>
      </c>
      <c r="M3292" s="13">
        <v>722</v>
      </c>
      <c r="N3292" s="13">
        <v>211</v>
      </c>
      <c r="O3292" s="13">
        <v>33</v>
      </c>
      <c r="P3292" s="13">
        <v>1</v>
      </c>
      <c r="Q3292" s="13">
        <v>65</v>
      </c>
      <c r="R3292" s="13">
        <v>0</v>
      </c>
      <c r="S3292" s="13">
        <v>0</v>
      </c>
      <c r="T3292" s="23">
        <v>46247.818726851852</v>
      </c>
      <c r="U3292" s="55">
        <f t="shared" si="153"/>
        <v>1</v>
      </c>
      <c r="V3292" s="55">
        <f t="shared" si="154"/>
        <v>0</v>
      </c>
      <c r="W3292" s="56">
        <f t="shared" si="155"/>
        <v>1518.3333333333333</v>
      </c>
    </row>
    <row r="3293" spans="1:23" x14ac:dyDescent="0.3">
      <c r="A3293" s="13" t="str" cm="1">
        <f t="array" ref="A3293:B3293">INDEX(BenchmarkResults!$B$1:$D$35,SUMPRODUCT((T3293&gt;=BenchmarkResults!$F$3:$F$35)*(mongodb_hardware_log!T3293&lt;BenchmarkResults!$G$3:$G$35)*ROW(BenchmarkResults!$F$3:$F$35)),{1,3})</f>
        <v>q6_inactive_customers</v>
      </c>
      <c r="B3293">
        <v>3</v>
      </c>
      <c r="C3293" s="13">
        <v>1</v>
      </c>
      <c r="D3293" s="13">
        <v>0</v>
      </c>
      <c r="E3293" s="13">
        <v>179968</v>
      </c>
      <c r="F3293" s="13">
        <v>124524</v>
      </c>
      <c r="G3293" s="13">
        <v>11420</v>
      </c>
      <c r="H3293" s="13">
        <v>2256276</v>
      </c>
      <c r="I3293" s="13">
        <v>0</v>
      </c>
      <c r="J3293" s="13">
        <v>0</v>
      </c>
      <c r="K3293" s="13">
        <v>1597</v>
      </c>
      <c r="L3293" s="13">
        <v>6</v>
      </c>
      <c r="M3293" s="13">
        <v>739</v>
      </c>
      <c r="N3293" s="13">
        <v>216</v>
      </c>
      <c r="O3293" s="13">
        <v>34</v>
      </c>
      <c r="P3293" s="13">
        <v>1</v>
      </c>
      <c r="Q3293" s="13">
        <v>65</v>
      </c>
      <c r="R3293" s="13">
        <v>0</v>
      </c>
      <c r="S3293" s="13">
        <v>0</v>
      </c>
      <c r="T3293" s="23">
        <v>46247.818831018521</v>
      </c>
      <c r="U3293" s="55">
        <f t="shared" si="153"/>
        <v>1</v>
      </c>
      <c r="V3293" s="55">
        <f t="shared" si="154"/>
        <v>0</v>
      </c>
      <c r="W3293" s="56">
        <f t="shared" si="155"/>
        <v>1489.5</v>
      </c>
    </row>
    <row r="3294" spans="1:23" x14ac:dyDescent="0.3">
      <c r="A3294" s="13" t="str" cm="1">
        <f t="array" ref="A3294:B3294">INDEX(BenchmarkResults!$B$1:$D$35,SUMPRODUCT((T3294&gt;=BenchmarkResults!$F$3:$F$35)*(mongodb_hardware_log!T3294&lt;BenchmarkResults!$G$3:$G$35)*ROW(BenchmarkResults!$F$3:$F$35)),{1,3})</f>
        <v>q6_inactive_customers</v>
      </c>
      <c r="B3294">
        <v>3</v>
      </c>
      <c r="C3294" s="13">
        <v>1</v>
      </c>
      <c r="D3294" s="13">
        <v>0</v>
      </c>
      <c r="E3294" s="13">
        <v>179968</v>
      </c>
      <c r="F3294" s="13">
        <v>123516</v>
      </c>
      <c r="G3294" s="13">
        <v>11420</v>
      </c>
      <c r="H3294" s="13">
        <v>2259020</v>
      </c>
      <c r="I3294" s="13">
        <v>0</v>
      </c>
      <c r="J3294" s="13">
        <v>0</v>
      </c>
      <c r="K3294" s="13">
        <v>1522</v>
      </c>
      <c r="L3294" s="13">
        <v>6</v>
      </c>
      <c r="M3294" s="13">
        <v>740</v>
      </c>
      <c r="N3294" s="13">
        <v>217</v>
      </c>
      <c r="O3294" s="13">
        <v>34</v>
      </c>
      <c r="P3294" s="13">
        <v>1</v>
      </c>
      <c r="Q3294" s="13">
        <v>65</v>
      </c>
      <c r="R3294" s="13">
        <v>1</v>
      </c>
      <c r="S3294" s="13">
        <v>0</v>
      </c>
      <c r="T3294" s="23">
        <v>46247.818842592591</v>
      </c>
      <c r="U3294" s="55">
        <f t="shared" si="153"/>
        <v>1</v>
      </c>
      <c r="V3294" s="55">
        <f t="shared" si="154"/>
        <v>0</v>
      </c>
      <c r="W3294" s="56">
        <f t="shared" si="155"/>
        <v>1451.8333333333333</v>
      </c>
    </row>
    <row r="3295" spans="1:23" x14ac:dyDescent="0.3">
      <c r="A3295" s="13" t="str" cm="1">
        <f t="array" ref="A3295:B3295">INDEX(BenchmarkResults!$B$1:$D$35,SUMPRODUCT((T3295&gt;=BenchmarkResults!$F$3:$F$35)*(mongodb_hardware_log!T3295&lt;BenchmarkResults!$G$3:$G$35)*ROW(BenchmarkResults!$F$3:$F$35)),{1,3})</f>
        <v>q6_inactive_customers</v>
      </c>
      <c r="B3295">
        <v>3</v>
      </c>
      <c r="C3295" s="13">
        <v>1</v>
      </c>
      <c r="D3295" s="13">
        <v>0</v>
      </c>
      <c r="E3295" s="13">
        <v>179968</v>
      </c>
      <c r="F3295" s="13">
        <v>108900</v>
      </c>
      <c r="G3295" s="13">
        <v>11476</v>
      </c>
      <c r="H3295" s="13">
        <v>2272632</v>
      </c>
      <c r="I3295" s="13">
        <v>0</v>
      </c>
      <c r="J3295" s="13">
        <v>0</v>
      </c>
      <c r="K3295" s="13">
        <v>1631</v>
      </c>
      <c r="L3295" s="13">
        <v>1590</v>
      </c>
      <c r="M3295" s="13">
        <v>738</v>
      </c>
      <c r="N3295" s="13">
        <v>226</v>
      </c>
      <c r="O3295" s="13">
        <v>33</v>
      </c>
      <c r="P3295" s="13">
        <v>1</v>
      </c>
      <c r="Q3295" s="13">
        <v>64</v>
      </c>
      <c r="R3295" s="13">
        <v>2</v>
      </c>
      <c r="S3295" s="13">
        <v>0</v>
      </c>
      <c r="T3295" s="23">
        <v>46247.81894675926</v>
      </c>
      <c r="U3295" s="55">
        <f t="shared" si="153"/>
        <v>1</v>
      </c>
      <c r="V3295" s="55">
        <f t="shared" si="154"/>
        <v>0</v>
      </c>
      <c r="W3295" s="56">
        <f t="shared" si="155"/>
        <v>1532.3333333333333</v>
      </c>
    </row>
    <row r="3296" spans="1:23" x14ac:dyDescent="0.3">
      <c r="A3296" s="13" t="str" cm="1">
        <f t="array" ref="A3296:B3296">INDEX(BenchmarkResults!$B$1:$D$35,SUMPRODUCT((T3296&gt;=BenchmarkResults!$F$3:$F$35)*(mongodb_hardware_log!T3296&lt;BenchmarkResults!$G$3:$G$35)*ROW(BenchmarkResults!$F$3:$F$35)),{1,3})</f>
        <v>q6_inactive_customers</v>
      </c>
      <c r="B3296">
        <v>3</v>
      </c>
      <c r="C3296" s="13">
        <v>2</v>
      </c>
      <c r="D3296" s="13">
        <v>0</v>
      </c>
      <c r="E3296" s="13">
        <v>179968</v>
      </c>
      <c r="F3296" s="13">
        <v>105876</v>
      </c>
      <c r="G3296" s="13">
        <v>11476</v>
      </c>
      <c r="H3296" s="13">
        <v>2276464</v>
      </c>
      <c r="I3296" s="13">
        <v>0</v>
      </c>
      <c r="J3296" s="13">
        <v>0</v>
      </c>
      <c r="K3296" s="13">
        <v>1731</v>
      </c>
      <c r="L3296" s="13">
        <v>1590</v>
      </c>
      <c r="M3296" s="13">
        <v>758</v>
      </c>
      <c r="N3296" s="13">
        <v>249</v>
      </c>
      <c r="O3296" s="13">
        <v>33</v>
      </c>
      <c r="P3296" s="13">
        <v>1</v>
      </c>
      <c r="Q3296" s="13">
        <v>64</v>
      </c>
      <c r="R3296" s="13">
        <v>2</v>
      </c>
      <c r="S3296" s="13">
        <v>0</v>
      </c>
      <c r="T3296" s="23">
        <v>46247.818958333337</v>
      </c>
      <c r="U3296" s="55">
        <f t="shared" si="153"/>
        <v>1.1666666666666667</v>
      </c>
      <c r="V3296" s="55">
        <f t="shared" si="154"/>
        <v>0</v>
      </c>
      <c r="W3296" s="56">
        <f t="shared" si="155"/>
        <v>1646.1666666666667</v>
      </c>
    </row>
    <row r="3297" spans="1:23" x14ac:dyDescent="0.3">
      <c r="A3297" s="13" t="str" cm="1">
        <f t="array" ref="A3297:B3297">INDEX(BenchmarkResults!$B$1:$D$35,SUMPRODUCT((T3297&gt;=BenchmarkResults!$F$3:$F$35)*(mongodb_hardware_log!T3297&lt;BenchmarkResults!$G$3:$G$35)*ROW(BenchmarkResults!$F$3:$F$35)),{1,3})</f>
        <v>q6_inactive_customers</v>
      </c>
      <c r="B3297">
        <v>3</v>
      </c>
      <c r="C3297" s="13">
        <v>1</v>
      </c>
      <c r="D3297" s="13">
        <v>0</v>
      </c>
      <c r="E3297" s="13">
        <v>179968</v>
      </c>
      <c r="F3297" s="13">
        <v>147976</v>
      </c>
      <c r="G3297" s="13">
        <v>11484</v>
      </c>
      <c r="H3297" s="13">
        <v>2232472</v>
      </c>
      <c r="I3297" s="13">
        <v>0</v>
      </c>
      <c r="J3297" s="13">
        <v>0</v>
      </c>
      <c r="K3297" s="13">
        <v>1539</v>
      </c>
      <c r="L3297" s="13">
        <v>13</v>
      </c>
      <c r="M3297" s="13">
        <v>762</v>
      </c>
      <c r="N3297" s="13">
        <v>253</v>
      </c>
      <c r="O3297" s="13">
        <v>33</v>
      </c>
      <c r="P3297" s="13">
        <v>1</v>
      </c>
      <c r="Q3297" s="13">
        <v>65</v>
      </c>
      <c r="R3297" s="13">
        <v>0</v>
      </c>
      <c r="S3297" s="13">
        <v>0</v>
      </c>
      <c r="T3297" s="23">
        <v>46247.819062499999</v>
      </c>
      <c r="U3297" s="55">
        <f t="shared" si="153"/>
        <v>1.1666666666666667</v>
      </c>
      <c r="V3297" s="55">
        <f t="shared" si="154"/>
        <v>0</v>
      </c>
      <c r="W3297" s="56">
        <f t="shared" si="155"/>
        <v>1631.1666666666667</v>
      </c>
    </row>
    <row r="3298" spans="1:23" x14ac:dyDescent="0.3">
      <c r="A3298" s="13" t="str" cm="1">
        <f t="array" ref="A3298:B3298">INDEX(BenchmarkResults!$B$1:$D$35,SUMPRODUCT((T3298&gt;=BenchmarkResults!$F$3:$F$35)*(mongodb_hardware_log!T3298&lt;BenchmarkResults!$G$3:$G$35)*ROW(BenchmarkResults!$F$3:$F$35)),{1,3})</f>
        <v>q6_inactive_customers</v>
      </c>
      <c r="B3298">
        <v>3</v>
      </c>
      <c r="C3298" s="13">
        <v>1</v>
      </c>
      <c r="D3298" s="13">
        <v>0</v>
      </c>
      <c r="E3298" s="13">
        <v>179968</v>
      </c>
      <c r="F3298" s="13">
        <v>139912</v>
      </c>
      <c r="G3298" s="13">
        <v>11492</v>
      </c>
      <c r="H3298" s="13">
        <v>2236032</v>
      </c>
      <c r="I3298" s="13">
        <v>0</v>
      </c>
      <c r="J3298" s="13">
        <v>0</v>
      </c>
      <c r="K3298" s="13">
        <v>1510</v>
      </c>
      <c r="L3298" s="13">
        <v>18</v>
      </c>
      <c r="M3298" s="13">
        <v>743</v>
      </c>
      <c r="N3298" s="13">
        <v>237</v>
      </c>
      <c r="O3298" s="13">
        <v>33</v>
      </c>
      <c r="P3298" s="13">
        <v>1</v>
      </c>
      <c r="Q3298" s="13">
        <v>65</v>
      </c>
      <c r="R3298" s="13">
        <v>0</v>
      </c>
      <c r="S3298" s="13">
        <v>0</v>
      </c>
      <c r="T3298" s="23">
        <v>46247.819074074076</v>
      </c>
      <c r="U3298" s="55">
        <f t="shared" si="153"/>
        <v>1.1666666666666667</v>
      </c>
      <c r="V3298" s="55">
        <f t="shared" si="154"/>
        <v>0</v>
      </c>
      <c r="W3298" s="56">
        <f t="shared" si="155"/>
        <v>1588.3333333333333</v>
      </c>
    </row>
    <row r="3299" spans="1:23" x14ac:dyDescent="0.3">
      <c r="A3299" s="13" t="str" cm="1">
        <f t="array" ref="A3299:B3299">INDEX(BenchmarkResults!$B$1:$D$35,SUMPRODUCT((T3299&gt;=BenchmarkResults!$F$3:$F$35)*(mongodb_hardware_log!T3299&lt;BenchmarkResults!$G$3:$G$35)*ROW(BenchmarkResults!$F$3:$F$35)),{1,3})</f>
        <v>q6_inactive_customers</v>
      </c>
      <c r="B3299">
        <v>3</v>
      </c>
      <c r="C3299" s="13">
        <v>1</v>
      </c>
      <c r="D3299" s="13">
        <v>0</v>
      </c>
      <c r="E3299" s="13">
        <v>179968</v>
      </c>
      <c r="F3299" s="13">
        <v>695544</v>
      </c>
      <c r="G3299" s="13">
        <v>11500</v>
      </c>
      <c r="H3299" s="13">
        <v>1634820</v>
      </c>
      <c r="I3299" s="13">
        <v>0</v>
      </c>
      <c r="J3299" s="13">
        <v>0</v>
      </c>
      <c r="K3299" s="13">
        <v>1108</v>
      </c>
      <c r="L3299" s="13">
        <v>20</v>
      </c>
      <c r="M3299" s="13">
        <v>1045</v>
      </c>
      <c r="N3299" s="13">
        <v>471</v>
      </c>
      <c r="O3299" s="13">
        <v>39</v>
      </c>
      <c r="P3299" s="13">
        <v>12</v>
      </c>
      <c r="Q3299" s="13">
        <v>48</v>
      </c>
      <c r="R3299" s="13">
        <v>0</v>
      </c>
      <c r="S3299" s="13">
        <v>0</v>
      </c>
      <c r="T3299" s="23">
        <v>46247.819178240738</v>
      </c>
      <c r="U3299" s="55">
        <f t="shared" si="153"/>
        <v>1.1666666666666667</v>
      </c>
      <c r="V3299" s="55">
        <f t="shared" si="154"/>
        <v>0</v>
      </c>
      <c r="W3299" s="56">
        <f t="shared" si="155"/>
        <v>1506.8333333333333</v>
      </c>
    </row>
    <row r="3300" spans="1:23" x14ac:dyDescent="0.3">
      <c r="A3300" s="13" t="str" cm="1">
        <f t="array" ref="A3300:B3300">INDEX(BenchmarkResults!$B$1:$D$35,SUMPRODUCT((T3300&gt;=BenchmarkResults!$F$3:$F$35)*(mongodb_hardware_log!T3300&lt;BenchmarkResults!$G$3:$G$35)*ROW(BenchmarkResults!$F$3:$F$35)),{1,3})</f>
        <v>q6_inactive_customers</v>
      </c>
      <c r="B3300">
        <v>3</v>
      </c>
      <c r="C3300" s="13">
        <v>1</v>
      </c>
      <c r="D3300" s="13">
        <v>0</v>
      </c>
      <c r="E3300" s="13">
        <v>179968</v>
      </c>
      <c r="F3300" s="13">
        <v>695544</v>
      </c>
      <c r="G3300" s="13">
        <v>11500</v>
      </c>
      <c r="H3300" s="13">
        <v>1639656</v>
      </c>
      <c r="I3300" s="13">
        <v>0</v>
      </c>
      <c r="J3300" s="13">
        <v>0</v>
      </c>
      <c r="K3300" s="13">
        <v>793</v>
      </c>
      <c r="L3300" s="13">
        <v>16</v>
      </c>
      <c r="M3300" s="13">
        <v>1025</v>
      </c>
      <c r="N3300" s="13">
        <v>448</v>
      </c>
      <c r="O3300" s="13">
        <v>39</v>
      </c>
      <c r="P3300" s="13">
        <v>12</v>
      </c>
      <c r="Q3300" s="13">
        <v>48</v>
      </c>
      <c r="R3300" s="13">
        <v>0</v>
      </c>
      <c r="S3300" s="13">
        <v>0</v>
      </c>
      <c r="T3300" s="23">
        <v>46247.819189814814</v>
      </c>
      <c r="U3300" s="55">
        <f t="shared" si="153"/>
        <v>1.1666666666666667</v>
      </c>
      <c r="V3300" s="55">
        <f t="shared" si="154"/>
        <v>0</v>
      </c>
      <c r="W3300" s="56">
        <f t="shared" si="155"/>
        <v>1385.3333333333333</v>
      </c>
    </row>
    <row r="3301" spans="1:23" x14ac:dyDescent="0.3">
      <c r="A3301" s="13" t="str" cm="1">
        <f t="array" ref="A3301:B3301">INDEX(BenchmarkResults!$B$1:$D$35,SUMPRODUCT((T3301&gt;=BenchmarkResults!$F$3:$F$35)*(mongodb_hardware_log!T3301&lt;BenchmarkResults!$G$3:$G$35)*ROW(BenchmarkResults!$F$3:$F$35)),{1,3})</f>
        <v>q6_inactive_customers</v>
      </c>
      <c r="B3301">
        <v>3</v>
      </c>
      <c r="C3301" s="13">
        <v>1</v>
      </c>
      <c r="D3301" s="13">
        <v>0</v>
      </c>
      <c r="E3301" s="13">
        <v>179968</v>
      </c>
      <c r="F3301" s="13">
        <v>671604</v>
      </c>
      <c r="G3301" s="13">
        <v>11516</v>
      </c>
      <c r="H3301" s="13">
        <v>1661788</v>
      </c>
      <c r="I3301" s="13">
        <v>0</v>
      </c>
      <c r="J3301" s="13">
        <v>0</v>
      </c>
      <c r="K3301" s="13">
        <v>1128</v>
      </c>
      <c r="L3301" s="13">
        <v>11</v>
      </c>
      <c r="M3301" s="13">
        <v>740</v>
      </c>
      <c r="N3301" s="13">
        <v>238</v>
      </c>
      <c r="O3301" s="13">
        <v>33</v>
      </c>
      <c r="P3301" s="13">
        <v>1</v>
      </c>
      <c r="Q3301" s="13">
        <v>65</v>
      </c>
      <c r="R3301" s="13">
        <v>0</v>
      </c>
      <c r="S3301" s="13">
        <v>0</v>
      </c>
      <c r="T3301" s="23">
        <v>46247.819293981483</v>
      </c>
      <c r="U3301" s="55">
        <f t="shared" si="153"/>
        <v>1.1666666666666667</v>
      </c>
      <c r="V3301" s="55">
        <f t="shared" si="154"/>
        <v>0</v>
      </c>
      <c r="W3301" s="56">
        <f t="shared" si="155"/>
        <v>1301.5</v>
      </c>
    </row>
    <row r="3302" spans="1:23" x14ac:dyDescent="0.3">
      <c r="A3302" s="13" t="str" cm="1">
        <f t="array" ref="A3302:B3302">INDEX(BenchmarkResults!$B$1:$D$35,SUMPRODUCT((T3302&gt;=BenchmarkResults!$F$3:$F$35)*(mongodb_hardware_log!T3302&lt;BenchmarkResults!$G$3:$G$35)*ROW(BenchmarkResults!$F$3:$F$35)),{1,3})</f>
        <v>q6_inactive_customers</v>
      </c>
      <c r="B3302">
        <v>3</v>
      </c>
      <c r="C3302" s="13">
        <v>1</v>
      </c>
      <c r="D3302" s="13">
        <v>0</v>
      </c>
      <c r="E3302" s="13">
        <v>179968</v>
      </c>
      <c r="F3302" s="13">
        <v>671352</v>
      </c>
      <c r="G3302" s="13">
        <v>11516</v>
      </c>
      <c r="H3302" s="13">
        <v>1664796</v>
      </c>
      <c r="I3302" s="13">
        <v>0</v>
      </c>
      <c r="J3302" s="13">
        <v>0</v>
      </c>
      <c r="K3302" s="13">
        <v>1399</v>
      </c>
      <c r="L3302" s="13">
        <v>10</v>
      </c>
      <c r="M3302" s="13">
        <v>763</v>
      </c>
      <c r="N3302" s="13">
        <v>261</v>
      </c>
      <c r="O3302" s="13">
        <v>33</v>
      </c>
      <c r="P3302" s="13">
        <v>2</v>
      </c>
      <c r="Q3302" s="13">
        <v>65</v>
      </c>
      <c r="R3302" s="13">
        <v>0</v>
      </c>
      <c r="S3302" s="13">
        <v>0</v>
      </c>
      <c r="T3302" s="23">
        <v>46247.819305555553</v>
      </c>
      <c r="U3302" s="55">
        <f t="shared" si="153"/>
        <v>1</v>
      </c>
      <c r="V3302" s="55">
        <f t="shared" si="154"/>
        <v>0</v>
      </c>
      <c r="W3302" s="56">
        <f t="shared" si="155"/>
        <v>1246.1666666666667</v>
      </c>
    </row>
    <row r="3303" spans="1:23" x14ac:dyDescent="0.3">
      <c r="A3303" s="13" t="str" cm="1">
        <f t="array" ref="A3303:B3303">INDEX(BenchmarkResults!$B$1:$D$35,SUMPRODUCT((T3303&gt;=BenchmarkResults!$F$3:$F$35)*(mongodb_hardware_log!T3303&lt;BenchmarkResults!$G$3:$G$35)*ROW(BenchmarkResults!$F$3:$F$35)),{1,3})</f>
        <v>q6_inactive_customers</v>
      </c>
      <c r="B3303">
        <v>3</v>
      </c>
      <c r="C3303" s="13">
        <v>1</v>
      </c>
      <c r="D3303" s="13">
        <v>0</v>
      </c>
      <c r="E3303" s="13">
        <v>179968</v>
      </c>
      <c r="F3303" s="13">
        <v>656232</v>
      </c>
      <c r="G3303" s="13">
        <v>11524</v>
      </c>
      <c r="H3303" s="13">
        <v>1677084</v>
      </c>
      <c r="I3303" s="13">
        <v>0</v>
      </c>
      <c r="J3303" s="13">
        <v>0</v>
      </c>
      <c r="K3303" s="13">
        <v>1529</v>
      </c>
      <c r="L3303" s="13">
        <v>7</v>
      </c>
      <c r="M3303" s="13">
        <v>794</v>
      </c>
      <c r="N3303" s="13">
        <v>288</v>
      </c>
      <c r="O3303" s="13">
        <v>33</v>
      </c>
      <c r="P3303" s="13">
        <v>1</v>
      </c>
      <c r="Q3303" s="13">
        <v>65</v>
      </c>
      <c r="R3303" s="13">
        <v>0</v>
      </c>
      <c r="S3303" s="13">
        <v>0</v>
      </c>
      <c r="T3303" s="23">
        <v>46247.819409722222</v>
      </c>
      <c r="U3303" s="55">
        <f t="shared" si="153"/>
        <v>1</v>
      </c>
      <c r="V3303" s="55">
        <f t="shared" si="154"/>
        <v>0</v>
      </c>
      <c r="W3303" s="56">
        <f t="shared" si="155"/>
        <v>1244.5</v>
      </c>
    </row>
    <row r="3304" spans="1:23" x14ac:dyDescent="0.3">
      <c r="A3304" s="13" t="str" cm="1">
        <f t="array" ref="A3304:B3304">INDEX(BenchmarkResults!$B$1:$D$35,SUMPRODUCT((T3304&gt;=BenchmarkResults!$F$3:$F$35)*(mongodb_hardware_log!T3304&lt;BenchmarkResults!$G$3:$G$35)*ROW(BenchmarkResults!$F$3:$F$35)),{1,3})</f>
        <v>q6_inactive_customers</v>
      </c>
      <c r="B3304">
        <v>3</v>
      </c>
      <c r="C3304" s="13">
        <v>1</v>
      </c>
      <c r="D3304" s="13">
        <v>0</v>
      </c>
      <c r="E3304" s="13">
        <v>179968</v>
      </c>
      <c r="F3304" s="13">
        <v>656232</v>
      </c>
      <c r="G3304" s="13">
        <v>11532</v>
      </c>
      <c r="H3304" s="13">
        <v>1679696</v>
      </c>
      <c r="I3304" s="13">
        <v>0</v>
      </c>
      <c r="J3304" s="13">
        <v>0</v>
      </c>
      <c r="K3304" s="13">
        <v>1491</v>
      </c>
      <c r="L3304" s="13">
        <v>12</v>
      </c>
      <c r="M3304" s="13">
        <v>789</v>
      </c>
      <c r="N3304" s="13">
        <v>285</v>
      </c>
      <c r="O3304" s="13">
        <v>34</v>
      </c>
      <c r="P3304" s="13">
        <v>1</v>
      </c>
      <c r="Q3304" s="13">
        <v>64</v>
      </c>
      <c r="R3304" s="13">
        <v>1</v>
      </c>
      <c r="S3304" s="13">
        <v>0</v>
      </c>
      <c r="T3304" s="23">
        <v>46247.819421296299</v>
      </c>
      <c r="U3304" s="55">
        <f t="shared" si="153"/>
        <v>1</v>
      </c>
      <c r="V3304" s="55">
        <f t="shared" si="154"/>
        <v>0</v>
      </c>
      <c r="W3304" s="56">
        <f t="shared" si="155"/>
        <v>1241.3333333333333</v>
      </c>
    </row>
    <row r="3305" spans="1:23" x14ac:dyDescent="0.3">
      <c r="A3305" s="13" t="str" cm="1">
        <f t="array" ref="A3305:B3305">INDEX(BenchmarkResults!$B$1:$D$35,SUMPRODUCT((T3305&gt;=BenchmarkResults!$F$3:$F$35)*(mongodb_hardware_log!T3305&lt;BenchmarkResults!$G$3:$G$35)*ROW(BenchmarkResults!$F$3:$F$35)),{1,3})</f>
        <v>q6_inactive_customers</v>
      </c>
      <c r="B3305">
        <v>3</v>
      </c>
      <c r="C3305" s="13">
        <v>0</v>
      </c>
      <c r="D3305" s="13">
        <v>1</v>
      </c>
      <c r="E3305" s="13">
        <v>179968</v>
      </c>
      <c r="F3305" s="13">
        <v>642120</v>
      </c>
      <c r="G3305" s="13">
        <v>11540</v>
      </c>
      <c r="H3305" s="13">
        <v>1691060</v>
      </c>
      <c r="I3305" s="13">
        <v>0</v>
      </c>
      <c r="J3305" s="13">
        <v>0</v>
      </c>
      <c r="K3305" s="13">
        <v>1398</v>
      </c>
      <c r="L3305" s="13">
        <v>1577</v>
      </c>
      <c r="M3305" s="13">
        <v>737</v>
      </c>
      <c r="N3305" s="13">
        <v>215</v>
      </c>
      <c r="O3305" s="13">
        <v>33</v>
      </c>
      <c r="P3305" s="13">
        <v>1</v>
      </c>
      <c r="Q3305" s="13">
        <v>63</v>
      </c>
      <c r="R3305" s="13">
        <v>2</v>
      </c>
      <c r="S3305" s="13">
        <v>0</v>
      </c>
      <c r="T3305" s="23">
        <v>46247.819525462961</v>
      </c>
      <c r="U3305" s="55">
        <f t="shared" si="153"/>
        <v>0.83333333333333337</v>
      </c>
      <c r="V3305" s="55">
        <f t="shared" si="154"/>
        <v>0.16666666666666666</v>
      </c>
      <c r="W3305" s="56">
        <f t="shared" si="155"/>
        <v>1289.6666666666667</v>
      </c>
    </row>
    <row r="3306" spans="1:23" x14ac:dyDescent="0.3">
      <c r="A3306" s="13" t="str" cm="1">
        <f t="array" ref="A3306:B3306">INDEX(BenchmarkResults!$B$1:$D$35,SUMPRODUCT((T3306&gt;=BenchmarkResults!$F$3:$F$35)*(mongodb_hardware_log!T3306&lt;BenchmarkResults!$G$3:$G$35)*ROW(BenchmarkResults!$F$3:$F$35)),{1,3})</f>
        <v>q6_inactive_customers</v>
      </c>
      <c r="B3306">
        <v>3</v>
      </c>
      <c r="C3306" s="13">
        <v>1</v>
      </c>
      <c r="D3306" s="13">
        <v>0</v>
      </c>
      <c r="E3306" s="13">
        <v>179968</v>
      </c>
      <c r="F3306" s="13">
        <v>642120</v>
      </c>
      <c r="G3306" s="13">
        <v>11540</v>
      </c>
      <c r="H3306" s="13">
        <v>1694132</v>
      </c>
      <c r="I3306" s="13">
        <v>0</v>
      </c>
      <c r="J3306" s="13">
        <v>0</v>
      </c>
      <c r="K3306" s="13">
        <v>1443</v>
      </c>
      <c r="L3306" s="13">
        <v>1572</v>
      </c>
      <c r="M3306" s="13">
        <v>736</v>
      </c>
      <c r="N3306" s="13">
        <v>210</v>
      </c>
      <c r="O3306" s="13">
        <v>33</v>
      </c>
      <c r="P3306" s="13">
        <v>1</v>
      </c>
      <c r="Q3306" s="13">
        <v>63</v>
      </c>
      <c r="R3306" s="13">
        <v>2</v>
      </c>
      <c r="S3306" s="13">
        <v>0</v>
      </c>
      <c r="T3306" s="23">
        <v>46247.819537037038</v>
      </c>
      <c r="U3306" s="55">
        <f t="shared" si="153"/>
        <v>0.83333333333333337</v>
      </c>
      <c r="V3306" s="55">
        <f t="shared" si="154"/>
        <v>0.16666666666666666</v>
      </c>
      <c r="W3306" s="56">
        <f t="shared" si="155"/>
        <v>1398</v>
      </c>
    </row>
    <row r="3307" spans="1:23" x14ac:dyDescent="0.3">
      <c r="A3307" s="13" t="str" cm="1">
        <f t="array" ref="A3307:B3307">INDEX(BenchmarkResults!$B$1:$D$35,SUMPRODUCT((T3307&gt;=BenchmarkResults!$F$3:$F$35)*(mongodb_hardware_log!T3307&lt;BenchmarkResults!$G$3:$G$35)*ROW(BenchmarkResults!$F$3:$F$35)),{1,3})</f>
        <v>q6_inactive_customers</v>
      </c>
      <c r="B3307">
        <v>3</v>
      </c>
      <c r="C3307" s="13">
        <v>1</v>
      </c>
      <c r="D3307" s="13">
        <v>0</v>
      </c>
      <c r="E3307" s="13">
        <v>179968</v>
      </c>
      <c r="F3307" s="13">
        <v>652004</v>
      </c>
      <c r="G3307" s="13">
        <v>11564</v>
      </c>
      <c r="H3307" s="13">
        <v>1706072</v>
      </c>
      <c r="I3307" s="13">
        <v>0</v>
      </c>
      <c r="J3307" s="13">
        <v>0</v>
      </c>
      <c r="K3307" s="13">
        <v>1510</v>
      </c>
      <c r="L3307" s="13">
        <v>22</v>
      </c>
      <c r="M3307" s="13">
        <v>743</v>
      </c>
      <c r="N3307" s="13">
        <v>228</v>
      </c>
      <c r="O3307" s="13">
        <v>33</v>
      </c>
      <c r="P3307" s="13">
        <v>1</v>
      </c>
      <c r="Q3307" s="13">
        <v>64</v>
      </c>
      <c r="R3307" s="13">
        <v>1</v>
      </c>
      <c r="S3307" s="13">
        <v>1</v>
      </c>
      <c r="T3307" s="23">
        <v>46247.819641203707</v>
      </c>
      <c r="U3307" s="55">
        <f t="shared" si="153"/>
        <v>0.83333333333333337</v>
      </c>
      <c r="V3307" s="55">
        <f t="shared" si="154"/>
        <v>0.16666666666666666</v>
      </c>
      <c r="W3307" s="56">
        <f t="shared" si="155"/>
        <v>1461.6666666666667</v>
      </c>
    </row>
    <row r="3308" spans="1:23" x14ac:dyDescent="0.3">
      <c r="A3308" s="13" t="str" cm="1">
        <f t="array" ref="A3308:B3308">INDEX(BenchmarkResults!$B$1:$D$35,SUMPRODUCT((T3308&gt;=BenchmarkResults!$F$3:$F$35)*(mongodb_hardware_log!T3308&lt;BenchmarkResults!$G$3:$G$35)*ROW(BenchmarkResults!$F$3:$F$35)),{1,3})</f>
        <v>q6_inactive_customers</v>
      </c>
      <c r="B3308">
        <v>3</v>
      </c>
      <c r="C3308" s="13">
        <v>1</v>
      </c>
      <c r="D3308" s="13">
        <v>0</v>
      </c>
      <c r="E3308" s="13">
        <v>179968</v>
      </c>
      <c r="F3308" s="13">
        <v>652004</v>
      </c>
      <c r="G3308" s="13">
        <v>11564</v>
      </c>
      <c r="H3308" s="13">
        <v>1708836</v>
      </c>
      <c r="I3308" s="13">
        <v>0</v>
      </c>
      <c r="J3308" s="13">
        <v>0</v>
      </c>
      <c r="K3308" s="13">
        <v>1471</v>
      </c>
      <c r="L3308" s="13">
        <v>22</v>
      </c>
      <c r="M3308" s="13">
        <v>751</v>
      </c>
      <c r="N3308" s="13">
        <v>234</v>
      </c>
      <c r="O3308" s="13">
        <v>33</v>
      </c>
      <c r="P3308" s="13">
        <v>1</v>
      </c>
      <c r="Q3308" s="13">
        <v>64</v>
      </c>
      <c r="R3308" s="13">
        <v>1</v>
      </c>
      <c r="S3308" s="13">
        <v>1</v>
      </c>
      <c r="T3308" s="23">
        <v>46247.819652777776</v>
      </c>
      <c r="U3308" s="55">
        <f t="shared" si="153"/>
        <v>0.83333333333333337</v>
      </c>
      <c r="V3308" s="55">
        <f t="shared" si="154"/>
        <v>0.16666666666666666</v>
      </c>
      <c r="W3308" s="56">
        <f t="shared" si="155"/>
        <v>1473.6666666666667</v>
      </c>
    </row>
    <row r="3309" spans="1:23" x14ac:dyDescent="0.3">
      <c r="A3309" s="13" t="str" cm="1">
        <f t="array" ref="A3309:B3309">INDEX(BenchmarkResults!$B$1:$D$35,SUMPRODUCT((T3309&gt;=BenchmarkResults!$F$3:$F$35)*(mongodb_hardware_log!T3309&lt;BenchmarkResults!$G$3:$G$35)*ROW(BenchmarkResults!$F$3:$F$35)),{1,3})</f>
        <v>q6_inactive_customers</v>
      </c>
      <c r="B3309">
        <v>3</v>
      </c>
      <c r="C3309" s="13">
        <v>1</v>
      </c>
      <c r="D3309" s="13">
        <v>0</v>
      </c>
      <c r="E3309" s="13">
        <v>179968</v>
      </c>
      <c r="F3309" s="13">
        <v>651508</v>
      </c>
      <c r="G3309" s="13">
        <v>11572</v>
      </c>
      <c r="H3309" s="13">
        <v>1721120</v>
      </c>
      <c r="I3309" s="13">
        <v>0</v>
      </c>
      <c r="J3309" s="13">
        <v>0</v>
      </c>
      <c r="K3309" s="13">
        <v>1499</v>
      </c>
      <c r="L3309" s="13">
        <v>6</v>
      </c>
      <c r="M3309" s="13">
        <v>745</v>
      </c>
      <c r="N3309" s="13">
        <v>234</v>
      </c>
      <c r="O3309" s="13">
        <v>33</v>
      </c>
      <c r="P3309" s="13">
        <v>1</v>
      </c>
      <c r="Q3309" s="13">
        <v>65</v>
      </c>
      <c r="R3309" s="13">
        <v>1</v>
      </c>
      <c r="S3309" s="13">
        <v>0</v>
      </c>
      <c r="T3309" s="23">
        <v>46247.819756944446</v>
      </c>
      <c r="U3309" s="55">
        <f t="shared" si="153"/>
        <v>0.83333333333333337</v>
      </c>
      <c r="V3309" s="55">
        <f t="shared" si="154"/>
        <v>0.16666666666666666</v>
      </c>
      <c r="W3309" s="56">
        <f t="shared" si="155"/>
        <v>1468.6666666666667</v>
      </c>
    </row>
    <row r="3310" spans="1:23" x14ac:dyDescent="0.3">
      <c r="A3310" s="13" t="str" cm="1">
        <f t="array" ref="A3310:B3310">INDEX(BenchmarkResults!$B$1:$D$35,SUMPRODUCT((T3310&gt;=BenchmarkResults!$F$3:$F$35)*(mongodb_hardware_log!T3310&lt;BenchmarkResults!$G$3:$G$35)*ROW(BenchmarkResults!$F$3:$F$35)),{1,3})</f>
        <v>q6_inactive_customers</v>
      </c>
      <c r="B3310">
        <v>3</v>
      </c>
      <c r="C3310" s="13">
        <v>1</v>
      </c>
      <c r="D3310" s="13">
        <v>0</v>
      </c>
      <c r="E3310" s="13">
        <v>179968</v>
      </c>
      <c r="F3310" s="13">
        <v>659456</v>
      </c>
      <c r="G3310" s="13">
        <v>11580</v>
      </c>
      <c r="H3310" s="13">
        <v>1723100</v>
      </c>
      <c r="I3310" s="13">
        <v>0</v>
      </c>
      <c r="J3310" s="13">
        <v>0</v>
      </c>
      <c r="K3310" s="13">
        <v>1428</v>
      </c>
      <c r="L3310" s="13">
        <v>12</v>
      </c>
      <c r="M3310" s="13">
        <v>745</v>
      </c>
      <c r="N3310" s="13">
        <v>236</v>
      </c>
      <c r="O3310" s="13">
        <v>33</v>
      </c>
      <c r="P3310" s="13">
        <v>1</v>
      </c>
      <c r="Q3310" s="13">
        <v>64</v>
      </c>
      <c r="R3310" s="13">
        <v>1</v>
      </c>
      <c r="S3310" s="13">
        <v>0</v>
      </c>
      <c r="T3310" s="23">
        <v>46247.819768518515</v>
      </c>
      <c r="U3310" s="55">
        <f t="shared" si="153"/>
        <v>0.83333333333333337</v>
      </c>
      <c r="V3310" s="55">
        <f t="shared" si="154"/>
        <v>0.16666666666666666</v>
      </c>
      <c r="W3310" s="56">
        <f t="shared" si="155"/>
        <v>1458.1666666666667</v>
      </c>
    </row>
    <row r="3311" spans="1:23" x14ac:dyDescent="0.3">
      <c r="A3311" s="13" t="str" cm="1">
        <f t="array" ref="A3311:B3311">INDEX(BenchmarkResults!$B$1:$D$35,SUMPRODUCT((T3311&gt;=BenchmarkResults!$F$3:$F$35)*(mongodb_hardware_log!T3311&lt;BenchmarkResults!$G$3:$G$35)*ROW(BenchmarkResults!$F$3:$F$35)),{1,3})</f>
        <v>q6_inactive_customers</v>
      </c>
      <c r="B3311">
        <v>3</v>
      </c>
      <c r="C3311" s="13">
        <v>1</v>
      </c>
      <c r="D3311" s="13">
        <v>0</v>
      </c>
      <c r="E3311" s="13">
        <v>179968</v>
      </c>
      <c r="F3311" s="13">
        <v>641816</v>
      </c>
      <c r="G3311" s="13">
        <v>11588</v>
      </c>
      <c r="H3311" s="13">
        <v>1746552</v>
      </c>
      <c r="I3311" s="13">
        <v>0</v>
      </c>
      <c r="J3311" s="13">
        <v>0</v>
      </c>
      <c r="K3311" s="13">
        <v>986</v>
      </c>
      <c r="L3311" s="13">
        <v>19</v>
      </c>
      <c r="M3311" s="13">
        <v>689</v>
      </c>
      <c r="N3311" s="13">
        <v>187</v>
      </c>
      <c r="O3311" s="13">
        <v>33</v>
      </c>
      <c r="P3311" s="13">
        <v>1</v>
      </c>
      <c r="Q3311" s="13">
        <v>65</v>
      </c>
      <c r="R3311" s="13">
        <v>0</v>
      </c>
      <c r="S3311" s="13">
        <v>0</v>
      </c>
      <c r="T3311" s="23">
        <v>46247.819872685184</v>
      </c>
      <c r="U3311" s="55">
        <f t="shared" si="153"/>
        <v>1</v>
      </c>
      <c r="V3311" s="55">
        <f t="shared" si="154"/>
        <v>0</v>
      </c>
      <c r="W3311" s="56">
        <f t="shared" si="155"/>
        <v>1389.5</v>
      </c>
    </row>
    <row r="3312" spans="1:23" x14ac:dyDescent="0.3">
      <c r="A3312" s="13" t="str" cm="1">
        <f t="array" ref="A3312:B3312">INDEX(BenchmarkResults!$B$1:$D$35,SUMPRODUCT((T3312&gt;=BenchmarkResults!$F$3:$F$35)*(mongodb_hardware_log!T3312&lt;BenchmarkResults!$G$3:$G$35)*ROW(BenchmarkResults!$F$3:$F$35)),{1,3})</f>
        <v>q6_inactive_customers</v>
      </c>
      <c r="B3312">
        <v>3</v>
      </c>
      <c r="C3312" s="13">
        <v>1</v>
      </c>
      <c r="D3312" s="13">
        <v>0</v>
      </c>
      <c r="E3312" s="13">
        <v>179968</v>
      </c>
      <c r="F3312" s="13">
        <v>641816</v>
      </c>
      <c r="G3312" s="13">
        <v>11596</v>
      </c>
      <c r="H3312" s="13">
        <v>1749736</v>
      </c>
      <c r="I3312" s="13">
        <v>0</v>
      </c>
      <c r="J3312" s="13">
        <v>0</v>
      </c>
      <c r="K3312" s="13">
        <v>1094</v>
      </c>
      <c r="L3312" s="13">
        <v>435</v>
      </c>
      <c r="M3312" s="13">
        <v>685</v>
      </c>
      <c r="N3312" s="13">
        <v>180</v>
      </c>
      <c r="O3312" s="13">
        <v>33</v>
      </c>
      <c r="P3312" s="13">
        <v>1</v>
      </c>
      <c r="Q3312" s="13">
        <v>65</v>
      </c>
      <c r="R3312" s="13">
        <v>0</v>
      </c>
      <c r="S3312" s="13">
        <v>1</v>
      </c>
      <c r="T3312" s="23">
        <v>46247.819884259261</v>
      </c>
      <c r="U3312" s="55">
        <f t="shared" si="153"/>
        <v>1</v>
      </c>
      <c r="V3312" s="55">
        <f t="shared" si="154"/>
        <v>0</v>
      </c>
      <c r="W3312" s="56">
        <f t="shared" si="155"/>
        <v>1331.3333333333333</v>
      </c>
    </row>
    <row r="3313" spans="1:23" x14ac:dyDescent="0.3">
      <c r="A3313" s="13" t="str" cm="1">
        <f t="array" ref="A3313:B3313">INDEX(BenchmarkResults!$B$1:$D$35,SUMPRODUCT((T3313&gt;=BenchmarkResults!$F$3:$F$35)*(mongodb_hardware_log!T3313&lt;BenchmarkResults!$G$3:$G$35)*ROW(BenchmarkResults!$F$3:$F$35)),{1,3})</f>
        <v>q6_inactive_customers</v>
      </c>
      <c r="B3313">
        <v>3</v>
      </c>
      <c r="C3313" s="13">
        <v>0</v>
      </c>
      <c r="D3313" s="13">
        <v>1</v>
      </c>
      <c r="E3313" s="13">
        <v>179968</v>
      </c>
      <c r="F3313" s="13">
        <v>626696</v>
      </c>
      <c r="G3313" s="13">
        <v>11604</v>
      </c>
      <c r="H3313" s="13">
        <v>1762608</v>
      </c>
      <c r="I3313" s="13">
        <v>0</v>
      </c>
      <c r="J3313" s="13">
        <v>0</v>
      </c>
      <c r="K3313" s="13">
        <v>1600</v>
      </c>
      <c r="L3313" s="13">
        <v>1584</v>
      </c>
      <c r="M3313" s="13">
        <v>731</v>
      </c>
      <c r="N3313" s="13">
        <v>217</v>
      </c>
      <c r="O3313" s="13">
        <v>33</v>
      </c>
      <c r="P3313" s="13">
        <v>1</v>
      </c>
      <c r="Q3313" s="13">
        <v>63</v>
      </c>
      <c r="R3313" s="13">
        <v>2</v>
      </c>
      <c r="S3313" s="13">
        <v>1</v>
      </c>
      <c r="T3313" s="23">
        <v>46247.819988425923</v>
      </c>
      <c r="U3313" s="55">
        <f t="shared" si="153"/>
        <v>0.83333333333333337</v>
      </c>
      <c r="V3313" s="55">
        <f t="shared" si="154"/>
        <v>0.16666666666666666</v>
      </c>
      <c r="W3313" s="56">
        <f t="shared" si="155"/>
        <v>1346.3333333333333</v>
      </c>
    </row>
    <row r="3314" spans="1:23" x14ac:dyDescent="0.3">
      <c r="A3314" s="13" t="str" cm="1">
        <f t="array" ref="A3314:B3314">INDEX(BenchmarkResults!$B$1:$D$35,SUMPRODUCT((T3314&gt;=BenchmarkResults!$F$3:$F$35)*(mongodb_hardware_log!T3314&lt;BenchmarkResults!$G$3:$G$35)*ROW(BenchmarkResults!$F$3:$F$35)),{1,3})</f>
        <v>q6_inactive_customers</v>
      </c>
      <c r="B3314">
        <v>3</v>
      </c>
      <c r="C3314" s="13">
        <v>1</v>
      </c>
      <c r="D3314" s="13">
        <v>0</v>
      </c>
      <c r="E3314" s="13">
        <v>179968</v>
      </c>
      <c r="F3314" s="13">
        <v>626696</v>
      </c>
      <c r="G3314" s="13">
        <v>11604</v>
      </c>
      <c r="H3314" s="13">
        <v>1765416</v>
      </c>
      <c r="I3314" s="13">
        <v>1</v>
      </c>
      <c r="J3314" s="13">
        <v>0</v>
      </c>
      <c r="K3314" s="13">
        <v>1569</v>
      </c>
      <c r="L3314" s="13">
        <v>1162</v>
      </c>
      <c r="M3314" s="13">
        <v>735</v>
      </c>
      <c r="N3314" s="13">
        <v>220</v>
      </c>
      <c r="O3314" s="13">
        <v>33</v>
      </c>
      <c r="P3314" s="13">
        <v>1</v>
      </c>
      <c r="Q3314" s="13">
        <v>63</v>
      </c>
      <c r="R3314" s="13">
        <v>2</v>
      </c>
      <c r="S3314" s="13">
        <v>1</v>
      </c>
      <c r="T3314" s="23">
        <v>46247.82</v>
      </c>
      <c r="U3314" s="55">
        <f t="shared" si="153"/>
        <v>0.83333333333333337</v>
      </c>
      <c r="V3314" s="55">
        <f t="shared" si="154"/>
        <v>0.16666666666666666</v>
      </c>
      <c r="W3314" s="56">
        <f t="shared" si="155"/>
        <v>1362.6666666666667</v>
      </c>
    </row>
    <row r="3315" spans="1:23" x14ac:dyDescent="0.3">
      <c r="A3315" s="13" t="str" cm="1">
        <f t="array" ref="A3315:B3315">INDEX(BenchmarkResults!$B$1:$D$35,SUMPRODUCT((T3315&gt;=BenchmarkResults!$F$3:$F$35)*(mongodb_hardware_log!T3315&lt;BenchmarkResults!$G$3:$G$35)*ROW(BenchmarkResults!$F$3:$F$35)),{1,3})</f>
        <v>q6_inactive_customers</v>
      </c>
      <c r="B3315">
        <v>3</v>
      </c>
      <c r="C3315" s="13">
        <v>1</v>
      </c>
      <c r="D3315" s="13">
        <v>0</v>
      </c>
      <c r="E3315" s="13">
        <v>179968</v>
      </c>
      <c r="F3315" s="13">
        <v>611828</v>
      </c>
      <c r="G3315" s="13">
        <v>11612</v>
      </c>
      <c r="H3315" s="13">
        <v>1778064</v>
      </c>
      <c r="I3315" s="13">
        <v>1</v>
      </c>
      <c r="J3315" s="13">
        <v>0</v>
      </c>
      <c r="K3315" s="13">
        <v>1553</v>
      </c>
      <c r="L3315" s="13">
        <v>7</v>
      </c>
      <c r="M3315" s="13">
        <v>733</v>
      </c>
      <c r="N3315" s="13">
        <v>223</v>
      </c>
      <c r="O3315" s="13">
        <v>33</v>
      </c>
      <c r="P3315" s="13">
        <v>1</v>
      </c>
      <c r="Q3315" s="13">
        <v>65</v>
      </c>
      <c r="R3315" s="13">
        <v>0</v>
      </c>
      <c r="S3315" s="13">
        <v>0</v>
      </c>
      <c r="T3315" s="23">
        <v>46247.820104166669</v>
      </c>
      <c r="U3315" s="55">
        <f t="shared" si="153"/>
        <v>0.83333333333333337</v>
      </c>
      <c r="V3315" s="55">
        <f t="shared" si="154"/>
        <v>0.16666666666666666</v>
      </c>
      <c r="W3315" s="56">
        <f t="shared" si="155"/>
        <v>1371.6666666666667</v>
      </c>
    </row>
    <row r="3316" spans="1:23" x14ac:dyDescent="0.3">
      <c r="A3316" s="13" t="str" cm="1">
        <f t="array" ref="A3316:B3316">INDEX(BenchmarkResults!$B$1:$D$35,SUMPRODUCT((T3316&gt;=BenchmarkResults!$F$3:$F$35)*(mongodb_hardware_log!T3316&lt;BenchmarkResults!$G$3:$G$35)*ROW(BenchmarkResults!$F$3:$F$35)),{1,3})</f>
        <v>q6_inactive_customers</v>
      </c>
      <c r="B3316">
        <v>3</v>
      </c>
      <c r="C3316" s="13">
        <v>1</v>
      </c>
      <c r="D3316" s="13">
        <v>0</v>
      </c>
      <c r="E3316" s="13">
        <v>179968</v>
      </c>
      <c r="F3316" s="13">
        <v>607796</v>
      </c>
      <c r="G3316" s="13">
        <v>11620</v>
      </c>
      <c r="H3316" s="13">
        <v>1781732</v>
      </c>
      <c r="I3316" s="13">
        <v>0</v>
      </c>
      <c r="J3316" s="13">
        <v>0</v>
      </c>
      <c r="K3316" s="13">
        <v>1638</v>
      </c>
      <c r="L3316" s="13">
        <v>24</v>
      </c>
      <c r="M3316" s="13">
        <v>733</v>
      </c>
      <c r="N3316" s="13">
        <v>224</v>
      </c>
      <c r="O3316" s="13">
        <v>33</v>
      </c>
      <c r="P3316" s="13">
        <v>1</v>
      </c>
      <c r="Q3316" s="13">
        <v>65</v>
      </c>
      <c r="R3316" s="13">
        <v>0</v>
      </c>
      <c r="S3316" s="13">
        <v>0</v>
      </c>
      <c r="T3316" s="23">
        <v>46247.820115740738</v>
      </c>
      <c r="U3316" s="55">
        <f t="shared" si="153"/>
        <v>0.83333333333333337</v>
      </c>
      <c r="V3316" s="55">
        <f t="shared" si="154"/>
        <v>0.16666666666666666</v>
      </c>
      <c r="W3316" s="56">
        <f t="shared" si="155"/>
        <v>1406.6666666666667</v>
      </c>
    </row>
    <row r="3317" spans="1:23" x14ac:dyDescent="0.3">
      <c r="A3317" s="13" t="str" cm="1">
        <f t="array" ref="A3317:B3317">INDEX(BenchmarkResults!$B$1:$D$35,SUMPRODUCT((T3317&gt;=BenchmarkResults!$F$3:$F$35)*(mongodb_hardware_log!T3317&lt;BenchmarkResults!$G$3:$G$35)*ROW(BenchmarkResults!$F$3:$F$35)),{1,3})</f>
        <v>q6_inactive_customers</v>
      </c>
      <c r="B3317">
        <v>3</v>
      </c>
      <c r="C3317" s="13">
        <v>1</v>
      </c>
      <c r="D3317" s="13">
        <v>0</v>
      </c>
      <c r="E3317" s="13">
        <v>179968</v>
      </c>
      <c r="F3317" s="13">
        <v>592428</v>
      </c>
      <c r="G3317" s="13">
        <v>11628</v>
      </c>
      <c r="H3317" s="13">
        <v>1793580</v>
      </c>
      <c r="I3317" s="13">
        <v>0</v>
      </c>
      <c r="J3317" s="13">
        <v>0</v>
      </c>
      <c r="K3317" s="13">
        <v>1543</v>
      </c>
      <c r="L3317" s="13">
        <v>26</v>
      </c>
      <c r="M3317" s="13">
        <v>747</v>
      </c>
      <c r="N3317" s="13">
        <v>222</v>
      </c>
      <c r="O3317" s="13">
        <v>33</v>
      </c>
      <c r="P3317" s="13">
        <v>1</v>
      </c>
      <c r="Q3317" s="13">
        <v>65</v>
      </c>
      <c r="R3317" s="13">
        <v>0</v>
      </c>
      <c r="S3317" s="13">
        <v>0</v>
      </c>
      <c r="T3317" s="23">
        <v>46247.820219907408</v>
      </c>
      <c r="U3317" s="55">
        <f t="shared" si="153"/>
        <v>0.83333333333333337</v>
      </c>
      <c r="V3317" s="55">
        <f t="shared" si="154"/>
        <v>0.16666666666666666</v>
      </c>
      <c r="W3317" s="56">
        <f t="shared" si="155"/>
        <v>1499.5</v>
      </c>
    </row>
    <row r="3318" spans="1:23" x14ac:dyDescent="0.3">
      <c r="A3318" s="13" t="str" cm="1">
        <f t="array" ref="A3318:B3318">INDEX(BenchmarkResults!$B$1:$D$35,SUMPRODUCT((T3318&gt;=BenchmarkResults!$F$3:$F$35)*(mongodb_hardware_log!T3318&lt;BenchmarkResults!$G$3:$G$35)*ROW(BenchmarkResults!$F$3:$F$35)),{1,3})</f>
        <v>q6_inactive_customers</v>
      </c>
      <c r="B3318">
        <v>3</v>
      </c>
      <c r="C3318" s="13">
        <v>1</v>
      </c>
      <c r="D3318" s="13">
        <v>0</v>
      </c>
      <c r="E3318" s="13">
        <v>179968</v>
      </c>
      <c r="F3318" s="13">
        <v>589404</v>
      </c>
      <c r="G3318" s="13">
        <v>11628</v>
      </c>
      <c r="H3318" s="13">
        <v>1797304</v>
      </c>
      <c r="I3318" s="13">
        <v>0</v>
      </c>
      <c r="J3318" s="13">
        <v>0</v>
      </c>
      <c r="K3318" s="13">
        <v>1557</v>
      </c>
      <c r="L3318" s="13">
        <v>9</v>
      </c>
      <c r="M3318" s="13">
        <v>751</v>
      </c>
      <c r="N3318" s="13">
        <v>225</v>
      </c>
      <c r="O3318" s="13">
        <v>33</v>
      </c>
      <c r="P3318" s="13">
        <v>2</v>
      </c>
      <c r="Q3318" s="13">
        <v>64</v>
      </c>
      <c r="R3318" s="13">
        <v>0</v>
      </c>
      <c r="S3318" s="13">
        <v>0</v>
      </c>
      <c r="T3318" s="23">
        <v>46247.820231481484</v>
      </c>
      <c r="U3318" s="55">
        <f t="shared" si="153"/>
        <v>0.83333333333333337</v>
      </c>
      <c r="V3318" s="55">
        <f t="shared" si="154"/>
        <v>0.16666666666666666</v>
      </c>
      <c r="W3318" s="56">
        <f t="shared" si="155"/>
        <v>1576.6666666666667</v>
      </c>
    </row>
    <row r="3319" spans="1:23" x14ac:dyDescent="0.3">
      <c r="A3319" s="13" t="str" cm="1">
        <f t="array" ref="A3319:B3319">INDEX(BenchmarkResults!$B$1:$D$35,SUMPRODUCT((T3319&gt;=BenchmarkResults!$F$3:$F$35)*(mongodb_hardware_log!T3319&lt;BenchmarkResults!$G$3:$G$35)*ROW(BenchmarkResults!$F$3:$F$35)),{1,3})</f>
        <v>q6_inactive_customers</v>
      </c>
      <c r="B3319">
        <v>3</v>
      </c>
      <c r="C3319" s="13">
        <v>1</v>
      </c>
      <c r="D3319" s="13">
        <v>0</v>
      </c>
      <c r="E3319" s="13">
        <v>179968</v>
      </c>
      <c r="F3319" s="13">
        <v>581612</v>
      </c>
      <c r="G3319" s="13">
        <v>11660</v>
      </c>
      <c r="H3319" s="13">
        <v>1809024</v>
      </c>
      <c r="I3319" s="13">
        <v>0</v>
      </c>
      <c r="J3319" s="13">
        <v>0</v>
      </c>
      <c r="K3319" s="13">
        <v>1546</v>
      </c>
      <c r="L3319" s="13">
        <v>28</v>
      </c>
      <c r="M3319" s="13">
        <v>745</v>
      </c>
      <c r="N3319" s="13">
        <v>234</v>
      </c>
      <c r="O3319" s="13">
        <v>33</v>
      </c>
      <c r="P3319" s="13">
        <v>1</v>
      </c>
      <c r="Q3319" s="13">
        <v>64</v>
      </c>
      <c r="R3319" s="13">
        <v>1</v>
      </c>
      <c r="S3319" s="13">
        <v>0</v>
      </c>
      <c r="T3319" s="23">
        <v>46247.820335648146</v>
      </c>
      <c r="U3319" s="55">
        <f t="shared" si="153"/>
        <v>1</v>
      </c>
      <c r="V3319" s="55">
        <f t="shared" si="154"/>
        <v>0</v>
      </c>
      <c r="W3319" s="56">
        <f t="shared" si="155"/>
        <v>1567.6666666666667</v>
      </c>
    </row>
    <row r="3320" spans="1:23" x14ac:dyDescent="0.3">
      <c r="A3320" s="13" t="str" cm="1">
        <f t="array" ref="A3320:B3320">INDEX(BenchmarkResults!$B$1:$D$35,SUMPRODUCT((T3320&gt;=BenchmarkResults!$F$3:$F$35)*(mongodb_hardware_log!T3320&lt;BenchmarkResults!$G$3:$G$35)*ROW(BenchmarkResults!$F$3:$F$35)),{1,3})</f>
        <v>q6_inactive_customers</v>
      </c>
      <c r="B3320">
        <v>3</v>
      </c>
      <c r="C3320" s="13">
        <v>2</v>
      </c>
      <c r="D3320" s="13">
        <v>0</v>
      </c>
      <c r="E3320" s="13">
        <v>179968</v>
      </c>
      <c r="F3320" s="13">
        <v>573548</v>
      </c>
      <c r="G3320" s="13">
        <v>11660</v>
      </c>
      <c r="H3320" s="13">
        <v>1812808</v>
      </c>
      <c r="I3320" s="13">
        <v>0</v>
      </c>
      <c r="J3320" s="13">
        <v>0</v>
      </c>
      <c r="K3320" s="13">
        <v>1546</v>
      </c>
      <c r="L3320" s="13">
        <v>28</v>
      </c>
      <c r="M3320" s="13">
        <v>733</v>
      </c>
      <c r="N3320" s="13">
        <v>223</v>
      </c>
      <c r="O3320" s="13">
        <v>33</v>
      </c>
      <c r="P3320" s="13">
        <v>1</v>
      </c>
      <c r="Q3320" s="13">
        <v>64</v>
      </c>
      <c r="R3320" s="13">
        <v>1</v>
      </c>
      <c r="S3320" s="13">
        <v>0</v>
      </c>
      <c r="T3320" s="23">
        <v>46247.820347222223</v>
      </c>
      <c r="U3320" s="55">
        <f t="shared" si="153"/>
        <v>1.1666666666666667</v>
      </c>
      <c r="V3320" s="55">
        <f t="shared" si="154"/>
        <v>0</v>
      </c>
      <c r="W3320" s="56">
        <f t="shared" si="155"/>
        <v>1563.8333333333333</v>
      </c>
    </row>
    <row r="3321" spans="1:23" x14ac:dyDescent="0.3">
      <c r="A3321" s="13" t="str" cm="1">
        <f t="array" ref="A3321:B3321">INDEX(BenchmarkResults!$B$1:$D$35,SUMPRODUCT((T3321&gt;=BenchmarkResults!$F$3:$F$35)*(mongodb_hardware_log!T3321&lt;BenchmarkResults!$G$3:$G$35)*ROW(BenchmarkResults!$F$3:$F$35)),{1,3})</f>
        <v>q6_inactive_customers</v>
      </c>
      <c r="B3321">
        <v>3</v>
      </c>
      <c r="C3321" s="13">
        <v>1</v>
      </c>
      <c r="D3321" s="13">
        <v>0</v>
      </c>
      <c r="E3321" s="13">
        <v>179968</v>
      </c>
      <c r="F3321" s="13">
        <v>561704</v>
      </c>
      <c r="G3321" s="13">
        <v>11668</v>
      </c>
      <c r="H3321" s="13">
        <v>1826104</v>
      </c>
      <c r="I3321" s="13">
        <v>0</v>
      </c>
      <c r="J3321" s="13">
        <v>0</v>
      </c>
      <c r="K3321" s="13">
        <v>1709</v>
      </c>
      <c r="L3321" s="13">
        <v>6</v>
      </c>
      <c r="M3321" s="13">
        <v>738</v>
      </c>
      <c r="N3321" s="13">
        <v>222</v>
      </c>
      <c r="O3321" s="13">
        <v>33</v>
      </c>
      <c r="P3321" s="13">
        <v>1</v>
      </c>
      <c r="Q3321" s="13">
        <v>65</v>
      </c>
      <c r="R3321" s="13">
        <v>1</v>
      </c>
      <c r="S3321" s="13">
        <v>0</v>
      </c>
      <c r="T3321" s="23">
        <v>46247.820451388892</v>
      </c>
      <c r="U3321" s="55">
        <f t="shared" si="153"/>
        <v>1.1666666666666667</v>
      </c>
      <c r="V3321" s="55">
        <f t="shared" si="154"/>
        <v>0</v>
      </c>
      <c r="W3321" s="56">
        <f t="shared" si="155"/>
        <v>1589.8333333333333</v>
      </c>
    </row>
    <row r="3322" spans="1:23" x14ac:dyDescent="0.3">
      <c r="A3322" s="13" t="str" cm="1">
        <f t="array" ref="A3322:B3322">INDEX(BenchmarkResults!$B$1:$D$35,SUMPRODUCT((T3322&gt;=BenchmarkResults!$F$3:$F$35)*(mongodb_hardware_log!T3322&lt;BenchmarkResults!$G$3:$G$35)*ROW(BenchmarkResults!$F$3:$F$35)),{1,3})</f>
        <v>q6_inactive_customers</v>
      </c>
      <c r="B3322">
        <v>3</v>
      </c>
      <c r="C3322" s="13">
        <v>1</v>
      </c>
      <c r="D3322" s="13">
        <v>0</v>
      </c>
      <c r="E3322" s="13">
        <v>179968</v>
      </c>
      <c r="F3322" s="13">
        <v>561704</v>
      </c>
      <c r="G3322" s="13">
        <v>11676</v>
      </c>
      <c r="H3322" s="13">
        <v>1828188</v>
      </c>
      <c r="I3322" s="13">
        <v>0</v>
      </c>
      <c r="J3322" s="13">
        <v>0</v>
      </c>
      <c r="K3322" s="13">
        <v>1535</v>
      </c>
      <c r="L3322" s="13">
        <v>11</v>
      </c>
      <c r="M3322" s="13">
        <v>735</v>
      </c>
      <c r="N3322" s="13">
        <v>225</v>
      </c>
      <c r="O3322" s="13">
        <v>33</v>
      </c>
      <c r="P3322" s="13">
        <v>1</v>
      </c>
      <c r="Q3322" s="13">
        <v>65</v>
      </c>
      <c r="R3322" s="13">
        <v>1</v>
      </c>
      <c r="S3322" s="13">
        <v>0</v>
      </c>
      <c r="T3322" s="23">
        <v>46247.820462962962</v>
      </c>
      <c r="U3322" s="55">
        <f t="shared" si="153"/>
        <v>1.1666666666666667</v>
      </c>
      <c r="V3322" s="55">
        <f t="shared" si="154"/>
        <v>0</v>
      </c>
      <c r="W3322" s="56">
        <f t="shared" si="155"/>
        <v>1572.6666666666667</v>
      </c>
    </row>
    <row r="3323" spans="1:23" x14ac:dyDescent="0.3">
      <c r="A3323" s="13" t="str" cm="1">
        <f t="array" ref="A3323:B3323">INDEX(BenchmarkResults!$B$1:$D$35,SUMPRODUCT((T3323&gt;=BenchmarkResults!$F$3:$F$35)*(mongodb_hardware_log!T3323&lt;BenchmarkResults!$G$3:$G$35)*ROW(BenchmarkResults!$F$3:$F$35)),{1,3})</f>
        <v>q6_inactive_customers</v>
      </c>
      <c r="B3323">
        <v>3</v>
      </c>
      <c r="C3323" s="13">
        <v>1</v>
      </c>
      <c r="D3323" s="13">
        <v>0</v>
      </c>
      <c r="E3323" s="13">
        <v>179968</v>
      </c>
      <c r="F3323" s="13">
        <v>538772</v>
      </c>
      <c r="G3323" s="13">
        <v>11684</v>
      </c>
      <c r="H3323" s="13">
        <v>1851916</v>
      </c>
      <c r="I3323" s="13">
        <v>0</v>
      </c>
      <c r="J3323" s="13">
        <v>0</v>
      </c>
      <c r="K3323" s="13">
        <v>1028</v>
      </c>
      <c r="L3323" s="13">
        <v>15</v>
      </c>
      <c r="M3323" s="13">
        <v>698</v>
      </c>
      <c r="N3323" s="13">
        <v>193</v>
      </c>
      <c r="O3323" s="13">
        <v>32</v>
      </c>
      <c r="P3323" s="13">
        <v>2</v>
      </c>
      <c r="Q3323" s="13">
        <v>65</v>
      </c>
      <c r="R3323" s="13">
        <v>1</v>
      </c>
      <c r="S3323" s="13">
        <v>0</v>
      </c>
      <c r="T3323" s="23">
        <v>46247.820567129631</v>
      </c>
      <c r="U3323" s="55">
        <f t="shared" si="153"/>
        <v>1.1666666666666667</v>
      </c>
      <c r="V3323" s="55">
        <f t="shared" si="154"/>
        <v>0</v>
      </c>
      <c r="W3323" s="56">
        <f t="shared" si="155"/>
        <v>1486.8333333333333</v>
      </c>
    </row>
    <row r="3324" spans="1:23" x14ac:dyDescent="0.3">
      <c r="A3324" s="13" t="str" cm="1">
        <f t="array" ref="A3324:B3324">INDEX(BenchmarkResults!$B$1:$D$35,SUMPRODUCT((T3324&gt;=BenchmarkResults!$F$3:$F$35)*(mongodb_hardware_log!T3324&lt;BenchmarkResults!$G$3:$G$35)*ROW(BenchmarkResults!$F$3:$F$35)),{1,3})</f>
        <v>q6_inactive_customers</v>
      </c>
      <c r="B3324">
        <v>3</v>
      </c>
      <c r="C3324" s="13">
        <v>1</v>
      </c>
      <c r="D3324" s="13">
        <v>0</v>
      </c>
      <c r="E3324" s="13">
        <v>179968</v>
      </c>
      <c r="F3324" s="13">
        <v>536252</v>
      </c>
      <c r="G3324" s="13">
        <v>11684</v>
      </c>
      <c r="H3324" s="13">
        <v>1854616</v>
      </c>
      <c r="I3324" s="13">
        <v>0</v>
      </c>
      <c r="J3324" s="13">
        <v>0</v>
      </c>
      <c r="K3324" s="13">
        <v>1085</v>
      </c>
      <c r="L3324" s="13">
        <v>10</v>
      </c>
      <c r="M3324" s="13">
        <v>706</v>
      </c>
      <c r="N3324" s="13">
        <v>196</v>
      </c>
      <c r="O3324" s="13">
        <v>32</v>
      </c>
      <c r="P3324" s="13">
        <v>2</v>
      </c>
      <c r="Q3324" s="13">
        <v>65</v>
      </c>
      <c r="R3324" s="13">
        <v>1</v>
      </c>
      <c r="S3324" s="13">
        <v>1</v>
      </c>
      <c r="T3324" s="23">
        <v>46247.8205787037</v>
      </c>
      <c r="U3324" s="55">
        <f t="shared" si="153"/>
        <v>1.1666666666666667</v>
      </c>
      <c r="V3324" s="55">
        <f t="shared" si="154"/>
        <v>0</v>
      </c>
      <c r="W3324" s="56">
        <f t="shared" si="155"/>
        <v>1408.1666666666667</v>
      </c>
    </row>
    <row r="3325" spans="1:23" x14ac:dyDescent="0.3">
      <c r="A3325" s="13" t="str" cm="1">
        <f t="array" ref="A3325:B3325">INDEX(BenchmarkResults!$B$1:$D$35,SUMPRODUCT((T3325&gt;=BenchmarkResults!$F$3:$F$35)*(mongodb_hardware_log!T3325&lt;BenchmarkResults!$G$3:$G$35)*ROW(BenchmarkResults!$F$3:$F$35)),{1,3})</f>
        <v>q6_inactive_customers</v>
      </c>
      <c r="B3325">
        <v>3</v>
      </c>
      <c r="C3325" s="13">
        <v>1</v>
      </c>
      <c r="D3325" s="13">
        <v>0</v>
      </c>
      <c r="E3325" s="13">
        <v>179968</v>
      </c>
      <c r="F3325" s="13">
        <v>523148</v>
      </c>
      <c r="G3325" s="13">
        <v>11692</v>
      </c>
      <c r="H3325" s="13">
        <v>1866912</v>
      </c>
      <c r="I3325" s="13">
        <v>0</v>
      </c>
      <c r="J3325" s="13">
        <v>0</v>
      </c>
      <c r="K3325" s="13">
        <v>1491</v>
      </c>
      <c r="L3325" s="13">
        <v>25</v>
      </c>
      <c r="M3325" s="13">
        <v>731</v>
      </c>
      <c r="N3325" s="13">
        <v>220</v>
      </c>
      <c r="O3325" s="13">
        <v>33</v>
      </c>
      <c r="P3325" s="13">
        <v>1</v>
      </c>
      <c r="Q3325" s="13">
        <v>64</v>
      </c>
      <c r="R3325" s="13">
        <v>0</v>
      </c>
      <c r="S3325" s="13">
        <v>1</v>
      </c>
      <c r="T3325" s="23">
        <v>46247.82068287037</v>
      </c>
      <c r="U3325" s="55">
        <f t="shared" si="153"/>
        <v>1.1666666666666667</v>
      </c>
      <c r="V3325" s="55">
        <f t="shared" si="154"/>
        <v>0</v>
      </c>
      <c r="W3325" s="56">
        <f t="shared" si="155"/>
        <v>1399</v>
      </c>
    </row>
    <row r="3326" spans="1:23" x14ac:dyDescent="0.3">
      <c r="A3326" s="13" t="str" cm="1">
        <f t="array" ref="A3326:B3326">INDEX(BenchmarkResults!$B$1:$D$35,SUMPRODUCT((T3326&gt;=BenchmarkResults!$F$3:$F$35)*(mongodb_hardware_log!T3326&lt;BenchmarkResults!$G$3:$G$35)*ROW(BenchmarkResults!$F$3:$F$35)),{1,3})</f>
        <v>q6_inactive_customers</v>
      </c>
      <c r="B3326">
        <v>3</v>
      </c>
      <c r="C3326" s="13">
        <v>1</v>
      </c>
      <c r="D3326" s="13">
        <v>0</v>
      </c>
      <c r="E3326" s="13">
        <v>179968</v>
      </c>
      <c r="F3326" s="13">
        <v>514832</v>
      </c>
      <c r="G3326" s="13">
        <v>11700</v>
      </c>
      <c r="H3326" s="13">
        <v>1869296</v>
      </c>
      <c r="I3326" s="13">
        <v>0</v>
      </c>
      <c r="J3326" s="13">
        <v>0</v>
      </c>
      <c r="K3326" s="13">
        <v>1471</v>
      </c>
      <c r="L3326" s="13">
        <v>30</v>
      </c>
      <c r="M3326" s="13">
        <v>722</v>
      </c>
      <c r="N3326" s="13">
        <v>214</v>
      </c>
      <c r="O3326" s="13">
        <v>33</v>
      </c>
      <c r="P3326" s="13">
        <v>1</v>
      </c>
      <c r="Q3326" s="13">
        <v>64</v>
      </c>
      <c r="R3326" s="13">
        <v>0</v>
      </c>
      <c r="S3326" s="13">
        <v>1</v>
      </c>
      <c r="T3326" s="23">
        <v>46247.820694444446</v>
      </c>
      <c r="U3326" s="55">
        <f t="shared" si="153"/>
        <v>1</v>
      </c>
      <c r="V3326" s="55">
        <f t="shared" si="154"/>
        <v>0</v>
      </c>
      <c r="W3326" s="56">
        <f t="shared" si="155"/>
        <v>1386.5</v>
      </c>
    </row>
    <row r="3327" spans="1:23" x14ac:dyDescent="0.3">
      <c r="A3327" s="13" t="str" cm="1">
        <f t="array" ref="A3327:B3327">INDEX(BenchmarkResults!$B$1:$D$35,SUMPRODUCT((T3327&gt;=BenchmarkResults!$F$3:$F$35)*(mongodb_hardware_log!T3327&lt;BenchmarkResults!$G$3:$G$35)*ROW(BenchmarkResults!$F$3:$F$35)),{1,3})</f>
        <v>q6_inactive_customers</v>
      </c>
      <c r="B3327">
        <v>3</v>
      </c>
      <c r="C3327" s="13">
        <v>1</v>
      </c>
      <c r="D3327" s="13">
        <v>0</v>
      </c>
      <c r="E3327" s="13">
        <v>179968</v>
      </c>
      <c r="F3327" s="13">
        <v>503996</v>
      </c>
      <c r="G3327" s="13">
        <v>11708</v>
      </c>
      <c r="H3327" s="13">
        <v>1881740</v>
      </c>
      <c r="I3327" s="13">
        <v>0</v>
      </c>
      <c r="J3327" s="13">
        <v>0</v>
      </c>
      <c r="K3327" s="13">
        <v>1488</v>
      </c>
      <c r="L3327" s="13">
        <v>21</v>
      </c>
      <c r="M3327" s="13">
        <v>732</v>
      </c>
      <c r="N3327" s="13">
        <v>215</v>
      </c>
      <c r="O3327" s="13">
        <v>34</v>
      </c>
      <c r="P3327" s="13">
        <v>2</v>
      </c>
      <c r="Q3327" s="13">
        <v>64</v>
      </c>
      <c r="R3327" s="13">
        <v>0</v>
      </c>
      <c r="S3327" s="13">
        <v>1</v>
      </c>
      <c r="T3327" s="23">
        <v>46247.820798611108</v>
      </c>
      <c r="U3327" s="55">
        <f t="shared" si="153"/>
        <v>1</v>
      </c>
      <c r="V3327" s="55">
        <f t="shared" si="154"/>
        <v>0</v>
      </c>
      <c r="W3327" s="56">
        <f t="shared" si="155"/>
        <v>1349.6666666666667</v>
      </c>
    </row>
    <row r="3328" spans="1:23" x14ac:dyDescent="0.3">
      <c r="A3328" s="13" t="str" cm="1">
        <f t="array" ref="A3328:B3328">INDEX(BenchmarkResults!$B$1:$D$35,SUMPRODUCT((T3328&gt;=BenchmarkResults!$F$3:$F$35)*(mongodb_hardware_log!T3328&lt;BenchmarkResults!$G$3:$G$35)*ROW(BenchmarkResults!$F$3:$F$35)),{1,3})</f>
        <v>q6_inactive_customers</v>
      </c>
      <c r="B3328">
        <v>3</v>
      </c>
      <c r="C3328" s="13">
        <v>1</v>
      </c>
      <c r="D3328" s="13">
        <v>0</v>
      </c>
      <c r="E3328" s="13">
        <v>179968</v>
      </c>
      <c r="F3328" s="13">
        <v>499964</v>
      </c>
      <c r="G3328" s="13">
        <v>11708</v>
      </c>
      <c r="H3328" s="13">
        <v>1884568</v>
      </c>
      <c r="I3328" s="13">
        <v>0</v>
      </c>
      <c r="J3328" s="13">
        <v>0</v>
      </c>
      <c r="K3328" s="13">
        <v>1524</v>
      </c>
      <c r="L3328" s="13">
        <v>16</v>
      </c>
      <c r="M3328" s="13">
        <v>734</v>
      </c>
      <c r="N3328" s="13">
        <v>211</v>
      </c>
      <c r="O3328" s="13">
        <v>33</v>
      </c>
      <c r="P3328" s="13">
        <v>1</v>
      </c>
      <c r="Q3328" s="13">
        <v>64</v>
      </c>
      <c r="R3328" s="13">
        <v>0</v>
      </c>
      <c r="S3328" s="13">
        <v>1</v>
      </c>
      <c r="T3328" s="23">
        <v>46247.820810185185</v>
      </c>
      <c r="U3328" s="55">
        <f t="shared" si="153"/>
        <v>1</v>
      </c>
      <c r="V3328" s="55">
        <f t="shared" si="154"/>
        <v>0</v>
      </c>
      <c r="W3328" s="56">
        <f t="shared" si="155"/>
        <v>1347.8333333333333</v>
      </c>
    </row>
    <row r="3329" spans="1:23" x14ac:dyDescent="0.3">
      <c r="A3329" s="13" t="str" cm="1">
        <f t="array" ref="A3329:B3329">INDEX(BenchmarkResults!$B$1:$D$35,SUMPRODUCT((T3329&gt;=BenchmarkResults!$F$3:$F$35)*(mongodb_hardware_log!T3329&lt;BenchmarkResults!$G$3:$G$35)*ROW(BenchmarkResults!$F$3:$F$35)),{1,3})</f>
        <v>q6_inactive_customers</v>
      </c>
      <c r="B3329">
        <v>3</v>
      </c>
      <c r="C3329" s="13">
        <v>1</v>
      </c>
      <c r="D3329" s="13">
        <v>0</v>
      </c>
      <c r="E3329" s="13">
        <v>179968</v>
      </c>
      <c r="F3329" s="13">
        <v>489128</v>
      </c>
      <c r="G3329" s="13">
        <v>11716</v>
      </c>
      <c r="H3329" s="13">
        <v>1896880</v>
      </c>
      <c r="I3329" s="13">
        <v>0</v>
      </c>
      <c r="J3329" s="13">
        <v>0</v>
      </c>
      <c r="K3329" s="13">
        <v>1514</v>
      </c>
      <c r="L3329" s="13">
        <v>1566</v>
      </c>
      <c r="M3329" s="13">
        <v>767</v>
      </c>
      <c r="N3329" s="13">
        <v>227</v>
      </c>
      <c r="O3329" s="13">
        <v>33</v>
      </c>
      <c r="P3329" s="13">
        <v>1</v>
      </c>
      <c r="Q3329" s="13">
        <v>63</v>
      </c>
      <c r="R3329" s="13">
        <v>2</v>
      </c>
      <c r="S3329" s="13">
        <v>1</v>
      </c>
      <c r="T3329" s="23">
        <v>46247.820914351854</v>
      </c>
      <c r="U3329" s="55">
        <f t="shared" si="153"/>
        <v>1</v>
      </c>
      <c r="V3329" s="55">
        <f t="shared" si="154"/>
        <v>0</v>
      </c>
      <c r="W3329" s="56">
        <f t="shared" si="155"/>
        <v>1428.8333333333333</v>
      </c>
    </row>
    <row r="3330" spans="1:23" x14ac:dyDescent="0.3">
      <c r="A3330" s="13" t="str" cm="1">
        <f t="array" ref="A3330:B3330">INDEX(BenchmarkResults!$B$1:$D$35,SUMPRODUCT((T3330&gt;=BenchmarkResults!$F$3:$F$35)*(mongodb_hardware_log!T3330&lt;BenchmarkResults!$G$3:$G$35)*ROW(BenchmarkResults!$F$3:$F$35)),{1,3})</f>
        <v>q6_inactive_customers</v>
      </c>
      <c r="B3330">
        <v>3</v>
      </c>
      <c r="C3330" s="13">
        <v>1</v>
      </c>
      <c r="D3330" s="13">
        <v>0</v>
      </c>
      <c r="E3330" s="13">
        <v>179968</v>
      </c>
      <c r="F3330" s="13">
        <v>488372</v>
      </c>
      <c r="G3330" s="13">
        <v>11724</v>
      </c>
      <c r="H3330" s="13">
        <v>1898408</v>
      </c>
      <c r="I3330" s="13">
        <v>0</v>
      </c>
      <c r="J3330" s="13">
        <v>0</v>
      </c>
      <c r="K3330" s="13">
        <v>1391</v>
      </c>
      <c r="L3330" s="13">
        <v>1572</v>
      </c>
      <c r="M3330" s="13">
        <v>775</v>
      </c>
      <c r="N3330" s="13">
        <v>233</v>
      </c>
      <c r="O3330" s="13">
        <v>33</v>
      </c>
      <c r="P3330" s="13">
        <v>1</v>
      </c>
      <c r="Q3330" s="13">
        <v>63</v>
      </c>
      <c r="R3330" s="13">
        <v>2</v>
      </c>
      <c r="S3330" s="13">
        <v>1</v>
      </c>
      <c r="T3330" s="23">
        <v>46247.820925925924</v>
      </c>
      <c r="U3330" s="55">
        <f t="shared" si="153"/>
        <v>1</v>
      </c>
      <c r="V3330" s="55">
        <f t="shared" si="154"/>
        <v>0</v>
      </c>
      <c r="W3330" s="56">
        <f t="shared" si="155"/>
        <v>1479.8333333333333</v>
      </c>
    </row>
    <row r="3331" spans="1:23" x14ac:dyDescent="0.3">
      <c r="A3331" s="13" t="str" cm="1">
        <f t="array" ref="A3331:B3331">INDEX(BenchmarkResults!$B$1:$D$35,SUMPRODUCT((T3331&gt;=BenchmarkResults!$F$3:$F$35)*(mongodb_hardware_log!T3331&lt;BenchmarkResults!$G$3:$G$35)*ROW(BenchmarkResults!$F$3:$F$35)),{1,3})</f>
        <v>q6_inactive_customers</v>
      </c>
      <c r="B3331">
        <v>3</v>
      </c>
      <c r="C3331" s="13">
        <v>1</v>
      </c>
      <c r="D3331" s="13">
        <v>0</v>
      </c>
      <c r="E3331" s="13">
        <v>179968</v>
      </c>
      <c r="F3331" s="13">
        <v>479048</v>
      </c>
      <c r="G3331" s="13">
        <v>11748</v>
      </c>
      <c r="H3331" s="13">
        <v>1910864</v>
      </c>
      <c r="I3331" s="13">
        <v>0</v>
      </c>
      <c r="J3331" s="13">
        <v>0</v>
      </c>
      <c r="K3331" s="13">
        <v>1394</v>
      </c>
      <c r="L3331" s="13">
        <v>28</v>
      </c>
      <c r="M3331" s="13">
        <v>741</v>
      </c>
      <c r="N3331" s="13">
        <v>217</v>
      </c>
      <c r="O3331" s="13">
        <v>33</v>
      </c>
      <c r="P3331" s="13">
        <v>1</v>
      </c>
      <c r="Q3331" s="13">
        <v>64</v>
      </c>
      <c r="R3331" s="13">
        <v>1</v>
      </c>
      <c r="S3331" s="13">
        <v>1</v>
      </c>
      <c r="T3331" s="23">
        <v>46247.821030092593</v>
      </c>
      <c r="U3331" s="55">
        <f t="shared" si="153"/>
        <v>1</v>
      </c>
      <c r="V3331" s="55">
        <f t="shared" si="154"/>
        <v>0</v>
      </c>
      <c r="W3331" s="56">
        <f t="shared" si="155"/>
        <v>1463.6666666666667</v>
      </c>
    </row>
    <row r="3332" spans="1:23" x14ac:dyDescent="0.3">
      <c r="A3332" s="13" t="str" cm="1">
        <f t="array" ref="A3332:B3332">INDEX(BenchmarkResults!$B$1:$D$35,SUMPRODUCT((T3332&gt;=BenchmarkResults!$F$3:$F$35)*(mongodb_hardware_log!T3332&lt;BenchmarkResults!$G$3:$G$35)*ROW(BenchmarkResults!$F$3:$F$35)),{1,3})</f>
        <v>q6_inactive_customers</v>
      </c>
      <c r="B3332">
        <v>3</v>
      </c>
      <c r="C3332" s="13">
        <v>1</v>
      </c>
      <c r="D3332" s="13">
        <v>0</v>
      </c>
      <c r="E3332" s="13">
        <v>179968</v>
      </c>
      <c r="F3332" s="13">
        <v>471992</v>
      </c>
      <c r="G3332" s="13">
        <v>11748</v>
      </c>
      <c r="H3332" s="13">
        <v>1914320</v>
      </c>
      <c r="I3332" s="13">
        <v>0</v>
      </c>
      <c r="J3332" s="13">
        <v>0</v>
      </c>
      <c r="K3332" s="13">
        <v>1588</v>
      </c>
      <c r="L3332" s="13">
        <v>23</v>
      </c>
      <c r="M3332" s="13">
        <v>733</v>
      </c>
      <c r="N3332" s="13">
        <v>213</v>
      </c>
      <c r="O3332" s="13">
        <v>33</v>
      </c>
      <c r="P3332" s="13">
        <v>1</v>
      </c>
      <c r="Q3332" s="13">
        <v>64</v>
      </c>
      <c r="R3332" s="13">
        <v>0</v>
      </c>
      <c r="S3332" s="13">
        <v>1</v>
      </c>
      <c r="T3332" s="23">
        <v>46247.82104166667</v>
      </c>
      <c r="U3332" s="55">
        <f t="shared" si="153"/>
        <v>1</v>
      </c>
      <c r="V3332" s="55">
        <f t="shared" si="154"/>
        <v>0</v>
      </c>
      <c r="W3332" s="56">
        <f t="shared" si="155"/>
        <v>1483.1666666666667</v>
      </c>
    </row>
    <row r="3333" spans="1:23" x14ac:dyDescent="0.3">
      <c r="A3333" s="13" t="str" cm="1">
        <f t="array" ref="A3333:B3333">INDEX(BenchmarkResults!$B$1:$D$35,SUMPRODUCT((T3333&gt;=BenchmarkResults!$F$3:$F$35)*(mongodb_hardware_log!T3333&lt;BenchmarkResults!$G$3:$G$35)*ROW(BenchmarkResults!$F$3:$F$35)),{1,3})</f>
        <v>q6_inactive_customers</v>
      </c>
      <c r="B3333">
        <v>3</v>
      </c>
      <c r="C3333" s="13">
        <v>1</v>
      </c>
      <c r="D3333" s="13">
        <v>0</v>
      </c>
      <c r="E3333" s="13">
        <v>179968</v>
      </c>
      <c r="F3333" s="13">
        <v>460904</v>
      </c>
      <c r="G3333" s="13">
        <v>11756</v>
      </c>
      <c r="H3333" s="13">
        <v>1928860</v>
      </c>
      <c r="I3333" s="13">
        <v>0</v>
      </c>
      <c r="J3333" s="13">
        <v>0</v>
      </c>
      <c r="K3333" s="13">
        <v>1801</v>
      </c>
      <c r="L3333" s="13">
        <v>10</v>
      </c>
      <c r="M3333" s="13">
        <v>715</v>
      </c>
      <c r="N3333" s="13">
        <v>204</v>
      </c>
      <c r="O3333" s="13">
        <v>33</v>
      </c>
      <c r="P3333" s="13">
        <v>1</v>
      </c>
      <c r="Q3333" s="13">
        <v>65</v>
      </c>
      <c r="R3333" s="13">
        <v>0</v>
      </c>
      <c r="S3333" s="13">
        <v>0</v>
      </c>
      <c r="T3333" s="23">
        <v>46247.821145833332</v>
      </c>
      <c r="U3333" s="55">
        <f t="shared" si="153"/>
        <v>1</v>
      </c>
      <c r="V3333" s="55">
        <f t="shared" si="154"/>
        <v>0</v>
      </c>
      <c r="W3333" s="56">
        <f t="shared" si="155"/>
        <v>1535.3333333333333</v>
      </c>
    </row>
    <row r="3334" spans="1:23" x14ac:dyDescent="0.3">
      <c r="A3334" s="13" t="str" cm="1">
        <f t="array" ref="A3334:B3334">INDEX(BenchmarkResults!$B$1:$D$35,SUMPRODUCT((T3334&gt;=BenchmarkResults!$F$3:$F$35)*(mongodb_hardware_log!T3334&lt;BenchmarkResults!$G$3:$G$35)*ROW(BenchmarkResults!$F$3:$F$35)),{1,3})</f>
        <v>q6_inactive_customers</v>
      </c>
      <c r="B3334">
        <v>3</v>
      </c>
      <c r="C3334" s="13">
        <v>1</v>
      </c>
      <c r="D3334" s="13">
        <v>0</v>
      </c>
      <c r="E3334" s="13">
        <v>179968</v>
      </c>
      <c r="F3334" s="13">
        <v>445784</v>
      </c>
      <c r="G3334" s="13">
        <v>11764</v>
      </c>
      <c r="H3334" s="13">
        <v>1933956</v>
      </c>
      <c r="I3334" s="13">
        <v>0</v>
      </c>
      <c r="J3334" s="13">
        <v>0</v>
      </c>
      <c r="K3334" s="13">
        <v>1488</v>
      </c>
      <c r="L3334" s="13">
        <v>15</v>
      </c>
      <c r="M3334" s="13">
        <v>697</v>
      </c>
      <c r="N3334" s="13">
        <v>189</v>
      </c>
      <c r="O3334" s="13">
        <v>33</v>
      </c>
      <c r="P3334" s="13">
        <v>2</v>
      </c>
      <c r="Q3334" s="13">
        <v>65</v>
      </c>
      <c r="R3334" s="13">
        <v>0</v>
      </c>
      <c r="S3334" s="13">
        <v>0</v>
      </c>
      <c r="T3334" s="23">
        <v>46247.821157407408</v>
      </c>
      <c r="U3334" s="55">
        <f t="shared" si="153"/>
        <v>1</v>
      </c>
      <c r="V3334" s="55">
        <f t="shared" si="154"/>
        <v>0</v>
      </c>
      <c r="W3334" s="56">
        <f t="shared" si="155"/>
        <v>1529.3333333333333</v>
      </c>
    </row>
    <row r="3335" spans="1:23" x14ac:dyDescent="0.3">
      <c r="A3335" s="13" t="str" cm="1">
        <f t="array" ref="A3335:B3335">INDEX(BenchmarkResults!$B$1:$D$35,SUMPRODUCT((T3335&gt;=BenchmarkResults!$F$3:$F$35)*(mongodb_hardware_log!T3335&lt;BenchmarkResults!$G$3:$G$35)*ROW(BenchmarkResults!$F$3:$F$35)),{1,3})</f>
        <v>q6_inactive_customers</v>
      </c>
      <c r="B3335">
        <v>3</v>
      </c>
      <c r="C3335" s="13">
        <v>1</v>
      </c>
      <c r="D3335" s="13">
        <v>0</v>
      </c>
      <c r="E3335" s="13">
        <v>179968</v>
      </c>
      <c r="F3335" s="13">
        <v>425880</v>
      </c>
      <c r="G3335" s="13">
        <v>11772</v>
      </c>
      <c r="H3335" s="13">
        <v>1955704</v>
      </c>
      <c r="I3335" s="13">
        <v>0</v>
      </c>
      <c r="J3335" s="13">
        <v>0</v>
      </c>
      <c r="K3335" s="13">
        <v>1099</v>
      </c>
      <c r="L3335" s="13">
        <v>16</v>
      </c>
      <c r="M3335" s="13">
        <v>680</v>
      </c>
      <c r="N3335" s="13">
        <v>180</v>
      </c>
      <c r="O3335" s="13">
        <v>32</v>
      </c>
      <c r="P3335" s="13">
        <v>2</v>
      </c>
      <c r="Q3335" s="13">
        <v>65</v>
      </c>
      <c r="R3335" s="13">
        <v>0</v>
      </c>
      <c r="S3335" s="13">
        <v>0</v>
      </c>
      <c r="T3335" s="23">
        <v>46247.821261574078</v>
      </c>
      <c r="U3335" s="55">
        <f t="shared" si="153"/>
        <v>1</v>
      </c>
      <c r="V3335" s="55">
        <f t="shared" si="154"/>
        <v>0</v>
      </c>
      <c r="W3335" s="56">
        <f t="shared" si="155"/>
        <v>1460.1666666666667</v>
      </c>
    </row>
    <row r="3336" spans="1:23" x14ac:dyDescent="0.3">
      <c r="A3336" s="13" t="str" cm="1">
        <f t="array" ref="A3336:B3336">INDEX(BenchmarkResults!$B$1:$D$35,SUMPRODUCT((T3336&gt;=BenchmarkResults!$F$3:$F$35)*(mongodb_hardware_log!T3336&lt;BenchmarkResults!$G$3:$G$35)*ROW(BenchmarkResults!$F$3:$F$35)),{1,3})</f>
        <v>q6_inactive_customers</v>
      </c>
      <c r="B3336">
        <v>3</v>
      </c>
      <c r="C3336" s="13">
        <v>1</v>
      </c>
      <c r="D3336" s="13">
        <v>0</v>
      </c>
      <c r="E3336" s="13">
        <v>179968</v>
      </c>
      <c r="F3336" s="13">
        <v>419832</v>
      </c>
      <c r="G3336" s="13">
        <v>11772</v>
      </c>
      <c r="H3336" s="13">
        <v>1958652</v>
      </c>
      <c r="I3336" s="13">
        <v>0</v>
      </c>
      <c r="J3336" s="13">
        <v>0</v>
      </c>
      <c r="K3336" s="13">
        <v>1348</v>
      </c>
      <c r="L3336" s="13">
        <v>11</v>
      </c>
      <c r="M3336" s="13">
        <v>696</v>
      </c>
      <c r="N3336" s="13">
        <v>193</v>
      </c>
      <c r="O3336" s="13">
        <v>33</v>
      </c>
      <c r="P3336" s="13">
        <v>2</v>
      </c>
      <c r="Q3336" s="13">
        <v>65</v>
      </c>
      <c r="R3336" s="13">
        <v>0</v>
      </c>
      <c r="S3336" s="13">
        <v>0</v>
      </c>
      <c r="T3336" s="23">
        <v>46247.821273148147</v>
      </c>
      <c r="U3336" s="55">
        <f t="shared" si="153"/>
        <v>1</v>
      </c>
      <c r="V3336" s="55">
        <f t="shared" si="154"/>
        <v>0</v>
      </c>
      <c r="W3336" s="56">
        <f t="shared" si="155"/>
        <v>1453</v>
      </c>
    </row>
    <row r="3337" spans="1:23" x14ac:dyDescent="0.3">
      <c r="A3337" s="13" t="str" cm="1">
        <f t="array" ref="A3337:B3337">INDEX(BenchmarkResults!$B$1:$D$35,SUMPRODUCT((T3337&gt;=BenchmarkResults!$F$3:$F$35)*(mongodb_hardware_log!T3337&lt;BenchmarkResults!$G$3:$G$35)*ROW(BenchmarkResults!$F$3:$F$35)),{1,3})</f>
        <v>q6_inactive_customers</v>
      </c>
      <c r="B3337">
        <v>3</v>
      </c>
      <c r="C3337" s="13">
        <v>1</v>
      </c>
      <c r="D3337" s="13">
        <v>0</v>
      </c>
      <c r="E3337" s="13">
        <v>179968</v>
      </c>
      <c r="F3337" s="13">
        <v>403200</v>
      </c>
      <c r="G3337" s="13">
        <v>11780</v>
      </c>
      <c r="H3337" s="13">
        <v>1972680</v>
      </c>
      <c r="I3337" s="13">
        <v>0</v>
      </c>
      <c r="J3337" s="13">
        <v>0</v>
      </c>
      <c r="K3337" s="13">
        <v>1690</v>
      </c>
      <c r="L3337" s="13">
        <v>8</v>
      </c>
      <c r="M3337" s="13">
        <v>707</v>
      </c>
      <c r="N3337" s="13">
        <v>200</v>
      </c>
      <c r="O3337" s="13">
        <v>33</v>
      </c>
      <c r="P3337" s="13">
        <v>1</v>
      </c>
      <c r="Q3337" s="13">
        <v>65</v>
      </c>
      <c r="R3337" s="13">
        <v>0</v>
      </c>
      <c r="S3337" s="13">
        <v>0</v>
      </c>
      <c r="T3337" s="23">
        <v>46247.821377314816</v>
      </c>
      <c r="U3337" s="55">
        <f t="shared" ref="U3337:U3400" si="156">AVERAGE(C3332:C3337)</f>
        <v>1</v>
      </c>
      <c r="V3337" s="55">
        <f t="shared" ref="V3337:V3400" si="157">AVERAGE(D3332:D3337)</f>
        <v>0</v>
      </c>
      <c r="W3337" s="56">
        <f t="shared" ref="W3337:W3400" si="158">AVERAGE(K3332:K3337)</f>
        <v>1502.3333333333333</v>
      </c>
    </row>
    <row r="3338" spans="1:23" x14ac:dyDescent="0.3">
      <c r="A3338" s="13" t="str" cm="1">
        <f t="array" ref="A3338:B3338">INDEX(BenchmarkResults!$B$1:$D$35,SUMPRODUCT((T3338&gt;=BenchmarkResults!$F$3:$F$35)*(mongodb_hardware_log!T3338&lt;BenchmarkResults!$G$3:$G$35)*ROW(BenchmarkResults!$F$3:$F$35)),{1,3})</f>
        <v>q6_inactive_customers</v>
      </c>
      <c r="B3338">
        <v>3</v>
      </c>
      <c r="C3338" s="13">
        <v>1</v>
      </c>
      <c r="D3338" s="13">
        <v>0</v>
      </c>
      <c r="E3338" s="13">
        <v>179968</v>
      </c>
      <c r="F3338" s="13">
        <v>403200</v>
      </c>
      <c r="G3338" s="13">
        <v>11788</v>
      </c>
      <c r="H3338" s="13">
        <v>1974908</v>
      </c>
      <c r="I3338" s="13">
        <v>0</v>
      </c>
      <c r="J3338" s="13">
        <v>0</v>
      </c>
      <c r="K3338" s="13">
        <v>1636</v>
      </c>
      <c r="L3338" s="13">
        <v>13</v>
      </c>
      <c r="M3338" s="13">
        <v>712</v>
      </c>
      <c r="N3338" s="13">
        <v>205</v>
      </c>
      <c r="O3338" s="13">
        <v>33</v>
      </c>
      <c r="P3338" s="13">
        <v>1</v>
      </c>
      <c r="Q3338" s="13">
        <v>65</v>
      </c>
      <c r="R3338" s="13">
        <v>0</v>
      </c>
      <c r="S3338" s="13">
        <v>1</v>
      </c>
      <c r="T3338" s="23">
        <v>46247.821388888886</v>
      </c>
      <c r="U3338" s="55">
        <f t="shared" si="156"/>
        <v>1</v>
      </c>
      <c r="V3338" s="55">
        <f t="shared" si="157"/>
        <v>0</v>
      </c>
      <c r="W3338" s="56">
        <f t="shared" si="158"/>
        <v>1510.3333333333333</v>
      </c>
    </row>
    <row r="3339" spans="1:23" x14ac:dyDescent="0.3">
      <c r="A3339" s="13" t="str" cm="1">
        <f t="array" ref="A3339:B3339">INDEX(BenchmarkResults!$B$1:$D$35,SUMPRODUCT((T3339&gt;=BenchmarkResults!$F$3:$F$35)*(mongodb_hardware_log!T3339&lt;BenchmarkResults!$G$3:$G$35)*ROW(BenchmarkResults!$F$3:$F$35)),{1,3})</f>
        <v>q6_inactive_customers</v>
      </c>
      <c r="B3339">
        <v>3</v>
      </c>
      <c r="C3339" s="13">
        <v>1</v>
      </c>
      <c r="D3339" s="13">
        <v>0</v>
      </c>
      <c r="E3339" s="13">
        <v>179968</v>
      </c>
      <c r="F3339" s="13">
        <v>394128</v>
      </c>
      <c r="G3339" s="13">
        <v>11796</v>
      </c>
      <c r="H3339" s="13">
        <v>1986804</v>
      </c>
      <c r="I3339" s="13">
        <v>0</v>
      </c>
      <c r="J3339" s="13">
        <v>0</v>
      </c>
      <c r="K3339" s="13">
        <v>1410</v>
      </c>
      <c r="L3339" s="13">
        <v>16</v>
      </c>
      <c r="M3339" s="13">
        <v>731</v>
      </c>
      <c r="N3339" s="13">
        <v>216</v>
      </c>
      <c r="O3339" s="13">
        <v>34</v>
      </c>
      <c r="P3339" s="13">
        <v>1</v>
      </c>
      <c r="Q3339" s="13">
        <v>64</v>
      </c>
      <c r="R3339" s="13">
        <v>1</v>
      </c>
      <c r="S3339" s="13">
        <v>1</v>
      </c>
      <c r="T3339" s="23">
        <v>46247.821493055555</v>
      </c>
      <c r="U3339" s="55">
        <f t="shared" si="156"/>
        <v>1</v>
      </c>
      <c r="V3339" s="55">
        <f t="shared" si="157"/>
        <v>0</v>
      </c>
      <c r="W3339" s="56">
        <f t="shared" si="158"/>
        <v>1445.1666666666667</v>
      </c>
    </row>
    <row r="3340" spans="1:23" x14ac:dyDescent="0.3">
      <c r="A3340" s="13" t="str" cm="1">
        <f t="array" ref="A3340:B3340">INDEX(BenchmarkResults!$B$1:$D$35,SUMPRODUCT((T3340&gt;=BenchmarkResults!$F$3:$F$35)*(mongodb_hardware_log!T3340&lt;BenchmarkResults!$G$3:$G$35)*ROW(BenchmarkResults!$F$3:$F$35)),{1,3})</f>
        <v>q6_inactive_customers</v>
      </c>
      <c r="B3340">
        <v>3</v>
      </c>
      <c r="C3340" s="13">
        <v>1</v>
      </c>
      <c r="D3340" s="13">
        <v>0</v>
      </c>
      <c r="E3340" s="13">
        <v>179968</v>
      </c>
      <c r="F3340" s="13">
        <v>392112</v>
      </c>
      <c r="G3340" s="13">
        <v>11796</v>
      </c>
      <c r="H3340" s="13">
        <v>1990156</v>
      </c>
      <c r="I3340" s="13">
        <v>0</v>
      </c>
      <c r="J3340" s="13">
        <v>0</v>
      </c>
      <c r="K3340" s="13">
        <v>1514</v>
      </c>
      <c r="L3340" s="13">
        <v>10</v>
      </c>
      <c r="M3340" s="13">
        <v>735</v>
      </c>
      <c r="N3340" s="13">
        <v>223</v>
      </c>
      <c r="O3340" s="13">
        <v>34</v>
      </c>
      <c r="P3340" s="13">
        <v>1</v>
      </c>
      <c r="Q3340" s="13">
        <v>64</v>
      </c>
      <c r="R3340" s="13">
        <v>1</v>
      </c>
      <c r="S3340" s="13">
        <v>0</v>
      </c>
      <c r="T3340" s="23">
        <v>46247.821504629632</v>
      </c>
      <c r="U3340" s="55">
        <f t="shared" si="156"/>
        <v>1</v>
      </c>
      <c r="V3340" s="55">
        <f t="shared" si="157"/>
        <v>0</v>
      </c>
      <c r="W3340" s="56">
        <f t="shared" si="158"/>
        <v>1449.5</v>
      </c>
    </row>
    <row r="3341" spans="1:23" x14ac:dyDescent="0.3">
      <c r="A3341" s="13" t="str" cm="1">
        <f t="array" ref="A3341:B3341">INDEX(BenchmarkResults!$B$1:$D$35,SUMPRODUCT((T3341&gt;=BenchmarkResults!$F$3:$F$35)*(mongodb_hardware_log!T3341&lt;BenchmarkResults!$G$3:$G$35)*ROW(BenchmarkResults!$F$3:$F$35)),{1,3})</f>
        <v>q6_inactive_customers</v>
      </c>
      <c r="B3341">
        <v>3</v>
      </c>
      <c r="C3341" s="13">
        <v>1</v>
      </c>
      <c r="D3341" s="13">
        <v>0</v>
      </c>
      <c r="E3341" s="13">
        <v>179968</v>
      </c>
      <c r="F3341" s="13">
        <v>375984</v>
      </c>
      <c r="G3341" s="13">
        <v>11804</v>
      </c>
      <c r="H3341" s="13">
        <v>2002728</v>
      </c>
      <c r="I3341" s="13">
        <v>0</v>
      </c>
      <c r="J3341" s="13">
        <v>0</v>
      </c>
      <c r="K3341" s="13">
        <v>1601</v>
      </c>
      <c r="L3341" s="13">
        <v>1571</v>
      </c>
      <c r="M3341" s="13">
        <v>743</v>
      </c>
      <c r="N3341" s="13">
        <v>225</v>
      </c>
      <c r="O3341" s="13">
        <v>33</v>
      </c>
      <c r="P3341" s="13">
        <v>1</v>
      </c>
      <c r="Q3341" s="13">
        <v>63</v>
      </c>
      <c r="R3341" s="13">
        <v>2</v>
      </c>
      <c r="S3341" s="13">
        <v>0</v>
      </c>
      <c r="T3341" s="23">
        <v>46247.821608796294</v>
      </c>
      <c r="U3341" s="55">
        <f t="shared" si="156"/>
        <v>1</v>
      </c>
      <c r="V3341" s="55">
        <f t="shared" si="157"/>
        <v>0</v>
      </c>
      <c r="W3341" s="56">
        <f t="shared" si="158"/>
        <v>1533.1666666666667</v>
      </c>
    </row>
    <row r="3342" spans="1:23" x14ac:dyDescent="0.3">
      <c r="A3342" s="13" t="str" cm="1">
        <f t="array" ref="A3342:B3342">INDEX(BenchmarkResults!$B$1:$D$35,SUMPRODUCT((T3342&gt;=BenchmarkResults!$F$3:$F$35)*(mongodb_hardware_log!T3342&lt;BenchmarkResults!$G$3:$G$35)*ROW(BenchmarkResults!$F$3:$F$35)),{1,3})</f>
        <v>q6_inactive_customers</v>
      </c>
      <c r="B3342">
        <v>3</v>
      </c>
      <c r="C3342" s="13">
        <v>1</v>
      </c>
      <c r="D3342" s="13">
        <v>0</v>
      </c>
      <c r="E3342" s="13">
        <v>179968</v>
      </c>
      <c r="F3342" s="13">
        <v>375732</v>
      </c>
      <c r="G3342" s="13">
        <v>11812</v>
      </c>
      <c r="H3342" s="13">
        <v>2004180</v>
      </c>
      <c r="I3342" s="13">
        <v>0</v>
      </c>
      <c r="J3342" s="13">
        <v>0</v>
      </c>
      <c r="K3342" s="13">
        <v>1403</v>
      </c>
      <c r="L3342" s="13">
        <v>1577</v>
      </c>
      <c r="M3342" s="13">
        <v>735</v>
      </c>
      <c r="N3342" s="13">
        <v>217</v>
      </c>
      <c r="O3342" s="13">
        <v>33</v>
      </c>
      <c r="P3342" s="13">
        <v>1</v>
      </c>
      <c r="Q3342" s="13">
        <v>63</v>
      </c>
      <c r="R3342" s="13">
        <v>2</v>
      </c>
      <c r="S3342" s="13">
        <v>0</v>
      </c>
      <c r="T3342" s="23">
        <v>46247.821620370371</v>
      </c>
      <c r="U3342" s="55">
        <f t="shared" si="156"/>
        <v>1</v>
      </c>
      <c r="V3342" s="55">
        <f t="shared" si="157"/>
        <v>0</v>
      </c>
      <c r="W3342" s="56">
        <f t="shared" si="158"/>
        <v>1542.3333333333333</v>
      </c>
    </row>
    <row r="3343" spans="1:23" x14ac:dyDescent="0.3">
      <c r="A3343" s="13" t="str" cm="1">
        <f t="array" ref="A3343:B3343">INDEX(BenchmarkResults!$B$1:$D$35,SUMPRODUCT((T3343&gt;=BenchmarkResults!$F$3:$F$35)*(mongodb_hardware_log!T3343&lt;BenchmarkResults!$G$3:$G$35)*ROW(BenchmarkResults!$F$3:$F$35)),{1,3})</f>
        <v>q6_inactive_customers</v>
      </c>
      <c r="B3343">
        <v>3</v>
      </c>
      <c r="C3343" s="13">
        <v>1</v>
      </c>
      <c r="D3343" s="13">
        <v>0</v>
      </c>
      <c r="E3343" s="13">
        <v>179968</v>
      </c>
      <c r="F3343" s="13">
        <v>367164</v>
      </c>
      <c r="G3343" s="13">
        <v>11844</v>
      </c>
      <c r="H3343" s="13">
        <v>2016684</v>
      </c>
      <c r="I3343" s="13">
        <v>0</v>
      </c>
      <c r="J3343" s="13">
        <v>0</v>
      </c>
      <c r="K3343" s="13">
        <v>1390</v>
      </c>
      <c r="L3343" s="13">
        <v>32</v>
      </c>
      <c r="M3343" s="13">
        <v>721</v>
      </c>
      <c r="N3343" s="13">
        <v>220</v>
      </c>
      <c r="O3343" s="13">
        <v>33</v>
      </c>
      <c r="P3343" s="13">
        <v>1</v>
      </c>
      <c r="Q3343" s="13">
        <v>65</v>
      </c>
      <c r="R3343" s="13">
        <v>1</v>
      </c>
      <c r="S3343" s="13">
        <v>0</v>
      </c>
      <c r="T3343" s="23">
        <v>46247.82172453704</v>
      </c>
      <c r="U3343" s="55">
        <f t="shared" si="156"/>
        <v>1</v>
      </c>
      <c r="V3343" s="55">
        <f t="shared" si="157"/>
        <v>0</v>
      </c>
      <c r="W3343" s="56">
        <f t="shared" si="158"/>
        <v>1492.3333333333333</v>
      </c>
    </row>
    <row r="3344" spans="1:23" x14ac:dyDescent="0.3">
      <c r="A3344" s="13" t="str" cm="1">
        <f t="array" ref="A3344:B3344">INDEX(BenchmarkResults!$B$1:$D$35,SUMPRODUCT((T3344&gt;=BenchmarkResults!$F$3:$F$35)*(mongodb_hardware_log!T3344&lt;BenchmarkResults!$G$3:$G$35)*ROW(BenchmarkResults!$F$3:$F$35)),{1,3})</f>
        <v>q6_inactive_customers</v>
      </c>
      <c r="B3344">
        <v>3</v>
      </c>
      <c r="C3344" s="13">
        <v>1</v>
      </c>
      <c r="D3344" s="13">
        <v>0</v>
      </c>
      <c r="E3344" s="13">
        <v>179968</v>
      </c>
      <c r="F3344" s="13">
        <v>361368</v>
      </c>
      <c r="G3344" s="13">
        <v>11844</v>
      </c>
      <c r="H3344" s="13">
        <v>2020008</v>
      </c>
      <c r="I3344" s="13">
        <v>0</v>
      </c>
      <c r="J3344" s="13">
        <v>0</v>
      </c>
      <c r="K3344" s="13">
        <v>1591</v>
      </c>
      <c r="L3344" s="13">
        <v>26</v>
      </c>
      <c r="M3344" s="13">
        <v>730</v>
      </c>
      <c r="N3344" s="13">
        <v>224</v>
      </c>
      <c r="O3344" s="13">
        <v>33</v>
      </c>
      <c r="P3344" s="13">
        <v>1</v>
      </c>
      <c r="Q3344" s="13">
        <v>64</v>
      </c>
      <c r="R3344" s="13">
        <v>1</v>
      </c>
      <c r="S3344" s="13">
        <v>0</v>
      </c>
      <c r="T3344" s="23">
        <v>46247.821736111109</v>
      </c>
      <c r="U3344" s="55">
        <f t="shared" si="156"/>
        <v>1</v>
      </c>
      <c r="V3344" s="55">
        <f t="shared" si="157"/>
        <v>0</v>
      </c>
      <c r="W3344" s="56">
        <f t="shared" si="158"/>
        <v>1484.8333333333333</v>
      </c>
    </row>
    <row r="3345" spans="1:23" x14ac:dyDescent="0.3">
      <c r="A3345" s="13" t="str" cm="1">
        <f t="array" ref="A3345:B3345">INDEX(BenchmarkResults!$B$1:$D$35,SUMPRODUCT((T3345&gt;=BenchmarkResults!$F$3:$F$35)*(mongodb_hardware_log!T3345&lt;BenchmarkResults!$G$3:$G$35)*ROW(BenchmarkResults!$F$3:$F$35)),{1,3})</f>
        <v>q6_inactive_customers</v>
      </c>
      <c r="B3345">
        <v>3</v>
      </c>
      <c r="C3345" s="13">
        <v>1</v>
      </c>
      <c r="D3345" s="13">
        <v>0</v>
      </c>
      <c r="E3345" s="13">
        <v>179968</v>
      </c>
      <c r="F3345" s="13">
        <v>323576</v>
      </c>
      <c r="G3345" s="13">
        <v>11852</v>
      </c>
      <c r="H3345" s="13">
        <v>2041588</v>
      </c>
      <c r="I3345" s="13">
        <v>0</v>
      </c>
      <c r="J3345" s="13">
        <v>0</v>
      </c>
      <c r="K3345" s="13">
        <v>965</v>
      </c>
      <c r="L3345" s="13">
        <v>8</v>
      </c>
      <c r="M3345" s="13">
        <v>687</v>
      </c>
      <c r="N3345" s="13">
        <v>174</v>
      </c>
      <c r="O3345" s="13">
        <v>33</v>
      </c>
      <c r="P3345" s="13">
        <v>2</v>
      </c>
      <c r="Q3345" s="13">
        <v>64</v>
      </c>
      <c r="R3345" s="13">
        <v>0</v>
      </c>
      <c r="S3345" s="13">
        <v>1</v>
      </c>
      <c r="T3345" s="23">
        <v>46247.821840277778</v>
      </c>
      <c r="U3345" s="55">
        <f t="shared" si="156"/>
        <v>1</v>
      </c>
      <c r="V3345" s="55">
        <f t="shared" si="157"/>
        <v>0</v>
      </c>
      <c r="W3345" s="56">
        <f t="shared" si="158"/>
        <v>1410.6666666666667</v>
      </c>
    </row>
    <row r="3346" spans="1:23" x14ac:dyDescent="0.3">
      <c r="A3346" s="13" t="str" cm="1">
        <f t="array" ref="A3346:B3346">INDEX(BenchmarkResults!$B$1:$D$35,SUMPRODUCT((T3346&gt;=BenchmarkResults!$F$3:$F$35)*(mongodb_hardware_log!T3346&lt;BenchmarkResults!$G$3:$G$35)*ROW(BenchmarkResults!$F$3:$F$35)),{1,3})</f>
        <v>q6_inactive_customers</v>
      </c>
      <c r="B3346">
        <v>3</v>
      </c>
      <c r="C3346" s="13">
        <v>1</v>
      </c>
      <c r="D3346" s="13">
        <v>0</v>
      </c>
      <c r="E3346" s="13">
        <v>179968</v>
      </c>
      <c r="F3346" s="13">
        <v>323576</v>
      </c>
      <c r="G3346" s="13">
        <v>11860</v>
      </c>
      <c r="H3346" s="13">
        <v>2045480</v>
      </c>
      <c r="I3346" s="13">
        <v>0</v>
      </c>
      <c r="J3346" s="13">
        <v>0</v>
      </c>
      <c r="K3346" s="13">
        <v>940</v>
      </c>
      <c r="L3346" s="13">
        <v>12</v>
      </c>
      <c r="M3346" s="13">
        <v>678</v>
      </c>
      <c r="N3346" s="13">
        <v>172</v>
      </c>
      <c r="O3346" s="13">
        <v>33</v>
      </c>
      <c r="P3346" s="13">
        <v>2</v>
      </c>
      <c r="Q3346" s="13">
        <v>65</v>
      </c>
      <c r="R3346" s="13">
        <v>0</v>
      </c>
      <c r="S3346" s="13">
        <v>1</v>
      </c>
      <c r="T3346" s="23">
        <v>46247.821851851855</v>
      </c>
      <c r="U3346" s="55">
        <f t="shared" si="156"/>
        <v>1</v>
      </c>
      <c r="V3346" s="55">
        <f t="shared" si="157"/>
        <v>0</v>
      </c>
      <c r="W3346" s="56">
        <f t="shared" si="158"/>
        <v>1315</v>
      </c>
    </row>
    <row r="3347" spans="1:23" x14ac:dyDescent="0.3">
      <c r="A3347" s="13" t="str" cm="1">
        <f t="array" ref="A3347:B3347">INDEX(BenchmarkResults!$B$1:$D$35,SUMPRODUCT((T3347&gt;=BenchmarkResults!$F$3:$F$35)*(mongodb_hardware_log!T3347&lt;BenchmarkResults!$G$3:$G$35)*ROW(BenchmarkResults!$F$3:$F$35)),{1,3})</f>
        <v>q6_inactive_customers</v>
      </c>
      <c r="B3347">
        <v>3</v>
      </c>
      <c r="C3347" s="13">
        <v>1</v>
      </c>
      <c r="D3347" s="13">
        <v>0</v>
      </c>
      <c r="E3347" s="13">
        <v>179968</v>
      </c>
      <c r="F3347" s="13">
        <v>308456</v>
      </c>
      <c r="G3347" s="13">
        <v>11868</v>
      </c>
      <c r="H3347" s="13">
        <v>2059724</v>
      </c>
      <c r="I3347" s="13">
        <v>0</v>
      </c>
      <c r="J3347" s="13">
        <v>0</v>
      </c>
      <c r="K3347" s="13">
        <v>1734</v>
      </c>
      <c r="L3347" s="13">
        <v>19</v>
      </c>
      <c r="M3347" s="13">
        <v>724</v>
      </c>
      <c r="N3347" s="13">
        <v>216</v>
      </c>
      <c r="O3347" s="13">
        <v>33</v>
      </c>
      <c r="P3347" s="13">
        <v>1</v>
      </c>
      <c r="Q3347" s="13">
        <v>65</v>
      </c>
      <c r="R3347" s="13">
        <v>0</v>
      </c>
      <c r="S3347" s="13">
        <v>0</v>
      </c>
      <c r="T3347" s="23">
        <v>46247.821956018517</v>
      </c>
      <c r="U3347" s="55">
        <f t="shared" si="156"/>
        <v>1</v>
      </c>
      <c r="V3347" s="55">
        <f t="shared" si="157"/>
        <v>0</v>
      </c>
      <c r="W3347" s="56">
        <f t="shared" si="158"/>
        <v>1337.1666666666667</v>
      </c>
    </row>
    <row r="3348" spans="1:23" x14ac:dyDescent="0.3">
      <c r="A3348" s="13" t="str" cm="1">
        <f t="array" ref="A3348:B3348">INDEX(BenchmarkResults!$B$1:$D$35,SUMPRODUCT((T3348&gt;=BenchmarkResults!$F$3:$F$35)*(mongodb_hardware_log!T3348&lt;BenchmarkResults!$G$3:$G$35)*ROW(BenchmarkResults!$F$3:$F$35)),{1,3})</f>
        <v>q6_inactive_customers</v>
      </c>
      <c r="B3348">
        <v>3</v>
      </c>
      <c r="C3348" s="13">
        <v>1</v>
      </c>
      <c r="D3348" s="13">
        <v>0</v>
      </c>
      <c r="E3348" s="13">
        <v>179968</v>
      </c>
      <c r="F3348" s="13">
        <v>308456</v>
      </c>
      <c r="G3348" s="13">
        <v>11868</v>
      </c>
      <c r="H3348" s="13">
        <v>2061496</v>
      </c>
      <c r="I3348" s="13">
        <v>0</v>
      </c>
      <c r="J3348" s="13">
        <v>0</v>
      </c>
      <c r="K3348" s="13">
        <v>1596</v>
      </c>
      <c r="L3348" s="13">
        <v>14</v>
      </c>
      <c r="M3348" s="13">
        <v>724</v>
      </c>
      <c r="N3348" s="13">
        <v>213</v>
      </c>
      <c r="O3348" s="13">
        <v>33</v>
      </c>
      <c r="P3348" s="13">
        <v>1</v>
      </c>
      <c r="Q3348" s="13">
        <v>65</v>
      </c>
      <c r="R3348" s="13">
        <v>0</v>
      </c>
      <c r="S3348" s="13">
        <v>0</v>
      </c>
      <c r="T3348" s="23">
        <v>46247.821967592594</v>
      </c>
      <c r="U3348" s="55">
        <f t="shared" si="156"/>
        <v>1</v>
      </c>
      <c r="V3348" s="55">
        <f t="shared" si="157"/>
        <v>0</v>
      </c>
      <c r="W3348" s="56">
        <f t="shared" si="158"/>
        <v>1369.3333333333333</v>
      </c>
    </row>
    <row r="3349" spans="1:23" x14ac:dyDescent="0.3">
      <c r="A3349" s="13" t="str" cm="1">
        <f t="array" ref="A3349:B3349">INDEX(BenchmarkResults!$B$1:$D$35,SUMPRODUCT((T3349&gt;=BenchmarkResults!$F$3:$F$35)*(mongodb_hardware_log!T3349&lt;BenchmarkResults!$G$3:$G$35)*ROW(BenchmarkResults!$F$3:$F$35)),{1,3})</f>
        <v>q6_inactive_customers</v>
      </c>
      <c r="B3349">
        <v>3</v>
      </c>
      <c r="C3349" s="13">
        <v>1</v>
      </c>
      <c r="D3349" s="13">
        <v>0</v>
      </c>
      <c r="E3349" s="13">
        <v>179968</v>
      </c>
      <c r="F3349" s="13">
        <v>290564</v>
      </c>
      <c r="G3349" s="13">
        <v>11876</v>
      </c>
      <c r="H3349" s="13">
        <v>2077332</v>
      </c>
      <c r="I3349" s="13">
        <v>0</v>
      </c>
      <c r="J3349" s="13">
        <v>0</v>
      </c>
      <c r="K3349" s="13">
        <v>1764</v>
      </c>
      <c r="L3349" s="13">
        <v>8</v>
      </c>
      <c r="M3349" s="13">
        <v>726</v>
      </c>
      <c r="N3349" s="13">
        <v>216</v>
      </c>
      <c r="O3349" s="13">
        <v>33</v>
      </c>
      <c r="P3349" s="13">
        <v>1</v>
      </c>
      <c r="Q3349" s="13">
        <v>65</v>
      </c>
      <c r="R3349" s="13">
        <v>0</v>
      </c>
      <c r="S3349" s="13">
        <v>0</v>
      </c>
      <c r="T3349" s="23">
        <v>46247.822071759256</v>
      </c>
      <c r="U3349" s="55">
        <f t="shared" si="156"/>
        <v>1</v>
      </c>
      <c r="V3349" s="55">
        <f t="shared" si="157"/>
        <v>0</v>
      </c>
      <c r="W3349" s="56">
        <f t="shared" si="158"/>
        <v>1431.6666666666667</v>
      </c>
    </row>
    <row r="3350" spans="1:23" x14ac:dyDescent="0.3">
      <c r="A3350" s="13" t="str" cm="1">
        <f t="array" ref="A3350:B3350">INDEX(BenchmarkResults!$B$1:$D$35,SUMPRODUCT((T3350&gt;=BenchmarkResults!$F$3:$F$35)*(mongodb_hardware_log!T3350&lt;BenchmarkResults!$G$3:$G$35)*ROW(BenchmarkResults!$F$3:$F$35)),{1,3})</f>
        <v>q6_inactive_customers</v>
      </c>
      <c r="B3350">
        <v>3</v>
      </c>
      <c r="C3350" s="13">
        <v>1</v>
      </c>
      <c r="D3350" s="13">
        <v>0</v>
      </c>
      <c r="E3350" s="13">
        <v>179968</v>
      </c>
      <c r="F3350" s="13">
        <v>290564</v>
      </c>
      <c r="G3350" s="13">
        <v>11884</v>
      </c>
      <c r="H3350" s="13">
        <v>2080804</v>
      </c>
      <c r="I3350" s="13">
        <v>0</v>
      </c>
      <c r="J3350" s="13">
        <v>0</v>
      </c>
      <c r="K3350" s="13">
        <v>1935</v>
      </c>
      <c r="L3350" s="13">
        <v>12</v>
      </c>
      <c r="M3350" s="13">
        <v>727</v>
      </c>
      <c r="N3350" s="13">
        <v>218</v>
      </c>
      <c r="O3350" s="13">
        <v>33</v>
      </c>
      <c r="P3350" s="13">
        <v>1</v>
      </c>
      <c r="Q3350" s="13">
        <v>65</v>
      </c>
      <c r="R3350" s="13">
        <v>0</v>
      </c>
      <c r="S3350" s="13">
        <v>0</v>
      </c>
      <c r="T3350" s="23">
        <v>46247.822083333333</v>
      </c>
      <c r="U3350" s="55">
        <f t="shared" si="156"/>
        <v>1</v>
      </c>
      <c r="V3350" s="55">
        <f t="shared" si="157"/>
        <v>0</v>
      </c>
      <c r="W3350" s="56">
        <f t="shared" si="158"/>
        <v>1489</v>
      </c>
    </row>
    <row r="3351" spans="1:23" x14ac:dyDescent="0.3">
      <c r="A3351" s="13" t="str" cm="1">
        <f t="array" ref="A3351:B3351">INDEX(BenchmarkResults!$B$1:$D$35,SUMPRODUCT((T3351&gt;=BenchmarkResults!$F$3:$F$35)*(mongodb_hardware_log!T3351&lt;BenchmarkResults!$G$3:$G$35)*ROW(BenchmarkResults!$F$3:$F$35)),{1,3})</f>
        <v>q6_inactive_customers</v>
      </c>
      <c r="B3351">
        <v>3</v>
      </c>
      <c r="C3351" s="13">
        <v>2</v>
      </c>
      <c r="D3351" s="13">
        <v>0</v>
      </c>
      <c r="E3351" s="13">
        <v>179968</v>
      </c>
      <c r="F3351" s="13">
        <v>273428</v>
      </c>
      <c r="G3351" s="13">
        <v>11892</v>
      </c>
      <c r="H3351" s="13">
        <v>2095628</v>
      </c>
      <c r="I3351" s="13">
        <v>0</v>
      </c>
      <c r="J3351" s="13">
        <v>0</v>
      </c>
      <c r="K3351" s="13">
        <v>1832</v>
      </c>
      <c r="L3351" s="13">
        <v>18</v>
      </c>
      <c r="M3351" s="13">
        <v>716</v>
      </c>
      <c r="N3351" s="13">
        <v>209</v>
      </c>
      <c r="O3351" s="13">
        <v>33</v>
      </c>
      <c r="P3351" s="13">
        <v>1</v>
      </c>
      <c r="Q3351" s="13">
        <v>65</v>
      </c>
      <c r="R3351" s="13">
        <v>0</v>
      </c>
      <c r="S3351" s="13">
        <v>0</v>
      </c>
      <c r="T3351" s="23">
        <v>46247.822187500002</v>
      </c>
      <c r="U3351" s="55">
        <f t="shared" si="156"/>
        <v>1.1666666666666667</v>
      </c>
      <c r="V3351" s="55">
        <f t="shared" si="157"/>
        <v>0</v>
      </c>
      <c r="W3351" s="56">
        <f t="shared" si="158"/>
        <v>1633.5</v>
      </c>
    </row>
    <row r="3352" spans="1:23" x14ac:dyDescent="0.3">
      <c r="A3352" s="13" t="str" cm="1">
        <f t="array" ref="A3352:B3352">INDEX(BenchmarkResults!$B$1:$D$35,SUMPRODUCT((T3352&gt;=BenchmarkResults!$F$3:$F$35)*(mongodb_hardware_log!T3352&lt;BenchmarkResults!$G$3:$G$35)*ROW(BenchmarkResults!$F$3:$F$35)),{1,3})</f>
        <v>q6_inactive_customers</v>
      </c>
      <c r="B3352">
        <v>3</v>
      </c>
      <c r="C3352" s="13">
        <v>1</v>
      </c>
      <c r="D3352" s="13">
        <v>0</v>
      </c>
      <c r="E3352" s="13">
        <v>179968</v>
      </c>
      <c r="F3352" s="13">
        <v>272672</v>
      </c>
      <c r="G3352" s="13">
        <v>11892</v>
      </c>
      <c r="H3352" s="13">
        <v>2100560</v>
      </c>
      <c r="I3352" s="13">
        <v>0</v>
      </c>
      <c r="J3352" s="13">
        <v>0</v>
      </c>
      <c r="K3352" s="13">
        <v>1976</v>
      </c>
      <c r="L3352" s="13">
        <v>13</v>
      </c>
      <c r="M3352" s="13">
        <v>725</v>
      </c>
      <c r="N3352" s="13">
        <v>216</v>
      </c>
      <c r="O3352" s="13">
        <v>33</v>
      </c>
      <c r="P3352" s="13">
        <v>1</v>
      </c>
      <c r="Q3352" s="13">
        <v>65</v>
      </c>
      <c r="R3352" s="13">
        <v>0</v>
      </c>
      <c r="S3352" s="13">
        <v>0</v>
      </c>
      <c r="T3352" s="23">
        <v>46247.822199074071</v>
      </c>
      <c r="U3352" s="55">
        <f t="shared" si="156"/>
        <v>1.1666666666666667</v>
      </c>
      <c r="V3352" s="55">
        <f t="shared" si="157"/>
        <v>0</v>
      </c>
      <c r="W3352" s="56">
        <f t="shared" si="158"/>
        <v>1806.1666666666667</v>
      </c>
    </row>
    <row r="3353" spans="1:23" x14ac:dyDescent="0.3">
      <c r="A3353" s="13" t="str" cm="1">
        <f t="array" ref="A3353:B3353">INDEX(BenchmarkResults!$B$1:$D$35,SUMPRODUCT((T3353&gt;=BenchmarkResults!$F$3:$F$35)*(mongodb_hardware_log!T3353&lt;BenchmarkResults!$G$3:$G$35)*ROW(BenchmarkResults!$F$3:$F$35)),{1,3})</f>
        <v>q6_inactive_customers</v>
      </c>
      <c r="B3353">
        <v>3</v>
      </c>
      <c r="C3353" s="13">
        <v>1</v>
      </c>
      <c r="D3353" s="13">
        <v>0</v>
      </c>
      <c r="E3353" s="13">
        <v>179968</v>
      </c>
      <c r="F3353" s="13">
        <v>255536</v>
      </c>
      <c r="G3353" s="13">
        <v>11900</v>
      </c>
      <c r="H3353" s="13">
        <v>2116940</v>
      </c>
      <c r="I3353" s="13">
        <v>0</v>
      </c>
      <c r="J3353" s="13">
        <v>0</v>
      </c>
      <c r="K3353" s="13">
        <v>2126</v>
      </c>
      <c r="L3353" s="13">
        <v>1574</v>
      </c>
      <c r="M3353" s="13">
        <v>753</v>
      </c>
      <c r="N3353" s="13">
        <v>227</v>
      </c>
      <c r="O3353" s="13">
        <v>33</v>
      </c>
      <c r="P3353" s="13">
        <v>2</v>
      </c>
      <c r="Q3353" s="13">
        <v>62</v>
      </c>
      <c r="R3353" s="13">
        <v>3</v>
      </c>
      <c r="S3353" s="13">
        <v>0</v>
      </c>
      <c r="T3353" s="23">
        <v>46247.82230324074</v>
      </c>
      <c r="U3353" s="55">
        <f t="shared" si="156"/>
        <v>1.1666666666666667</v>
      </c>
      <c r="V3353" s="55">
        <f t="shared" si="157"/>
        <v>0</v>
      </c>
      <c r="W3353" s="56">
        <f t="shared" si="158"/>
        <v>1871.5</v>
      </c>
    </row>
    <row r="3354" spans="1:23" x14ac:dyDescent="0.3">
      <c r="A3354" s="13" t="str" cm="1">
        <f t="array" ref="A3354:B3354">INDEX(BenchmarkResults!$B$1:$D$35,SUMPRODUCT((T3354&gt;=BenchmarkResults!$F$3:$F$35)*(mongodb_hardware_log!T3354&lt;BenchmarkResults!$G$3:$G$35)*ROW(BenchmarkResults!$F$3:$F$35)),{1,3})</f>
        <v>q6_inactive_customers</v>
      </c>
      <c r="B3354">
        <v>3</v>
      </c>
      <c r="C3354" s="13">
        <v>1</v>
      </c>
      <c r="D3354" s="13">
        <v>0</v>
      </c>
      <c r="E3354" s="13">
        <v>179968</v>
      </c>
      <c r="F3354" s="13">
        <v>247472</v>
      </c>
      <c r="G3354" s="13">
        <v>11900</v>
      </c>
      <c r="H3354" s="13">
        <v>2120692</v>
      </c>
      <c r="I3354" s="13">
        <v>0</v>
      </c>
      <c r="J3354" s="13">
        <v>0</v>
      </c>
      <c r="K3354" s="13">
        <v>1998</v>
      </c>
      <c r="L3354" s="13">
        <v>1574</v>
      </c>
      <c r="M3354" s="13">
        <v>748</v>
      </c>
      <c r="N3354" s="13">
        <v>223</v>
      </c>
      <c r="O3354" s="13">
        <v>33</v>
      </c>
      <c r="P3354" s="13">
        <v>2</v>
      </c>
      <c r="Q3354" s="13">
        <v>62</v>
      </c>
      <c r="R3354" s="13">
        <v>3</v>
      </c>
      <c r="S3354" s="13">
        <v>0</v>
      </c>
      <c r="T3354" s="23">
        <v>46247.822314814817</v>
      </c>
      <c r="U3354" s="55">
        <f t="shared" si="156"/>
        <v>1.1666666666666667</v>
      </c>
      <c r="V3354" s="55">
        <f t="shared" si="157"/>
        <v>0</v>
      </c>
      <c r="W3354" s="56">
        <f t="shared" si="158"/>
        <v>1938.5</v>
      </c>
    </row>
    <row r="3355" spans="1:23" x14ac:dyDescent="0.3">
      <c r="A3355" s="13" t="str" cm="1">
        <f t="array" ref="A3355:B3355">INDEX(BenchmarkResults!$B$1:$D$35,SUMPRODUCT((T3355&gt;=BenchmarkResults!$F$3:$F$35)*(mongodb_hardware_log!T3355&lt;BenchmarkResults!$G$3:$G$35)*ROW(BenchmarkResults!$F$3:$F$35)),{1,3})</f>
        <v>q6_inactive_customers</v>
      </c>
      <c r="B3355">
        <v>3</v>
      </c>
      <c r="C3355" s="13">
        <v>1</v>
      </c>
      <c r="D3355" s="13">
        <v>0</v>
      </c>
      <c r="E3355" s="13">
        <v>179968</v>
      </c>
      <c r="F3355" s="13">
        <v>231344</v>
      </c>
      <c r="G3355" s="13">
        <v>11932</v>
      </c>
      <c r="H3355" s="13">
        <v>2135824</v>
      </c>
      <c r="I3355" s="13">
        <v>0</v>
      </c>
      <c r="J3355" s="13">
        <v>0</v>
      </c>
      <c r="K3355" s="13">
        <v>1895</v>
      </c>
      <c r="L3355" s="13">
        <v>24</v>
      </c>
      <c r="M3355" s="13">
        <v>723</v>
      </c>
      <c r="N3355" s="13">
        <v>217</v>
      </c>
      <c r="O3355" s="13">
        <v>33</v>
      </c>
      <c r="P3355" s="13">
        <v>1</v>
      </c>
      <c r="Q3355" s="13">
        <v>65</v>
      </c>
      <c r="R3355" s="13">
        <v>1</v>
      </c>
      <c r="S3355" s="13">
        <v>0</v>
      </c>
      <c r="T3355" s="23">
        <v>46247.822418981479</v>
      </c>
      <c r="U3355" s="55">
        <f t="shared" si="156"/>
        <v>1.1666666666666667</v>
      </c>
      <c r="V3355" s="55">
        <f t="shared" si="157"/>
        <v>0</v>
      </c>
      <c r="W3355" s="56">
        <f t="shared" si="158"/>
        <v>1960.3333333333333</v>
      </c>
    </row>
    <row r="3356" spans="1:23" x14ac:dyDescent="0.3">
      <c r="A3356" s="13" t="str" cm="1">
        <f t="array" ref="A3356:B3356">INDEX(BenchmarkResults!$B$1:$D$35,SUMPRODUCT((T3356&gt;=BenchmarkResults!$F$3:$F$35)*(mongodb_hardware_log!T3356&lt;BenchmarkResults!$G$3:$G$35)*ROW(BenchmarkResults!$F$3:$F$35)),{1,3})</f>
        <v>q6_inactive_customers</v>
      </c>
      <c r="B3356">
        <v>3</v>
      </c>
      <c r="C3356" s="13">
        <v>1</v>
      </c>
      <c r="D3356" s="13">
        <v>0</v>
      </c>
      <c r="E3356" s="13">
        <v>179968</v>
      </c>
      <c r="F3356" s="13">
        <v>231344</v>
      </c>
      <c r="G3356" s="13">
        <v>11932</v>
      </c>
      <c r="H3356" s="13">
        <v>2140048</v>
      </c>
      <c r="I3356" s="13">
        <v>0</v>
      </c>
      <c r="J3356" s="13">
        <v>0</v>
      </c>
      <c r="K3356" s="13">
        <v>1610</v>
      </c>
      <c r="L3356" s="13">
        <v>24</v>
      </c>
      <c r="M3356" s="13">
        <v>704</v>
      </c>
      <c r="N3356" s="13">
        <v>201</v>
      </c>
      <c r="O3356" s="13">
        <v>33</v>
      </c>
      <c r="P3356" s="13">
        <v>1</v>
      </c>
      <c r="Q3356" s="13">
        <v>65</v>
      </c>
      <c r="R3356" s="13">
        <v>1</v>
      </c>
      <c r="S3356" s="13">
        <v>0</v>
      </c>
      <c r="T3356" s="23">
        <v>46247.822430555556</v>
      </c>
      <c r="U3356" s="55">
        <f t="shared" si="156"/>
        <v>1.1666666666666667</v>
      </c>
      <c r="V3356" s="55">
        <f t="shared" si="157"/>
        <v>0</v>
      </c>
      <c r="W3356" s="56">
        <f t="shared" si="158"/>
        <v>1906.1666666666667</v>
      </c>
    </row>
    <row r="3357" spans="1:23" x14ac:dyDescent="0.3">
      <c r="A3357" s="13" t="str" cm="1">
        <f t="array" ref="A3357:B3357">INDEX(BenchmarkResults!$B$1:$D$35,SUMPRODUCT((T3357&gt;=BenchmarkResults!$F$3:$F$35)*(mongodb_hardware_log!T3357&lt;BenchmarkResults!$G$3:$G$35)*ROW(BenchmarkResults!$F$3:$F$35)),{1,3})</f>
        <v>q6_inactive_customers</v>
      </c>
      <c r="B3357">
        <v>3</v>
      </c>
      <c r="C3357" s="13">
        <v>1</v>
      </c>
      <c r="D3357" s="13">
        <v>0</v>
      </c>
      <c r="E3357" s="13">
        <v>179968</v>
      </c>
      <c r="F3357" s="13">
        <v>204324</v>
      </c>
      <c r="G3357" s="13">
        <v>11940</v>
      </c>
      <c r="H3357" s="13">
        <v>2166056</v>
      </c>
      <c r="I3357" s="13">
        <v>0</v>
      </c>
      <c r="J3357" s="13">
        <v>0</v>
      </c>
      <c r="K3357" s="13">
        <v>1409</v>
      </c>
      <c r="L3357" s="13">
        <v>4</v>
      </c>
      <c r="M3357" s="13">
        <v>726</v>
      </c>
      <c r="N3357" s="13">
        <v>227</v>
      </c>
      <c r="O3357" s="13">
        <v>33</v>
      </c>
      <c r="P3357" s="13">
        <v>2</v>
      </c>
      <c r="Q3357" s="13">
        <v>65</v>
      </c>
      <c r="R3357" s="13">
        <v>0</v>
      </c>
      <c r="S3357" s="13">
        <v>0</v>
      </c>
      <c r="T3357" s="23">
        <v>46247.822534722225</v>
      </c>
      <c r="U3357" s="55">
        <f t="shared" si="156"/>
        <v>1</v>
      </c>
      <c r="V3357" s="55">
        <f t="shared" si="157"/>
        <v>0</v>
      </c>
      <c r="W3357" s="56">
        <f t="shared" si="158"/>
        <v>1835.6666666666667</v>
      </c>
    </row>
    <row r="3358" spans="1:23" x14ac:dyDescent="0.3">
      <c r="A3358" s="13" t="str" cm="1">
        <f t="array" ref="A3358:B3358">INDEX(BenchmarkResults!$B$1:$D$35,SUMPRODUCT((T3358&gt;=BenchmarkResults!$F$3:$F$35)*(mongodb_hardware_log!T3358&lt;BenchmarkResults!$G$3:$G$35)*ROW(BenchmarkResults!$F$3:$F$35)),{1,3})</f>
        <v>q6_inactive_customers</v>
      </c>
      <c r="B3358">
        <v>3</v>
      </c>
      <c r="C3358" s="13">
        <v>1</v>
      </c>
      <c r="D3358" s="13">
        <v>0</v>
      </c>
      <c r="E3358" s="13">
        <v>179968</v>
      </c>
      <c r="F3358" s="13">
        <v>204324</v>
      </c>
      <c r="G3358" s="13">
        <v>11948</v>
      </c>
      <c r="H3358" s="13">
        <v>2170280</v>
      </c>
      <c r="I3358" s="13">
        <v>0</v>
      </c>
      <c r="J3358" s="13">
        <v>0</v>
      </c>
      <c r="K3358" s="13">
        <v>1752</v>
      </c>
      <c r="L3358" s="13">
        <v>10</v>
      </c>
      <c r="M3358" s="13">
        <v>798</v>
      </c>
      <c r="N3358" s="13">
        <v>306</v>
      </c>
      <c r="O3358" s="13">
        <v>33</v>
      </c>
      <c r="P3358" s="13">
        <v>2</v>
      </c>
      <c r="Q3358" s="13">
        <v>65</v>
      </c>
      <c r="R3358" s="13">
        <v>0</v>
      </c>
      <c r="S3358" s="13">
        <v>0</v>
      </c>
      <c r="T3358" s="23">
        <v>46247.822546296295</v>
      </c>
      <c r="U3358" s="55">
        <f t="shared" si="156"/>
        <v>1</v>
      </c>
      <c r="V3358" s="55">
        <f t="shared" si="157"/>
        <v>0</v>
      </c>
      <c r="W3358" s="56">
        <f t="shared" si="158"/>
        <v>1798.3333333333333</v>
      </c>
    </row>
    <row r="3359" spans="1:23" x14ac:dyDescent="0.3">
      <c r="A3359" s="13" t="str" cm="1">
        <f t="array" ref="A3359:B3359">INDEX(BenchmarkResults!$B$1:$D$35,SUMPRODUCT((T3359&gt;=BenchmarkResults!$F$3:$F$35)*(mongodb_hardware_log!T3359&lt;BenchmarkResults!$G$3:$G$35)*ROW(BenchmarkResults!$F$3:$F$35)),{1,3})</f>
        <v>q6_inactive_customers</v>
      </c>
      <c r="B3359">
        <v>3</v>
      </c>
      <c r="C3359" s="13">
        <v>1</v>
      </c>
      <c r="D3359" s="13">
        <v>0</v>
      </c>
      <c r="E3359" s="13">
        <v>179968</v>
      </c>
      <c r="F3359" s="13">
        <v>187972</v>
      </c>
      <c r="G3359" s="13">
        <v>11956</v>
      </c>
      <c r="H3359" s="13">
        <v>2185324</v>
      </c>
      <c r="I3359" s="13">
        <v>0</v>
      </c>
      <c r="J3359" s="13">
        <v>0</v>
      </c>
      <c r="K3359" s="13">
        <v>1921</v>
      </c>
      <c r="L3359" s="13">
        <v>20</v>
      </c>
      <c r="M3359" s="13">
        <v>769</v>
      </c>
      <c r="N3359" s="13">
        <v>278</v>
      </c>
      <c r="O3359" s="13">
        <v>34</v>
      </c>
      <c r="P3359" s="13">
        <v>1</v>
      </c>
      <c r="Q3359" s="13">
        <v>64</v>
      </c>
      <c r="R3359" s="13">
        <v>0</v>
      </c>
      <c r="S3359" s="13">
        <v>0</v>
      </c>
      <c r="T3359" s="23">
        <v>46247.822650462964</v>
      </c>
      <c r="U3359" s="55">
        <f t="shared" si="156"/>
        <v>1</v>
      </c>
      <c r="V3359" s="55">
        <f t="shared" si="157"/>
        <v>0</v>
      </c>
      <c r="W3359" s="56">
        <f t="shared" si="158"/>
        <v>1764.1666666666667</v>
      </c>
    </row>
    <row r="3360" spans="1:23" x14ac:dyDescent="0.3">
      <c r="A3360" s="13" t="str" cm="1">
        <f t="array" ref="A3360:B3360">INDEX(BenchmarkResults!$B$1:$D$35,SUMPRODUCT((T3360&gt;=BenchmarkResults!$F$3:$F$35)*(mongodb_hardware_log!T3360&lt;BenchmarkResults!$G$3:$G$35)*ROW(BenchmarkResults!$F$3:$F$35)),{1,3})</f>
        <v>q6_inactive_customers</v>
      </c>
      <c r="B3360">
        <v>3</v>
      </c>
      <c r="C3360" s="13">
        <v>2</v>
      </c>
      <c r="D3360" s="13">
        <v>0</v>
      </c>
      <c r="E3360" s="13">
        <v>179968</v>
      </c>
      <c r="F3360" s="13">
        <v>184192</v>
      </c>
      <c r="G3360" s="13">
        <v>11956</v>
      </c>
      <c r="H3360" s="13">
        <v>2188876</v>
      </c>
      <c r="I3360" s="13">
        <v>0</v>
      </c>
      <c r="J3360" s="13">
        <v>0</v>
      </c>
      <c r="K3360" s="13">
        <v>1858</v>
      </c>
      <c r="L3360" s="13">
        <v>15</v>
      </c>
      <c r="M3360" s="13">
        <v>712</v>
      </c>
      <c r="N3360" s="13">
        <v>213</v>
      </c>
      <c r="O3360" s="13">
        <v>34</v>
      </c>
      <c r="P3360" s="13">
        <v>1</v>
      </c>
      <c r="Q3360" s="13">
        <v>64</v>
      </c>
      <c r="R3360" s="13">
        <v>0</v>
      </c>
      <c r="S3360" s="13">
        <v>0</v>
      </c>
      <c r="T3360" s="23">
        <v>46247.822662037041</v>
      </c>
      <c r="U3360" s="55">
        <f t="shared" si="156"/>
        <v>1.1666666666666667</v>
      </c>
      <c r="V3360" s="55">
        <f t="shared" si="157"/>
        <v>0</v>
      </c>
      <c r="W3360" s="56">
        <f t="shared" si="158"/>
        <v>1740.8333333333333</v>
      </c>
    </row>
    <row r="3361" spans="1:23" x14ac:dyDescent="0.3">
      <c r="A3361" s="13" t="str" cm="1">
        <f t="array" ref="A3361:B3361">INDEX(BenchmarkResults!$B$1:$D$35,SUMPRODUCT((T3361&gt;=BenchmarkResults!$F$3:$F$35)*(mongodb_hardware_log!T3361&lt;BenchmarkResults!$G$3:$G$35)*ROW(BenchmarkResults!$F$3:$F$35)),{1,3})</f>
        <v>q6_inactive_customers</v>
      </c>
      <c r="B3361">
        <v>3</v>
      </c>
      <c r="C3361" s="13">
        <v>1</v>
      </c>
      <c r="D3361" s="13">
        <v>0</v>
      </c>
      <c r="E3361" s="13">
        <v>179968</v>
      </c>
      <c r="F3361" s="13">
        <v>164284</v>
      </c>
      <c r="G3361" s="13">
        <v>11964</v>
      </c>
      <c r="H3361" s="13">
        <v>2206532</v>
      </c>
      <c r="I3361" s="13">
        <v>0</v>
      </c>
      <c r="J3361" s="13">
        <v>0</v>
      </c>
      <c r="K3361" s="13">
        <v>2126</v>
      </c>
      <c r="L3361" s="13">
        <v>8</v>
      </c>
      <c r="M3361" s="13">
        <v>716</v>
      </c>
      <c r="N3361" s="13">
        <v>208</v>
      </c>
      <c r="O3361" s="13">
        <v>34</v>
      </c>
      <c r="P3361" s="13">
        <v>1</v>
      </c>
      <c r="Q3361" s="13">
        <v>65</v>
      </c>
      <c r="R3361" s="13">
        <v>0</v>
      </c>
      <c r="S3361" s="13">
        <v>0</v>
      </c>
      <c r="T3361" s="23">
        <v>46247.822766203702</v>
      </c>
      <c r="U3361" s="55">
        <f t="shared" si="156"/>
        <v>1.1666666666666667</v>
      </c>
      <c r="V3361" s="55">
        <f t="shared" si="157"/>
        <v>0</v>
      </c>
      <c r="W3361" s="56">
        <f t="shared" si="158"/>
        <v>1779.3333333333333</v>
      </c>
    </row>
    <row r="3362" spans="1:23" x14ac:dyDescent="0.3">
      <c r="A3362" s="13" t="str" cm="1">
        <f t="array" ref="A3362:B3362">INDEX(BenchmarkResults!$B$1:$D$35,SUMPRODUCT((T3362&gt;=BenchmarkResults!$F$3:$F$35)*(mongodb_hardware_log!T3362&lt;BenchmarkResults!$G$3:$G$35)*ROW(BenchmarkResults!$F$3:$F$35)),{1,3})</f>
        <v>q6_inactive_customers</v>
      </c>
      <c r="B3362">
        <v>3</v>
      </c>
      <c r="C3362" s="13">
        <v>1</v>
      </c>
      <c r="D3362" s="13">
        <v>0</v>
      </c>
      <c r="E3362" s="13">
        <v>179968</v>
      </c>
      <c r="F3362" s="13">
        <v>164284</v>
      </c>
      <c r="G3362" s="13">
        <v>11972</v>
      </c>
      <c r="H3362" s="13">
        <v>2208984</v>
      </c>
      <c r="I3362" s="13">
        <v>0</v>
      </c>
      <c r="J3362" s="13">
        <v>0</v>
      </c>
      <c r="K3362" s="13">
        <v>2011</v>
      </c>
      <c r="L3362" s="13">
        <v>13</v>
      </c>
      <c r="M3362" s="13">
        <v>714</v>
      </c>
      <c r="N3362" s="13">
        <v>205</v>
      </c>
      <c r="O3362" s="13">
        <v>33</v>
      </c>
      <c r="P3362" s="13">
        <v>1</v>
      </c>
      <c r="Q3362" s="13">
        <v>65</v>
      </c>
      <c r="R3362" s="13">
        <v>0</v>
      </c>
      <c r="S3362" s="13">
        <v>0</v>
      </c>
      <c r="T3362" s="23">
        <v>46247.822777777779</v>
      </c>
      <c r="U3362" s="55">
        <f t="shared" si="156"/>
        <v>1.1666666666666667</v>
      </c>
      <c r="V3362" s="55">
        <f t="shared" si="157"/>
        <v>0</v>
      </c>
      <c r="W3362" s="56">
        <f t="shared" si="158"/>
        <v>1846.1666666666667</v>
      </c>
    </row>
    <row r="3363" spans="1:23" x14ac:dyDescent="0.3">
      <c r="A3363" s="13" t="str" cm="1">
        <f t="array" ref="A3363:B3363">INDEX(BenchmarkResults!$B$1:$D$35,SUMPRODUCT((T3363&gt;=BenchmarkResults!$F$3:$F$35)*(mongodb_hardware_log!T3363&lt;BenchmarkResults!$G$3:$G$35)*ROW(BenchmarkResults!$F$3:$F$35)),{1,3})</f>
        <v>q6_inactive_customers</v>
      </c>
      <c r="B3363">
        <v>3</v>
      </c>
      <c r="C3363" s="13">
        <v>1</v>
      </c>
      <c r="D3363" s="13">
        <v>0</v>
      </c>
      <c r="E3363" s="13">
        <v>179968</v>
      </c>
      <c r="F3363" s="13">
        <v>148156</v>
      </c>
      <c r="G3363" s="13">
        <v>11980</v>
      </c>
      <c r="H3363" s="13">
        <v>2226064</v>
      </c>
      <c r="I3363" s="13">
        <v>0</v>
      </c>
      <c r="J3363" s="13">
        <v>0</v>
      </c>
      <c r="K3363" s="13">
        <v>1957</v>
      </c>
      <c r="L3363" s="13">
        <v>1576</v>
      </c>
      <c r="M3363" s="13">
        <v>739</v>
      </c>
      <c r="N3363" s="13">
        <v>220</v>
      </c>
      <c r="O3363" s="13">
        <v>33</v>
      </c>
      <c r="P3363" s="13">
        <v>1</v>
      </c>
      <c r="Q3363" s="13">
        <v>63</v>
      </c>
      <c r="R3363" s="13">
        <v>2</v>
      </c>
      <c r="S3363" s="13">
        <v>0</v>
      </c>
      <c r="T3363" s="23">
        <v>46247.822881944441</v>
      </c>
      <c r="U3363" s="55">
        <f t="shared" si="156"/>
        <v>1.1666666666666667</v>
      </c>
      <c r="V3363" s="55">
        <f t="shared" si="157"/>
        <v>0</v>
      </c>
      <c r="W3363" s="56">
        <f t="shared" si="158"/>
        <v>1937.5</v>
      </c>
    </row>
    <row r="3364" spans="1:23" x14ac:dyDescent="0.3">
      <c r="A3364" s="13" t="str" cm="1">
        <f t="array" ref="A3364:B3364">INDEX(BenchmarkResults!$B$1:$D$35,SUMPRODUCT((T3364&gt;=BenchmarkResults!$F$3:$F$35)*(mongodb_hardware_log!T3364&lt;BenchmarkResults!$G$3:$G$35)*ROW(BenchmarkResults!$F$3:$F$35)),{1,3})</f>
        <v>q6_inactive_customers</v>
      </c>
      <c r="B3364">
        <v>3</v>
      </c>
      <c r="C3364" s="13">
        <v>1</v>
      </c>
      <c r="D3364" s="13">
        <v>0</v>
      </c>
      <c r="E3364" s="13">
        <v>179968</v>
      </c>
      <c r="F3364" s="13">
        <v>145888</v>
      </c>
      <c r="G3364" s="13">
        <v>11980</v>
      </c>
      <c r="H3364" s="13">
        <v>2227688</v>
      </c>
      <c r="I3364" s="13">
        <v>0</v>
      </c>
      <c r="J3364" s="13">
        <v>0</v>
      </c>
      <c r="K3364" s="13">
        <v>1868</v>
      </c>
      <c r="L3364" s="13">
        <v>1571</v>
      </c>
      <c r="M3364" s="13">
        <v>739</v>
      </c>
      <c r="N3364" s="13">
        <v>220</v>
      </c>
      <c r="O3364" s="13">
        <v>33</v>
      </c>
      <c r="P3364" s="13">
        <v>1</v>
      </c>
      <c r="Q3364" s="13">
        <v>63</v>
      </c>
      <c r="R3364" s="13">
        <v>2</v>
      </c>
      <c r="S3364" s="13">
        <v>0</v>
      </c>
      <c r="T3364" s="23">
        <v>46247.822893518518</v>
      </c>
      <c r="U3364" s="55">
        <f t="shared" si="156"/>
        <v>1.1666666666666667</v>
      </c>
      <c r="V3364" s="55">
        <f t="shared" si="157"/>
        <v>0</v>
      </c>
      <c r="W3364" s="56">
        <f t="shared" si="158"/>
        <v>1956.8333333333333</v>
      </c>
    </row>
    <row r="3365" spans="1:23" x14ac:dyDescent="0.3">
      <c r="A3365" s="13" t="str" cm="1">
        <f t="array" ref="A3365:B3365">INDEX(BenchmarkResults!$B$1:$D$35,SUMPRODUCT((T3365&gt;=BenchmarkResults!$F$3:$F$35)*(mongodb_hardware_log!T3365&lt;BenchmarkResults!$G$3:$G$35)*ROW(BenchmarkResults!$F$3:$F$35)),{1,3})</f>
        <v>q6_inactive_customers</v>
      </c>
      <c r="B3365">
        <v>3</v>
      </c>
      <c r="C3365" s="13">
        <v>1</v>
      </c>
      <c r="D3365" s="13">
        <v>0</v>
      </c>
      <c r="E3365" s="13">
        <v>179968</v>
      </c>
      <c r="F3365" s="13">
        <v>129256</v>
      </c>
      <c r="G3365" s="13">
        <v>11988</v>
      </c>
      <c r="H3365" s="13">
        <v>2243240</v>
      </c>
      <c r="I3365" s="13">
        <v>0</v>
      </c>
      <c r="J3365" s="13">
        <v>0</v>
      </c>
      <c r="K3365" s="13">
        <v>1717</v>
      </c>
      <c r="L3365" s="13">
        <v>4</v>
      </c>
      <c r="M3365" s="13">
        <v>723</v>
      </c>
      <c r="N3365" s="13">
        <v>201</v>
      </c>
      <c r="O3365" s="13">
        <v>34</v>
      </c>
      <c r="P3365" s="13">
        <v>1</v>
      </c>
      <c r="Q3365" s="13">
        <v>64</v>
      </c>
      <c r="R3365" s="13">
        <v>0</v>
      </c>
      <c r="S3365" s="13">
        <v>1</v>
      </c>
      <c r="T3365" s="23">
        <v>46247.822997685187</v>
      </c>
      <c r="U3365" s="55">
        <f t="shared" si="156"/>
        <v>1.1666666666666667</v>
      </c>
      <c r="V3365" s="55">
        <f t="shared" si="157"/>
        <v>0</v>
      </c>
      <c r="W3365" s="56">
        <f t="shared" si="158"/>
        <v>1922.8333333333333</v>
      </c>
    </row>
    <row r="3366" spans="1:23" x14ac:dyDescent="0.3">
      <c r="A3366" s="13" t="str" cm="1">
        <f t="array" ref="A3366:B3366">INDEX(BenchmarkResults!$B$1:$D$35,SUMPRODUCT((T3366&gt;=BenchmarkResults!$F$3:$F$35)*(mongodb_hardware_log!T3366&lt;BenchmarkResults!$G$3:$G$35)*ROW(BenchmarkResults!$F$3:$F$35)),{1,3})</f>
        <v>q6_inactive_customers</v>
      </c>
      <c r="B3366">
        <v>3</v>
      </c>
      <c r="C3366" s="13">
        <v>1</v>
      </c>
      <c r="D3366" s="13">
        <v>0</v>
      </c>
      <c r="E3366" s="13">
        <v>179968</v>
      </c>
      <c r="F3366" s="13">
        <v>124720</v>
      </c>
      <c r="G3366" s="13">
        <v>11996</v>
      </c>
      <c r="H3366" s="13">
        <v>2246996</v>
      </c>
      <c r="I3366" s="13">
        <v>0</v>
      </c>
      <c r="J3366" s="13">
        <v>0</v>
      </c>
      <c r="K3366" s="13">
        <v>1939</v>
      </c>
      <c r="L3366" s="13">
        <v>10</v>
      </c>
      <c r="M3366" s="13">
        <v>731</v>
      </c>
      <c r="N3366" s="13">
        <v>206</v>
      </c>
      <c r="O3366" s="13">
        <v>33</v>
      </c>
      <c r="P3366" s="13">
        <v>1</v>
      </c>
      <c r="Q3366" s="13">
        <v>64</v>
      </c>
      <c r="R3366" s="13">
        <v>0</v>
      </c>
      <c r="S3366" s="13">
        <v>1</v>
      </c>
      <c r="T3366" s="23">
        <v>46247.823009259257</v>
      </c>
      <c r="U3366" s="55">
        <f t="shared" si="156"/>
        <v>1</v>
      </c>
      <c r="V3366" s="55">
        <f t="shared" si="157"/>
        <v>0</v>
      </c>
      <c r="W3366" s="56">
        <f t="shared" si="158"/>
        <v>1936.3333333333333</v>
      </c>
    </row>
    <row r="3367" spans="1:23" x14ac:dyDescent="0.3">
      <c r="A3367" s="13" t="str" cm="1">
        <f t="array" ref="A3367:B3367">INDEX(BenchmarkResults!$B$1:$D$35,SUMPRODUCT((T3367&gt;=BenchmarkResults!$F$3:$F$35)*(mongodb_hardware_log!T3367&lt;BenchmarkResults!$G$3:$G$35)*ROW(BenchmarkResults!$F$3:$F$35)),{1,3})</f>
        <v>q6_inactive_customers</v>
      </c>
      <c r="B3367">
        <v>3</v>
      </c>
      <c r="C3367" s="13">
        <v>1</v>
      </c>
      <c r="D3367" s="13">
        <v>0</v>
      </c>
      <c r="E3367" s="13">
        <v>179968</v>
      </c>
      <c r="F3367" s="13">
        <v>156112</v>
      </c>
      <c r="G3367" s="13">
        <v>12020</v>
      </c>
      <c r="H3367" s="13">
        <v>2214472</v>
      </c>
      <c r="I3367" s="13">
        <v>0</v>
      </c>
      <c r="J3367" s="13">
        <v>0</v>
      </c>
      <c r="K3367" s="13">
        <v>1076</v>
      </c>
      <c r="L3367" s="13">
        <v>28</v>
      </c>
      <c r="M3367" s="13">
        <v>691</v>
      </c>
      <c r="N3367" s="13">
        <v>178</v>
      </c>
      <c r="O3367" s="13">
        <v>33</v>
      </c>
      <c r="P3367" s="13">
        <v>1</v>
      </c>
      <c r="Q3367" s="13">
        <v>65</v>
      </c>
      <c r="R3367" s="13">
        <v>1</v>
      </c>
      <c r="S3367" s="13">
        <v>1</v>
      </c>
      <c r="T3367" s="23">
        <v>46247.823113425926</v>
      </c>
      <c r="U3367" s="55">
        <f t="shared" si="156"/>
        <v>1</v>
      </c>
      <c r="V3367" s="55">
        <f t="shared" si="157"/>
        <v>0</v>
      </c>
      <c r="W3367" s="56">
        <f t="shared" si="158"/>
        <v>1761.3333333333333</v>
      </c>
    </row>
    <row r="3368" spans="1:23" x14ac:dyDescent="0.3">
      <c r="A3368" s="13" t="str" cm="1">
        <f t="array" ref="A3368:B3368">INDEX(BenchmarkResults!$B$1:$D$35,SUMPRODUCT((T3368&gt;=BenchmarkResults!$F$3:$F$35)*(mongodb_hardware_log!T3368&lt;BenchmarkResults!$G$3:$G$35)*ROW(BenchmarkResults!$F$3:$F$35)),{1,3})</f>
        <v>q6_inactive_customers</v>
      </c>
      <c r="B3368">
        <v>3</v>
      </c>
      <c r="C3368" s="13">
        <v>1</v>
      </c>
      <c r="D3368" s="13">
        <v>0</v>
      </c>
      <c r="E3368" s="13">
        <v>179968</v>
      </c>
      <c r="F3368" s="13">
        <v>153088</v>
      </c>
      <c r="G3368" s="13">
        <v>12020</v>
      </c>
      <c r="H3368" s="13">
        <v>2217524</v>
      </c>
      <c r="I3368" s="13">
        <v>0</v>
      </c>
      <c r="J3368" s="13">
        <v>0</v>
      </c>
      <c r="K3368" s="13">
        <v>1009</v>
      </c>
      <c r="L3368" s="13">
        <v>23</v>
      </c>
      <c r="M3368" s="13">
        <v>681</v>
      </c>
      <c r="N3368" s="13">
        <v>173</v>
      </c>
      <c r="O3368" s="13">
        <v>33</v>
      </c>
      <c r="P3368" s="13">
        <v>1</v>
      </c>
      <c r="Q3368" s="13">
        <v>65</v>
      </c>
      <c r="R3368" s="13">
        <v>0</v>
      </c>
      <c r="S3368" s="13">
        <v>1</v>
      </c>
      <c r="T3368" s="23">
        <v>46247.823125000003</v>
      </c>
      <c r="U3368" s="55">
        <f t="shared" si="156"/>
        <v>1</v>
      </c>
      <c r="V3368" s="55">
        <f t="shared" si="157"/>
        <v>0</v>
      </c>
      <c r="W3368" s="56">
        <f t="shared" si="158"/>
        <v>1594.3333333333333</v>
      </c>
    </row>
    <row r="3369" spans="1:23" x14ac:dyDescent="0.3">
      <c r="A3369" s="13" t="str" cm="1">
        <f t="array" ref="A3369:B3369">INDEX(BenchmarkResults!$B$1:$D$35,SUMPRODUCT((T3369&gt;=BenchmarkResults!$F$3:$F$35)*(mongodb_hardware_log!T3369&lt;BenchmarkResults!$G$3:$G$35)*ROW(BenchmarkResults!$F$3:$F$35)),{1,3})</f>
        <v>q6_inactive_customers</v>
      </c>
      <c r="B3369">
        <v>3</v>
      </c>
      <c r="C3369" s="13">
        <v>1</v>
      </c>
      <c r="D3369" s="13">
        <v>0</v>
      </c>
      <c r="E3369" s="13">
        <v>179968</v>
      </c>
      <c r="F3369" s="13">
        <v>130156</v>
      </c>
      <c r="G3369" s="13">
        <v>12028</v>
      </c>
      <c r="H3369" s="13">
        <v>2233180</v>
      </c>
      <c r="I3369" s="13">
        <v>0</v>
      </c>
      <c r="J3369" s="13">
        <v>0</v>
      </c>
      <c r="K3369" s="13">
        <v>1865</v>
      </c>
      <c r="L3369" s="13">
        <v>13</v>
      </c>
      <c r="M3369" s="13">
        <v>729</v>
      </c>
      <c r="N3369" s="13">
        <v>214</v>
      </c>
      <c r="O3369" s="13">
        <v>33</v>
      </c>
      <c r="P3369" s="13">
        <v>1</v>
      </c>
      <c r="Q3369" s="13">
        <v>64</v>
      </c>
      <c r="R3369" s="13">
        <v>0</v>
      </c>
      <c r="S3369" s="13">
        <v>1</v>
      </c>
      <c r="T3369" s="23">
        <v>46247.823229166665</v>
      </c>
      <c r="U3369" s="55">
        <f t="shared" si="156"/>
        <v>1</v>
      </c>
      <c r="V3369" s="55">
        <f t="shared" si="157"/>
        <v>0</v>
      </c>
      <c r="W3369" s="56">
        <f t="shared" si="158"/>
        <v>1579</v>
      </c>
    </row>
    <row r="3370" spans="1:23" x14ac:dyDescent="0.3">
      <c r="A3370" s="13" t="str" cm="1">
        <f t="array" ref="A3370:B3370">INDEX(BenchmarkResults!$B$1:$D$35,SUMPRODUCT((T3370&gt;=BenchmarkResults!$F$3:$F$35)*(mongodb_hardware_log!T3370&lt;BenchmarkResults!$G$3:$G$35)*ROW(BenchmarkResults!$F$3:$F$35)),{1,3})</f>
        <v>q6_inactive_customers</v>
      </c>
      <c r="B3370">
        <v>3</v>
      </c>
      <c r="C3370" s="13">
        <v>1</v>
      </c>
      <c r="D3370" s="13">
        <v>0</v>
      </c>
      <c r="E3370" s="13">
        <v>179968</v>
      </c>
      <c r="F3370" s="13">
        <v>121840</v>
      </c>
      <c r="G3370" s="13">
        <v>12036</v>
      </c>
      <c r="H3370" s="13">
        <v>2236584</v>
      </c>
      <c r="I3370" s="13">
        <v>0</v>
      </c>
      <c r="J3370" s="13">
        <v>0</v>
      </c>
      <c r="K3370" s="13">
        <v>1899</v>
      </c>
      <c r="L3370" s="13">
        <v>19</v>
      </c>
      <c r="M3370" s="13">
        <v>733</v>
      </c>
      <c r="N3370" s="13">
        <v>222</v>
      </c>
      <c r="O3370" s="13">
        <v>34</v>
      </c>
      <c r="P3370" s="13">
        <v>1</v>
      </c>
      <c r="Q3370" s="13">
        <v>64</v>
      </c>
      <c r="R3370" s="13">
        <v>0</v>
      </c>
      <c r="S3370" s="13">
        <v>1</v>
      </c>
      <c r="T3370" s="23">
        <v>46247.823240740741</v>
      </c>
      <c r="U3370" s="55">
        <f t="shared" si="156"/>
        <v>1</v>
      </c>
      <c r="V3370" s="55">
        <f t="shared" si="157"/>
        <v>0</v>
      </c>
      <c r="W3370" s="56">
        <f t="shared" si="158"/>
        <v>1584.1666666666667</v>
      </c>
    </row>
    <row r="3371" spans="1:23" x14ac:dyDescent="0.3">
      <c r="A3371" s="13" t="str" cm="1">
        <f t="array" ref="A3371:B3371">INDEX(BenchmarkResults!$B$1:$D$35,SUMPRODUCT((T3371&gt;=BenchmarkResults!$F$3:$F$35)*(mongodb_hardware_log!T3371&lt;BenchmarkResults!$G$3:$G$35)*ROW(BenchmarkResults!$F$3:$F$35)),{1,3})</f>
        <v>q6_inactive_customers</v>
      </c>
      <c r="B3371">
        <v>3</v>
      </c>
      <c r="C3371" s="13">
        <v>1</v>
      </c>
      <c r="D3371" s="13">
        <v>0</v>
      </c>
      <c r="E3371" s="13">
        <v>179968</v>
      </c>
      <c r="F3371" s="13">
        <v>114028</v>
      </c>
      <c r="G3371" s="13">
        <v>12044</v>
      </c>
      <c r="H3371" s="13">
        <v>2250472</v>
      </c>
      <c r="I3371" s="13">
        <v>0</v>
      </c>
      <c r="J3371" s="13">
        <v>0</v>
      </c>
      <c r="K3371" s="13">
        <v>1732</v>
      </c>
      <c r="L3371" s="13">
        <v>15</v>
      </c>
      <c r="M3371" s="13">
        <v>736</v>
      </c>
      <c r="N3371" s="13">
        <v>230</v>
      </c>
      <c r="O3371" s="13">
        <v>33</v>
      </c>
      <c r="P3371" s="13">
        <v>1</v>
      </c>
      <c r="Q3371" s="13">
        <v>65</v>
      </c>
      <c r="R3371" s="13">
        <v>0</v>
      </c>
      <c r="S3371" s="13">
        <v>1</v>
      </c>
      <c r="T3371" s="23">
        <v>46247.823344907411</v>
      </c>
      <c r="U3371" s="55">
        <f t="shared" si="156"/>
        <v>1</v>
      </c>
      <c r="V3371" s="55">
        <f t="shared" si="157"/>
        <v>0</v>
      </c>
      <c r="W3371" s="56">
        <f t="shared" si="158"/>
        <v>1586.6666666666667</v>
      </c>
    </row>
    <row r="3372" spans="1:23" x14ac:dyDescent="0.3">
      <c r="A3372" s="13" t="str" cm="1">
        <f t="array" ref="A3372:B3372">INDEX(BenchmarkResults!$B$1:$D$35,SUMPRODUCT((T3372&gt;=BenchmarkResults!$F$3:$F$35)*(mongodb_hardware_log!T3372&lt;BenchmarkResults!$G$3:$G$35)*ROW(BenchmarkResults!$F$3:$F$35)),{1,3})</f>
        <v>q6_inactive_customers</v>
      </c>
      <c r="B3372">
        <v>3</v>
      </c>
      <c r="C3372" s="13">
        <v>1</v>
      </c>
      <c r="D3372" s="13">
        <v>0</v>
      </c>
      <c r="E3372" s="13">
        <v>179968</v>
      </c>
      <c r="F3372" s="13">
        <v>105964</v>
      </c>
      <c r="G3372" s="13">
        <v>12044</v>
      </c>
      <c r="H3372" s="13">
        <v>2254484</v>
      </c>
      <c r="I3372" s="13">
        <v>0</v>
      </c>
      <c r="J3372" s="13">
        <v>0</v>
      </c>
      <c r="K3372" s="13">
        <v>1795</v>
      </c>
      <c r="L3372" s="13">
        <v>8</v>
      </c>
      <c r="M3372" s="13">
        <v>738</v>
      </c>
      <c r="N3372" s="13">
        <v>224</v>
      </c>
      <c r="O3372" s="13">
        <v>33</v>
      </c>
      <c r="P3372" s="13">
        <v>1</v>
      </c>
      <c r="Q3372" s="13">
        <v>65</v>
      </c>
      <c r="R3372" s="13">
        <v>1</v>
      </c>
      <c r="S3372" s="13">
        <v>1</v>
      </c>
      <c r="T3372" s="23">
        <v>46247.82335648148</v>
      </c>
      <c r="U3372" s="55">
        <f t="shared" si="156"/>
        <v>1</v>
      </c>
      <c r="V3372" s="55">
        <f t="shared" si="157"/>
        <v>0</v>
      </c>
      <c r="W3372" s="56">
        <f t="shared" si="158"/>
        <v>1562.6666666666667</v>
      </c>
    </row>
    <row r="3373" spans="1:23" x14ac:dyDescent="0.3">
      <c r="A3373" s="13" t="str" cm="1">
        <f t="array" ref="A3373:B3373">INDEX(BenchmarkResults!$B$1:$D$35,SUMPRODUCT((T3373&gt;=BenchmarkResults!$F$3:$F$35)*(mongodb_hardware_log!T3373&lt;BenchmarkResults!$G$3:$G$35)*ROW(BenchmarkResults!$F$3:$F$35)),{1,3})</f>
        <v>q6_inactive_customers</v>
      </c>
      <c r="B3373">
        <v>3</v>
      </c>
      <c r="C3373" s="13">
        <v>1</v>
      </c>
      <c r="D3373" s="13">
        <v>0</v>
      </c>
      <c r="E3373" s="13">
        <v>179968</v>
      </c>
      <c r="F3373" s="13">
        <v>155624</v>
      </c>
      <c r="G3373" s="13">
        <v>12052</v>
      </c>
      <c r="H3373" s="13">
        <v>2215076</v>
      </c>
      <c r="I3373" s="13">
        <v>0</v>
      </c>
      <c r="J3373" s="13">
        <v>0</v>
      </c>
      <c r="K3373" s="13">
        <v>1996</v>
      </c>
      <c r="L3373" s="13">
        <v>1564</v>
      </c>
      <c r="M3373" s="13">
        <v>735</v>
      </c>
      <c r="N3373" s="13">
        <v>216</v>
      </c>
      <c r="O3373" s="13">
        <v>33</v>
      </c>
      <c r="P3373" s="13">
        <v>1</v>
      </c>
      <c r="Q3373" s="13">
        <v>63</v>
      </c>
      <c r="R3373" s="13">
        <v>2</v>
      </c>
      <c r="S3373" s="13">
        <v>0</v>
      </c>
      <c r="T3373" s="23">
        <v>46247.823460648149</v>
      </c>
      <c r="U3373" s="55">
        <f t="shared" si="156"/>
        <v>1</v>
      </c>
      <c r="V3373" s="55">
        <f t="shared" si="157"/>
        <v>0</v>
      </c>
      <c r="W3373" s="56">
        <f t="shared" si="158"/>
        <v>1716</v>
      </c>
    </row>
    <row r="3374" spans="1:23" x14ac:dyDescent="0.3">
      <c r="A3374" s="13" t="str" cm="1">
        <f t="array" ref="A3374:B3374">INDEX(BenchmarkResults!$B$1:$D$35,SUMPRODUCT((T3374&gt;=BenchmarkResults!$F$3:$F$35)*(mongodb_hardware_log!T3374&lt;BenchmarkResults!$G$3:$G$35)*ROW(BenchmarkResults!$F$3:$F$35)),{1,3})</f>
        <v>q6_inactive_customers</v>
      </c>
      <c r="B3374">
        <v>3</v>
      </c>
      <c r="C3374" s="13">
        <v>1</v>
      </c>
      <c r="D3374" s="13">
        <v>0</v>
      </c>
      <c r="E3374" s="13">
        <v>179968</v>
      </c>
      <c r="F3374" s="13">
        <v>146804</v>
      </c>
      <c r="G3374" s="13">
        <v>12060</v>
      </c>
      <c r="H3374" s="13">
        <v>2218756</v>
      </c>
      <c r="I3374" s="13">
        <v>0</v>
      </c>
      <c r="J3374" s="13">
        <v>0</v>
      </c>
      <c r="K3374" s="13">
        <v>1961</v>
      </c>
      <c r="L3374" s="13">
        <v>1572</v>
      </c>
      <c r="M3374" s="13">
        <v>734</v>
      </c>
      <c r="N3374" s="13">
        <v>221</v>
      </c>
      <c r="O3374" s="13">
        <v>33</v>
      </c>
      <c r="P3374" s="13">
        <v>1</v>
      </c>
      <c r="Q3374" s="13">
        <v>63</v>
      </c>
      <c r="R3374" s="13">
        <v>2</v>
      </c>
      <c r="S3374" s="13">
        <v>0</v>
      </c>
      <c r="T3374" s="23">
        <v>46247.823472222219</v>
      </c>
      <c r="U3374" s="55">
        <f t="shared" si="156"/>
        <v>1</v>
      </c>
      <c r="V3374" s="55">
        <f t="shared" si="157"/>
        <v>0</v>
      </c>
      <c r="W3374" s="56">
        <f t="shared" si="158"/>
        <v>1874.6666666666667</v>
      </c>
    </row>
    <row r="3375" spans="1:23" x14ac:dyDescent="0.3">
      <c r="A3375" s="13" t="str" cm="1">
        <f t="array" ref="A3375:B3375">INDEX(BenchmarkResults!$B$1:$D$35,SUMPRODUCT((T3375&gt;=BenchmarkResults!$F$3:$F$35)*(mongodb_hardware_log!T3375&lt;BenchmarkResults!$G$3:$G$35)*ROW(BenchmarkResults!$F$3:$F$35)),{1,3})</f>
        <v>q6_inactive_customers</v>
      </c>
      <c r="B3375">
        <v>3</v>
      </c>
      <c r="C3375" s="13">
        <v>1</v>
      </c>
      <c r="D3375" s="13">
        <v>0</v>
      </c>
      <c r="E3375" s="13">
        <v>179968</v>
      </c>
      <c r="F3375" s="13">
        <v>132692</v>
      </c>
      <c r="G3375" s="13">
        <v>12068</v>
      </c>
      <c r="H3375" s="13">
        <v>2234924</v>
      </c>
      <c r="I3375" s="13">
        <v>0</v>
      </c>
      <c r="J3375" s="13">
        <v>0</v>
      </c>
      <c r="K3375" s="13">
        <v>1989</v>
      </c>
      <c r="L3375" s="13">
        <v>19</v>
      </c>
      <c r="M3375" s="13">
        <v>729</v>
      </c>
      <c r="N3375" s="13">
        <v>216</v>
      </c>
      <c r="O3375" s="13">
        <v>34</v>
      </c>
      <c r="P3375" s="13">
        <v>1</v>
      </c>
      <c r="Q3375" s="13">
        <v>65</v>
      </c>
      <c r="R3375" s="13">
        <v>1</v>
      </c>
      <c r="S3375" s="13">
        <v>0</v>
      </c>
      <c r="T3375" s="23">
        <v>46247.823576388888</v>
      </c>
      <c r="U3375" s="55">
        <f t="shared" si="156"/>
        <v>1</v>
      </c>
      <c r="V3375" s="55">
        <f t="shared" si="157"/>
        <v>0</v>
      </c>
      <c r="W3375" s="56">
        <f t="shared" si="158"/>
        <v>1895.3333333333333</v>
      </c>
    </row>
    <row r="3376" spans="1:23" x14ac:dyDescent="0.3">
      <c r="A3376" s="13" t="str" cm="1">
        <f t="array" ref="A3376:B3376">INDEX(BenchmarkResults!$B$1:$D$35,SUMPRODUCT((T3376&gt;=BenchmarkResults!$F$3:$F$35)*(mongodb_hardware_log!T3376&lt;BenchmarkResults!$G$3:$G$35)*ROW(BenchmarkResults!$F$3:$F$35)),{1,3})</f>
        <v>q6_inactive_customers</v>
      </c>
      <c r="B3376">
        <v>3</v>
      </c>
      <c r="C3376" s="13">
        <v>1</v>
      </c>
      <c r="D3376" s="13">
        <v>0</v>
      </c>
      <c r="E3376" s="13">
        <v>179968</v>
      </c>
      <c r="F3376" s="13">
        <v>128660</v>
      </c>
      <c r="G3376" s="13">
        <v>12068</v>
      </c>
      <c r="H3376" s="13">
        <v>2238028</v>
      </c>
      <c r="I3376" s="13">
        <v>0</v>
      </c>
      <c r="J3376" s="13">
        <v>0</v>
      </c>
      <c r="K3376" s="13">
        <v>1926</v>
      </c>
      <c r="L3376" s="13">
        <v>12</v>
      </c>
      <c r="M3376" s="13">
        <v>727</v>
      </c>
      <c r="N3376" s="13">
        <v>216</v>
      </c>
      <c r="O3376" s="13">
        <v>34</v>
      </c>
      <c r="P3376" s="13">
        <v>1</v>
      </c>
      <c r="Q3376" s="13">
        <v>65</v>
      </c>
      <c r="R3376" s="13">
        <v>0</v>
      </c>
      <c r="S3376" s="13">
        <v>0</v>
      </c>
      <c r="T3376" s="23">
        <v>46247.823587962965</v>
      </c>
      <c r="U3376" s="55">
        <f t="shared" si="156"/>
        <v>1</v>
      </c>
      <c r="V3376" s="55">
        <f t="shared" si="157"/>
        <v>0</v>
      </c>
      <c r="W3376" s="56">
        <f t="shared" si="158"/>
        <v>1899.8333333333333</v>
      </c>
    </row>
    <row r="3377" spans="1:23" x14ac:dyDescent="0.3">
      <c r="A3377" s="13" t="str" cm="1">
        <f t="array" ref="A3377:B3377">INDEX(BenchmarkResults!$B$1:$D$35,SUMPRODUCT((T3377&gt;=BenchmarkResults!$F$3:$F$35)*(mongodb_hardware_log!T3377&lt;BenchmarkResults!$G$3:$G$35)*ROW(BenchmarkResults!$F$3:$F$35)),{1,3})</f>
        <v>q6_inactive_customers</v>
      </c>
      <c r="B3377">
        <v>3</v>
      </c>
      <c r="C3377" s="13">
        <v>1</v>
      </c>
      <c r="D3377" s="13">
        <v>0</v>
      </c>
      <c r="E3377" s="13">
        <v>179968</v>
      </c>
      <c r="F3377" s="13">
        <v>109760</v>
      </c>
      <c r="G3377" s="13">
        <v>12076</v>
      </c>
      <c r="H3377" s="13">
        <v>2255284</v>
      </c>
      <c r="I3377" s="13">
        <v>0</v>
      </c>
      <c r="J3377" s="13">
        <v>0</v>
      </c>
      <c r="K3377" s="13">
        <v>2032</v>
      </c>
      <c r="L3377" s="13">
        <v>14</v>
      </c>
      <c r="M3377" s="13">
        <v>737</v>
      </c>
      <c r="N3377" s="13">
        <v>219</v>
      </c>
      <c r="O3377" s="13">
        <v>33</v>
      </c>
      <c r="P3377" s="13">
        <v>1</v>
      </c>
      <c r="Q3377" s="13">
        <v>65</v>
      </c>
      <c r="R3377" s="13">
        <v>1</v>
      </c>
      <c r="S3377" s="13">
        <v>0</v>
      </c>
      <c r="T3377" s="23">
        <v>46247.823692129627</v>
      </c>
      <c r="U3377" s="55">
        <f t="shared" si="156"/>
        <v>1</v>
      </c>
      <c r="V3377" s="55">
        <f t="shared" si="157"/>
        <v>0</v>
      </c>
      <c r="W3377" s="56">
        <f t="shared" si="158"/>
        <v>1949.8333333333333</v>
      </c>
    </row>
    <row r="3378" spans="1:23" x14ac:dyDescent="0.3">
      <c r="A3378" s="13" t="str" cm="1">
        <f t="array" ref="A3378:B3378">INDEX(BenchmarkResults!$B$1:$D$35,SUMPRODUCT((T3378&gt;=BenchmarkResults!$F$3:$F$35)*(mongodb_hardware_log!T3378&lt;BenchmarkResults!$G$3:$G$35)*ROW(BenchmarkResults!$F$3:$F$35)),{1,3})</f>
        <v>q6_inactive_customers</v>
      </c>
      <c r="B3378">
        <v>3</v>
      </c>
      <c r="C3378" s="13">
        <v>1</v>
      </c>
      <c r="D3378" s="13">
        <v>0</v>
      </c>
      <c r="E3378" s="13">
        <v>179968</v>
      </c>
      <c r="F3378" s="13">
        <v>105728</v>
      </c>
      <c r="G3378" s="13">
        <v>12084</v>
      </c>
      <c r="H3378" s="13">
        <v>2257892</v>
      </c>
      <c r="I3378" s="13">
        <v>0</v>
      </c>
      <c r="J3378" s="13">
        <v>0</v>
      </c>
      <c r="K3378" s="13">
        <v>1983</v>
      </c>
      <c r="L3378" s="13">
        <v>19</v>
      </c>
      <c r="M3378" s="13">
        <v>732</v>
      </c>
      <c r="N3378" s="13">
        <v>210</v>
      </c>
      <c r="O3378" s="13">
        <v>33</v>
      </c>
      <c r="P3378" s="13">
        <v>1</v>
      </c>
      <c r="Q3378" s="13">
        <v>65</v>
      </c>
      <c r="R3378" s="13">
        <v>1</v>
      </c>
      <c r="S3378" s="13">
        <v>0</v>
      </c>
      <c r="T3378" s="23">
        <v>46247.823703703703</v>
      </c>
      <c r="U3378" s="55">
        <f t="shared" si="156"/>
        <v>1</v>
      </c>
      <c r="V3378" s="55">
        <f t="shared" si="157"/>
        <v>0</v>
      </c>
      <c r="W3378" s="56">
        <f t="shared" si="158"/>
        <v>1981.1666666666667</v>
      </c>
    </row>
    <row r="3379" spans="1:23" x14ac:dyDescent="0.3">
      <c r="A3379" s="13" t="str" cm="1">
        <f t="array" ref="A3379:B3379">INDEX(BenchmarkResults!$B$1:$D$35,SUMPRODUCT((T3379&gt;=BenchmarkResults!$F$3:$F$35)*(mongodb_hardware_log!T3379&lt;BenchmarkResults!$G$3:$G$35)*ROW(BenchmarkResults!$F$3:$F$35)),{1,3})</f>
        <v>q6_inactive_customers</v>
      </c>
      <c r="B3379">
        <v>3</v>
      </c>
      <c r="C3379" s="13">
        <v>1</v>
      </c>
      <c r="D3379" s="13">
        <v>0</v>
      </c>
      <c r="E3379" s="13">
        <v>179968</v>
      </c>
      <c r="F3379" s="13">
        <v>139520</v>
      </c>
      <c r="G3379" s="13">
        <v>12116</v>
      </c>
      <c r="H3379" s="13">
        <v>2229688</v>
      </c>
      <c r="I3379" s="13">
        <v>0</v>
      </c>
      <c r="J3379" s="13">
        <v>0</v>
      </c>
      <c r="K3379" s="13">
        <v>1406</v>
      </c>
      <c r="L3379" s="13">
        <v>32</v>
      </c>
      <c r="M3379" s="13">
        <v>685</v>
      </c>
      <c r="N3379" s="13">
        <v>184</v>
      </c>
      <c r="O3379" s="13">
        <v>34</v>
      </c>
      <c r="P3379" s="13">
        <v>1</v>
      </c>
      <c r="Q3379" s="13">
        <v>65</v>
      </c>
      <c r="R3379" s="13">
        <v>0</v>
      </c>
      <c r="S3379" s="13">
        <v>0</v>
      </c>
      <c r="T3379" s="23">
        <v>46247.823807870373</v>
      </c>
      <c r="U3379" s="55">
        <f t="shared" si="156"/>
        <v>1</v>
      </c>
      <c r="V3379" s="55">
        <f t="shared" si="157"/>
        <v>0</v>
      </c>
      <c r="W3379" s="56">
        <f t="shared" si="158"/>
        <v>1882.8333333333333</v>
      </c>
    </row>
    <row r="3380" spans="1:23" x14ac:dyDescent="0.3">
      <c r="A3380" s="13" t="str" cm="1">
        <f t="array" ref="A3380:B3380">INDEX(BenchmarkResults!$B$1:$D$35,SUMPRODUCT((T3380&gt;=BenchmarkResults!$F$3:$F$35)*(mongodb_hardware_log!T3380&lt;BenchmarkResults!$G$3:$G$35)*ROW(BenchmarkResults!$F$3:$F$35)),{1,3})</f>
        <v>q6_inactive_customers</v>
      </c>
      <c r="B3380">
        <v>3</v>
      </c>
      <c r="C3380" s="13">
        <v>1</v>
      </c>
      <c r="D3380" s="13">
        <v>0</v>
      </c>
      <c r="E3380" s="13">
        <v>179968</v>
      </c>
      <c r="F3380" s="13">
        <v>131456</v>
      </c>
      <c r="G3380" s="13">
        <v>12116</v>
      </c>
      <c r="H3380" s="13">
        <v>2233700</v>
      </c>
      <c r="I3380" s="13">
        <v>0</v>
      </c>
      <c r="J3380" s="13">
        <v>0</v>
      </c>
      <c r="K3380" s="13">
        <v>1550</v>
      </c>
      <c r="L3380" s="13">
        <v>27</v>
      </c>
      <c r="M3380" s="13">
        <v>687</v>
      </c>
      <c r="N3380" s="13">
        <v>187</v>
      </c>
      <c r="O3380" s="13">
        <v>34</v>
      </c>
      <c r="P3380" s="13">
        <v>1</v>
      </c>
      <c r="Q3380" s="13">
        <v>65</v>
      </c>
      <c r="R3380" s="13">
        <v>0</v>
      </c>
      <c r="S3380" s="13">
        <v>0</v>
      </c>
      <c r="T3380" s="23">
        <v>46247.823819444442</v>
      </c>
      <c r="U3380" s="55">
        <f t="shared" si="156"/>
        <v>1</v>
      </c>
      <c r="V3380" s="55">
        <f t="shared" si="157"/>
        <v>0</v>
      </c>
      <c r="W3380" s="56">
        <f t="shared" si="158"/>
        <v>1814.3333333333333</v>
      </c>
    </row>
    <row r="3381" spans="1:23" x14ac:dyDescent="0.3">
      <c r="A3381" s="13" t="str" cm="1">
        <f t="array" ref="A3381:B3381">INDEX(BenchmarkResults!$B$1:$D$35,SUMPRODUCT((T3381&gt;=BenchmarkResults!$F$3:$F$35)*(mongodb_hardware_log!T3381&lt;BenchmarkResults!$G$3:$G$35)*ROW(BenchmarkResults!$F$3:$F$35)),{1,3})</f>
        <v>q6_inactive_customers</v>
      </c>
      <c r="B3381">
        <v>3</v>
      </c>
      <c r="C3381" s="13">
        <v>1</v>
      </c>
      <c r="D3381" s="13">
        <v>0</v>
      </c>
      <c r="E3381" s="13">
        <v>179968</v>
      </c>
      <c r="F3381" s="13">
        <v>108524</v>
      </c>
      <c r="G3381" s="13">
        <v>12124</v>
      </c>
      <c r="H3381" s="13">
        <v>2250572</v>
      </c>
      <c r="I3381" s="13">
        <v>0</v>
      </c>
      <c r="J3381" s="13">
        <v>0</v>
      </c>
      <c r="K3381" s="13">
        <v>2088</v>
      </c>
      <c r="L3381" s="13">
        <v>7</v>
      </c>
      <c r="M3381" s="13">
        <v>735</v>
      </c>
      <c r="N3381" s="13">
        <v>227</v>
      </c>
      <c r="O3381" s="13">
        <v>33</v>
      </c>
      <c r="P3381" s="13">
        <v>1</v>
      </c>
      <c r="Q3381" s="13">
        <v>65</v>
      </c>
      <c r="R3381" s="13">
        <v>0</v>
      </c>
      <c r="S3381" s="13">
        <v>0</v>
      </c>
      <c r="T3381" s="23">
        <v>46247.823923611111</v>
      </c>
      <c r="U3381" s="55">
        <f t="shared" si="156"/>
        <v>1</v>
      </c>
      <c r="V3381" s="55">
        <f t="shared" si="157"/>
        <v>0</v>
      </c>
      <c r="W3381" s="56">
        <f t="shared" si="158"/>
        <v>1830.8333333333333</v>
      </c>
    </row>
    <row r="3382" spans="1:23" x14ac:dyDescent="0.3">
      <c r="A3382" s="13" t="str" cm="1">
        <f t="array" ref="A3382:B3382">INDEX(BenchmarkResults!$B$1:$D$35,SUMPRODUCT((T3382&gt;=BenchmarkResults!$F$3:$F$35)*(mongodb_hardware_log!T3382&lt;BenchmarkResults!$G$3:$G$35)*ROW(BenchmarkResults!$F$3:$F$35)),{1,3})</f>
        <v>q6_inactive_customers</v>
      </c>
      <c r="B3382">
        <v>3</v>
      </c>
      <c r="C3382" s="13">
        <v>1</v>
      </c>
      <c r="D3382" s="13">
        <v>0</v>
      </c>
      <c r="E3382" s="13">
        <v>179968</v>
      </c>
      <c r="F3382" s="13">
        <v>148320</v>
      </c>
      <c r="G3382" s="13">
        <v>12132</v>
      </c>
      <c r="H3382" s="13">
        <v>2215288</v>
      </c>
      <c r="I3382" s="13">
        <v>0</v>
      </c>
      <c r="J3382" s="13">
        <v>0</v>
      </c>
      <c r="K3382" s="13">
        <v>2147</v>
      </c>
      <c r="L3382" s="13">
        <v>11</v>
      </c>
      <c r="M3382" s="13">
        <v>739</v>
      </c>
      <c r="N3382" s="13">
        <v>232</v>
      </c>
      <c r="O3382" s="13">
        <v>33</v>
      </c>
      <c r="P3382" s="13">
        <v>1</v>
      </c>
      <c r="Q3382" s="13">
        <v>65</v>
      </c>
      <c r="R3382" s="13">
        <v>0</v>
      </c>
      <c r="S3382" s="13">
        <v>0</v>
      </c>
      <c r="T3382" s="23">
        <v>46247.823935185188</v>
      </c>
      <c r="U3382" s="55">
        <f t="shared" si="156"/>
        <v>1</v>
      </c>
      <c r="V3382" s="55">
        <f t="shared" si="157"/>
        <v>0</v>
      </c>
      <c r="W3382" s="56">
        <f t="shared" si="158"/>
        <v>1867.6666666666667</v>
      </c>
    </row>
    <row r="3383" spans="1:23" x14ac:dyDescent="0.3">
      <c r="A3383" s="13" t="str" cm="1">
        <f t="array" ref="A3383:B3383">INDEX(BenchmarkResults!$B$1:$D$35,SUMPRODUCT((T3383&gt;=BenchmarkResults!$F$3:$F$35)*(mongodb_hardware_log!T3383&lt;BenchmarkResults!$G$3:$G$35)*ROW(BenchmarkResults!$F$3:$F$35)),{1,3})</f>
        <v>q6_inactive_customers</v>
      </c>
      <c r="B3383">
        <v>3</v>
      </c>
      <c r="C3383" s="13">
        <v>1</v>
      </c>
      <c r="D3383" s="13">
        <v>0</v>
      </c>
      <c r="E3383" s="13">
        <v>179968</v>
      </c>
      <c r="F3383" s="13">
        <v>124380</v>
      </c>
      <c r="G3383" s="13">
        <v>12140</v>
      </c>
      <c r="H3383" s="13">
        <v>2233608</v>
      </c>
      <c r="I3383" s="13">
        <v>0</v>
      </c>
      <c r="J3383" s="13">
        <v>0</v>
      </c>
      <c r="K3383" s="13">
        <v>2292</v>
      </c>
      <c r="L3383" s="13">
        <v>22</v>
      </c>
      <c r="M3383" s="13">
        <v>724</v>
      </c>
      <c r="N3383" s="13">
        <v>219</v>
      </c>
      <c r="O3383" s="13">
        <v>33</v>
      </c>
      <c r="P3383" s="13">
        <v>1</v>
      </c>
      <c r="Q3383" s="13">
        <v>65</v>
      </c>
      <c r="R3383" s="13">
        <v>0</v>
      </c>
      <c r="S3383" s="13">
        <v>0</v>
      </c>
      <c r="T3383" s="23">
        <v>46247.82403935185</v>
      </c>
      <c r="U3383" s="55">
        <f t="shared" si="156"/>
        <v>1</v>
      </c>
      <c r="V3383" s="55">
        <f t="shared" si="157"/>
        <v>0</v>
      </c>
      <c r="W3383" s="56">
        <f t="shared" si="158"/>
        <v>1911</v>
      </c>
    </row>
    <row r="3384" spans="1:23" x14ac:dyDescent="0.3">
      <c r="A3384" s="13" t="str" cm="1">
        <f t="array" ref="A3384:B3384">INDEX(BenchmarkResults!$B$1:$D$35,SUMPRODUCT((T3384&gt;=BenchmarkResults!$F$3:$F$35)*(mongodb_hardware_log!T3384&lt;BenchmarkResults!$G$3:$G$35)*ROW(BenchmarkResults!$F$3:$F$35)),{1,3})</f>
        <v>q6_inactive_customers</v>
      </c>
      <c r="B3384">
        <v>3</v>
      </c>
      <c r="C3384" s="13">
        <v>1</v>
      </c>
      <c r="D3384" s="13">
        <v>0</v>
      </c>
      <c r="E3384" s="13">
        <v>179968</v>
      </c>
      <c r="F3384" s="13">
        <v>124380</v>
      </c>
      <c r="G3384" s="13">
        <v>12140</v>
      </c>
      <c r="H3384" s="13">
        <v>2235528</v>
      </c>
      <c r="I3384" s="13">
        <v>0</v>
      </c>
      <c r="J3384" s="13">
        <v>0</v>
      </c>
      <c r="K3384" s="13">
        <v>2026</v>
      </c>
      <c r="L3384" s="13">
        <v>16</v>
      </c>
      <c r="M3384" s="13">
        <v>720</v>
      </c>
      <c r="N3384" s="13">
        <v>214</v>
      </c>
      <c r="O3384" s="13">
        <v>33</v>
      </c>
      <c r="P3384" s="13">
        <v>1</v>
      </c>
      <c r="Q3384" s="13">
        <v>65</v>
      </c>
      <c r="R3384" s="13">
        <v>0</v>
      </c>
      <c r="S3384" s="13">
        <v>0</v>
      </c>
      <c r="T3384" s="23">
        <v>46247.824050925927</v>
      </c>
      <c r="U3384" s="55">
        <f t="shared" si="156"/>
        <v>1</v>
      </c>
      <c r="V3384" s="55">
        <f t="shared" si="157"/>
        <v>0</v>
      </c>
      <c r="W3384" s="56">
        <f t="shared" si="158"/>
        <v>1918.1666666666667</v>
      </c>
    </row>
    <row r="3385" spans="1:23" x14ac:dyDescent="0.3">
      <c r="A3385" s="13" t="str" cm="1">
        <f t="array" ref="A3385:B3385">INDEX(BenchmarkResults!$B$1:$D$35,SUMPRODUCT((T3385&gt;=BenchmarkResults!$F$3:$F$35)*(mongodb_hardware_log!T3385&lt;BenchmarkResults!$G$3:$G$35)*ROW(BenchmarkResults!$F$3:$F$35)),{1,3})</f>
        <v>q6_inactive_customers</v>
      </c>
      <c r="B3385">
        <v>3</v>
      </c>
      <c r="C3385" s="13">
        <v>1</v>
      </c>
      <c r="D3385" s="13">
        <v>0</v>
      </c>
      <c r="E3385" s="13">
        <v>179968</v>
      </c>
      <c r="F3385" s="13">
        <v>109260</v>
      </c>
      <c r="G3385" s="13">
        <v>12148</v>
      </c>
      <c r="H3385" s="13">
        <v>2253480</v>
      </c>
      <c r="I3385" s="13">
        <v>0</v>
      </c>
      <c r="J3385" s="13">
        <v>0</v>
      </c>
      <c r="K3385" s="13">
        <v>1989</v>
      </c>
      <c r="L3385" s="13">
        <v>1569</v>
      </c>
      <c r="M3385" s="13">
        <v>711</v>
      </c>
      <c r="N3385" s="13">
        <v>203</v>
      </c>
      <c r="O3385" s="13">
        <v>34</v>
      </c>
      <c r="P3385" s="13">
        <v>1</v>
      </c>
      <c r="Q3385" s="13">
        <v>64</v>
      </c>
      <c r="R3385" s="13">
        <v>2</v>
      </c>
      <c r="S3385" s="13">
        <v>0</v>
      </c>
      <c r="T3385" s="23">
        <v>46247.824155092596</v>
      </c>
      <c r="U3385" s="55">
        <f t="shared" si="156"/>
        <v>1</v>
      </c>
      <c r="V3385" s="55">
        <f t="shared" si="157"/>
        <v>0</v>
      </c>
      <c r="W3385" s="56">
        <f t="shared" si="158"/>
        <v>2015.3333333333333</v>
      </c>
    </row>
    <row r="3386" spans="1:23" x14ac:dyDescent="0.3">
      <c r="A3386" s="13" t="str" cm="1">
        <f t="array" ref="A3386:B3386">INDEX(BenchmarkResults!$B$1:$D$35,SUMPRODUCT((T3386&gt;=BenchmarkResults!$F$3:$F$35)*(mongodb_hardware_log!T3386&lt;BenchmarkResults!$G$3:$G$35)*ROW(BenchmarkResults!$F$3:$F$35)),{1,3})</f>
        <v>q6_inactive_customers</v>
      </c>
      <c r="B3386">
        <v>3</v>
      </c>
      <c r="C3386" s="13">
        <v>1</v>
      </c>
      <c r="D3386" s="13">
        <v>0</v>
      </c>
      <c r="E3386" s="13">
        <v>179968</v>
      </c>
      <c r="F3386" s="13">
        <v>161672</v>
      </c>
      <c r="G3386" s="13">
        <v>12156</v>
      </c>
      <c r="H3386" s="13">
        <v>2202292</v>
      </c>
      <c r="I3386" s="13">
        <v>0</v>
      </c>
      <c r="J3386" s="13">
        <v>0</v>
      </c>
      <c r="K3386" s="13">
        <v>2202</v>
      </c>
      <c r="L3386" s="13">
        <v>1574</v>
      </c>
      <c r="M3386" s="13">
        <v>712</v>
      </c>
      <c r="N3386" s="13">
        <v>205</v>
      </c>
      <c r="O3386" s="13">
        <v>34</v>
      </c>
      <c r="P3386" s="13">
        <v>1</v>
      </c>
      <c r="Q3386" s="13">
        <v>63</v>
      </c>
      <c r="R3386" s="13">
        <v>2</v>
      </c>
      <c r="S3386" s="13">
        <v>0</v>
      </c>
      <c r="T3386" s="23">
        <v>46247.824166666665</v>
      </c>
      <c r="U3386" s="55">
        <f t="shared" si="156"/>
        <v>1</v>
      </c>
      <c r="V3386" s="55">
        <f t="shared" si="157"/>
        <v>0</v>
      </c>
      <c r="W3386" s="56">
        <f t="shared" si="158"/>
        <v>2124</v>
      </c>
    </row>
    <row r="3387" spans="1:23" x14ac:dyDescent="0.3">
      <c r="A3387" s="13" t="str" cm="1">
        <f t="array" ref="A3387:B3387">INDEX(BenchmarkResults!$B$1:$D$35,SUMPRODUCT((T3387&gt;=BenchmarkResults!$F$3:$F$35)*(mongodb_hardware_log!T3387&lt;BenchmarkResults!$G$3:$G$35)*ROW(BenchmarkResults!$F$3:$F$35)),{1,3})</f>
        <v>q6_inactive_customers</v>
      </c>
      <c r="B3387">
        <v>3</v>
      </c>
      <c r="C3387" s="13">
        <v>1</v>
      </c>
      <c r="D3387" s="13">
        <v>0</v>
      </c>
      <c r="E3387" s="13">
        <v>179968</v>
      </c>
      <c r="F3387" s="13">
        <v>146776</v>
      </c>
      <c r="G3387" s="13">
        <v>12164</v>
      </c>
      <c r="H3387" s="13">
        <v>2217860</v>
      </c>
      <c r="I3387" s="13">
        <v>0</v>
      </c>
      <c r="J3387" s="13">
        <v>0</v>
      </c>
      <c r="K3387" s="13">
        <v>1962</v>
      </c>
      <c r="L3387" s="13">
        <v>17</v>
      </c>
      <c r="M3387" s="13">
        <v>712</v>
      </c>
      <c r="N3387" s="13">
        <v>200</v>
      </c>
      <c r="O3387" s="13">
        <v>34</v>
      </c>
      <c r="P3387" s="13">
        <v>1</v>
      </c>
      <c r="Q3387" s="13">
        <v>65</v>
      </c>
      <c r="R3387" s="13">
        <v>0</v>
      </c>
      <c r="S3387" s="13">
        <v>0</v>
      </c>
      <c r="T3387" s="23">
        <v>46247.824270833335</v>
      </c>
      <c r="U3387" s="55">
        <f t="shared" si="156"/>
        <v>1</v>
      </c>
      <c r="V3387" s="55">
        <f t="shared" si="157"/>
        <v>0</v>
      </c>
      <c r="W3387" s="56">
        <f t="shared" si="158"/>
        <v>2103</v>
      </c>
    </row>
    <row r="3388" spans="1:23" x14ac:dyDescent="0.3">
      <c r="A3388" s="13" t="str" cm="1">
        <f t="array" ref="A3388:B3388">INDEX(BenchmarkResults!$B$1:$D$35,SUMPRODUCT((T3388&gt;=BenchmarkResults!$F$3:$F$35)*(mongodb_hardware_log!T3388&lt;BenchmarkResults!$G$3:$G$35)*ROW(BenchmarkResults!$F$3:$F$35)),{1,3})</f>
        <v>q6_inactive_customers</v>
      </c>
      <c r="B3388">
        <v>3</v>
      </c>
      <c r="C3388" s="13">
        <v>1</v>
      </c>
      <c r="D3388" s="13">
        <v>0</v>
      </c>
      <c r="E3388" s="13">
        <v>179968</v>
      </c>
      <c r="F3388" s="13">
        <v>139720</v>
      </c>
      <c r="G3388" s="13">
        <v>12164</v>
      </c>
      <c r="H3388" s="13">
        <v>2222056</v>
      </c>
      <c r="I3388" s="13">
        <v>0</v>
      </c>
      <c r="J3388" s="13">
        <v>0</v>
      </c>
      <c r="K3388" s="13">
        <v>1972</v>
      </c>
      <c r="L3388" s="13">
        <v>12</v>
      </c>
      <c r="M3388" s="13">
        <v>709</v>
      </c>
      <c r="N3388" s="13">
        <v>198</v>
      </c>
      <c r="O3388" s="13">
        <v>34</v>
      </c>
      <c r="P3388" s="13">
        <v>1</v>
      </c>
      <c r="Q3388" s="13">
        <v>65</v>
      </c>
      <c r="R3388" s="13">
        <v>0</v>
      </c>
      <c r="S3388" s="13">
        <v>0</v>
      </c>
      <c r="T3388" s="23">
        <v>46247.824282407404</v>
      </c>
      <c r="U3388" s="55">
        <f t="shared" si="156"/>
        <v>1</v>
      </c>
      <c r="V3388" s="55">
        <f t="shared" si="157"/>
        <v>0</v>
      </c>
      <c r="W3388" s="56">
        <f t="shared" si="158"/>
        <v>2073.8333333333335</v>
      </c>
    </row>
    <row r="3389" spans="1:23" x14ac:dyDescent="0.3">
      <c r="A3389" s="13" t="str" cm="1">
        <f t="array" ref="A3389:B3389">INDEX(BenchmarkResults!$B$1:$D$35,SUMPRODUCT((T3389&gt;=BenchmarkResults!$F$3:$F$35)*(mongodb_hardware_log!T3389&lt;BenchmarkResults!$G$3:$G$35)*ROW(BenchmarkResults!$F$3:$F$35)),{1,3})</f>
        <v>q6_inactive_customers</v>
      </c>
      <c r="B3389">
        <v>3</v>
      </c>
      <c r="C3389" s="13">
        <v>1</v>
      </c>
      <c r="D3389" s="13">
        <v>0</v>
      </c>
      <c r="E3389" s="13">
        <v>179968</v>
      </c>
      <c r="F3389" s="13">
        <v>108224</v>
      </c>
      <c r="G3389" s="13">
        <v>12172</v>
      </c>
      <c r="H3389" s="13">
        <v>2247604</v>
      </c>
      <c r="I3389" s="13">
        <v>0</v>
      </c>
      <c r="J3389" s="13">
        <v>0</v>
      </c>
      <c r="K3389" s="13">
        <v>1409</v>
      </c>
      <c r="L3389" s="13">
        <v>6</v>
      </c>
      <c r="M3389" s="13">
        <v>682</v>
      </c>
      <c r="N3389" s="13">
        <v>170</v>
      </c>
      <c r="O3389" s="13">
        <v>33</v>
      </c>
      <c r="P3389" s="13">
        <v>1</v>
      </c>
      <c r="Q3389" s="13">
        <v>65</v>
      </c>
      <c r="R3389" s="13">
        <v>0</v>
      </c>
      <c r="S3389" s="13">
        <v>0</v>
      </c>
      <c r="T3389" s="23">
        <v>46247.824386574073</v>
      </c>
      <c r="U3389" s="55">
        <f t="shared" si="156"/>
        <v>1</v>
      </c>
      <c r="V3389" s="55">
        <f t="shared" si="157"/>
        <v>0</v>
      </c>
      <c r="W3389" s="56">
        <f t="shared" si="158"/>
        <v>1926.6666666666667</v>
      </c>
    </row>
    <row r="3390" spans="1:23" x14ac:dyDescent="0.3">
      <c r="A3390" s="13" t="str" cm="1">
        <f t="array" ref="A3390:B3390">INDEX(BenchmarkResults!$B$1:$D$35,SUMPRODUCT((T3390&gt;=BenchmarkResults!$F$3:$F$35)*(mongodb_hardware_log!T3390&lt;BenchmarkResults!$G$3:$G$35)*ROW(BenchmarkResults!$F$3:$F$35)),{1,3})</f>
        <v>q6_inactive_customers</v>
      </c>
      <c r="B3390">
        <v>3</v>
      </c>
      <c r="C3390" s="13">
        <v>1</v>
      </c>
      <c r="D3390" s="13">
        <v>0</v>
      </c>
      <c r="E3390" s="13">
        <v>179968</v>
      </c>
      <c r="F3390" s="13">
        <v>105200</v>
      </c>
      <c r="G3390" s="13">
        <v>12180</v>
      </c>
      <c r="H3390" s="13">
        <v>2250800</v>
      </c>
      <c r="I3390" s="13">
        <v>0</v>
      </c>
      <c r="J3390" s="13">
        <v>0</v>
      </c>
      <c r="K3390" s="13">
        <v>1314</v>
      </c>
      <c r="L3390" s="13">
        <v>12</v>
      </c>
      <c r="M3390" s="13">
        <v>684</v>
      </c>
      <c r="N3390" s="13">
        <v>171</v>
      </c>
      <c r="O3390" s="13">
        <v>33</v>
      </c>
      <c r="P3390" s="13">
        <v>1</v>
      </c>
      <c r="Q3390" s="13">
        <v>65</v>
      </c>
      <c r="R3390" s="13">
        <v>0</v>
      </c>
      <c r="S3390" s="13">
        <v>0</v>
      </c>
      <c r="T3390" s="23">
        <v>46247.82439814815</v>
      </c>
      <c r="U3390" s="55">
        <f t="shared" si="156"/>
        <v>1</v>
      </c>
      <c r="V3390" s="55">
        <f t="shared" si="157"/>
        <v>0</v>
      </c>
      <c r="W3390" s="56">
        <f t="shared" si="158"/>
        <v>1808</v>
      </c>
    </row>
    <row r="3391" spans="1:23" x14ac:dyDescent="0.3">
      <c r="A3391" s="13" t="str" cm="1">
        <f t="array" ref="A3391:B3391">INDEX(BenchmarkResults!$B$1:$D$35,SUMPRODUCT((T3391&gt;=BenchmarkResults!$F$3:$F$35)*(mongodb_hardware_log!T3391&lt;BenchmarkResults!$G$3:$G$35)*ROW(BenchmarkResults!$F$3:$F$35)),{1,3})</f>
        <v>q6_inactive_customers</v>
      </c>
      <c r="B3391">
        <v>3</v>
      </c>
      <c r="C3391" s="13">
        <v>1</v>
      </c>
      <c r="D3391" s="13">
        <v>0</v>
      </c>
      <c r="E3391" s="13">
        <v>179968</v>
      </c>
      <c r="F3391" s="13">
        <v>144456</v>
      </c>
      <c r="G3391" s="13">
        <v>12212</v>
      </c>
      <c r="H3391" s="13">
        <v>2226880</v>
      </c>
      <c r="I3391" s="13">
        <v>0</v>
      </c>
      <c r="J3391" s="13">
        <v>0</v>
      </c>
      <c r="K3391" s="13">
        <v>1914</v>
      </c>
      <c r="L3391" s="13">
        <v>37</v>
      </c>
      <c r="M3391" s="13">
        <v>721</v>
      </c>
      <c r="N3391" s="13">
        <v>212</v>
      </c>
      <c r="O3391" s="13">
        <v>34</v>
      </c>
      <c r="P3391" s="13">
        <v>1</v>
      </c>
      <c r="Q3391" s="13">
        <v>64</v>
      </c>
      <c r="R3391" s="13">
        <v>0</v>
      </c>
      <c r="S3391" s="13">
        <v>1</v>
      </c>
      <c r="T3391" s="23">
        <v>46247.824502314812</v>
      </c>
      <c r="U3391" s="55">
        <f t="shared" si="156"/>
        <v>1</v>
      </c>
      <c r="V3391" s="55">
        <f t="shared" si="157"/>
        <v>0</v>
      </c>
      <c r="W3391" s="56">
        <f t="shared" si="158"/>
        <v>1795.5</v>
      </c>
    </row>
    <row r="3392" spans="1:23" x14ac:dyDescent="0.3">
      <c r="A3392" s="13" t="str" cm="1">
        <f t="array" ref="A3392:B3392">INDEX(BenchmarkResults!$B$1:$D$35,SUMPRODUCT((T3392&gt;=BenchmarkResults!$F$3:$F$35)*(mongodb_hardware_log!T3392&lt;BenchmarkResults!$G$3:$G$35)*ROW(BenchmarkResults!$F$3:$F$35)),{1,3})</f>
        <v>q6_inactive_customers</v>
      </c>
      <c r="B3392">
        <v>3</v>
      </c>
      <c r="C3392" s="13">
        <v>1</v>
      </c>
      <c r="D3392" s="13">
        <v>0</v>
      </c>
      <c r="E3392" s="13">
        <v>179968</v>
      </c>
      <c r="F3392" s="13">
        <v>138660</v>
      </c>
      <c r="G3392" s="13">
        <v>12212</v>
      </c>
      <c r="H3392" s="13">
        <v>2230484</v>
      </c>
      <c r="I3392" s="13">
        <v>0</v>
      </c>
      <c r="J3392" s="13">
        <v>0</v>
      </c>
      <c r="K3392" s="13">
        <v>1950</v>
      </c>
      <c r="L3392" s="13">
        <v>32</v>
      </c>
      <c r="M3392" s="13">
        <v>729</v>
      </c>
      <c r="N3392" s="13">
        <v>216</v>
      </c>
      <c r="O3392" s="13">
        <v>34</v>
      </c>
      <c r="P3392" s="13">
        <v>1</v>
      </c>
      <c r="Q3392" s="13">
        <v>64</v>
      </c>
      <c r="R3392" s="13">
        <v>0</v>
      </c>
      <c r="S3392" s="13">
        <v>1</v>
      </c>
      <c r="T3392" s="23">
        <v>46247.824513888889</v>
      </c>
      <c r="U3392" s="55">
        <f t="shared" si="156"/>
        <v>1</v>
      </c>
      <c r="V3392" s="55">
        <f t="shared" si="157"/>
        <v>0</v>
      </c>
      <c r="W3392" s="56">
        <f t="shared" si="158"/>
        <v>1753.5</v>
      </c>
    </row>
    <row r="3393" spans="1:23" x14ac:dyDescent="0.3">
      <c r="A3393" s="13" t="str" cm="1">
        <f t="array" ref="A3393:B3393">INDEX(BenchmarkResults!$B$1:$D$35,SUMPRODUCT((T3393&gt;=BenchmarkResults!$F$3:$F$35)*(mongodb_hardware_log!T3393&lt;BenchmarkResults!$G$3:$G$35)*ROW(BenchmarkResults!$F$3:$F$35)),{1,3})</f>
        <v>q6_inactive_customers</v>
      </c>
      <c r="B3393">
        <v>3</v>
      </c>
      <c r="C3393" s="13">
        <v>2</v>
      </c>
      <c r="D3393" s="13">
        <v>0</v>
      </c>
      <c r="E3393" s="13">
        <v>179968</v>
      </c>
      <c r="F3393" s="13">
        <v>124800</v>
      </c>
      <c r="G3393" s="13">
        <v>12220</v>
      </c>
      <c r="H3393" s="13">
        <v>2245436</v>
      </c>
      <c r="I3393" s="13">
        <v>0</v>
      </c>
      <c r="J3393" s="13">
        <v>0</v>
      </c>
      <c r="K3393" s="13">
        <v>1856</v>
      </c>
      <c r="L3393" s="13">
        <v>7</v>
      </c>
      <c r="M3393" s="13">
        <v>743</v>
      </c>
      <c r="N3393" s="13">
        <v>224</v>
      </c>
      <c r="O3393" s="13">
        <v>33</v>
      </c>
      <c r="P3393" s="13">
        <v>1</v>
      </c>
      <c r="Q3393" s="13">
        <v>64</v>
      </c>
      <c r="R3393" s="13">
        <v>1</v>
      </c>
      <c r="S3393" s="13">
        <v>1</v>
      </c>
      <c r="T3393" s="23">
        <v>46247.824618055558</v>
      </c>
      <c r="U3393" s="55">
        <f t="shared" si="156"/>
        <v>1.1666666666666667</v>
      </c>
      <c r="V3393" s="55">
        <f t="shared" si="157"/>
        <v>0</v>
      </c>
      <c r="W3393" s="56">
        <f t="shared" si="158"/>
        <v>1735.8333333333333</v>
      </c>
    </row>
    <row r="3394" spans="1:23" x14ac:dyDescent="0.3">
      <c r="A3394" s="13" t="str" cm="1">
        <f t="array" ref="A3394:B3394">INDEX(BenchmarkResults!$B$1:$D$35,SUMPRODUCT((T3394&gt;=BenchmarkResults!$F$3:$F$35)*(mongodb_hardware_log!T3394&lt;BenchmarkResults!$G$3:$G$35)*ROW(BenchmarkResults!$F$3:$F$35)),{1,3})</f>
        <v>q6_inactive_customers</v>
      </c>
      <c r="B3394">
        <v>3</v>
      </c>
      <c r="C3394" s="13">
        <v>1</v>
      </c>
      <c r="D3394" s="13">
        <v>0</v>
      </c>
      <c r="E3394" s="13">
        <v>179968</v>
      </c>
      <c r="F3394" s="13">
        <v>121776</v>
      </c>
      <c r="G3394" s="13">
        <v>12228</v>
      </c>
      <c r="H3394" s="13">
        <v>2247632</v>
      </c>
      <c r="I3394" s="13">
        <v>0</v>
      </c>
      <c r="J3394" s="13">
        <v>0</v>
      </c>
      <c r="K3394" s="13">
        <v>1717</v>
      </c>
      <c r="L3394" s="13">
        <v>13</v>
      </c>
      <c r="M3394" s="13">
        <v>740</v>
      </c>
      <c r="N3394" s="13">
        <v>222</v>
      </c>
      <c r="O3394" s="13">
        <v>33</v>
      </c>
      <c r="P3394" s="13">
        <v>1</v>
      </c>
      <c r="Q3394" s="13">
        <v>64</v>
      </c>
      <c r="R3394" s="13">
        <v>0</v>
      </c>
      <c r="S3394" s="13">
        <v>1</v>
      </c>
      <c r="T3394" s="23">
        <v>46247.824629629627</v>
      </c>
      <c r="U3394" s="55">
        <f t="shared" si="156"/>
        <v>1.1666666666666667</v>
      </c>
      <c r="V3394" s="55">
        <f t="shared" si="157"/>
        <v>0</v>
      </c>
      <c r="W3394" s="56">
        <f t="shared" si="158"/>
        <v>1693.3333333333333</v>
      </c>
    </row>
    <row r="3395" spans="1:23" x14ac:dyDescent="0.3">
      <c r="A3395" s="13" t="str" cm="1">
        <f t="array" ref="A3395:B3395">INDEX(BenchmarkResults!$B$1:$D$35,SUMPRODUCT((T3395&gt;=BenchmarkResults!$F$3:$F$35)*(mongodb_hardware_log!T3395&lt;BenchmarkResults!$G$3:$G$35)*ROW(BenchmarkResults!$F$3:$F$35)),{1,3})</f>
        <v>q6_inactive_customers</v>
      </c>
      <c r="B3395">
        <v>3</v>
      </c>
      <c r="C3395" s="13">
        <v>1</v>
      </c>
      <c r="D3395" s="13">
        <v>0</v>
      </c>
      <c r="E3395" s="13">
        <v>179968</v>
      </c>
      <c r="F3395" s="13">
        <v>114764</v>
      </c>
      <c r="G3395" s="13">
        <v>12236</v>
      </c>
      <c r="H3395" s="13">
        <v>2260508</v>
      </c>
      <c r="I3395" s="13">
        <v>0</v>
      </c>
      <c r="J3395" s="13">
        <v>0</v>
      </c>
      <c r="K3395" s="13">
        <v>1511</v>
      </c>
      <c r="L3395" s="13">
        <v>1579</v>
      </c>
      <c r="M3395" s="13">
        <v>733</v>
      </c>
      <c r="N3395" s="13">
        <v>224</v>
      </c>
      <c r="O3395" s="13">
        <v>33</v>
      </c>
      <c r="P3395" s="13">
        <v>1</v>
      </c>
      <c r="Q3395" s="13">
        <v>63</v>
      </c>
      <c r="R3395" s="13">
        <v>2</v>
      </c>
      <c r="S3395" s="13">
        <v>1</v>
      </c>
      <c r="T3395" s="23">
        <v>46247.824733796297</v>
      </c>
      <c r="U3395" s="55">
        <f t="shared" si="156"/>
        <v>1.1666666666666667</v>
      </c>
      <c r="V3395" s="55">
        <f t="shared" si="157"/>
        <v>0</v>
      </c>
      <c r="W3395" s="56">
        <f t="shared" si="158"/>
        <v>1710.3333333333333</v>
      </c>
    </row>
    <row r="3396" spans="1:23" x14ac:dyDescent="0.3">
      <c r="A3396" s="13" t="str" cm="1">
        <f t="array" ref="A3396:B3396">INDEX(BenchmarkResults!$B$1:$D$35,SUMPRODUCT((T3396&gt;=BenchmarkResults!$F$3:$F$35)*(mongodb_hardware_log!T3396&lt;BenchmarkResults!$G$3:$G$35)*ROW(BenchmarkResults!$F$3:$F$35)),{1,3})</f>
        <v>q6_inactive_customers</v>
      </c>
      <c r="B3396">
        <v>3</v>
      </c>
      <c r="C3396" s="13">
        <v>0</v>
      </c>
      <c r="D3396" s="13">
        <v>1</v>
      </c>
      <c r="E3396" s="13">
        <v>179968</v>
      </c>
      <c r="F3396" s="13">
        <v>110984</v>
      </c>
      <c r="G3396" s="13">
        <v>12236</v>
      </c>
      <c r="H3396" s="13">
        <v>2264948</v>
      </c>
      <c r="I3396" s="13">
        <v>0</v>
      </c>
      <c r="J3396" s="13">
        <v>0</v>
      </c>
      <c r="K3396" s="13">
        <v>1731</v>
      </c>
      <c r="L3396" s="13">
        <v>1573</v>
      </c>
      <c r="M3396" s="13">
        <v>735</v>
      </c>
      <c r="N3396" s="13">
        <v>225</v>
      </c>
      <c r="O3396" s="13">
        <v>33</v>
      </c>
      <c r="P3396" s="13">
        <v>1</v>
      </c>
      <c r="Q3396" s="13">
        <v>63</v>
      </c>
      <c r="R3396" s="13">
        <v>2</v>
      </c>
      <c r="S3396" s="13">
        <v>1</v>
      </c>
      <c r="T3396" s="23">
        <v>46247.824745370373</v>
      </c>
      <c r="U3396" s="55">
        <f t="shared" si="156"/>
        <v>1</v>
      </c>
      <c r="V3396" s="55">
        <f t="shared" si="157"/>
        <v>0.16666666666666666</v>
      </c>
      <c r="W3396" s="56">
        <f t="shared" si="158"/>
        <v>1779.8333333333333</v>
      </c>
    </row>
    <row r="3397" spans="1:23" x14ac:dyDescent="0.3">
      <c r="A3397" s="13" t="str" cm="1">
        <f t="array" ref="A3397:B3397">INDEX(BenchmarkResults!$B$1:$D$35,SUMPRODUCT((T3397&gt;=BenchmarkResults!$F$3:$F$35)*(mongodb_hardware_log!T3397&lt;BenchmarkResults!$G$3:$G$35)*ROW(BenchmarkResults!$F$3:$F$35)),{1,3})</f>
        <v>q6_inactive_customers</v>
      </c>
      <c r="B3397">
        <v>3</v>
      </c>
      <c r="C3397" s="13">
        <v>1</v>
      </c>
      <c r="D3397" s="13">
        <v>0</v>
      </c>
      <c r="E3397" s="13">
        <v>179968</v>
      </c>
      <c r="F3397" s="13">
        <v>147160</v>
      </c>
      <c r="G3397" s="13">
        <v>12244</v>
      </c>
      <c r="H3397" s="13">
        <v>2221900</v>
      </c>
      <c r="I3397" s="13">
        <v>0</v>
      </c>
      <c r="J3397" s="13">
        <v>0</v>
      </c>
      <c r="K3397" s="13">
        <v>1688</v>
      </c>
      <c r="L3397" s="13">
        <v>7</v>
      </c>
      <c r="M3397" s="13">
        <v>736</v>
      </c>
      <c r="N3397" s="13">
        <v>220</v>
      </c>
      <c r="O3397" s="13">
        <v>33</v>
      </c>
      <c r="P3397" s="13">
        <v>1</v>
      </c>
      <c r="Q3397" s="13">
        <v>64</v>
      </c>
      <c r="R3397" s="13">
        <v>1</v>
      </c>
      <c r="S3397" s="13">
        <v>1</v>
      </c>
      <c r="T3397" s="23">
        <v>46247.824849537035</v>
      </c>
      <c r="U3397" s="55">
        <f t="shared" si="156"/>
        <v>1</v>
      </c>
      <c r="V3397" s="55">
        <f t="shared" si="157"/>
        <v>0.16666666666666666</v>
      </c>
      <c r="W3397" s="56">
        <f t="shared" si="158"/>
        <v>1742.1666666666667</v>
      </c>
    </row>
    <row r="3398" spans="1:23" x14ac:dyDescent="0.3">
      <c r="A3398" s="13" t="str" cm="1">
        <f t="array" ref="A3398:B3398">INDEX(BenchmarkResults!$B$1:$D$35,SUMPRODUCT((T3398&gt;=BenchmarkResults!$F$3:$F$35)*(mongodb_hardware_log!T3398&lt;BenchmarkResults!$G$3:$G$35)*ROW(BenchmarkResults!$F$3:$F$35)),{1,3})</f>
        <v>q6_inactive_customers</v>
      </c>
      <c r="B3398">
        <v>3</v>
      </c>
      <c r="C3398" s="13">
        <v>1</v>
      </c>
      <c r="D3398" s="13">
        <v>0</v>
      </c>
      <c r="E3398" s="13">
        <v>179968</v>
      </c>
      <c r="F3398" s="13">
        <v>139548</v>
      </c>
      <c r="G3398" s="13">
        <v>12252</v>
      </c>
      <c r="H3398" s="13">
        <v>2223928</v>
      </c>
      <c r="I3398" s="13">
        <v>0</v>
      </c>
      <c r="J3398" s="13">
        <v>0</v>
      </c>
      <c r="K3398" s="13">
        <v>1452</v>
      </c>
      <c r="L3398" s="13">
        <v>16</v>
      </c>
      <c r="M3398" s="13">
        <v>732</v>
      </c>
      <c r="N3398" s="13">
        <v>219</v>
      </c>
      <c r="O3398" s="13">
        <v>33</v>
      </c>
      <c r="P3398" s="13">
        <v>1</v>
      </c>
      <c r="Q3398" s="13">
        <v>64</v>
      </c>
      <c r="R3398" s="13">
        <v>1</v>
      </c>
      <c r="S3398" s="13">
        <v>1</v>
      </c>
      <c r="T3398" s="23">
        <v>46247.824861111112</v>
      </c>
      <c r="U3398" s="55">
        <f t="shared" si="156"/>
        <v>1</v>
      </c>
      <c r="V3398" s="55">
        <f t="shared" si="157"/>
        <v>0.16666666666666666</v>
      </c>
      <c r="W3398" s="56">
        <f t="shared" si="158"/>
        <v>1659.1666666666667</v>
      </c>
    </row>
    <row r="3399" spans="1:23" x14ac:dyDescent="0.3">
      <c r="A3399" s="13" t="str" cm="1">
        <f t="array" ref="A3399:B3399">INDEX(BenchmarkResults!$B$1:$D$35,SUMPRODUCT((T3399&gt;=BenchmarkResults!$F$3:$F$35)*(mongodb_hardware_log!T3399&lt;BenchmarkResults!$G$3:$G$35)*ROW(BenchmarkResults!$F$3:$F$35)),{1,3})</f>
        <v>q6_inactive_customers</v>
      </c>
      <c r="B3399">
        <v>3</v>
      </c>
      <c r="C3399" s="13">
        <v>0</v>
      </c>
      <c r="D3399" s="13">
        <v>1</v>
      </c>
      <c r="E3399" s="13">
        <v>179968</v>
      </c>
      <c r="F3399" s="13">
        <v>128712</v>
      </c>
      <c r="G3399" s="13">
        <v>12260</v>
      </c>
      <c r="H3399" s="13">
        <v>2237092</v>
      </c>
      <c r="I3399" s="13">
        <v>0</v>
      </c>
      <c r="J3399" s="13">
        <v>0</v>
      </c>
      <c r="K3399" s="13">
        <v>1526</v>
      </c>
      <c r="L3399" s="13">
        <v>19</v>
      </c>
      <c r="M3399" s="13">
        <v>737</v>
      </c>
      <c r="N3399" s="13">
        <v>215</v>
      </c>
      <c r="O3399" s="13">
        <v>33</v>
      </c>
      <c r="P3399" s="13">
        <v>1</v>
      </c>
      <c r="Q3399" s="13">
        <v>63</v>
      </c>
      <c r="R3399" s="13">
        <v>1</v>
      </c>
      <c r="S3399" s="13">
        <v>2</v>
      </c>
      <c r="T3399" s="23">
        <v>46247.824965277781</v>
      </c>
      <c r="U3399" s="55">
        <f t="shared" si="156"/>
        <v>0.66666666666666663</v>
      </c>
      <c r="V3399" s="55">
        <f t="shared" si="157"/>
        <v>0.33333333333333331</v>
      </c>
      <c r="W3399" s="56">
        <f t="shared" si="158"/>
        <v>1604.1666666666667</v>
      </c>
    </row>
    <row r="3400" spans="1:23" x14ac:dyDescent="0.3">
      <c r="A3400" s="13" t="str" cm="1">
        <f t="array" ref="A3400:B3400">INDEX(BenchmarkResults!$B$1:$D$35,SUMPRODUCT((T3400&gt;=BenchmarkResults!$F$3:$F$35)*(mongodb_hardware_log!T3400&lt;BenchmarkResults!$G$3:$G$35)*ROW(BenchmarkResults!$F$3:$F$35)),{1,3})</f>
        <v>q6_inactive_customers</v>
      </c>
      <c r="B3400">
        <v>3</v>
      </c>
      <c r="C3400" s="13">
        <v>2</v>
      </c>
      <c r="D3400" s="13">
        <v>0</v>
      </c>
      <c r="E3400" s="13">
        <v>179968</v>
      </c>
      <c r="F3400" s="13">
        <v>126300</v>
      </c>
      <c r="G3400" s="13">
        <v>12260</v>
      </c>
      <c r="H3400" s="13">
        <v>2239756</v>
      </c>
      <c r="I3400" s="13">
        <v>0</v>
      </c>
      <c r="J3400" s="13">
        <v>0</v>
      </c>
      <c r="K3400" s="13">
        <v>1580</v>
      </c>
      <c r="L3400" s="13">
        <v>10</v>
      </c>
      <c r="M3400" s="13">
        <v>743</v>
      </c>
      <c r="N3400" s="13">
        <v>215</v>
      </c>
      <c r="O3400" s="13">
        <v>33</v>
      </c>
      <c r="P3400" s="13">
        <v>1</v>
      </c>
      <c r="Q3400" s="13">
        <v>63</v>
      </c>
      <c r="R3400" s="13">
        <v>1</v>
      </c>
      <c r="S3400" s="13">
        <v>2</v>
      </c>
      <c r="T3400" s="23">
        <v>46247.824976851851</v>
      </c>
      <c r="U3400" s="55">
        <f t="shared" si="156"/>
        <v>0.83333333333333337</v>
      </c>
      <c r="V3400" s="55">
        <f t="shared" si="157"/>
        <v>0.33333333333333331</v>
      </c>
      <c r="W3400" s="56">
        <f t="shared" si="158"/>
        <v>1581.3333333333333</v>
      </c>
    </row>
    <row r="3401" spans="1:23" x14ac:dyDescent="0.3">
      <c r="A3401" s="13" t="str" cm="1">
        <f t="array" ref="A3401:B3401">INDEX(BenchmarkResults!$B$1:$D$35,SUMPRODUCT((T3401&gt;=BenchmarkResults!$F$3:$F$35)*(mongodb_hardware_log!T3401&lt;BenchmarkResults!$G$3:$G$35)*ROW(BenchmarkResults!$F$3:$F$35)),{1,3})</f>
        <v>q6_inactive_customers</v>
      </c>
      <c r="B3401">
        <v>3</v>
      </c>
      <c r="C3401" s="13">
        <v>1</v>
      </c>
      <c r="D3401" s="13">
        <v>0</v>
      </c>
      <c r="E3401" s="13">
        <v>179968</v>
      </c>
      <c r="F3401" s="13">
        <v>121176</v>
      </c>
      <c r="G3401" s="13">
        <v>12276</v>
      </c>
      <c r="H3401" s="13">
        <v>2254960</v>
      </c>
      <c r="I3401" s="13">
        <v>0</v>
      </c>
      <c r="J3401" s="13">
        <v>0</v>
      </c>
      <c r="K3401" s="13">
        <v>1064</v>
      </c>
      <c r="L3401" s="13">
        <v>14</v>
      </c>
      <c r="M3401" s="13">
        <v>759</v>
      </c>
      <c r="N3401" s="13">
        <v>229</v>
      </c>
      <c r="O3401" s="13">
        <v>33</v>
      </c>
      <c r="P3401" s="13">
        <v>1</v>
      </c>
      <c r="Q3401" s="13">
        <v>63</v>
      </c>
      <c r="R3401" s="13">
        <v>0</v>
      </c>
      <c r="S3401" s="13">
        <v>3</v>
      </c>
      <c r="T3401" s="23">
        <v>46247.82508101852</v>
      </c>
      <c r="U3401" s="55">
        <f t="shared" ref="U3401:U3464" si="159">AVERAGE(C3396:C3401)</f>
        <v>0.83333333333333337</v>
      </c>
      <c r="V3401" s="55">
        <f t="shared" ref="V3401:V3464" si="160">AVERAGE(D3396:D3401)</f>
        <v>0.33333333333333331</v>
      </c>
      <c r="W3401" s="56">
        <f t="shared" ref="W3401:W3464" si="161">AVERAGE(K3396:K3401)</f>
        <v>1506.8333333333333</v>
      </c>
    </row>
    <row r="3402" spans="1:23" x14ac:dyDescent="0.3">
      <c r="A3402" s="13" t="str" cm="1">
        <f t="array" ref="A3402:B3402">INDEX(BenchmarkResults!$B$1:$D$35,SUMPRODUCT((T3402&gt;=BenchmarkResults!$F$3:$F$35)*(mongodb_hardware_log!T3402&lt;BenchmarkResults!$G$3:$G$35)*ROW(BenchmarkResults!$F$3:$F$35)),{1,3})</f>
        <v>q6_inactive_customers</v>
      </c>
      <c r="B3402">
        <v>3</v>
      </c>
      <c r="C3402" s="13">
        <v>1</v>
      </c>
      <c r="D3402" s="13">
        <v>0</v>
      </c>
      <c r="E3402" s="13">
        <v>179968</v>
      </c>
      <c r="F3402" s="13">
        <v>109080</v>
      </c>
      <c r="G3402" s="13">
        <v>12276</v>
      </c>
      <c r="H3402" s="13">
        <v>2263520</v>
      </c>
      <c r="I3402" s="13">
        <v>0</v>
      </c>
      <c r="J3402" s="13">
        <v>0</v>
      </c>
      <c r="K3402" s="13">
        <v>804</v>
      </c>
      <c r="L3402" s="13">
        <v>14</v>
      </c>
      <c r="M3402" s="13">
        <v>740</v>
      </c>
      <c r="N3402" s="13">
        <v>209</v>
      </c>
      <c r="O3402" s="13">
        <v>33</v>
      </c>
      <c r="P3402" s="13">
        <v>2</v>
      </c>
      <c r="Q3402" s="13">
        <v>63</v>
      </c>
      <c r="R3402" s="13">
        <v>0</v>
      </c>
      <c r="S3402" s="13">
        <v>3</v>
      </c>
      <c r="T3402" s="23">
        <v>46247.825092592589</v>
      </c>
      <c r="U3402" s="55">
        <f t="shared" si="159"/>
        <v>1</v>
      </c>
      <c r="V3402" s="55">
        <f t="shared" si="160"/>
        <v>0.16666666666666666</v>
      </c>
      <c r="W3402" s="56">
        <f t="shared" si="161"/>
        <v>1352.3333333333333</v>
      </c>
    </row>
    <row r="3403" spans="1:23" x14ac:dyDescent="0.3">
      <c r="A3403" s="13" t="str" cm="1">
        <f t="array" ref="A3403:B3403">INDEX(BenchmarkResults!$B$1:$D$35,SUMPRODUCT((T3403&gt;=BenchmarkResults!$F$3:$F$35)*(mongodb_hardware_log!T3403&lt;BenchmarkResults!$G$3:$G$35)*ROW(BenchmarkResults!$F$3:$F$35)),{1,3})</f>
        <v>q6_inactive_customers</v>
      </c>
      <c r="B3403">
        <v>3</v>
      </c>
      <c r="C3403" s="13">
        <v>1</v>
      </c>
      <c r="D3403" s="13">
        <v>0</v>
      </c>
      <c r="E3403" s="13">
        <v>179968</v>
      </c>
      <c r="F3403" s="13">
        <v>137600</v>
      </c>
      <c r="G3403" s="13">
        <v>12308</v>
      </c>
      <c r="H3403" s="13">
        <v>2237704</v>
      </c>
      <c r="I3403" s="13">
        <v>0</v>
      </c>
      <c r="J3403" s="13">
        <v>0</v>
      </c>
      <c r="K3403" s="13">
        <v>1410</v>
      </c>
      <c r="L3403" s="13">
        <v>55</v>
      </c>
      <c r="M3403" s="13">
        <v>715</v>
      </c>
      <c r="N3403" s="13">
        <v>192</v>
      </c>
      <c r="O3403" s="13">
        <v>33</v>
      </c>
      <c r="P3403" s="13">
        <v>1</v>
      </c>
      <c r="Q3403" s="13">
        <v>64</v>
      </c>
      <c r="R3403" s="13">
        <v>0</v>
      </c>
      <c r="S3403" s="13">
        <v>2</v>
      </c>
      <c r="T3403" s="23">
        <v>46247.825196759259</v>
      </c>
      <c r="U3403" s="55">
        <f t="shared" si="159"/>
        <v>1</v>
      </c>
      <c r="V3403" s="55">
        <f t="shared" si="160"/>
        <v>0.16666666666666666</v>
      </c>
      <c r="W3403" s="56">
        <f t="shared" si="161"/>
        <v>1306</v>
      </c>
    </row>
    <row r="3404" spans="1:23" x14ac:dyDescent="0.3">
      <c r="A3404" s="13" t="str" cm="1">
        <f t="array" ref="A3404:B3404">INDEX(BenchmarkResults!$B$1:$D$35,SUMPRODUCT((T3404&gt;=BenchmarkResults!$F$3:$F$35)*(mongodb_hardware_log!T3404&lt;BenchmarkResults!$G$3:$G$35)*ROW(BenchmarkResults!$F$3:$F$35)),{1,3})</f>
        <v>q6_inactive_customers</v>
      </c>
      <c r="B3404">
        <v>3</v>
      </c>
      <c r="C3404" s="13">
        <v>1</v>
      </c>
      <c r="D3404" s="13">
        <v>0</v>
      </c>
      <c r="E3404" s="13">
        <v>179968</v>
      </c>
      <c r="F3404" s="13">
        <v>136088</v>
      </c>
      <c r="G3404" s="13">
        <v>12308</v>
      </c>
      <c r="H3404" s="13">
        <v>2240424</v>
      </c>
      <c r="I3404" s="13">
        <v>0</v>
      </c>
      <c r="J3404" s="13">
        <v>0</v>
      </c>
      <c r="K3404" s="13">
        <v>1686</v>
      </c>
      <c r="L3404" s="13">
        <v>472</v>
      </c>
      <c r="M3404" s="13">
        <v>726</v>
      </c>
      <c r="N3404" s="13">
        <v>211</v>
      </c>
      <c r="O3404" s="13">
        <v>33</v>
      </c>
      <c r="P3404" s="13">
        <v>1</v>
      </c>
      <c r="Q3404" s="13">
        <v>64</v>
      </c>
      <c r="R3404" s="13">
        <v>1</v>
      </c>
      <c r="S3404" s="13">
        <v>1</v>
      </c>
      <c r="T3404" s="23">
        <v>46247.825208333335</v>
      </c>
      <c r="U3404" s="55">
        <f t="shared" si="159"/>
        <v>1</v>
      </c>
      <c r="V3404" s="55">
        <f t="shared" si="160"/>
        <v>0.16666666666666666</v>
      </c>
      <c r="W3404" s="56">
        <f t="shared" si="161"/>
        <v>1345</v>
      </c>
    </row>
    <row r="3405" spans="1:23" x14ac:dyDescent="0.3">
      <c r="A3405" s="13" t="str" cm="1">
        <f t="array" ref="A3405:B3405">INDEX(BenchmarkResults!$B$1:$D$35,SUMPRODUCT((T3405&gt;=BenchmarkResults!$F$3:$F$35)*(mongodb_hardware_log!T3405&lt;BenchmarkResults!$G$3:$G$35)*ROW(BenchmarkResults!$F$3:$F$35)),{1,3})</f>
        <v>q6_inactive_customers</v>
      </c>
      <c r="B3405">
        <v>3</v>
      </c>
      <c r="C3405" s="13">
        <v>1</v>
      </c>
      <c r="D3405" s="13">
        <v>0</v>
      </c>
      <c r="E3405" s="13">
        <v>179968</v>
      </c>
      <c r="F3405" s="13">
        <v>114920</v>
      </c>
      <c r="G3405" s="13">
        <v>12316</v>
      </c>
      <c r="H3405" s="13">
        <v>2256520</v>
      </c>
      <c r="I3405" s="13">
        <v>0</v>
      </c>
      <c r="J3405" s="13">
        <v>0</v>
      </c>
      <c r="K3405" s="13">
        <v>1878</v>
      </c>
      <c r="L3405" s="13">
        <v>1590</v>
      </c>
      <c r="M3405" s="13">
        <v>712</v>
      </c>
      <c r="N3405" s="13">
        <v>201</v>
      </c>
      <c r="O3405" s="13">
        <v>33</v>
      </c>
      <c r="P3405" s="13">
        <v>1</v>
      </c>
      <c r="Q3405" s="13">
        <v>62</v>
      </c>
      <c r="R3405" s="13">
        <v>3</v>
      </c>
      <c r="S3405" s="13">
        <v>0</v>
      </c>
      <c r="T3405" s="23">
        <v>46247.825312499997</v>
      </c>
      <c r="U3405" s="55">
        <f t="shared" si="159"/>
        <v>1.1666666666666667</v>
      </c>
      <c r="V3405" s="55">
        <f t="shared" si="160"/>
        <v>0</v>
      </c>
      <c r="W3405" s="56">
        <f t="shared" si="161"/>
        <v>1403.6666666666667</v>
      </c>
    </row>
    <row r="3406" spans="1:23" x14ac:dyDescent="0.3">
      <c r="A3406" s="13" t="str" cm="1">
        <f t="array" ref="A3406:B3406">INDEX(BenchmarkResults!$B$1:$D$35,SUMPRODUCT((T3406&gt;=BenchmarkResults!$F$3:$F$35)*(mongodb_hardware_log!T3406&lt;BenchmarkResults!$G$3:$G$35)*ROW(BenchmarkResults!$F$3:$F$35)),{1,3})</f>
        <v>q6_inactive_customers</v>
      </c>
      <c r="B3406">
        <v>3</v>
      </c>
      <c r="C3406" s="13">
        <v>1</v>
      </c>
      <c r="D3406" s="13">
        <v>0</v>
      </c>
      <c r="E3406" s="13">
        <v>179968</v>
      </c>
      <c r="F3406" s="13">
        <v>114920</v>
      </c>
      <c r="G3406" s="13">
        <v>12324</v>
      </c>
      <c r="H3406" s="13">
        <v>2259228</v>
      </c>
      <c r="I3406" s="13">
        <v>0</v>
      </c>
      <c r="J3406" s="13">
        <v>0</v>
      </c>
      <c r="K3406" s="13">
        <v>1873</v>
      </c>
      <c r="L3406" s="13">
        <v>1180</v>
      </c>
      <c r="M3406" s="13">
        <v>715</v>
      </c>
      <c r="N3406" s="13">
        <v>205</v>
      </c>
      <c r="O3406" s="13">
        <v>34</v>
      </c>
      <c r="P3406" s="13">
        <v>1</v>
      </c>
      <c r="Q3406" s="13">
        <v>63</v>
      </c>
      <c r="R3406" s="13">
        <v>2</v>
      </c>
      <c r="S3406" s="13">
        <v>0</v>
      </c>
      <c r="T3406" s="23">
        <v>46247.825324074074</v>
      </c>
      <c r="U3406" s="55">
        <f t="shared" si="159"/>
        <v>1</v>
      </c>
      <c r="V3406" s="55">
        <f t="shared" si="160"/>
        <v>0</v>
      </c>
      <c r="W3406" s="56">
        <f t="shared" si="161"/>
        <v>1452.5</v>
      </c>
    </row>
    <row r="3407" spans="1:23" x14ac:dyDescent="0.3">
      <c r="A3407" s="13" t="str" cm="1">
        <f t="array" ref="A3407:B3407">INDEX(BenchmarkResults!$B$1:$D$35,SUMPRODUCT((T3407&gt;=BenchmarkResults!$F$3:$F$35)*(mongodb_hardware_log!T3407&lt;BenchmarkResults!$G$3:$G$35)*ROW(BenchmarkResults!$F$3:$F$35)),{1,3})</f>
        <v>q6_inactive_customers</v>
      </c>
      <c r="B3407">
        <v>3</v>
      </c>
      <c r="C3407" s="13">
        <v>2</v>
      </c>
      <c r="D3407" s="13">
        <v>0</v>
      </c>
      <c r="E3407" s="13">
        <v>179968</v>
      </c>
      <c r="F3407" s="13">
        <v>155500</v>
      </c>
      <c r="G3407" s="13">
        <v>12332</v>
      </c>
      <c r="H3407" s="13">
        <v>2222224</v>
      </c>
      <c r="I3407" s="13">
        <v>0</v>
      </c>
      <c r="J3407" s="13">
        <v>0</v>
      </c>
      <c r="K3407" s="13">
        <v>2135</v>
      </c>
      <c r="L3407" s="13">
        <v>18</v>
      </c>
      <c r="M3407" s="13">
        <v>723</v>
      </c>
      <c r="N3407" s="13">
        <v>224</v>
      </c>
      <c r="O3407" s="13">
        <v>33</v>
      </c>
      <c r="P3407" s="13">
        <v>1</v>
      </c>
      <c r="Q3407" s="13">
        <v>65</v>
      </c>
      <c r="R3407" s="13">
        <v>0</v>
      </c>
      <c r="S3407" s="13">
        <v>0</v>
      </c>
      <c r="T3407" s="23">
        <v>46247.825428240743</v>
      </c>
      <c r="U3407" s="55">
        <f t="shared" si="159"/>
        <v>1.1666666666666667</v>
      </c>
      <c r="V3407" s="55">
        <f t="shared" si="160"/>
        <v>0</v>
      </c>
      <c r="W3407" s="56">
        <f t="shared" si="161"/>
        <v>1631</v>
      </c>
    </row>
    <row r="3408" spans="1:23" x14ac:dyDescent="0.3">
      <c r="A3408" s="13" t="str" cm="1">
        <f t="array" ref="A3408:B3408">INDEX(BenchmarkResults!$B$1:$D$35,SUMPRODUCT((T3408&gt;=BenchmarkResults!$F$3:$F$35)*(mongodb_hardware_log!T3408&lt;BenchmarkResults!$G$3:$G$35)*ROW(BenchmarkResults!$F$3:$F$35)),{1,3})</f>
        <v>q6_inactive_customers</v>
      </c>
      <c r="B3408">
        <v>3</v>
      </c>
      <c r="C3408" s="13">
        <v>1</v>
      </c>
      <c r="D3408" s="13">
        <v>0</v>
      </c>
      <c r="E3408" s="13">
        <v>179968</v>
      </c>
      <c r="F3408" s="13">
        <v>151468</v>
      </c>
      <c r="G3408" s="13">
        <v>12332</v>
      </c>
      <c r="H3408" s="13">
        <v>2225900</v>
      </c>
      <c r="I3408" s="13">
        <v>0</v>
      </c>
      <c r="J3408" s="13">
        <v>0</v>
      </c>
      <c r="K3408" s="13">
        <v>2222</v>
      </c>
      <c r="L3408" s="13">
        <v>12</v>
      </c>
      <c r="M3408" s="13">
        <v>726</v>
      </c>
      <c r="N3408" s="13">
        <v>222</v>
      </c>
      <c r="O3408" s="13">
        <v>33</v>
      </c>
      <c r="P3408" s="13">
        <v>1</v>
      </c>
      <c r="Q3408" s="13">
        <v>65</v>
      </c>
      <c r="R3408" s="13">
        <v>0</v>
      </c>
      <c r="S3408" s="13">
        <v>0</v>
      </c>
      <c r="T3408" s="23">
        <v>46247.825439814813</v>
      </c>
      <c r="U3408" s="55">
        <f t="shared" si="159"/>
        <v>1.1666666666666667</v>
      </c>
      <c r="V3408" s="55">
        <f t="shared" si="160"/>
        <v>0</v>
      </c>
      <c r="W3408" s="56">
        <f t="shared" si="161"/>
        <v>1867.3333333333333</v>
      </c>
    </row>
    <row r="3409" spans="1:23" x14ac:dyDescent="0.3">
      <c r="A3409" s="13" t="str" cm="1">
        <f t="array" ref="A3409:B3409">INDEX(BenchmarkResults!$B$1:$D$35,SUMPRODUCT((T3409&gt;=BenchmarkResults!$F$3:$F$35)*(mongodb_hardware_log!T3409&lt;BenchmarkResults!$G$3:$G$35)*ROW(BenchmarkResults!$F$3:$F$35)),{1,3})</f>
        <v>q6_inactive_customers</v>
      </c>
      <c r="B3409">
        <v>3</v>
      </c>
      <c r="C3409" s="13">
        <v>1</v>
      </c>
      <c r="D3409" s="13">
        <v>0</v>
      </c>
      <c r="E3409" s="13">
        <v>179968</v>
      </c>
      <c r="F3409" s="13">
        <v>132316</v>
      </c>
      <c r="G3409" s="13">
        <v>12340</v>
      </c>
      <c r="H3409" s="13">
        <v>2240536</v>
      </c>
      <c r="I3409" s="13">
        <v>0</v>
      </c>
      <c r="J3409" s="13">
        <v>0</v>
      </c>
      <c r="K3409" s="13">
        <v>1825</v>
      </c>
      <c r="L3409" s="13">
        <v>8</v>
      </c>
      <c r="M3409" s="13">
        <v>709</v>
      </c>
      <c r="N3409" s="13">
        <v>203</v>
      </c>
      <c r="O3409" s="13">
        <v>33</v>
      </c>
      <c r="P3409" s="13">
        <v>1</v>
      </c>
      <c r="Q3409" s="13">
        <v>65</v>
      </c>
      <c r="R3409" s="13">
        <v>0</v>
      </c>
      <c r="S3409" s="13">
        <v>0</v>
      </c>
      <c r="T3409" s="23">
        <v>46247.825543981482</v>
      </c>
      <c r="U3409" s="55">
        <f t="shared" si="159"/>
        <v>1.1666666666666667</v>
      </c>
      <c r="V3409" s="55">
        <f t="shared" si="160"/>
        <v>0</v>
      </c>
      <c r="W3409" s="56">
        <f t="shared" si="161"/>
        <v>1936.5</v>
      </c>
    </row>
    <row r="3410" spans="1:23" x14ac:dyDescent="0.3">
      <c r="A3410" s="13" t="str" cm="1">
        <f t="array" ref="A3410:B3410">INDEX(BenchmarkResults!$B$1:$D$35,SUMPRODUCT((T3410&gt;=BenchmarkResults!$F$3:$F$35)*(mongodb_hardware_log!T3410&lt;BenchmarkResults!$G$3:$G$35)*ROW(BenchmarkResults!$F$3:$F$35)),{1,3})</f>
        <v>q6_inactive_customers</v>
      </c>
      <c r="B3410">
        <v>3</v>
      </c>
      <c r="C3410" s="13">
        <v>1</v>
      </c>
      <c r="D3410" s="13">
        <v>0</v>
      </c>
      <c r="E3410" s="13">
        <v>179968</v>
      </c>
      <c r="F3410" s="13">
        <v>130552</v>
      </c>
      <c r="G3410" s="13">
        <v>12348</v>
      </c>
      <c r="H3410" s="13">
        <v>2244788</v>
      </c>
      <c r="I3410" s="13">
        <v>0</v>
      </c>
      <c r="J3410" s="13">
        <v>0</v>
      </c>
      <c r="K3410" s="13">
        <v>1892</v>
      </c>
      <c r="L3410" s="13">
        <v>12</v>
      </c>
      <c r="M3410" s="13">
        <v>708</v>
      </c>
      <c r="N3410" s="13">
        <v>204</v>
      </c>
      <c r="O3410" s="13">
        <v>33</v>
      </c>
      <c r="P3410" s="13">
        <v>1</v>
      </c>
      <c r="Q3410" s="13">
        <v>65</v>
      </c>
      <c r="R3410" s="13">
        <v>0</v>
      </c>
      <c r="S3410" s="13">
        <v>0</v>
      </c>
      <c r="T3410" s="23">
        <v>46247.825555555559</v>
      </c>
      <c r="U3410" s="55">
        <f t="shared" si="159"/>
        <v>1.1666666666666667</v>
      </c>
      <c r="V3410" s="55">
        <f t="shared" si="160"/>
        <v>0</v>
      </c>
      <c r="W3410" s="56">
        <f t="shared" si="161"/>
        <v>1970.8333333333333</v>
      </c>
    </row>
    <row r="3411" spans="1:23" x14ac:dyDescent="0.3">
      <c r="A3411" s="13" t="str" cm="1">
        <f t="array" ref="A3411:B3411">INDEX(BenchmarkResults!$B$1:$D$35,SUMPRODUCT((T3411&gt;=BenchmarkResults!$F$3:$F$35)*(mongodb_hardware_log!T3411&lt;BenchmarkResults!$G$3:$G$35)*ROW(BenchmarkResults!$F$3:$F$35)),{1,3})</f>
        <v>q6_inactive_customers</v>
      </c>
      <c r="B3411">
        <v>3</v>
      </c>
      <c r="C3411" s="13">
        <v>1</v>
      </c>
      <c r="D3411" s="13">
        <v>0</v>
      </c>
      <c r="E3411" s="13">
        <v>179968</v>
      </c>
      <c r="F3411" s="13">
        <v>112408</v>
      </c>
      <c r="G3411" s="13">
        <v>12356</v>
      </c>
      <c r="H3411" s="13">
        <v>2262256</v>
      </c>
      <c r="I3411" s="13">
        <v>0</v>
      </c>
      <c r="J3411" s="13">
        <v>0</v>
      </c>
      <c r="K3411" s="13">
        <v>2174</v>
      </c>
      <c r="L3411" s="13">
        <v>24</v>
      </c>
      <c r="M3411" s="13">
        <v>739</v>
      </c>
      <c r="N3411" s="13">
        <v>220</v>
      </c>
      <c r="O3411" s="13">
        <v>33</v>
      </c>
      <c r="P3411" s="13">
        <v>1</v>
      </c>
      <c r="Q3411" s="13">
        <v>64</v>
      </c>
      <c r="R3411" s="13">
        <v>2</v>
      </c>
      <c r="S3411" s="13">
        <v>0</v>
      </c>
      <c r="T3411" s="23">
        <v>46247.825659722221</v>
      </c>
      <c r="U3411" s="55">
        <f t="shared" si="159"/>
        <v>1.1666666666666667</v>
      </c>
      <c r="V3411" s="55">
        <f t="shared" si="160"/>
        <v>0</v>
      </c>
      <c r="W3411" s="56">
        <f t="shared" si="161"/>
        <v>2020.1666666666667</v>
      </c>
    </row>
    <row r="3412" spans="1:23" x14ac:dyDescent="0.3">
      <c r="A3412" s="13" t="str" cm="1">
        <f t="array" ref="A3412:B3412">INDEX(BenchmarkResults!$B$1:$D$35,SUMPRODUCT((T3412&gt;=BenchmarkResults!$F$3:$F$35)*(mongodb_hardware_log!T3412&lt;BenchmarkResults!$G$3:$G$35)*ROW(BenchmarkResults!$F$3:$F$35)),{1,3})</f>
        <v>q6_inactive_customers</v>
      </c>
      <c r="B3412">
        <v>3</v>
      </c>
      <c r="C3412" s="13">
        <v>1</v>
      </c>
      <c r="D3412" s="13">
        <v>0</v>
      </c>
      <c r="E3412" s="13">
        <v>179968</v>
      </c>
      <c r="F3412" s="13">
        <v>108376</v>
      </c>
      <c r="G3412" s="13">
        <v>12356</v>
      </c>
      <c r="H3412" s="13">
        <v>2264764</v>
      </c>
      <c r="I3412" s="13">
        <v>0</v>
      </c>
      <c r="J3412" s="13">
        <v>0</v>
      </c>
      <c r="K3412" s="13">
        <v>1998</v>
      </c>
      <c r="L3412" s="13">
        <v>19</v>
      </c>
      <c r="M3412" s="13">
        <v>732</v>
      </c>
      <c r="N3412" s="13">
        <v>214</v>
      </c>
      <c r="O3412" s="13">
        <v>33</v>
      </c>
      <c r="P3412" s="13">
        <v>1</v>
      </c>
      <c r="Q3412" s="13">
        <v>64</v>
      </c>
      <c r="R3412" s="13">
        <v>1</v>
      </c>
      <c r="S3412" s="13">
        <v>0</v>
      </c>
      <c r="T3412" s="23">
        <v>46247.825671296298</v>
      </c>
      <c r="U3412" s="55">
        <f t="shared" si="159"/>
        <v>1.1666666666666667</v>
      </c>
      <c r="V3412" s="55">
        <f t="shared" si="160"/>
        <v>0</v>
      </c>
      <c r="W3412" s="56">
        <f t="shared" si="161"/>
        <v>2041</v>
      </c>
    </row>
    <row r="3413" spans="1:23" x14ac:dyDescent="0.3">
      <c r="A3413" s="13" t="str" cm="1">
        <f t="array" ref="A3413:B3413">INDEX(BenchmarkResults!$B$1:$D$35,SUMPRODUCT((T3413&gt;=BenchmarkResults!$F$3:$F$35)*(mongodb_hardware_log!T3413&lt;BenchmarkResults!$G$3:$G$35)*ROW(BenchmarkResults!$F$3:$F$35)),{1,3})</f>
        <v>q6_inactive_customers</v>
      </c>
      <c r="B3413">
        <v>3</v>
      </c>
      <c r="C3413" s="13">
        <v>1</v>
      </c>
      <c r="D3413" s="13">
        <v>0</v>
      </c>
      <c r="E3413" s="13">
        <v>179968</v>
      </c>
      <c r="F3413" s="13">
        <v>132748</v>
      </c>
      <c r="G3413" s="13">
        <v>12364</v>
      </c>
      <c r="H3413" s="13">
        <v>2237400</v>
      </c>
      <c r="I3413" s="13">
        <v>0</v>
      </c>
      <c r="J3413" s="13">
        <v>0</v>
      </c>
      <c r="K3413" s="13">
        <v>1502</v>
      </c>
      <c r="L3413" s="13">
        <v>6</v>
      </c>
      <c r="M3413" s="13">
        <v>690</v>
      </c>
      <c r="N3413" s="13">
        <v>178</v>
      </c>
      <c r="O3413" s="13">
        <v>33</v>
      </c>
      <c r="P3413" s="13">
        <v>1</v>
      </c>
      <c r="Q3413" s="13">
        <v>65</v>
      </c>
      <c r="R3413" s="13">
        <v>0</v>
      </c>
      <c r="S3413" s="13">
        <v>0</v>
      </c>
      <c r="T3413" s="23">
        <v>46247.825775462959</v>
      </c>
      <c r="U3413" s="55">
        <f t="shared" si="159"/>
        <v>1</v>
      </c>
      <c r="V3413" s="55">
        <f t="shared" si="160"/>
        <v>0</v>
      </c>
      <c r="W3413" s="56">
        <f t="shared" si="161"/>
        <v>1935.5</v>
      </c>
    </row>
    <row r="3414" spans="1:23" x14ac:dyDescent="0.3">
      <c r="A3414" s="13" t="str" cm="1">
        <f t="array" ref="A3414:B3414">INDEX(BenchmarkResults!$B$1:$D$35,SUMPRODUCT((T3414&gt;=BenchmarkResults!$F$3:$F$35)*(mongodb_hardware_log!T3414&lt;BenchmarkResults!$G$3:$G$35)*ROW(BenchmarkResults!$F$3:$F$35)),{1,3})</f>
        <v>q6_inactive_customers</v>
      </c>
      <c r="B3414">
        <v>3</v>
      </c>
      <c r="C3414" s="13">
        <v>1</v>
      </c>
      <c r="D3414" s="13">
        <v>0</v>
      </c>
      <c r="E3414" s="13">
        <v>179968</v>
      </c>
      <c r="F3414" s="13">
        <v>132748</v>
      </c>
      <c r="G3414" s="13">
        <v>12372</v>
      </c>
      <c r="H3414" s="13">
        <v>2240444</v>
      </c>
      <c r="I3414" s="13">
        <v>0</v>
      </c>
      <c r="J3414" s="13">
        <v>0</v>
      </c>
      <c r="K3414" s="13">
        <v>1556</v>
      </c>
      <c r="L3414" s="13">
        <v>8</v>
      </c>
      <c r="M3414" s="13">
        <v>691</v>
      </c>
      <c r="N3414" s="13">
        <v>179</v>
      </c>
      <c r="O3414" s="13">
        <v>33</v>
      </c>
      <c r="P3414" s="13">
        <v>1</v>
      </c>
      <c r="Q3414" s="13">
        <v>65</v>
      </c>
      <c r="R3414" s="13">
        <v>0</v>
      </c>
      <c r="S3414" s="13">
        <v>0</v>
      </c>
      <c r="T3414" s="23">
        <v>46247.825787037036</v>
      </c>
      <c r="U3414" s="55">
        <f t="shared" si="159"/>
        <v>1</v>
      </c>
      <c r="V3414" s="55">
        <f t="shared" si="160"/>
        <v>0</v>
      </c>
      <c r="W3414" s="56">
        <f t="shared" si="161"/>
        <v>1824.5</v>
      </c>
    </row>
    <row r="3415" spans="1:23" x14ac:dyDescent="0.3">
      <c r="A3415" s="13" t="str" cm="1">
        <f t="array" ref="A3415:B3415">INDEX(BenchmarkResults!$B$1:$D$35,SUMPRODUCT((T3415&gt;=BenchmarkResults!$F$3:$F$35)*(mongodb_hardware_log!T3415&lt;BenchmarkResults!$G$3:$G$35)*ROW(BenchmarkResults!$F$3:$F$35)),{1,3})</f>
        <v>q6_inactive_customers</v>
      </c>
      <c r="B3415">
        <v>3</v>
      </c>
      <c r="C3415" s="13">
        <v>1</v>
      </c>
      <c r="D3415" s="13">
        <v>0</v>
      </c>
      <c r="E3415" s="13">
        <v>179968</v>
      </c>
      <c r="F3415" s="13">
        <v>115108</v>
      </c>
      <c r="G3415" s="13">
        <v>12420</v>
      </c>
      <c r="H3415" s="13">
        <v>2256944</v>
      </c>
      <c r="I3415" s="13">
        <v>2</v>
      </c>
      <c r="J3415" s="13">
        <v>0</v>
      </c>
      <c r="K3415" s="13">
        <v>1948</v>
      </c>
      <c r="L3415" s="13">
        <v>32</v>
      </c>
      <c r="M3415" s="13">
        <v>727</v>
      </c>
      <c r="N3415" s="13">
        <v>222</v>
      </c>
      <c r="O3415" s="13">
        <v>33</v>
      </c>
      <c r="P3415" s="13">
        <v>1</v>
      </c>
      <c r="Q3415" s="13">
        <v>65</v>
      </c>
      <c r="R3415" s="13">
        <v>0</v>
      </c>
      <c r="S3415" s="13">
        <v>0</v>
      </c>
      <c r="T3415" s="23">
        <v>46247.825891203705</v>
      </c>
      <c r="U3415" s="55">
        <f t="shared" si="159"/>
        <v>1</v>
      </c>
      <c r="V3415" s="55">
        <f t="shared" si="160"/>
        <v>0</v>
      </c>
      <c r="W3415" s="56">
        <f t="shared" si="161"/>
        <v>1845</v>
      </c>
    </row>
    <row r="3416" spans="1:23" x14ac:dyDescent="0.3">
      <c r="A3416" s="13" t="str" cm="1">
        <f t="array" ref="A3416:B3416">INDEX(BenchmarkResults!$B$1:$D$35,SUMPRODUCT((T3416&gt;=BenchmarkResults!$F$3:$F$35)*(mongodb_hardware_log!T3416&lt;BenchmarkResults!$G$3:$G$35)*ROW(BenchmarkResults!$F$3:$F$35)),{1,3})</f>
        <v>q6_inactive_customers</v>
      </c>
      <c r="B3416">
        <v>3</v>
      </c>
      <c r="C3416" s="13">
        <v>1</v>
      </c>
      <c r="D3416" s="13">
        <v>0</v>
      </c>
      <c r="E3416" s="13">
        <v>179968</v>
      </c>
      <c r="F3416" s="13">
        <v>113344</v>
      </c>
      <c r="G3416" s="13">
        <v>12420</v>
      </c>
      <c r="H3416" s="13">
        <v>2261004</v>
      </c>
      <c r="I3416" s="13">
        <v>2</v>
      </c>
      <c r="J3416" s="13">
        <v>0</v>
      </c>
      <c r="K3416" s="13">
        <v>2054</v>
      </c>
      <c r="L3416" s="13">
        <v>31</v>
      </c>
      <c r="M3416" s="13">
        <v>750</v>
      </c>
      <c r="N3416" s="13">
        <v>245</v>
      </c>
      <c r="O3416" s="13">
        <v>33</v>
      </c>
      <c r="P3416" s="13">
        <v>1</v>
      </c>
      <c r="Q3416" s="13">
        <v>65</v>
      </c>
      <c r="R3416" s="13">
        <v>1</v>
      </c>
      <c r="S3416" s="13">
        <v>0</v>
      </c>
      <c r="T3416" s="23">
        <v>46247.825902777775</v>
      </c>
      <c r="U3416" s="55">
        <f t="shared" si="159"/>
        <v>1</v>
      </c>
      <c r="V3416" s="55">
        <f t="shared" si="160"/>
        <v>0</v>
      </c>
      <c r="W3416" s="56">
        <f t="shared" si="161"/>
        <v>1872</v>
      </c>
    </row>
    <row r="3417" spans="1:23" x14ac:dyDescent="0.3">
      <c r="A3417" s="13" t="str" cm="1">
        <f t="array" ref="A3417:B3417">INDEX(BenchmarkResults!$B$1:$D$35,SUMPRODUCT((T3417&gt;=BenchmarkResults!$F$3:$F$35)*(mongodb_hardware_log!T3417&lt;BenchmarkResults!$G$3:$G$35)*ROW(BenchmarkResults!$F$3:$F$35)),{1,3})</f>
        <v>q6_inactive_customers</v>
      </c>
      <c r="B3417">
        <v>3</v>
      </c>
      <c r="C3417" s="13">
        <v>1</v>
      </c>
      <c r="D3417" s="13">
        <v>0</v>
      </c>
      <c r="E3417" s="13">
        <v>179968</v>
      </c>
      <c r="F3417" s="13">
        <v>137280</v>
      </c>
      <c r="G3417" s="13">
        <v>12428</v>
      </c>
      <c r="H3417" s="13">
        <v>2235844</v>
      </c>
      <c r="I3417" s="13">
        <v>0</v>
      </c>
      <c r="J3417" s="13">
        <v>0</v>
      </c>
      <c r="K3417" s="13">
        <v>1912</v>
      </c>
      <c r="L3417" s="13">
        <v>5</v>
      </c>
      <c r="M3417" s="13">
        <v>772</v>
      </c>
      <c r="N3417" s="13">
        <v>264</v>
      </c>
      <c r="O3417" s="13">
        <v>34</v>
      </c>
      <c r="P3417" s="13">
        <v>1</v>
      </c>
      <c r="Q3417" s="13">
        <v>64</v>
      </c>
      <c r="R3417" s="13">
        <v>0</v>
      </c>
      <c r="S3417" s="13">
        <v>0</v>
      </c>
      <c r="T3417" s="23">
        <v>46247.826006944444</v>
      </c>
      <c r="U3417" s="55">
        <f t="shared" si="159"/>
        <v>1</v>
      </c>
      <c r="V3417" s="55">
        <f t="shared" si="160"/>
        <v>0</v>
      </c>
      <c r="W3417" s="56">
        <f t="shared" si="161"/>
        <v>1828.3333333333333</v>
      </c>
    </row>
    <row r="3418" spans="1:23" x14ac:dyDescent="0.3">
      <c r="A3418" s="13" t="str" cm="1">
        <f t="array" ref="A3418:B3418">INDEX(BenchmarkResults!$B$1:$D$35,SUMPRODUCT((T3418&gt;=BenchmarkResults!$F$3:$F$35)*(mongodb_hardware_log!T3418&lt;BenchmarkResults!$G$3:$G$35)*ROW(BenchmarkResults!$F$3:$F$35)),{1,3})</f>
        <v>q6_inactive_customers</v>
      </c>
      <c r="B3418">
        <v>3</v>
      </c>
      <c r="C3418" s="13">
        <v>1</v>
      </c>
      <c r="D3418" s="13">
        <v>0</v>
      </c>
      <c r="E3418" s="13">
        <v>179968</v>
      </c>
      <c r="F3418" s="13">
        <v>129216</v>
      </c>
      <c r="G3418" s="13">
        <v>12436</v>
      </c>
      <c r="H3418" s="13">
        <v>2239312</v>
      </c>
      <c r="I3418" s="13">
        <v>0</v>
      </c>
      <c r="J3418" s="13">
        <v>0</v>
      </c>
      <c r="K3418" s="13">
        <v>1849</v>
      </c>
      <c r="L3418" s="13">
        <v>10</v>
      </c>
      <c r="M3418" s="13">
        <v>754</v>
      </c>
      <c r="N3418" s="13">
        <v>251</v>
      </c>
      <c r="O3418" s="13">
        <v>34</v>
      </c>
      <c r="P3418" s="13">
        <v>1</v>
      </c>
      <c r="Q3418" s="13">
        <v>64</v>
      </c>
      <c r="R3418" s="13">
        <v>0</v>
      </c>
      <c r="S3418" s="13">
        <v>0</v>
      </c>
      <c r="T3418" s="23">
        <v>46247.826018518521</v>
      </c>
      <c r="U3418" s="55">
        <f t="shared" si="159"/>
        <v>1</v>
      </c>
      <c r="V3418" s="55">
        <f t="shared" si="160"/>
        <v>0</v>
      </c>
      <c r="W3418" s="56">
        <f t="shared" si="161"/>
        <v>1803.5</v>
      </c>
    </row>
    <row r="3419" spans="1:23" x14ac:dyDescent="0.3">
      <c r="A3419" s="13" t="str" cm="1">
        <f t="array" ref="A3419:B3419">INDEX(BenchmarkResults!$B$1:$D$35,SUMPRODUCT((T3419&gt;=BenchmarkResults!$F$3:$F$35)*(mongodb_hardware_log!T3419&lt;BenchmarkResults!$G$3:$G$35)*ROW(BenchmarkResults!$F$3:$F$35)),{1,3})</f>
        <v>q6_inactive_customers</v>
      </c>
      <c r="B3419">
        <v>3</v>
      </c>
      <c r="C3419" s="13">
        <v>1</v>
      </c>
      <c r="D3419" s="13">
        <v>0</v>
      </c>
      <c r="E3419" s="13">
        <v>179968</v>
      </c>
      <c r="F3419" s="13">
        <v>118128</v>
      </c>
      <c r="G3419" s="13">
        <v>12444</v>
      </c>
      <c r="H3419" s="13">
        <v>2256704</v>
      </c>
      <c r="I3419" s="13">
        <v>0</v>
      </c>
      <c r="J3419" s="13">
        <v>0</v>
      </c>
      <c r="K3419" s="13">
        <v>2081</v>
      </c>
      <c r="L3419" s="13">
        <v>1592</v>
      </c>
      <c r="M3419" s="13">
        <v>739</v>
      </c>
      <c r="N3419" s="13">
        <v>234</v>
      </c>
      <c r="O3419" s="13">
        <v>33</v>
      </c>
      <c r="P3419" s="13">
        <v>1</v>
      </c>
      <c r="Q3419" s="13">
        <v>63</v>
      </c>
      <c r="R3419" s="13">
        <v>2</v>
      </c>
      <c r="S3419" s="13">
        <v>0</v>
      </c>
      <c r="T3419" s="23">
        <v>46247.826122685183</v>
      </c>
      <c r="U3419" s="55">
        <f t="shared" si="159"/>
        <v>1</v>
      </c>
      <c r="V3419" s="55">
        <f t="shared" si="160"/>
        <v>0</v>
      </c>
      <c r="W3419" s="56">
        <f t="shared" si="161"/>
        <v>1900</v>
      </c>
    </row>
    <row r="3420" spans="1:23" x14ac:dyDescent="0.3">
      <c r="A3420" s="13" t="str" cm="1">
        <f t="array" ref="A3420:B3420">INDEX(BenchmarkResults!$B$1:$D$35,SUMPRODUCT((T3420&gt;=BenchmarkResults!$F$3:$F$35)*(mongodb_hardware_log!T3420&lt;BenchmarkResults!$G$3:$G$35)*ROW(BenchmarkResults!$F$3:$F$35)),{1,3})</f>
        <v>q6_inactive_customers</v>
      </c>
      <c r="B3420">
        <v>3</v>
      </c>
      <c r="C3420" s="13">
        <v>1</v>
      </c>
      <c r="D3420" s="13">
        <v>0</v>
      </c>
      <c r="E3420" s="13">
        <v>179968</v>
      </c>
      <c r="F3420" s="13">
        <v>114096</v>
      </c>
      <c r="G3420" s="13">
        <v>12444</v>
      </c>
      <c r="H3420" s="13">
        <v>2260968</v>
      </c>
      <c r="I3420" s="13">
        <v>0</v>
      </c>
      <c r="J3420" s="13">
        <v>0</v>
      </c>
      <c r="K3420" s="13">
        <v>2158</v>
      </c>
      <c r="L3420" s="13">
        <v>1587</v>
      </c>
      <c r="M3420" s="13">
        <v>736</v>
      </c>
      <c r="N3420" s="13">
        <v>225</v>
      </c>
      <c r="O3420" s="13">
        <v>33</v>
      </c>
      <c r="P3420" s="13">
        <v>1</v>
      </c>
      <c r="Q3420" s="13">
        <v>63</v>
      </c>
      <c r="R3420" s="13">
        <v>2</v>
      </c>
      <c r="S3420" s="13">
        <v>0</v>
      </c>
      <c r="T3420" s="23">
        <v>46247.82613425926</v>
      </c>
      <c r="U3420" s="55">
        <f t="shared" si="159"/>
        <v>1</v>
      </c>
      <c r="V3420" s="55">
        <f t="shared" si="160"/>
        <v>0</v>
      </c>
      <c r="W3420" s="56">
        <f t="shared" si="161"/>
        <v>2000.3333333333333</v>
      </c>
    </row>
    <row r="3421" spans="1:23" x14ac:dyDescent="0.3">
      <c r="A3421" s="13" t="str" cm="1">
        <f t="array" ref="A3421:B3421">INDEX(BenchmarkResults!$B$1:$D$35,SUMPRODUCT((T3421&gt;=BenchmarkResults!$F$3:$F$35)*(mongodb_hardware_log!T3421&lt;BenchmarkResults!$G$3:$G$35)*ROW(BenchmarkResults!$F$3:$F$35)),{1,3})</f>
        <v>q6_inactive_customers</v>
      </c>
      <c r="B3421">
        <v>3</v>
      </c>
      <c r="C3421" s="13">
        <v>1</v>
      </c>
      <c r="D3421" s="13">
        <v>0</v>
      </c>
      <c r="E3421" s="13">
        <v>179968</v>
      </c>
      <c r="F3421" s="13">
        <v>700700</v>
      </c>
      <c r="G3421" s="13">
        <v>12452</v>
      </c>
      <c r="H3421" s="13">
        <v>1658884</v>
      </c>
      <c r="I3421" s="13">
        <v>0</v>
      </c>
      <c r="J3421" s="13">
        <v>0</v>
      </c>
      <c r="K3421" s="13">
        <v>1631</v>
      </c>
      <c r="L3421" s="13">
        <v>6</v>
      </c>
      <c r="M3421" s="13">
        <v>1030</v>
      </c>
      <c r="N3421" s="13">
        <v>446</v>
      </c>
      <c r="O3421" s="13">
        <v>38</v>
      </c>
      <c r="P3421" s="13">
        <v>11</v>
      </c>
      <c r="Q3421" s="13">
        <v>48</v>
      </c>
      <c r="R3421" s="13">
        <v>2</v>
      </c>
      <c r="S3421" s="13">
        <v>0</v>
      </c>
      <c r="T3421" s="23">
        <v>46247.826238425929</v>
      </c>
      <c r="U3421" s="55">
        <f t="shared" si="159"/>
        <v>1</v>
      </c>
      <c r="V3421" s="55">
        <f t="shared" si="160"/>
        <v>0</v>
      </c>
      <c r="W3421" s="56">
        <f t="shared" si="161"/>
        <v>1947.5</v>
      </c>
    </row>
    <row r="3422" spans="1:23" x14ac:dyDescent="0.3">
      <c r="A3422" s="13" t="str" cm="1">
        <f t="array" ref="A3422:B3422">INDEX(BenchmarkResults!$B$1:$D$35,SUMPRODUCT((T3422&gt;=BenchmarkResults!$F$3:$F$35)*(mongodb_hardware_log!T3422&lt;BenchmarkResults!$G$3:$G$35)*ROW(BenchmarkResults!$F$3:$F$35)),{1,3})</f>
        <v>q6_inactive_customers</v>
      </c>
      <c r="B3422">
        <v>3</v>
      </c>
      <c r="C3422" s="13">
        <v>1</v>
      </c>
      <c r="D3422" s="13">
        <v>0</v>
      </c>
      <c r="E3422" s="13">
        <v>179968</v>
      </c>
      <c r="F3422" s="13">
        <v>699468</v>
      </c>
      <c r="G3422" s="13">
        <v>12460</v>
      </c>
      <c r="H3422" s="13">
        <v>1663464</v>
      </c>
      <c r="I3422" s="13">
        <v>0</v>
      </c>
      <c r="J3422" s="13">
        <v>0</v>
      </c>
      <c r="K3422" s="13">
        <v>1664</v>
      </c>
      <c r="L3422" s="13">
        <v>11</v>
      </c>
      <c r="M3422" s="13">
        <v>1034</v>
      </c>
      <c r="N3422" s="13">
        <v>450</v>
      </c>
      <c r="O3422" s="13">
        <v>38</v>
      </c>
      <c r="P3422" s="13">
        <v>11</v>
      </c>
      <c r="Q3422" s="13">
        <v>48</v>
      </c>
      <c r="R3422" s="13">
        <v>2</v>
      </c>
      <c r="S3422" s="13">
        <v>0</v>
      </c>
      <c r="T3422" s="23">
        <v>46247.826249999998</v>
      </c>
      <c r="U3422" s="55">
        <f t="shared" si="159"/>
        <v>1</v>
      </c>
      <c r="V3422" s="55">
        <f t="shared" si="160"/>
        <v>0</v>
      </c>
      <c r="W3422" s="56">
        <f t="shared" si="161"/>
        <v>1882.5</v>
      </c>
    </row>
    <row r="3423" spans="1:23" x14ac:dyDescent="0.3">
      <c r="A3423" s="13" t="str" cm="1">
        <f t="array" ref="A3423:B3423">INDEX(BenchmarkResults!$B$1:$D$35,SUMPRODUCT((T3423&gt;=BenchmarkResults!$F$3:$F$35)*(mongodb_hardware_log!T3423&lt;BenchmarkResults!$G$3:$G$35)*ROW(BenchmarkResults!$F$3:$F$35)),{1,3})</f>
        <v>q6_inactive_customers</v>
      </c>
      <c r="B3423">
        <v>3</v>
      </c>
      <c r="C3423" s="13">
        <v>1</v>
      </c>
      <c r="D3423" s="13">
        <v>0</v>
      </c>
      <c r="E3423" s="13">
        <v>179968</v>
      </c>
      <c r="F3423" s="13">
        <v>682388</v>
      </c>
      <c r="G3423" s="13">
        <v>12468</v>
      </c>
      <c r="H3423" s="13">
        <v>1679216</v>
      </c>
      <c r="I3423" s="13">
        <v>0</v>
      </c>
      <c r="J3423" s="13">
        <v>0</v>
      </c>
      <c r="K3423" s="13">
        <v>2033</v>
      </c>
      <c r="L3423" s="13">
        <v>13</v>
      </c>
      <c r="M3423" s="13">
        <v>720</v>
      </c>
      <c r="N3423" s="13">
        <v>210</v>
      </c>
      <c r="O3423" s="13">
        <v>33</v>
      </c>
      <c r="P3423" s="13">
        <v>1</v>
      </c>
      <c r="Q3423" s="13">
        <v>65</v>
      </c>
      <c r="R3423" s="13">
        <v>0</v>
      </c>
      <c r="S3423" s="13">
        <v>1</v>
      </c>
      <c r="T3423" s="23">
        <v>46247.826354166667</v>
      </c>
      <c r="U3423" s="55">
        <f t="shared" si="159"/>
        <v>1</v>
      </c>
      <c r="V3423" s="55">
        <f t="shared" si="160"/>
        <v>0</v>
      </c>
      <c r="W3423" s="56">
        <f t="shared" si="161"/>
        <v>1902.6666666666667</v>
      </c>
    </row>
    <row r="3424" spans="1:23" x14ac:dyDescent="0.3">
      <c r="A3424" s="13" t="str" cm="1">
        <f t="array" ref="A3424:B3424">INDEX(BenchmarkResults!$B$1:$D$35,SUMPRODUCT((T3424&gt;=BenchmarkResults!$F$3:$F$35)*(mongodb_hardware_log!T3424&lt;BenchmarkResults!$G$3:$G$35)*ROW(BenchmarkResults!$F$3:$F$35)),{1,3})</f>
        <v>q6_inactive_customers</v>
      </c>
      <c r="B3424">
        <v>3</v>
      </c>
      <c r="C3424" s="13">
        <v>1</v>
      </c>
      <c r="D3424" s="13">
        <v>0</v>
      </c>
      <c r="E3424" s="13">
        <v>179968</v>
      </c>
      <c r="F3424" s="13">
        <v>676592</v>
      </c>
      <c r="G3424" s="13">
        <v>12468</v>
      </c>
      <c r="H3424" s="13">
        <v>1683284</v>
      </c>
      <c r="I3424" s="13">
        <v>0</v>
      </c>
      <c r="J3424" s="13">
        <v>0</v>
      </c>
      <c r="K3424" s="13">
        <v>1984</v>
      </c>
      <c r="L3424" s="13">
        <v>9</v>
      </c>
      <c r="M3424" s="13">
        <v>720</v>
      </c>
      <c r="N3424" s="13">
        <v>209</v>
      </c>
      <c r="O3424" s="13">
        <v>33</v>
      </c>
      <c r="P3424" s="13">
        <v>1</v>
      </c>
      <c r="Q3424" s="13">
        <v>65</v>
      </c>
      <c r="R3424" s="13">
        <v>0</v>
      </c>
      <c r="S3424" s="13">
        <v>1</v>
      </c>
      <c r="T3424" s="23">
        <v>46247.826365740744</v>
      </c>
      <c r="U3424" s="55">
        <f t="shared" si="159"/>
        <v>1</v>
      </c>
      <c r="V3424" s="55">
        <f t="shared" si="160"/>
        <v>0</v>
      </c>
      <c r="W3424" s="56">
        <f t="shared" si="161"/>
        <v>1925.1666666666667</v>
      </c>
    </row>
    <row r="3425" spans="1:23" x14ac:dyDescent="0.3">
      <c r="A3425" s="13" t="str" cm="1">
        <f t="array" ref="A3425:B3425">INDEX(BenchmarkResults!$B$1:$D$35,SUMPRODUCT((T3425&gt;=BenchmarkResults!$F$3:$F$35)*(mongodb_hardware_log!T3425&lt;BenchmarkResults!$G$3:$G$35)*ROW(BenchmarkResults!$F$3:$F$35)),{1,3})</f>
        <v>q6_inactive_customers</v>
      </c>
      <c r="B3425">
        <v>3</v>
      </c>
      <c r="C3425" s="13">
        <v>1</v>
      </c>
      <c r="D3425" s="13">
        <v>0</v>
      </c>
      <c r="E3425" s="13">
        <v>179968</v>
      </c>
      <c r="F3425" s="13">
        <v>653412</v>
      </c>
      <c r="G3425" s="13">
        <v>12476</v>
      </c>
      <c r="H3425" s="13">
        <v>1708844</v>
      </c>
      <c r="I3425" s="13">
        <v>0</v>
      </c>
      <c r="J3425" s="13">
        <v>0</v>
      </c>
      <c r="K3425" s="13">
        <v>1397</v>
      </c>
      <c r="L3425" s="13">
        <v>7</v>
      </c>
      <c r="M3425" s="13">
        <v>711</v>
      </c>
      <c r="N3425" s="13">
        <v>183</v>
      </c>
      <c r="O3425" s="13">
        <v>32</v>
      </c>
      <c r="P3425" s="13">
        <v>2</v>
      </c>
      <c r="Q3425" s="13">
        <v>65</v>
      </c>
      <c r="R3425" s="13">
        <v>1</v>
      </c>
      <c r="S3425" s="13">
        <v>1</v>
      </c>
      <c r="T3425" s="23">
        <v>46247.826469907406</v>
      </c>
      <c r="U3425" s="55">
        <f t="shared" si="159"/>
        <v>1</v>
      </c>
      <c r="V3425" s="55">
        <f t="shared" si="160"/>
        <v>0</v>
      </c>
      <c r="W3425" s="56">
        <f t="shared" si="161"/>
        <v>1811.1666666666667</v>
      </c>
    </row>
    <row r="3426" spans="1:23" x14ac:dyDescent="0.3">
      <c r="A3426" s="13" t="str" cm="1">
        <f t="array" ref="A3426:B3426">INDEX(BenchmarkResults!$B$1:$D$35,SUMPRODUCT((T3426&gt;=BenchmarkResults!$F$3:$F$35)*(mongodb_hardware_log!T3426&lt;BenchmarkResults!$G$3:$G$35)*ROW(BenchmarkResults!$F$3:$F$35)),{1,3})</f>
        <v>q6_inactive_customers</v>
      </c>
      <c r="B3426">
        <v>3</v>
      </c>
      <c r="C3426" s="13">
        <v>1</v>
      </c>
      <c r="D3426" s="13">
        <v>0</v>
      </c>
      <c r="E3426" s="13">
        <v>179968</v>
      </c>
      <c r="F3426" s="13">
        <v>651900</v>
      </c>
      <c r="G3426" s="13">
        <v>12484</v>
      </c>
      <c r="H3426" s="13">
        <v>1710804</v>
      </c>
      <c r="I3426" s="13">
        <v>0</v>
      </c>
      <c r="J3426" s="13">
        <v>0</v>
      </c>
      <c r="K3426" s="13">
        <v>1190</v>
      </c>
      <c r="L3426" s="13">
        <v>12</v>
      </c>
      <c r="M3426" s="13">
        <v>706</v>
      </c>
      <c r="N3426" s="13">
        <v>180</v>
      </c>
      <c r="O3426" s="13">
        <v>32</v>
      </c>
      <c r="P3426" s="13">
        <v>2</v>
      </c>
      <c r="Q3426" s="13">
        <v>65</v>
      </c>
      <c r="R3426" s="13">
        <v>0</v>
      </c>
      <c r="S3426" s="13">
        <v>1</v>
      </c>
      <c r="T3426" s="23">
        <v>46247.826481481483</v>
      </c>
      <c r="U3426" s="55">
        <f t="shared" si="159"/>
        <v>1</v>
      </c>
      <c r="V3426" s="55">
        <f t="shared" si="160"/>
        <v>0</v>
      </c>
      <c r="W3426" s="56">
        <f t="shared" si="161"/>
        <v>1649.8333333333333</v>
      </c>
    </row>
    <row r="3427" spans="1:23" x14ac:dyDescent="0.3">
      <c r="A3427" s="13" t="str" cm="1">
        <f t="array" ref="A3427:B3427">INDEX(BenchmarkResults!$B$1:$D$35,SUMPRODUCT((T3427&gt;=BenchmarkResults!$F$3:$F$35)*(mongodb_hardware_log!T3427&lt;BenchmarkResults!$G$3:$G$35)*ROW(BenchmarkResults!$F$3:$F$35)),{1,3})</f>
        <v>q6_inactive_customers</v>
      </c>
      <c r="B3427">
        <v>3</v>
      </c>
      <c r="C3427" s="13">
        <v>1</v>
      </c>
      <c r="D3427" s="13">
        <v>0</v>
      </c>
      <c r="E3427" s="13">
        <v>179968</v>
      </c>
      <c r="F3427" s="13">
        <v>636304</v>
      </c>
      <c r="G3427" s="13">
        <v>12516</v>
      </c>
      <c r="H3427" s="13">
        <v>1726596</v>
      </c>
      <c r="I3427" s="13">
        <v>0</v>
      </c>
      <c r="J3427" s="13">
        <v>0</v>
      </c>
      <c r="K3427" s="13">
        <v>1776</v>
      </c>
      <c r="L3427" s="13">
        <v>35</v>
      </c>
      <c r="M3427" s="13">
        <v>710</v>
      </c>
      <c r="N3427" s="13">
        <v>207</v>
      </c>
      <c r="O3427" s="13">
        <v>33</v>
      </c>
      <c r="P3427" s="13">
        <v>1</v>
      </c>
      <c r="Q3427" s="13">
        <v>64</v>
      </c>
      <c r="R3427" s="13">
        <v>1</v>
      </c>
      <c r="S3427" s="13">
        <v>0</v>
      </c>
      <c r="T3427" s="23">
        <v>46247.826585648145</v>
      </c>
      <c r="U3427" s="55">
        <f t="shared" si="159"/>
        <v>1</v>
      </c>
      <c r="V3427" s="55">
        <f t="shared" si="160"/>
        <v>0</v>
      </c>
      <c r="W3427" s="56">
        <f t="shared" si="161"/>
        <v>1674</v>
      </c>
    </row>
    <row r="3428" spans="1:23" x14ac:dyDescent="0.3">
      <c r="A3428" s="13" t="str" cm="1">
        <f t="array" ref="A3428:B3428">INDEX(BenchmarkResults!$B$1:$D$35,SUMPRODUCT((T3428&gt;=BenchmarkResults!$F$3:$F$35)*(mongodb_hardware_log!T3428&lt;BenchmarkResults!$G$3:$G$35)*ROW(BenchmarkResults!$F$3:$F$35)),{1,3})</f>
        <v>q6_inactive_customers</v>
      </c>
      <c r="B3428">
        <v>3</v>
      </c>
      <c r="C3428" s="13">
        <v>1</v>
      </c>
      <c r="D3428" s="13">
        <v>0</v>
      </c>
      <c r="E3428" s="13">
        <v>179968</v>
      </c>
      <c r="F3428" s="13">
        <v>636080</v>
      </c>
      <c r="G3428" s="13">
        <v>12516</v>
      </c>
      <c r="H3428" s="13">
        <v>1730180</v>
      </c>
      <c r="I3428" s="13">
        <v>0</v>
      </c>
      <c r="J3428" s="13">
        <v>0</v>
      </c>
      <c r="K3428" s="13">
        <v>1928</v>
      </c>
      <c r="L3428" s="13">
        <v>29</v>
      </c>
      <c r="M3428" s="13">
        <v>712</v>
      </c>
      <c r="N3428" s="13">
        <v>208</v>
      </c>
      <c r="O3428" s="13">
        <v>34</v>
      </c>
      <c r="P3428" s="13">
        <v>1</v>
      </c>
      <c r="Q3428" s="13">
        <v>64</v>
      </c>
      <c r="R3428" s="13">
        <v>1</v>
      </c>
      <c r="S3428" s="13">
        <v>0</v>
      </c>
      <c r="T3428" s="23">
        <v>46247.826597222222</v>
      </c>
      <c r="U3428" s="55">
        <f t="shared" si="159"/>
        <v>1</v>
      </c>
      <c r="V3428" s="55">
        <f t="shared" si="160"/>
        <v>0</v>
      </c>
      <c r="W3428" s="56">
        <f t="shared" si="161"/>
        <v>1718</v>
      </c>
    </row>
    <row r="3429" spans="1:23" x14ac:dyDescent="0.3">
      <c r="A3429" s="13" t="str" cm="1">
        <f t="array" ref="A3429:B3429">INDEX(BenchmarkResults!$B$1:$D$35,SUMPRODUCT((T3429&gt;=BenchmarkResults!$F$3:$F$35)*(mongodb_hardware_log!T3429&lt;BenchmarkResults!$G$3:$G$35)*ROW(BenchmarkResults!$F$3:$F$35)),{1,3})</f>
        <v>q6_inactive_customers</v>
      </c>
      <c r="B3429">
        <v>3</v>
      </c>
      <c r="C3429" s="13">
        <v>1</v>
      </c>
      <c r="D3429" s="13">
        <v>0</v>
      </c>
      <c r="E3429" s="13">
        <v>179968</v>
      </c>
      <c r="F3429" s="13">
        <v>619704</v>
      </c>
      <c r="G3429" s="13">
        <v>12524</v>
      </c>
      <c r="H3429" s="13">
        <v>1746684</v>
      </c>
      <c r="I3429" s="13">
        <v>0</v>
      </c>
      <c r="J3429" s="13">
        <v>0</v>
      </c>
      <c r="K3429" s="13">
        <v>2008</v>
      </c>
      <c r="L3429" s="13">
        <v>5</v>
      </c>
      <c r="M3429" s="13">
        <v>732</v>
      </c>
      <c r="N3429" s="13">
        <v>219</v>
      </c>
      <c r="O3429" s="13">
        <v>33</v>
      </c>
      <c r="P3429" s="13">
        <v>1</v>
      </c>
      <c r="Q3429" s="13">
        <v>64</v>
      </c>
      <c r="R3429" s="13">
        <v>1</v>
      </c>
      <c r="S3429" s="13">
        <v>0</v>
      </c>
      <c r="T3429" s="23">
        <v>46247.826701388891</v>
      </c>
      <c r="U3429" s="55">
        <f t="shared" si="159"/>
        <v>1</v>
      </c>
      <c r="V3429" s="55">
        <f t="shared" si="160"/>
        <v>0</v>
      </c>
      <c r="W3429" s="56">
        <f t="shared" si="161"/>
        <v>1713.8333333333333</v>
      </c>
    </row>
    <row r="3430" spans="1:23" x14ac:dyDescent="0.3">
      <c r="A3430" s="13" t="str" cm="1">
        <f t="array" ref="A3430:B3430">INDEX(BenchmarkResults!$B$1:$D$35,SUMPRODUCT((T3430&gt;=BenchmarkResults!$F$3:$F$35)*(mongodb_hardware_log!T3430&lt;BenchmarkResults!$G$3:$G$35)*ROW(BenchmarkResults!$F$3:$F$35)),{1,3})</f>
        <v>q6_inactive_customers</v>
      </c>
      <c r="B3430">
        <v>3</v>
      </c>
      <c r="C3430" s="13">
        <v>1</v>
      </c>
      <c r="D3430" s="13">
        <v>0</v>
      </c>
      <c r="E3430" s="13">
        <v>179968</v>
      </c>
      <c r="F3430" s="13">
        <v>619704</v>
      </c>
      <c r="G3430" s="13">
        <v>12532</v>
      </c>
      <c r="H3430" s="13">
        <v>1749160</v>
      </c>
      <c r="I3430" s="13">
        <v>0</v>
      </c>
      <c r="J3430" s="13">
        <v>0</v>
      </c>
      <c r="K3430" s="13">
        <v>1898</v>
      </c>
      <c r="L3430" s="13">
        <v>430</v>
      </c>
      <c r="M3430" s="13">
        <v>730</v>
      </c>
      <c r="N3430" s="13">
        <v>217</v>
      </c>
      <c r="O3430" s="13">
        <v>33</v>
      </c>
      <c r="P3430" s="13">
        <v>1</v>
      </c>
      <c r="Q3430" s="13">
        <v>65</v>
      </c>
      <c r="R3430" s="13">
        <v>1</v>
      </c>
      <c r="S3430" s="13">
        <v>0</v>
      </c>
      <c r="T3430" s="23">
        <v>46247.82671296296</v>
      </c>
      <c r="U3430" s="55">
        <f t="shared" si="159"/>
        <v>1</v>
      </c>
      <c r="V3430" s="55">
        <f t="shared" si="160"/>
        <v>0</v>
      </c>
      <c r="W3430" s="56">
        <f t="shared" si="161"/>
        <v>1699.5</v>
      </c>
    </row>
    <row r="3431" spans="1:23" x14ac:dyDescent="0.3">
      <c r="A3431" s="13" t="str" cm="1">
        <f t="array" ref="A3431:B3431">INDEX(BenchmarkResults!$B$1:$D$35,SUMPRODUCT((T3431&gt;=BenchmarkResults!$F$3:$F$35)*(mongodb_hardware_log!T3431&lt;BenchmarkResults!$G$3:$G$35)*ROW(BenchmarkResults!$F$3:$F$35)),{1,3})</f>
        <v>q6_inactive_customers</v>
      </c>
      <c r="B3431">
        <v>3</v>
      </c>
      <c r="C3431" s="13">
        <v>1</v>
      </c>
      <c r="D3431" s="13">
        <v>0</v>
      </c>
      <c r="E3431" s="13">
        <v>179968</v>
      </c>
      <c r="F3431" s="13">
        <v>611388</v>
      </c>
      <c r="G3431" s="13">
        <v>12540</v>
      </c>
      <c r="H3431" s="13">
        <v>1765344</v>
      </c>
      <c r="I3431" s="13">
        <v>0</v>
      </c>
      <c r="J3431" s="13">
        <v>0</v>
      </c>
      <c r="K3431" s="13">
        <v>1863</v>
      </c>
      <c r="L3431" s="13">
        <v>1588</v>
      </c>
      <c r="M3431" s="13">
        <v>738</v>
      </c>
      <c r="N3431" s="13">
        <v>225</v>
      </c>
      <c r="O3431" s="13">
        <v>33</v>
      </c>
      <c r="P3431" s="13">
        <v>1</v>
      </c>
      <c r="Q3431" s="13">
        <v>63</v>
      </c>
      <c r="R3431" s="13">
        <v>2</v>
      </c>
      <c r="S3431" s="13">
        <v>0</v>
      </c>
      <c r="T3431" s="23">
        <v>46247.826817129629</v>
      </c>
      <c r="U3431" s="55">
        <f t="shared" si="159"/>
        <v>1</v>
      </c>
      <c r="V3431" s="55">
        <f t="shared" si="160"/>
        <v>0</v>
      </c>
      <c r="W3431" s="56">
        <f t="shared" si="161"/>
        <v>1777.1666666666667</v>
      </c>
    </row>
    <row r="3432" spans="1:23" x14ac:dyDescent="0.3">
      <c r="A3432" s="13" t="str" cm="1">
        <f t="array" ref="A3432:B3432">INDEX(BenchmarkResults!$B$1:$D$35,SUMPRODUCT((T3432&gt;=BenchmarkResults!$F$3:$F$35)*(mongodb_hardware_log!T3432&lt;BenchmarkResults!$G$3:$G$35)*ROW(BenchmarkResults!$F$3:$F$35)),{1,3})</f>
        <v>q6_inactive_customers</v>
      </c>
      <c r="B3432">
        <v>3</v>
      </c>
      <c r="C3432" s="13">
        <v>1</v>
      </c>
      <c r="D3432" s="13">
        <v>0</v>
      </c>
      <c r="E3432" s="13">
        <v>179968</v>
      </c>
      <c r="F3432" s="13">
        <v>603324</v>
      </c>
      <c r="G3432" s="13">
        <v>12540</v>
      </c>
      <c r="H3432" s="13">
        <v>1769412</v>
      </c>
      <c r="I3432" s="13">
        <v>0</v>
      </c>
      <c r="J3432" s="13">
        <v>0</v>
      </c>
      <c r="K3432" s="13">
        <v>2032</v>
      </c>
      <c r="L3432" s="13">
        <v>1163</v>
      </c>
      <c r="M3432" s="13">
        <v>738</v>
      </c>
      <c r="N3432" s="13">
        <v>224</v>
      </c>
      <c r="O3432" s="13">
        <v>33</v>
      </c>
      <c r="P3432" s="13">
        <v>1</v>
      </c>
      <c r="Q3432" s="13">
        <v>63</v>
      </c>
      <c r="R3432" s="13">
        <v>2</v>
      </c>
      <c r="S3432" s="13">
        <v>0</v>
      </c>
      <c r="T3432" s="23">
        <v>46247.826828703706</v>
      </c>
      <c r="U3432" s="55">
        <f t="shared" si="159"/>
        <v>1</v>
      </c>
      <c r="V3432" s="55">
        <f t="shared" si="160"/>
        <v>0</v>
      </c>
      <c r="W3432" s="56">
        <f t="shared" si="161"/>
        <v>1917.5</v>
      </c>
    </row>
    <row r="3433" spans="1:23" x14ac:dyDescent="0.3">
      <c r="A3433" s="13" t="str" cm="1">
        <f t="array" ref="A3433:B3433">INDEX(BenchmarkResults!$B$1:$D$35,SUMPRODUCT((T3433&gt;=BenchmarkResults!$F$3:$F$35)*(mongodb_hardware_log!T3433&lt;BenchmarkResults!$G$3:$G$35)*ROW(BenchmarkResults!$F$3:$F$35)),{1,3})</f>
        <v>q6_inactive_customers</v>
      </c>
      <c r="B3433">
        <v>3</v>
      </c>
      <c r="C3433" s="13">
        <v>1</v>
      </c>
      <c r="D3433" s="13">
        <v>0</v>
      </c>
      <c r="E3433" s="13">
        <v>179968</v>
      </c>
      <c r="F3433" s="13">
        <v>588204</v>
      </c>
      <c r="G3433" s="13">
        <v>12548</v>
      </c>
      <c r="H3433" s="13">
        <v>1785612</v>
      </c>
      <c r="I3433" s="13">
        <v>0</v>
      </c>
      <c r="J3433" s="13">
        <v>0</v>
      </c>
      <c r="K3433" s="13">
        <v>2025</v>
      </c>
      <c r="L3433" s="13">
        <v>7</v>
      </c>
      <c r="M3433" s="13">
        <v>710</v>
      </c>
      <c r="N3433" s="13">
        <v>202</v>
      </c>
      <c r="O3433" s="13">
        <v>33</v>
      </c>
      <c r="P3433" s="13">
        <v>1</v>
      </c>
      <c r="Q3433" s="13">
        <v>65</v>
      </c>
      <c r="R3433" s="13">
        <v>0</v>
      </c>
      <c r="S3433" s="13">
        <v>0</v>
      </c>
      <c r="T3433" s="23">
        <v>46247.826932870368</v>
      </c>
      <c r="U3433" s="55">
        <f t="shared" si="159"/>
        <v>1</v>
      </c>
      <c r="V3433" s="55">
        <f t="shared" si="160"/>
        <v>0</v>
      </c>
      <c r="W3433" s="56">
        <f t="shared" si="161"/>
        <v>1959</v>
      </c>
    </row>
    <row r="3434" spans="1:23" x14ac:dyDescent="0.3">
      <c r="A3434" s="13" t="str" cm="1">
        <f t="array" ref="A3434:B3434">INDEX(BenchmarkResults!$B$1:$D$35,SUMPRODUCT((T3434&gt;=BenchmarkResults!$F$3:$F$35)*(mongodb_hardware_log!T3434&lt;BenchmarkResults!$G$3:$G$35)*ROW(BenchmarkResults!$F$3:$F$35)),{1,3})</f>
        <v>q6_inactive_customers</v>
      </c>
      <c r="B3434">
        <v>3</v>
      </c>
      <c r="C3434" s="13">
        <v>1</v>
      </c>
      <c r="D3434" s="13">
        <v>0</v>
      </c>
      <c r="E3434" s="13">
        <v>179968</v>
      </c>
      <c r="F3434" s="13">
        <v>588204</v>
      </c>
      <c r="G3434" s="13">
        <v>12556</v>
      </c>
      <c r="H3434" s="13">
        <v>1789532</v>
      </c>
      <c r="I3434" s="13">
        <v>0</v>
      </c>
      <c r="J3434" s="13">
        <v>0</v>
      </c>
      <c r="K3434" s="13">
        <v>2010</v>
      </c>
      <c r="L3434" s="13">
        <v>12</v>
      </c>
      <c r="M3434" s="13">
        <v>714</v>
      </c>
      <c r="N3434" s="13">
        <v>212</v>
      </c>
      <c r="O3434" s="13">
        <v>33</v>
      </c>
      <c r="P3434" s="13">
        <v>1</v>
      </c>
      <c r="Q3434" s="13">
        <v>64</v>
      </c>
      <c r="R3434" s="13">
        <v>1</v>
      </c>
      <c r="S3434" s="13">
        <v>0</v>
      </c>
      <c r="T3434" s="23">
        <v>46247.826944444445</v>
      </c>
      <c r="U3434" s="55">
        <f t="shared" si="159"/>
        <v>1</v>
      </c>
      <c r="V3434" s="55">
        <f t="shared" si="160"/>
        <v>0</v>
      </c>
      <c r="W3434" s="56">
        <f t="shared" si="161"/>
        <v>1972.6666666666667</v>
      </c>
    </row>
    <row r="3435" spans="1:23" x14ac:dyDescent="0.3">
      <c r="A3435" s="13" t="str" cm="1">
        <f t="array" ref="A3435:B3435">INDEX(BenchmarkResults!$B$1:$D$35,SUMPRODUCT((T3435&gt;=BenchmarkResults!$F$3:$F$35)*(mongodb_hardware_log!T3435&lt;BenchmarkResults!$G$3:$G$35)*ROW(BenchmarkResults!$F$3:$F$35)),{1,3})</f>
        <v>q6_inactive_customers</v>
      </c>
      <c r="B3435">
        <v>3</v>
      </c>
      <c r="C3435" s="13">
        <v>1</v>
      </c>
      <c r="D3435" s="13">
        <v>0</v>
      </c>
      <c r="E3435" s="13">
        <v>179968</v>
      </c>
      <c r="F3435" s="13">
        <v>557716</v>
      </c>
      <c r="G3435" s="13">
        <v>12564</v>
      </c>
      <c r="H3435" s="13">
        <v>1814008</v>
      </c>
      <c r="I3435" s="13">
        <v>0</v>
      </c>
      <c r="J3435" s="13">
        <v>0</v>
      </c>
      <c r="K3435" s="13">
        <v>1392</v>
      </c>
      <c r="L3435" s="13">
        <v>14</v>
      </c>
      <c r="M3435" s="13">
        <v>678</v>
      </c>
      <c r="N3435" s="13">
        <v>178</v>
      </c>
      <c r="O3435" s="13">
        <v>33</v>
      </c>
      <c r="P3435" s="13">
        <v>2</v>
      </c>
      <c r="Q3435" s="13">
        <v>64</v>
      </c>
      <c r="R3435" s="13">
        <v>1</v>
      </c>
      <c r="S3435" s="13">
        <v>0</v>
      </c>
      <c r="T3435" s="23">
        <v>46247.827048611114</v>
      </c>
      <c r="U3435" s="55">
        <f t="shared" si="159"/>
        <v>1</v>
      </c>
      <c r="V3435" s="55">
        <f t="shared" si="160"/>
        <v>0</v>
      </c>
      <c r="W3435" s="56">
        <f t="shared" si="161"/>
        <v>1870</v>
      </c>
    </row>
    <row r="3436" spans="1:23" x14ac:dyDescent="0.3">
      <c r="A3436" s="13" t="str" cm="1">
        <f t="array" ref="A3436:B3436">INDEX(BenchmarkResults!$B$1:$D$35,SUMPRODUCT((T3436&gt;=BenchmarkResults!$F$3:$F$35)*(mongodb_hardware_log!T3436&lt;BenchmarkResults!$G$3:$G$35)*ROW(BenchmarkResults!$F$3:$F$35)),{1,3})</f>
        <v>q6_inactive_customers</v>
      </c>
      <c r="B3436">
        <v>3</v>
      </c>
      <c r="C3436" s="13">
        <v>1</v>
      </c>
      <c r="D3436" s="13">
        <v>0</v>
      </c>
      <c r="E3436" s="13">
        <v>179968</v>
      </c>
      <c r="F3436" s="13">
        <v>557716</v>
      </c>
      <c r="G3436" s="13">
        <v>12564</v>
      </c>
      <c r="H3436" s="13">
        <v>1818956</v>
      </c>
      <c r="I3436" s="13">
        <v>0</v>
      </c>
      <c r="J3436" s="13">
        <v>0</v>
      </c>
      <c r="K3436" s="13">
        <v>1342</v>
      </c>
      <c r="L3436" s="13">
        <v>9</v>
      </c>
      <c r="M3436" s="13">
        <v>669</v>
      </c>
      <c r="N3436" s="13">
        <v>166</v>
      </c>
      <c r="O3436" s="13">
        <v>32</v>
      </c>
      <c r="P3436" s="13">
        <v>2</v>
      </c>
      <c r="Q3436" s="13">
        <v>65</v>
      </c>
      <c r="R3436" s="13">
        <v>0</v>
      </c>
      <c r="S3436" s="13">
        <v>0</v>
      </c>
      <c r="T3436" s="23">
        <v>46247.827060185184</v>
      </c>
      <c r="U3436" s="55">
        <f t="shared" si="159"/>
        <v>1</v>
      </c>
      <c r="V3436" s="55">
        <f t="shared" si="160"/>
        <v>0</v>
      </c>
      <c r="W3436" s="56">
        <f t="shared" si="161"/>
        <v>1777.3333333333333</v>
      </c>
    </row>
    <row r="3437" spans="1:23" x14ac:dyDescent="0.3">
      <c r="A3437" s="13" t="str" cm="1">
        <f t="array" ref="A3437:B3437">INDEX(BenchmarkResults!$B$1:$D$35,SUMPRODUCT((T3437&gt;=BenchmarkResults!$F$3:$F$35)*(mongodb_hardware_log!T3437&lt;BenchmarkResults!$G$3:$G$35)*ROW(BenchmarkResults!$F$3:$F$35)),{1,3})</f>
        <v>q6_inactive_customers</v>
      </c>
      <c r="B3437">
        <v>3</v>
      </c>
      <c r="C3437" s="13">
        <v>1</v>
      </c>
      <c r="D3437" s="13">
        <v>0</v>
      </c>
      <c r="E3437" s="13">
        <v>179968</v>
      </c>
      <c r="F3437" s="13">
        <v>547384</v>
      </c>
      <c r="G3437" s="13">
        <v>12572</v>
      </c>
      <c r="H3437" s="13">
        <v>1834896</v>
      </c>
      <c r="I3437" s="13">
        <v>0</v>
      </c>
      <c r="J3437" s="13">
        <v>0</v>
      </c>
      <c r="K3437" s="13">
        <v>1938</v>
      </c>
      <c r="L3437" s="13">
        <v>8</v>
      </c>
      <c r="M3437" s="13">
        <v>724</v>
      </c>
      <c r="N3437" s="13">
        <v>205</v>
      </c>
      <c r="O3437" s="13">
        <v>33</v>
      </c>
      <c r="P3437" s="13">
        <v>1</v>
      </c>
      <c r="Q3437" s="13">
        <v>65</v>
      </c>
      <c r="R3437" s="13">
        <v>0</v>
      </c>
      <c r="S3437" s="13">
        <v>0</v>
      </c>
      <c r="T3437" s="23">
        <v>46247.827164351853</v>
      </c>
      <c r="U3437" s="55">
        <f t="shared" si="159"/>
        <v>1</v>
      </c>
      <c r="V3437" s="55">
        <f t="shared" si="160"/>
        <v>0</v>
      </c>
      <c r="W3437" s="56">
        <f t="shared" si="161"/>
        <v>1789.8333333333333</v>
      </c>
    </row>
    <row r="3438" spans="1:23" x14ac:dyDescent="0.3">
      <c r="A3438" s="13" t="str" cm="1">
        <f t="array" ref="A3438:B3438">INDEX(BenchmarkResults!$B$1:$D$35,SUMPRODUCT((T3438&gt;=BenchmarkResults!$F$3:$F$35)*(mongodb_hardware_log!T3438&lt;BenchmarkResults!$G$3:$G$35)*ROW(BenchmarkResults!$F$3:$F$35)),{1,3})</f>
        <v>q6_inactive_customers</v>
      </c>
      <c r="B3438">
        <v>3</v>
      </c>
      <c r="C3438" s="13">
        <v>2</v>
      </c>
      <c r="D3438" s="13">
        <v>0</v>
      </c>
      <c r="E3438" s="13">
        <v>179968</v>
      </c>
      <c r="F3438" s="13">
        <v>543856</v>
      </c>
      <c r="G3438" s="13">
        <v>12580</v>
      </c>
      <c r="H3438" s="13">
        <v>1838152</v>
      </c>
      <c r="I3438" s="13">
        <v>0</v>
      </c>
      <c r="J3438" s="13">
        <v>0</v>
      </c>
      <c r="K3438" s="13">
        <v>1926</v>
      </c>
      <c r="L3438" s="13">
        <v>14</v>
      </c>
      <c r="M3438" s="13">
        <v>736</v>
      </c>
      <c r="N3438" s="13">
        <v>212</v>
      </c>
      <c r="O3438" s="13">
        <v>33</v>
      </c>
      <c r="P3438" s="13">
        <v>1</v>
      </c>
      <c r="Q3438" s="13">
        <v>65</v>
      </c>
      <c r="R3438" s="13">
        <v>0</v>
      </c>
      <c r="S3438" s="13">
        <v>0</v>
      </c>
      <c r="T3438" s="23">
        <v>46247.827175925922</v>
      </c>
      <c r="U3438" s="55">
        <f t="shared" si="159"/>
        <v>1.1666666666666667</v>
      </c>
      <c r="V3438" s="55">
        <f t="shared" si="160"/>
        <v>0</v>
      </c>
      <c r="W3438" s="56">
        <f t="shared" si="161"/>
        <v>1772.1666666666667</v>
      </c>
    </row>
    <row r="3439" spans="1:23" x14ac:dyDescent="0.3">
      <c r="A3439" s="13" t="str" cm="1">
        <f t="array" ref="A3439:B3439">INDEX(BenchmarkResults!$B$1:$D$35,SUMPRODUCT((T3439&gt;=BenchmarkResults!$F$3:$F$35)*(mongodb_hardware_log!T3439&lt;BenchmarkResults!$G$3:$G$35)*ROW(BenchmarkResults!$F$3:$F$35)),{1,3})</f>
        <v>q6_inactive_customers</v>
      </c>
      <c r="B3439">
        <v>3</v>
      </c>
      <c r="C3439" s="13">
        <v>1</v>
      </c>
      <c r="D3439" s="13">
        <v>0</v>
      </c>
      <c r="E3439" s="13">
        <v>179968</v>
      </c>
      <c r="F3439" s="13">
        <v>522184</v>
      </c>
      <c r="G3439" s="13">
        <v>12612</v>
      </c>
      <c r="H3439" s="13">
        <v>1855484</v>
      </c>
      <c r="I3439" s="13">
        <v>0</v>
      </c>
      <c r="J3439" s="13">
        <v>0</v>
      </c>
      <c r="K3439" s="13">
        <v>2068</v>
      </c>
      <c r="L3439" s="13">
        <v>32</v>
      </c>
      <c r="M3439" s="13">
        <v>739</v>
      </c>
      <c r="N3439" s="13">
        <v>224</v>
      </c>
      <c r="O3439" s="13">
        <v>33</v>
      </c>
      <c r="P3439" s="13">
        <v>2</v>
      </c>
      <c r="Q3439" s="13">
        <v>64</v>
      </c>
      <c r="R3439" s="13">
        <v>1</v>
      </c>
      <c r="S3439" s="13">
        <v>0</v>
      </c>
      <c r="T3439" s="23">
        <v>46247.827280092592</v>
      </c>
      <c r="U3439" s="55">
        <f t="shared" si="159"/>
        <v>1.1666666666666667</v>
      </c>
      <c r="V3439" s="55">
        <f t="shared" si="160"/>
        <v>0</v>
      </c>
      <c r="W3439" s="56">
        <f t="shared" si="161"/>
        <v>1779.3333333333333</v>
      </c>
    </row>
    <row r="3440" spans="1:23" x14ac:dyDescent="0.3">
      <c r="A3440" s="13" t="str" cm="1">
        <f t="array" ref="A3440:B3440">INDEX(BenchmarkResults!$B$1:$D$35,SUMPRODUCT((T3440&gt;=BenchmarkResults!$F$3:$F$35)*(mongodb_hardware_log!T3440&lt;BenchmarkResults!$G$3:$G$35)*ROW(BenchmarkResults!$F$3:$F$35)),{1,3})</f>
        <v>q6_inactive_customers</v>
      </c>
      <c r="B3440">
        <v>3</v>
      </c>
      <c r="C3440" s="13">
        <v>1</v>
      </c>
      <c r="D3440" s="13">
        <v>0</v>
      </c>
      <c r="E3440" s="13">
        <v>179968</v>
      </c>
      <c r="F3440" s="13">
        <v>521932</v>
      </c>
      <c r="G3440" s="13">
        <v>12612</v>
      </c>
      <c r="H3440" s="13">
        <v>1858460</v>
      </c>
      <c r="I3440" s="13">
        <v>0</v>
      </c>
      <c r="J3440" s="13">
        <v>0</v>
      </c>
      <c r="K3440" s="13">
        <v>2028</v>
      </c>
      <c r="L3440" s="13">
        <v>26</v>
      </c>
      <c r="M3440" s="13">
        <v>733</v>
      </c>
      <c r="N3440" s="13">
        <v>222</v>
      </c>
      <c r="O3440" s="13">
        <v>33</v>
      </c>
      <c r="P3440" s="13">
        <v>1</v>
      </c>
      <c r="Q3440" s="13">
        <v>64</v>
      </c>
      <c r="R3440" s="13">
        <v>1</v>
      </c>
      <c r="S3440" s="13">
        <v>0</v>
      </c>
      <c r="T3440" s="23">
        <v>46247.827291666668</v>
      </c>
      <c r="U3440" s="55">
        <f t="shared" si="159"/>
        <v>1.1666666666666667</v>
      </c>
      <c r="V3440" s="55">
        <f t="shared" si="160"/>
        <v>0</v>
      </c>
      <c r="W3440" s="56">
        <f t="shared" si="161"/>
        <v>1782.3333333333333</v>
      </c>
    </row>
    <row r="3441" spans="1:23" x14ac:dyDescent="0.3">
      <c r="A3441" s="13" t="str" cm="1">
        <f t="array" ref="A3441:B3441">INDEX(BenchmarkResults!$B$1:$D$35,SUMPRODUCT((T3441&gt;=BenchmarkResults!$F$3:$F$35)*(mongodb_hardware_log!T3441&lt;BenchmarkResults!$G$3:$G$35)*ROW(BenchmarkResults!$F$3:$F$35)),{1,3})</f>
        <v>q6_inactive_customers</v>
      </c>
      <c r="B3441">
        <v>3</v>
      </c>
      <c r="C3441" s="13">
        <v>1</v>
      </c>
      <c r="D3441" s="13">
        <v>0</v>
      </c>
      <c r="E3441" s="13">
        <v>179968</v>
      </c>
      <c r="F3441" s="13">
        <v>499252</v>
      </c>
      <c r="G3441" s="13">
        <v>12620</v>
      </c>
      <c r="H3441" s="13">
        <v>1874216</v>
      </c>
      <c r="I3441" s="13">
        <v>0</v>
      </c>
      <c r="J3441" s="13">
        <v>0</v>
      </c>
      <c r="K3441" s="13">
        <v>1870</v>
      </c>
      <c r="L3441" s="13">
        <v>1566</v>
      </c>
      <c r="M3441" s="13">
        <v>715</v>
      </c>
      <c r="N3441" s="13">
        <v>203</v>
      </c>
      <c r="O3441" s="13">
        <v>33</v>
      </c>
      <c r="P3441" s="13">
        <v>1</v>
      </c>
      <c r="Q3441" s="13">
        <v>64</v>
      </c>
      <c r="R3441" s="13">
        <v>2</v>
      </c>
      <c r="S3441" s="13">
        <v>0</v>
      </c>
      <c r="T3441" s="23">
        <v>46247.82739583333</v>
      </c>
      <c r="U3441" s="55">
        <f t="shared" si="159"/>
        <v>1.1666666666666667</v>
      </c>
      <c r="V3441" s="55">
        <f t="shared" si="160"/>
        <v>0</v>
      </c>
      <c r="W3441" s="56">
        <f t="shared" si="161"/>
        <v>1862</v>
      </c>
    </row>
    <row r="3442" spans="1:23" x14ac:dyDescent="0.3">
      <c r="A3442" s="13" t="str" cm="1">
        <f t="array" ref="A3442:B3442">INDEX(BenchmarkResults!$B$1:$D$35,SUMPRODUCT((T3442&gt;=BenchmarkResults!$F$3:$F$35)*(mongodb_hardware_log!T3442&lt;BenchmarkResults!$G$3:$G$35)*ROW(BenchmarkResults!$F$3:$F$35)),{1,3})</f>
        <v>q6_inactive_customers</v>
      </c>
      <c r="B3442">
        <v>3</v>
      </c>
      <c r="C3442" s="13">
        <v>1</v>
      </c>
      <c r="D3442" s="13">
        <v>0</v>
      </c>
      <c r="E3442" s="13">
        <v>179968</v>
      </c>
      <c r="F3442" s="13">
        <v>499252</v>
      </c>
      <c r="G3442" s="13">
        <v>12628</v>
      </c>
      <c r="H3442" s="13">
        <v>1877580</v>
      </c>
      <c r="I3442" s="13">
        <v>0</v>
      </c>
      <c r="J3442" s="13">
        <v>0</v>
      </c>
      <c r="K3442" s="13">
        <v>1908</v>
      </c>
      <c r="L3442" s="13">
        <v>1573</v>
      </c>
      <c r="M3442" s="13">
        <v>716</v>
      </c>
      <c r="N3442" s="13">
        <v>206</v>
      </c>
      <c r="O3442" s="13">
        <v>33</v>
      </c>
      <c r="P3442" s="13">
        <v>2</v>
      </c>
      <c r="Q3442" s="13">
        <v>63</v>
      </c>
      <c r="R3442" s="13">
        <v>2</v>
      </c>
      <c r="S3442" s="13">
        <v>0</v>
      </c>
      <c r="T3442" s="23">
        <v>46247.827407407407</v>
      </c>
      <c r="U3442" s="55">
        <f t="shared" si="159"/>
        <v>1.1666666666666667</v>
      </c>
      <c r="V3442" s="55">
        <f t="shared" si="160"/>
        <v>0</v>
      </c>
      <c r="W3442" s="56">
        <f t="shared" si="161"/>
        <v>1956.3333333333333</v>
      </c>
    </row>
    <row r="3443" spans="1:23" x14ac:dyDescent="0.3">
      <c r="A3443" s="13" t="str" cm="1">
        <f t="array" ref="A3443:B3443">INDEX(BenchmarkResults!$B$1:$D$35,SUMPRODUCT((T3443&gt;=BenchmarkResults!$F$3:$F$35)*(mongodb_hardware_log!T3443&lt;BenchmarkResults!$G$3:$G$35)*ROW(BenchmarkResults!$F$3:$F$35)),{1,3})</f>
        <v>q6_inactive_customers</v>
      </c>
      <c r="B3443">
        <v>3</v>
      </c>
      <c r="C3443" s="13">
        <v>1</v>
      </c>
      <c r="D3443" s="13">
        <v>0</v>
      </c>
      <c r="E3443" s="13">
        <v>179968</v>
      </c>
      <c r="F3443" s="13">
        <v>483628</v>
      </c>
      <c r="G3443" s="13">
        <v>12636</v>
      </c>
      <c r="H3443" s="13">
        <v>1894396</v>
      </c>
      <c r="I3443" s="13">
        <v>0</v>
      </c>
      <c r="J3443" s="13">
        <v>0</v>
      </c>
      <c r="K3443" s="13">
        <v>2018</v>
      </c>
      <c r="L3443" s="13">
        <v>16</v>
      </c>
      <c r="M3443" s="13">
        <v>731</v>
      </c>
      <c r="N3443" s="13">
        <v>227</v>
      </c>
      <c r="O3443" s="13">
        <v>33</v>
      </c>
      <c r="P3443" s="13">
        <v>1</v>
      </c>
      <c r="Q3443" s="13">
        <v>65</v>
      </c>
      <c r="R3443" s="13">
        <v>0</v>
      </c>
      <c r="S3443" s="13">
        <v>0</v>
      </c>
      <c r="T3443" s="23">
        <v>46247.827511574076</v>
      </c>
      <c r="U3443" s="55">
        <f t="shared" si="159"/>
        <v>1.1666666666666667</v>
      </c>
      <c r="V3443" s="55">
        <f t="shared" si="160"/>
        <v>0</v>
      </c>
      <c r="W3443" s="56">
        <f t="shared" si="161"/>
        <v>1969.6666666666667</v>
      </c>
    </row>
    <row r="3444" spans="1:23" x14ac:dyDescent="0.3">
      <c r="A3444" s="13" t="str" cm="1">
        <f t="array" ref="A3444:B3444">INDEX(BenchmarkResults!$B$1:$D$35,SUMPRODUCT((T3444&gt;=BenchmarkResults!$F$3:$F$35)*(mongodb_hardware_log!T3444&lt;BenchmarkResults!$G$3:$G$35)*ROW(BenchmarkResults!$F$3:$F$35)),{1,3})</f>
        <v>q6_inactive_customers</v>
      </c>
      <c r="B3444">
        <v>3</v>
      </c>
      <c r="C3444" s="13">
        <v>1</v>
      </c>
      <c r="D3444" s="13">
        <v>0</v>
      </c>
      <c r="E3444" s="13">
        <v>179968</v>
      </c>
      <c r="F3444" s="13">
        <v>475564</v>
      </c>
      <c r="G3444" s="13">
        <v>12636</v>
      </c>
      <c r="H3444" s="13">
        <v>1897148</v>
      </c>
      <c r="I3444" s="13">
        <v>0</v>
      </c>
      <c r="J3444" s="13">
        <v>0</v>
      </c>
      <c r="K3444" s="13">
        <v>1954</v>
      </c>
      <c r="L3444" s="13">
        <v>10</v>
      </c>
      <c r="M3444" s="13">
        <v>731</v>
      </c>
      <c r="N3444" s="13">
        <v>225</v>
      </c>
      <c r="O3444" s="13">
        <v>33</v>
      </c>
      <c r="P3444" s="13">
        <v>1</v>
      </c>
      <c r="Q3444" s="13">
        <v>65</v>
      </c>
      <c r="R3444" s="13">
        <v>0</v>
      </c>
      <c r="S3444" s="13">
        <v>0</v>
      </c>
      <c r="T3444" s="23">
        <v>46247.827523148146</v>
      </c>
      <c r="U3444" s="55">
        <f t="shared" si="159"/>
        <v>1</v>
      </c>
      <c r="V3444" s="55">
        <f t="shared" si="160"/>
        <v>0</v>
      </c>
      <c r="W3444" s="56">
        <f t="shared" si="161"/>
        <v>1974.3333333333333</v>
      </c>
    </row>
    <row r="3445" spans="1:23" x14ac:dyDescent="0.3">
      <c r="A3445" s="13" t="str" cm="1">
        <f t="array" ref="A3445:B3445">INDEX(BenchmarkResults!$B$1:$D$35,SUMPRODUCT((T3445&gt;=BenchmarkResults!$F$3:$F$35)*(mongodb_hardware_log!T3445&lt;BenchmarkResults!$G$3:$G$35)*ROW(BenchmarkResults!$F$3:$F$35)),{1,3})</f>
        <v>q6_inactive_customers</v>
      </c>
      <c r="B3445">
        <v>3</v>
      </c>
      <c r="C3445" s="13">
        <v>1</v>
      </c>
      <c r="D3445" s="13">
        <v>0</v>
      </c>
      <c r="E3445" s="13">
        <v>179968</v>
      </c>
      <c r="F3445" s="13">
        <v>467500</v>
      </c>
      <c r="G3445" s="13">
        <v>12644</v>
      </c>
      <c r="H3445" s="13">
        <v>1912968</v>
      </c>
      <c r="I3445" s="13">
        <v>0</v>
      </c>
      <c r="J3445" s="13">
        <v>0</v>
      </c>
      <c r="K3445" s="13">
        <v>1848</v>
      </c>
      <c r="L3445" s="13">
        <v>14</v>
      </c>
      <c r="M3445" s="13">
        <v>723</v>
      </c>
      <c r="N3445" s="13">
        <v>212</v>
      </c>
      <c r="O3445" s="13">
        <v>33</v>
      </c>
      <c r="P3445" s="13">
        <v>1</v>
      </c>
      <c r="Q3445" s="13">
        <v>65</v>
      </c>
      <c r="R3445" s="13">
        <v>0</v>
      </c>
      <c r="S3445" s="13">
        <v>0</v>
      </c>
      <c r="T3445" s="23">
        <v>46247.827627314815</v>
      </c>
      <c r="U3445" s="55">
        <f t="shared" si="159"/>
        <v>1</v>
      </c>
      <c r="V3445" s="55">
        <f t="shared" si="160"/>
        <v>0</v>
      </c>
      <c r="W3445" s="56">
        <f t="shared" si="161"/>
        <v>1937.6666666666667</v>
      </c>
    </row>
    <row r="3446" spans="1:23" x14ac:dyDescent="0.3">
      <c r="A3446" s="13" t="str" cm="1">
        <f t="array" ref="A3446:B3446">INDEX(BenchmarkResults!$B$1:$D$35,SUMPRODUCT((T3446&gt;=BenchmarkResults!$F$3:$F$35)*(mongodb_hardware_log!T3446&lt;BenchmarkResults!$G$3:$G$35)*ROW(BenchmarkResults!$F$3:$F$35)),{1,3})</f>
        <v>q6_inactive_customers</v>
      </c>
      <c r="B3446">
        <v>3</v>
      </c>
      <c r="C3446" s="13">
        <v>1</v>
      </c>
      <c r="D3446" s="13">
        <v>0</v>
      </c>
      <c r="E3446" s="13">
        <v>179968</v>
      </c>
      <c r="F3446" s="13">
        <v>462460</v>
      </c>
      <c r="G3446" s="13">
        <v>12652</v>
      </c>
      <c r="H3446" s="13">
        <v>1917040</v>
      </c>
      <c r="I3446" s="13">
        <v>0</v>
      </c>
      <c r="J3446" s="13">
        <v>0</v>
      </c>
      <c r="K3446" s="13">
        <v>1994</v>
      </c>
      <c r="L3446" s="13">
        <v>19</v>
      </c>
      <c r="M3446" s="13">
        <v>725</v>
      </c>
      <c r="N3446" s="13">
        <v>214</v>
      </c>
      <c r="O3446" s="13">
        <v>33</v>
      </c>
      <c r="P3446" s="13">
        <v>1</v>
      </c>
      <c r="Q3446" s="13">
        <v>65</v>
      </c>
      <c r="R3446" s="13">
        <v>0</v>
      </c>
      <c r="S3446" s="13">
        <v>0</v>
      </c>
      <c r="T3446" s="23">
        <v>46247.827638888892</v>
      </c>
      <c r="U3446" s="55">
        <f t="shared" si="159"/>
        <v>1</v>
      </c>
      <c r="V3446" s="55">
        <f t="shared" si="160"/>
        <v>0</v>
      </c>
      <c r="W3446" s="56">
        <f t="shared" si="161"/>
        <v>1932</v>
      </c>
    </row>
    <row r="3447" spans="1:23" x14ac:dyDescent="0.3">
      <c r="A3447" s="13" t="str" cm="1">
        <f t="array" ref="A3447:B3447">INDEX(BenchmarkResults!$B$1:$D$35,SUMPRODUCT((T3447&gt;=BenchmarkResults!$F$3:$F$35)*(mongodb_hardware_log!T3447&lt;BenchmarkResults!$G$3:$G$35)*ROW(BenchmarkResults!$F$3:$F$35)),{1,3})</f>
        <v>q6_inactive_customers</v>
      </c>
      <c r="B3447">
        <v>3</v>
      </c>
      <c r="C3447" s="13">
        <v>1</v>
      </c>
      <c r="D3447" s="13">
        <v>0</v>
      </c>
      <c r="E3447" s="13">
        <v>179968</v>
      </c>
      <c r="F3447" s="13">
        <v>435244</v>
      </c>
      <c r="G3447" s="13">
        <v>12660</v>
      </c>
      <c r="H3447" s="13">
        <v>1944588</v>
      </c>
      <c r="I3447" s="13">
        <v>0</v>
      </c>
      <c r="J3447" s="13">
        <v>0</v>
      </c>
      <c r="K3447" s="13">
        <v>1568</v>
      </c>
      <c r="L3447" s="13">
        <v>16</v>
      </c>
      <c r="M3447" s="13">
        <v>683</v>
      </c>
      <c r="N3447" s="13">
        <v>177</v>
      </c>
      <c r="O3447" s="13">
        <v>33</v>
      </c>
      <c r="P3447" s="13">
        <v>2</v>
      </c>
      <c r="Q3447" s="13">
        <v>65</v>
      </c>
      <c r="R3447" s="13">
        <v>0</v>
      </c>
      <c r="S3447" s="13">
        <v>0</v>
      </c>
      <c r="T3447" s="23">
        <v>46247.827743055554</v>
      </c>
      <c r="U3447" s="55">
        <f t="shared" si="159"/>
        <v>1</v>
      </c>
      <c r="V3447" s="55">
        <f t="shared" si="160"/>
        <v>0</v>
      </c>
      <c r="W3447" s="56">
        <f t="shared" si="161"/>
        <v>1881.6666666666667</v>
      </c>
    </row>
    <row r="3448" spans="1:23" x14ac:dyDescent="0.3">
      <c r="A3448" s="13" t="str" cm="1">
        <f t="array" ref="A3448:B3448">INDEX(BenchmarkResults!$B$1:$D$35,SUMPRODUCT((T3448&gt;=BenchmarkResults!$F$3:$F$35)*(mongodb_hardware_log!T3448&lt;BenchmarkResults!$G$3:$G$35)*ROW(BenchmarkResults!$F$3:$F$35)),{1,3})</f>
        <v>q6_inactive_customers</v>
      </c>
      <c r="B3448">
        <v>3</v>
      </c>
      <c r="C3448" s="13">
        <v>1</v>
      </c>
      <c r="D3448" s="13">
        <v>0</v>
      </c>
      <c r="E3448" s="13">
        <v>179968</v>
      </c>
      <c r="F3448" s="13">
        <v>427180</v>
      </c>
      <c r="G3448" s="13">
        <v>12660</v>
      </c>
      <c r="H3448" s="13">
        <v>1947836</v>
      </c>
      <c r="I3448" s="13">
        <v>0</v>
      </c>
      <c r="J3448" s="13">
        <v>0</v>
      </c>
      <c r="K3448" s="13">
        <v>1471</v>
      </c>
      <c r="L3448" s="13">
        <v>11</v>
      </c>
      <c r="M3448" s="13">
        <v>682</v>
      </c>
      <c r="N3448" s="13">
        <v>174</v>
      </c>
      <c r="O3448" s="13">
        <v>33</v>
      </c>
      <c r="P3448" s="13">
        <v>2</v>
      </c>
      <c r="Q3448" s="13">
        <v>65</v>
      </c>
      <c r="R3448" s="13">
        <v>0</v>
      </c>
      <c r="S3448" s="13">
        <v>0</v>
      </c>
      <c r="T3448" s="23">
        <v>46247.82775462963</v>
      </c>
      <c r="U3448" s="55">
        <f t="shared" si="159"/>
        <v>1</v>
      </c>
      <c r="V3448" s="55">
        <f t="shared" si="160"/>
        <v>0</v>
      </c>
      <c r="W3448" s="56">
        <f t="shared" si="161"/>
        <v>1808.8333333333333</v>
      </c>
    </row>
    <row r="3449" spans="1:23" x14ac:dyDescent="0.3">
      <c r="A3449" s="13" t="str" cm="1">
        <f t="array" ref="A3449:B3449">INDEX(BenchmarkResults!$B$1:$D$35,SUMPRODUCT((T3449&gt;=BenchmarkResults!$F$3:$F$35)*(mongodb_hardware_log!T3449&lt;BenchmarkResults!$G$3:$G$35)*ROW(BenchmarkResults!$F$3:$F$35)),{1,3})</f>
        <v>q6_inactive_customers</v>
      </c>
      <c r="B3449">
        <v>3</v>
      </c>
      <c r="C3449" s="13">
        <v>1</v>
      </c>
      <c r="D3449" s="13">
        <v>0</v>
      </c>
      <c r="E3449" s="13">
        <v>179968</v>
      </c>
      <c r="F3449" s="13">
        <v>418640</v>
      </c>
      <c r="G3449" s="13">
        <v>12668</v>
      </c>
      <c r="H3449" s="13">
        <v>1960580</v>
      </c>
      <c r="I3449" s="13">
        <v>0</v>
      </c>
      <c r="J3449" s="13">
        <v>0</v>
      </c>
      <c r="K3449" s="13">
        <v>1597</v>
      </c>
      <c r="L3449" s="13">
        <v>22</v>
      </c>
      <c r="M3449" s="13">
        <v>739</v>
      </c>
      <c r="N3449" s="13">
        <v>224</v>
      </c>
      <c r="O3449" s="13">
        <v>34</v>
      </c>
      <c r="P3449" s="13">
        <v>1</v>
      </c>
      <c r="Q3449" s="13">
        <v>64</v>
      </c>
      <c r="R3449" s="13">
        <v>0</v>
      </c>
      <c r="S3449" s="13">
        <v>1</v>
      </c>
      <c r="T3449" s="23">
        <v>46247.8278587963</v>
      </c>
      <c r="U3449" s="55">
        <f t="shared" si="159"/>
        <v>1</v>
      </c>
      <c r="V3449" s="55">
        <f t="shared" si="160"/>
        <v>0</v>
      </c>
      <c r="W3449" s="56">
        <f t="shared" si="161"/>
        <v>1738.6666666666667</v>
      </c>
    </row>
    <row r="3450" spans="1:23" x14ac:dyDescent="0.3">
      <c r="A3450" s="13" t="str" cm="1">
        <f t="array" ref="A3450:B3450">INDEX(BenchmarkResults!$B$1:$D$35,SUMPRODUCT((T3450&gt;=BenchmarkResults!$F$3:$F$35)*(mongodb_hardware_log!T3450&lt;BenchmarkResults!$G$3:$G$35)*ROW(BenchmarkResults!$F$3:$F$35)),{1,3})</f>
        <v>q6_inactive_customers</v>
      </c>
      <c r="B3450">
        <v>3</v>
      </c>
      <c r="C3450" s="13">
        <v>1</v>
      </c>
      <c r="D3450" s="13">
        <v>0</v>
      </c>
      <c r="E3450" s="13">
        <v>179968</v>
      </c>
      <c r="F3450" s="13">
        <v>418388</v>
      </c>
      <c r="G3450" s="13">
        <v>12676</v>
      </c>
      <c r="H3450" s="13">
        <v>1962944</v>
      </c>
      <c r="I3450" s="13">
        <v>0</v>
      </c>
      <c r="J3450" s="13">
        <v>0</v>
      </c>
      <c r="K3450" s="13">
        <v>1517</v>
      </c>
      <c r="L3450" s="13">
        <v>27</v>
      </c>
      <c r="M3450" s="13">
        <v>734</v>
      </c>
      <c r="N3450" s="13">
        <v>221</v>
      </c>
      <c r="O3450" s="13">
        <v>34</v>
      </c>
      <c r="P3450" s="13">
        <v>1</v>
      </c>
      <c r="Q3450" s="13">
        <v>64</v>
      </c>
      <c r="R3450" s="13">
        <v>0</v>
      </c>
      <c r="S3450" s="13">
        <v>1</v>
      </c>
      <c r="T3450" s="23">
        <v>46247.827870370369</v>
      </c>
      <c r="U3450" s="55">
        <f t="shared" si="159"/>
        <v>1</v>
      </c>
      <c r="V3450" s="55">
        <f t="shared" si="160"/>
        <v>0</v>
      </c>
      <c r="W3450" s="56">
        <f t="shared" si="161"/>
        <v>1665.8333333333333</v>
      </c>
    </row>
    <row r="3451" spans="1:23" x14ac:dyDescent="0.3">
      <c r="A3451" s="13" t="str" cm="1">
        <f t="array" ref="A3451:B3451">INDEX(BenchmarkResults!$B$1:$D$35,SUMPRODUCT((T3451&gt;=BenchmarkResults!$F$3:$F$35)*(mongodb_hardware_log!T3451&lt;BenchmarkResults!$G$3:$G$35)*ROW(BenchmarkResults!$F$3:$F$35)),{1,3})</f>
        <v>q6_inactive_customers</v>
      </c>
      <c r="B3451">
        <v>3</v>
      </c>
      <c r="C3451" s="13">
        <v>1</v>
      </c>
      <c r="D3451" s="13">
        <v>0</v>
      </c>
      <c r="E3451" s="13">
        <v>179968</v>
      </c>
      <c r="F3451" s="13">
        <v>395204</v>
      </c>
      <c r="G3451" s="13">
        <v>12700</v>
      </c>
      <c r="H3451" s="13">
        <v>1980148</v>
      </c>
      <c r="I3451" s="13">
        <v>0</v>
      </c>
      <c r="J3451" s="13">
        <v>0</v>
      </c>
      <c r="K3451" s="13">
        <v>1952</v>
      </c>
      <c r="L3451" s="13">
        <v>36</v>
      </c>
      <c r="M3451" s="13">
        <v>711</v>
      </c>
      <c r="N3451" s="13">
        <v>208</v>
      </c>
      <c r="O3451" s="13">
        <v>33</v>
      </c>
      <c r="P3451" s="13">
        <v>1</v>
      </c>
      <c r="Q3451" s="13">
        <v>64</v>
      </c>
      <c r="R3451" s="13">
        <v>0</v>
      </c>
      <c r="S3451" s="13">
        <v>0</v>
      </c>
      <c r="T3451" s="23">
        <v>46247.827974537038</v>
      </c>
      <c r="U3451" s="55">
        <f t="shared" si="159"/>
        <v>1</v>
      </c>
      <c r="V3451" s="55">
        <f t="shared" si="160"/>
        <v>0</v>
      </c>
      <c r="W3451" s="56">
        <f t="shared" si="161"/>
        <v>1683.1666666666667</v>
      </c>
    </row>
    <row r="3452" spans="1:23" x14ac:dyDescent="0.3">
      <c r="A3452" s="13" t="str" cm="1">
        <f t="array" ref="A3452:B3452">INDEX(BenchmarkResults!$B$1:$D$35,SUMPRODUCT((T3452&gt;=BenchmarkResults!$F$3:$F$35)*(mongodb_hardware_log!T3452&lt;BenchmarkResults!$G$3:$G$35)*ROW(BenchmarkResults!$F$3:$F$35)),{1,3})</f>
        <v>q6_inactive_customers</v>
      </c>
      <c r="B3452">
        <v>3</v>
      </c>
      <c r="C3452" s="13">
        <v>1</v>
      </c>
      <c r="D3452" s="13">
        <v>0</v>
      </c>
      <c r="E3452" s="13">
        <v>179968</v>
      </c>
      <c r="F3452" s="13">
        <v>391424</v>
      </c>
      <c r="G3452" s="13">
        <v>12700</v>
      </c>
      <c r="H3452" s="13">
        <v>1983300</v>
      </c>
      <c r="I3452" s="13">
        <v>0</v>
      </c>
      <c r="J3452" s="13">
        <v>0</v>
      </c>
      <c r="K3452" s="13">
        <v>2027</v>
      </c>
      <c r="L3452" s="13">
        <v>31</v>
      </c>
      <c r="M3452" s="13">
        <v>714</v>
      </c>
      <c r="N3452" s="13">
        <v>210</v>
      </c>
      <c r="O3452" s="13">
        <v>34</v>
      </c>
      <c r="P3452" s="13">
        <v>1</v>
      </c>
      <c r="Q3452" s="13">
        <v>64</v>
      </c>
      <c r="R3452" s="13">
        <v>0</v>
      </c>
      <c r="S3452" s="13">
        <v>0</v>
      </c>
      <c r="T3452" s="23">
        <v>46247.827986111108</v>
      </c>
      <c r="U3452" s="55">
        <f t="shared" si="159"/>
        <v>1</v>
      </c>
      <c r="V3452" s="55">
        <f t="shared" si="160"/>
        <v>0</v>
      </c>
      <c r="W3452" s="56">
        <f t="shared" si="161"/>
        <v>1688.6666666666667</v>
      </c>
    </row>
    <row r="3453" spans="1:23" x14ac:dyDescent="0.3">
      <c r="A3453" s="13" t="str" cm="1">
        <f t="array" ref="A3453:B3453">INDEX(BenchmarkResults!$B$1:$D$35,SUMPRODUCT((T3453&gt;=BenchmarkResults!$F$3:$F$35)*(mongodb_hardware_log!T3453&lt;BenchmarkResults!$G$3:$G$35)*ROW(BenchmarkResults!$F$3:$F$35)),{1,3})</f>
        <v>q6_inactive_customers</v>
      </c>
      <c r="B3453">
        <v>3</v>
      </c>
      <c r="C3453" s="13">
        <v>1</v>
      </c>
      <c r="D3453" s="13">
        <v>0</v>
      </c>
      <c r="E3453" s="13">
        <v>179968</v>
      </c>
      <c r="F3453" s="13">
        <v>362952</v>
      </c>
      <c r="G3453" s="13">
        <v>12708</v>
      </c>
      <c r="H3453" s="13">
        <v>2001500</v>
      </c>
      <c r="I3453" s="13">
        <v>1</v>
      </c>
      <c r="J3453" s="13">
        <v>0</v>
      </c>
      <c r="K3453" s="13">
        <v>1287</v>
      </c>
      <c r="L3453" s="13">
        <v>1570</v>
      </c>
      <c r="M3453" s="13">
        <v>701</v>
      </c>
      <c r="N3453" s="13">
        <v>190</v>
      </c>
      <c r="O3453" s="13">
        <v>33</v>
      </c>
      <c r="P3453" s="13">
        <v>1</v>
      </c>
      <c r="Q3453" s="13">
        <v>63</v>
      </c>
      <c r="R3453" s="13">
        <v>2</v>
      </c>
      <c r="S3453" s="13">
        <v>1</v>
      </c>
      <c r="T3453" s="23">
        <v>46247.828090277777</v>
      </c>
      <c r="U3453" s="55">
        <f t="shared" si="159"/>
        <v>1</v>
      </c>
      <c r="V3453" s="55">
        <f t="shared" si="160"/>
        <v>0</v>
      </c>
      <c r="W3453" s="56">
        <f t="shared" si="161"/>
        <v>1641.8333333333333</v>
      </c>
    </row>
    <row r="3454" spans="1:23" x14ac:dyDescent="0.3">
      <c r="A3454" s="13" t="str" cm="1">
        <f t="array" ref="A3454:B3454">INDEX(BenchmarkResults!$B$1:$D$35,SUMPRODUCT((T3454&gt;=BenchmarkResults!$F$3:$F$35)*(mongodb_hardware_log!T3454&lt;BenchmarkResults!$G$3:$G$35)*ROW(BenchmarkResults!$F$3:$F$35)),{1,3})</f>
        <v>q6_inactive_customers</v>
      </c>
      <c r="B3454">
        <v>3</v>
      </c>
      <c r="C3454" s="13">
        <v>1</v>
      </c>
      <c r="D3454" s="13">
        <v>0</v>
      </c>
      <c r="E3454" s="13">
        <v>179968</v>
      </c>
      <c r="F3454" s="13">
        <v>366628</v>
      </c>
      <c r="G3454" s="13">
        <v>12716</v>
      </c>
      <c r="H3454" s="13">
        <v>2013720</v>
      </c>
      <c r="I3454" s="13">
        <v>1</v>
      </c>
      <c r="J3454" s="13">
        <v>0</v>
      </c>
      <c r="K3454" s="13">
        <v>2060</v>
      </c>
      <c r="L3454" s="13">
        <v>1578</v>
      </c>
      <c r="M3454" s="13">
        <v>766</v>
      </c>
      <c r="N3454" s="13">
        <v>224</v>
      </c>
      <c r="O3454" s="13">
        <v>30</v>
      </c>
      <c r="P3454" s="13">
        <v>2</v>
      </c>
      <c r="Q3454" s="13">
        <v>66</v>
      </c>
      <c r="R3454" s="13">
        <v>2</v>
      </c>
      <c r="S3454" s="13">
        <v>1</v>
      </c>
      <c r="T3454" s="23">
        <v>46247.828101851854</v>
      </c>
      <c r="U3454" s="55">
        <f t="shared" si="159"/>
        <v>1</v>
      </c>
      <c r="V3454" s="55">
        <f t="shared" si="160"/>
        <v>0</v>
      </c>
      <c r="W3454" s="56">
        <f t="shared" si="161"/>
        <v>1740</v>
      </c>
    </row>
    <row r="3455" spans="1:23" x14ac:dyDescent="0.3">
      <c r="A3455" s="13" t="str" cm="1">
        <f t="array" ref="A3455:B3455">INDEX(BenchmarkResults!$B$1:$D$35,SUMPRODUCT((T3455&gt;=BenchmarkResults!$F$3:$F$35)*(mongodb_hardware_log!T3455&lt;BenchmarkResults!$G$3:$G$35)*ROW(BenchmarkResults!$F$3:$F$35)),{1,3})</f>
        <v>q6_inactive_customers</v>
      </c>
      <c r="B3455">
        <v>3</v>
      </c>
      <c r="C3455" s="13">
        <v>0</v>
      </c>
      <c r="D3455" s="13">
        <v>0</v>
      </c>
      <c r="E3455" s="13">
        <v>179968</v>
      </c>
      <c r="F3455" s="13">
        <v>345048</v>
      </c>
      <c r="G3455" s="13">
        <v>12740</v>
      </c>
      <c r="H3455" s="13">
        <v>2048360</v>
      </c>
      <c r="I3455" s="13">
        <v>0</v>
      </c>
      <c r="J3455" s="13">
        <v>0</v>
      </c>
      <c r="K3455" s="13">
        <v>4539</v>
      </c>
      <c r="L3455" s="13">
        <v>28</v>
      </c>
      <c r="M3455" s="13">
        <v>1580</v>
      </c>
      <c r="N3455" s="13">
        <v>513</v>
      </c>
      <c r="O3455" s="13">
        <v>15</v>
      </c>
      <c r="P3455" s="13">
        <v>4</v>
      </c>
      <c r="Q3455" s="13">
        <v>80</v>
      </c>
      <c r="R3455" s="13">
        <v>0</v>
      </c>
      <c r="S3455" s="13">
        <v>0</v>
      </c>
      <c r="T3455" s="23">
        <v>46247.828206018516</v>
      </c>
      <c r="U3455" s="55">
        <f t="shared" si="159"/>
        <v>0.83333333333333337</v>
      </c>
      <c r="V3455" s="55">
        <f t="shared" si="160"/>
        <v>0</v>
      </c>
      <c r="W3455" s="56">
        <f t="shared" si="161"/>
        <v>2230.3333333333335</v>
      </c>
    </row>
    <row r="3456" spans="1:23" x14ac:dyDescent="0.3">
      <c r="A3456" s="13" t="str" cm="1">
        <f t="array" ref="A3456:B3456">INDEX(BenchmarkResults!$B$1:$D$35,SUMPRODUCT((T3456&gt;=BenchmarkResults!$F$3:$F$35)*(mongodb_hardware_log!T3456&lt;BenchmarkResults!$G$3:$G$35)*ROW(BenchmarkResults!$F$3:$F$35)),{1,3})</f>
        <v>q6_inactive_customers</v>
      </c>
      <c r="B3456">
        <v>3</v>
      </c>
      <c r="C3456" s="13">
        <v>0</v>
      </c>
      <c r="D3456" s="13">
        <v>0</v>
      </c>
      <c r="E3456" s="13">
        <v>179968</v>
      </c>
      <c r="F3456" s="13">
        <v>339740</v>
      </c>
      <c r="G3456" s="13">
        <v>12740</v>
      </c>
      <c r="H3456" s="13">
        <v>2053356</v>
      </c>
      <c r="I3456" s="13">
        <v>0</v>
      </c>
      <c r="J3456" s="13">
        <v>0</v>
      </c>
      <c r="K3456" s="13">
        <v>3952</v>
      </c>
      <c r="L3456" s="13">
        <v>21</v>
      </c>
      <c r="M3456" s="13">
        <v>1664</v>
      </c>
      <c r="N3456" s="13">
        <v>527</v>
      </c>
      <c r="O3456" s="13">
        <v>15</v>
      </c>
      <c r="P3456" s="13">
        <v>4</v>
      </c>
      <c r="Q3456" s="13">
        <v>80</v>
      </c>
      <c r="R3456" s="13">
        <v>0</v>
      </c>
      <c r="S3456" s="13">
        <v>0</v>
      </c>
      <c r="T3456" s="23">
        <v>46247.828217592592</v>
      </c>
      <c r="U3456" s="55">
        <f t="shared" si="159"/>
        <v>0.66666666666666663</v>
      </c>
      <c r="V3456" s="55">
        <f t="shared" si="160"/>
        <v>0</v>
      </c>
      <c r="W3456" s="56">
        <f t="shared" si="161"/>
        <v>2636.1666666666665</v>
      </c>
    </row>
    <row r="3457" spans="1:23" x14ac:dyDescent="0.3">
      <c r="A3457" s="13" t="str" cm="1">
        <f t="array" ref="A3457:B3457">INDEX(BenchmarkResults!$B$1:$D$35,SUMPRODUCT((T3457&gt;=BenchmarkResults!$F$3:$F$35)*(mongodb_hardware_log!T3457&lt;BenchmarkResults!$G$3:$G$35)*ROW(BenchmarkResults!$F$3:$F$35)),{1,3})</f>
        <v>q6_inactive_customers</v>
      </c>
      <c r="B3457">
        <v>3</v>
      </c>
      <c r="C3457" s="13">
        <v>0</v>
      </c>
      <c r="D3457" s="13">
        <v>0</v>
      </c>
      <c r="E3457" s="13">
        <v>179968</v>
      </c>
      <c r="F3457" s="13">
        <v>305888</v>
      </c>
      <c r="G3457" s="13">
        <v>12764</v>
      </c>
      <c r="H3457" s="13">
        <v>2088192</v>
      </c>
      <c r="I3457" s="13">
        <v>0</v>
      </c>
      <c r="J3457" s="13">
        <v>0</v>
      </c>
      <c r="K3457" s="13">
        <v>3981</v>
      </c>
      <c r="L3457" s="13">
        <v>21</v>
      </c>
      <c r="M3457" s="13">
        <v>1662</v>
      </c>
      <c r="N3457" s="13">
        <v>517</v>
      </c>
      <c r="O3457" s="13">
        <v>16</v>
      </c>
      <c r="P3457" s="13">
        <v>4</v>
      </c>
      <c r="Q3457" s="13">
        <v>80</v>
      </c>
      <c r="R3457" s="13">
        <v>0</v>
      </c>
      <c r="S3457" s="13">
        <v>0</v>
      </c>
      <c r="T3457" s="23">
        <v>46247.828321759262</v>
      </c>
      <c r="U3457" s="55">
        <f t="shared" si="159"/>
        <v>0.5</v>
      </c>
      <c r="V3457" s="55">
        <f t="shared" si="160"/>
        <v>0</v>
      </c>
      <c r="W3457" s="56">
        <f t="shared" si="161"/>
        <v>2974.3333333333335</v>
      </c>
    </row>
    <row r="3458" spans="1:23" x14ac:dyDescent="0.3">
      <c r="A3458" s="13" t="str" cm="1">
        <f t="array" ref="A3458:B3458">INDEX(BenchmarkResults!$B$1:$D$35,SUMPRODUCT((T3458&gt;=BenchmarkResults!$F$3:$F$35)*(mongodb_hardware_log!T3458&lt;BenchmarkResults!$G$3:$G$35)*ROW(BenchmarkResults!$F$3:$F$35)),{1,3})</f>
        <v>q6_inactive_customers</v>
      </c>
      <c r="B3458">
        <v>3</v>
      </c>
      <c r="C3458" s="13">
        <v>0</v>
      </c>
      <c r="D3458" s="13">
        <v>0</v>
      </c>
      <c r="E3458" s="13">
        <v>179968</v>
      </c>
      <c r="F3458" s="13">
        <v>299228</v>
      </c>
      <c r="G3458" s="13">
        <v>12764</v>
      </c>
      <c r="H3458" s="13">
        <v>2094716</v>
      </c>
      <c r="I3458" s="13">
        <v>0</v>
      </c>
      <c r="J3458" s="13">
        <v>0</v>
      </c>
      <c r="K3458" s="13">
        <v>4134</v>
      </c>
      <c r="L3458" s="13">
        <v>24</v>
      </c>
      <c r="M3458" s="13">
        <v>1657</v>
      </c>
      <c r="N3458" s="13">
        <v>516</v>
      </c>
      <c r="O3458" s="13">
        <v>15</v>
      </c>
      <c r="P3458" s="13">
        <v>4</v>
      </c>
      <c r="Q3458" s="13">
        <v>80</v>
      </c>
      <c r="R3458" s="13">
        <v>0</v>
      </c>
      <c r="S3458" s="13">
        <v>0</v>
      </c>
      <c r="T3458" s="23">
        <v>46247.828333333331</v>
      </c>
      <c r="U3458" s="55">
        <f t="shared" si="159"/>
        <v>0.33333333333333331</v>
      </c>
      <c r="V3458" s="55">
        <f t="shared" si="160"/>
        <v>0</v>
      </c>
      <c r="W3458" s="56">
        <f t="shared" si="161"/>
        <v>3325.5</v>
      </c>
    </row>
    <row r="3459" spans="1:23" x14ac:dyDescent="0.3">
      <c r="A3459" s="13" t="str" cm="1">
        <f t="array" ref="A3459:B3459">INDEX(BenchmarkResults!$B$1:$D$35,SUMPRODUCT((T3459&gt;=BenchmarkResults!$F$3:$F$35)*(mongodb_hardware_log!T3459&lt;BenchmarkResults!$G$3:$G$35)*ROW(BenchmarkResults!$F$3:$F$35)),{1,3})</f>
        <v>q6_inactive_customers</v>
      </c>
      <c r="B3459">
        <v>3</v>
      </c>
      <c r="C3459" s="13">
        <v>0</v>
      </c>
      <c r="D3459" s="13">
        <v>0</v>
      </c>
      <c r="E3459" s="13">
        <v>179968</v>
      </c>
      <c r="F3459" s="13">
        <v>264084</v>
      </c>
      <c r="G3459" s="13">
        <v>12780</v>
      </c>
      <c r="H3459" s="13">
        <v>2129272</v>
      </c>
      <c r="I3459" s="13">
        <v>0</v>
      </c>
      <c r="J3459" s="13">
        <v>0</v>
      </c>
      <c r="K3459" s="13">
        <v>4108</v>
      </c>
      <c r="L3459" s="13">
        <v>27</v>
      </c>
      <c r="M3459" s="13">
        <v>1687</v>
      </c>
      <c r="N3459" s="13">
        <v>511</v>
      </c>
      <c r="O3459" s="13">
        <v>15</v>
      </c>
      <c r="P3459" s="13">
        <v>4</v>
      </c>
      <c r="Q3459" s="13">
        <v>80</v>
      </c>
      <c r="R3459" s="13">
        <v>0</v>
      </c>
      <c r="S3459" s="13">
        <v>0</v>
      </c>
      <c r="T3459" s="23">
        <v>46247.8284375</v>
      </c>
      <c r="U3459" s="55">
        <f t="shared" si="159"/>
        <v>0.16666666666666666</v>
      </c>
      <c r="V3459" s="55">
        <f t="shared" si="160"/>
        <v>0</v>
      </c>
      <c r="W3459" s="56">
        <f t="shared" si="161"/>
        <v>3795.6666666666665</v>
      </c>
    </row>
    <row r="3460" spans="1:23" x14ac:dyDescent="0.3">
      <c r="A3460" s="13" t="str" cm="1">
        <f t="array" ref="A3460:B3460">INDEX(BenchmarkResults!$B$1:$D$35,SUMPRODUCT((T3460&gt;=BenchmarkResults!$F$3:$F$35)*(mongodb_hardware_log!T3460&lt;BenchmarkResults!$G$3:$G$35)*ROW(BenchmarkResults!$F$3:$F$35)),{1,3})</f>
        <v>q6_inactive_customers</v>
      </c>
      <c r="B3460">
        <v>3</v>
      </c>
      <c r="C3460" s="13">
        <v>0</v>
      </c>
      <c r="D3460" s="13">
        <v>0</v>
      </c>
      <c r="E3460" s="13">
        <v>179968</v>
      </c>
      <c r="F3460" s="13">
        <v>258324</v>
      </c>
      <c r="G3460" s="13">
        <v>12788</v>
      </c>
      <c r="H3460" s="13">
        <v>2136860</v>
      </c>
      <c r="I3460" s="13">
        <v>0</v>
      </c>
      <c r="J3460" s="13">
        <v>0</v>
      </c>
      <c r="K3460" s="13">
        <v>4212</v>
      </c>
      <c r="L3460" s="13">
        <v>990</v>
      </c>
      <c r="M3460" s="13">
        <v>1690</v>
      </c>
      <c r="N3460" s="13">
        <v>512</v>
      </c>
      <c r="O3460" s="13">
        <v>16</v>
      </c>
      <c r="P3460" s="13">
        <v>4</v>
      </c>
      <c r="Q3460" s="13">
        <v>80</v>
      </c>
      <c r="R3460" s="13">
        <v>0</v>
      </c>
      <c r="S3460" s="13">
        <v>0</v>
      </c>
      <c r="T3460" s="23">
        <v>46247.828449074077</v>
      </c>
      <c r="U3460" s="55">
        <f t="shared" si="159"/>
        <v>0</v>
      </c>
      <c r="V3460" s="55">
        <f t="shared" si="160"/>
        <v>0</v>
      </c>
      <c r="W3460" s="56">
        <f t="shared" si="161"/>
        <v>4154.333333333333</v>
      </c>
    </row>
    <row r="3461" spans="1:23" x14ac:dyDescent="0.3">
      <c r="A3461" s="13" t="str" cm="1">
        <f t="array" ref="A3461:B3461">INDEX(BenchmarkResults!$B$1:$D$35,SUMPRODUCT((T3461&gt;=BenchmarkResults!$F$3:$F$35)*(mongodb_hardware_log!T3461&lt;BenchmarkResults!$G$3:$G$35)*ROW(BenchmarkResults!$F$3:$F$35)),{1,3})</f>
        <v>q6_inactive_customers</v>
      </c>
      <c r="B3461">
        <v>3</v>
      </c>
      <c r="C3461" s="13">
        <v>1</v>
      </c>
      <c r="D3461" s="13">
        <v>0</v>
      </c>
      <c r="E3461" s="13">
        <v>179968</v>
      </c>
      <c r="F3461" s="13">
        <v>223172</v>
      </c>
      <c r="G3461" s="13">
        <v>12812</v>
      </c>
      <c r="H3461" s="13">
        <v>2171632</v>
      </c>
      <c r="I3461" s="13">
        <v>1</v>
      </c>
      <c r="J3461" s="13">
        <v>0</v>
      </c>
      <c r="K3461" s="13">
        <v>4238</v>
      </c>
      <c r="L3461" s="13">
        <v>990</v>
      </c>
      <c r="M3461" s="13">
        <v>1690</v>
      </c>
      <c r="N3461" s="13">
        <v>525</v>
      </c>
      <c r="O3461" s="13">
        <v>16</v>
      </c>
      <c r="P3461" s="13">
        <v>4</v>
      </c>
      <c r="Q3461" s="13">
        <v>80</v>
      </c>
      <c r="R3461" s="13">
        <v>0</v>
      </c>
      <c r="S3461" s="13">
        <v>0</v>
      </c>
      <c r="T3461" s="23">
        <v>46247.828553240739</v>
      </c>
      <c r="U3461" s="55">
        <f t="shared" si="159"/>
        <v>0.16666666666666666</v>
      </c>
      <c r="V3461" s="55">
        <f t="shared" si="160"/>
        <v>0</v>
      </c>
      <c r="W3461" s="56">
        <f t="shared" si="161"/>
        <v>4104.166666666667</v>
      </c>
    </row>
    <row r="3462" spans="1:23" x14ac:dyDescent="0.3">
      <c r="A3462" s="13" t="str" cm="1">
        <f t="array" ref="A3462:B3462">INDEX(BenchmarkResults!$B$1:$D$35,SUMPRODUCT((T3462&gt;=BenchmarkResults!$F$3:$F$35)*(mongodb_hardware_log!T3462&lt;BenchmarkResults!$G$3:$G$35)*ROW(BenchmarkResults!$F$3:$F$35)),{1,3})</f>
        <v>q6_inactive_customers</v>
      </c>
      <c r="B3462">
        <v>3</v>
      </c>
      <c r="C3462" s="13">
        <v>1</v>
      </c>
      <c r="D3462" s="13">
        <v>0</v>
      </c>
      <c r="E3462" s="13">
        <v>179968</v>
      </c>
      <c r="F3462" s="13">
        <v>213360</v>
      </c>
      <c r="G3462" s="13">
        <v>12820</v>
      </c>
      <c r="H3462" s="13">
        <v>2180124</v>
      </c>
      <c r="I3462" s="13">
        <v>0</v>
      </c>
      <c r="J3462" s="13">
        <v>0</v>
      </c>
      <c r="K3462" s="13">
        <v>4327</v>
      </c>
      <c r="L3462" s="13">
        <v>26</v>
      </c>
      <c r="M3462" s="13">
        <v>1700</v>
      </c>
      <c r="N3462" s="13">
        <v>528</v>
      </c>
      <c r="O3462" s="13">
        <v>16</v>
      </c>
      <c r="P3462" s="13">
        <v>4</v>
      </c>
      <c r="Q3462" s="13">
        <v>79</v>
      </c>
      <c r="R3462" s="13">
        <v>0</v>
      </c>
      <c r="S3462" s="13">
        <v>0</v>
      </c>
      <c r="T3462" s="23">
        <v>46247.828564814816</v>
      </c>
      <c r="U3462" s="55">
        <f t="shared" si="159"/>
        <v>0.33333333333333331</v>
      </c>
      <c r="V3462" s="55">
        <f t="shared" si="160"/>
        <v>0</v>
      </c>
      <c r="W3462" s="56">
        <f t="shared" si="161"/>
        <v>4166.666666666667</v>
      </c>
    </row>
    <row r="3463" spans="1:23" x14ac:dyDescent="0.3">
      <c r="A3463" s="13" t="str" cm="1">
        <f t="array" ref="A3463:B3463">INDEX(BenchmarkResults!$B$1:$D$35,SUMPRODUCT((T3463&gt;=BenchmarkResults!$F$3:$F$35)*(mongodb_hardware_log!T3463&lt;BenchmarkResults!$G$3:$G$35)*ROW(BenchmarkResults!$F$3:$F$35)),{1,3})</f>
        <v>q6_inactive_customers</v>
      </c>
      <c r="B3463">
        <v>3</v>
      </c>
      <c r="C3463" s="13">
        <v>2</v>
      </c>
      <c r="D3463" s="13">
        <v>0</v>
      </c>
      <c r="E3463" s="13">
        <v>179968</v>
      </c>
      <c r="F3463" s="13">
        <v>175784</v>
      </c>
      <c r="G3463" s="13">
        <v>12876</v>
      </c>
      <c r="H3463" s="13">
        <v>2215416</v>
      </c>
      <c r="I3463" s="13">
        <v>0</v>
      </c>
      <c r="J3463" s="13">
        <v>0</v>
      </c>
      <c r="K3463" s="13">
        <v>4366</v>
      </c>
      <c r="L3463" s="13">
        <v>50</v>
      </c>
      <c r="M3463" s="13">
        <v>1740</v>
      </c>
      <c r="N3463" s="13">
        <v>540</v>
      </c>
      <c r="O3463" s="13">
        <v>17</v>
      </c>
      <c r="P3463" s="13">
        <v>4</v>
      </c>
      <c r="Q3463" s="13">
        <v>79</v>
      </c>
      <c r="R3463" s="13">
        <v>0</v>
      </c>
      <c r="S3463" s="13">
        <v>1</v>
      </c>
      <c r="T3463" s="23">
        <v>46247.828668981485</v>
      </c>
      <c r="U3463" s="55">
        <f t="shared" si="159"/>
        <v>0.66666666666666663</v>
      </c>
      <c r="V3463" s="55">
        <f t="shared" si="160"/>
        <v>0</v>
      </c>
      <c r="W3463" s="56">
        <f t="shared" si="161"/>
        <v>4230.833333333333</v>
      </c>
    </row>
    <row r="3464" spans="1:23" x14ac:dyDescent="0.3">
      <c r="A3464" s="13" t="str" cm="1">
        <f t="array" ref="A3464:B3464">INDEX(BenchmarkResults!$B$1:$D$35,SUMPRODUCT((T3464&gt;=BenchmarkResults!$F$3:$F$35)*(mongodb_hardware_log!T3464&lt;BenchmarkResults!$G$3:$G$35)*ROW(BenchmarkResults!$F$3:$F$35)),{1,3})</f>
        <v>q6_inactive_customers</v>
      </c>
      <c r="B3464">
        <v>3</v>
      </c>
      <c r="C3464" s="13">
        <v>0</v>
      </c>
      <c r="D3464" s="13">
        <v>0</v>
      </c>
      <c r="E3464" s="13">
        <v>179968</v>
      </c>
      <c r="F3464" s="13">
        <v>165316</v>
      </c>
      <c r="G3464" s="13">
        <v>12876</v>
      </c>
      <c r="H3464" s="13">
        <v>2221756</v>
      </c>
      <c r="I3464" s="13">
        <v>0</v>
      </c>
      <c r="J3464" s="13">
        <v>0</v>
      </c>
      <c r="K3464" s="13">
        <v>4149</v>
      </c>
      <c r="L3464" s="13">
        <v>48</v>
      </c>
      <c r="M3464" s="13">
        <v>1758</v>
      </c>
      <c r="N3464" s="13">
        <v>541</v>
      </c>
      <c r="O3464" s="13">
        <v>17</v>
      </c>
      <c r="P3464" s="13">
        <v>4</v>
      </c>
      <c r="Q3464" s="13">
        <v>77</v>
      </c>
      <c r="R3464" s="13">
        <v>0</v>
      </c>
      <c r="S3464" s="13">
        <v>2</v>
      </c>
      <c r="T3464" s="23">
        <v>46247.828680555554</v>
      </c>
      <c r="U3464" s="55">
        <f t="shared" si="159"/>
        <v>0.66666666666666663</v>
      </c>
      <c r="V3464" s="55">
        <f t="shared" si="160"/>
        <v>0</v>
      </c>
      <c r="W3464" s="56">
        <f t="shared" si="161"/>
        <v>4233.333333333333</v>
      </c>
    </row>
    <row r="3465" spans="1:23" x14ac:dyDescent="0.3">
      <c r="A3465" s="13" t="str" cm="1">
        <f t="array" ref="A3465:B3465">INDEX(BenchmarkResults!$B$1:$D$35,SUMPRODUCT((T3465&gt;=BenchmarkResults!$F$3:$F$35)*(mongodb_hardware_log!T3465&lt;BenchmarkResults!$G$3:$G$35)*ROW(BenchmarkResults!$F$3:$F$35)),{1,3})</f>
        <v>q6_inactive_customers</v>
      </c>
      <c r="B3465">
        <v>3</v>
      </c>
      <c r="C3465" s="13">
        <v>0</v>
      </c>
      <c r="D3465" s="13">
        <v>0</v>
      </c>
      <c r="E3465" s="13">
        <v>179968</v>
      </c>
      <c r="F3465" s="13">
        <v>144152</v>
      </c>
      <c r="G3465" s="13">
        <v>12892</v>
      </c>
      <c r="H3465" s="13">
        <v>2250568</v>
      </c>
      <c r="I3465" s="13">
        <v>3</v>
      </c>
      <c r="J3465" s="13">
        <v>0</v>
      </c>
      <c r="K3465" s="13">
        <v>3510</v>
      </c>
      <c r="L3465" s="13">
        <v>31</v>
      </c>
      <c r="M3465" s="13">
        <v>1582</v>
      </c>
      <c r="N3465" s="13">
        <v>463</v>
      </c>
      <c r="O3465" s="13">
        <v>16</v>
      </c>
      <c r="P3465" s="13">
        <v>3</v>
      </c>
      <c r="Q3465" s="13">
        <v>75</v>
      </c>
      <c r="R3465" s="13">
        <v>0</v>
      </c>
      <c r="S3465" s="13">
        <v>6</v>
      </c>
      <c r="T3465" s="23">
        <v>46247.828784722224</v>
      </c>
      <c r="U3465" s="55">
        <f t="shared" ref="U3465:U3476" si="162">AVERAGE(C3460:C3465)</f>
        <v>0.66666666666666663</v>
      </c>
      <c r="V3465" s="55">
        <f t="shared" ref="V3465:V3476" si="163">AVERAGE(D3460:D3465)</f>
        <v>0</v>
      </c>
      <c r="W3465" s="56">
        <f t="shared" ref="W3465:W3476" si="164">AVERAGE(K3460:K3465)</f>
        <v>4133.666666666667</v>
      </c>
    </row>
    <row r="3466" spans="1:23" x14ac:dyDescent="0.3">
      <c r="A3466" s="13" t="str" cm="1">
        <f t="array" ref="A3466:B3466">INDEX(BenchmarkResults!$B$1:$D$35,SUMPRODUCT((T3466&gt;=BenchmarkResults!$F$3:$F$35)*(mongodb_hardware_log!T3466&lt;BenchmarkResults!$G$3:$G$35)*ROW(BenchmarkResults!$F$3:$F$35)),{1,3})</f>
        <v>q6_inactive_customers</v>
      </c>
      <c r="B3466">
        <v>3</v>
      </c>
      <c r="C3466" s="13">
        <v>0</v>
      </c>
      <c r="D3466" s="13">
        <v>0</v>
      </c>
      <c r="E3466" s="13">
        <v>179968</v>
      </c>
      <c r="F3466" s="13">
        <v>124640</v>
      </c>
      <c r="G3466" s="13">
        <v>12900</v>
      </c>
      <c r="H3466" s="13">
        <v>2260048</v>
      </c>
      <c r="I3466" s="13">
        <v>3</v>
      </c>
      <c r="J3466" s="13">
        <v>0</v>
      </c>
      <c r="K3466" s="13">
        <v>3830</v>
      </c>
      <c r="L3466" s="13">
        <v>32</v>
      </c>
      <c r="M3466" s="13">
        <v>1586</v>
      </c>
      <c r="N3466" s="13">
        <v>474</v>
      </c>
      <c r="O3466" s="13">
        <v>16</v>
      </c>
      <c r="P3466" s="13">
        <v>3</v>
      </c>
      <c r="Q3466" s="13">
        <v>76</v>
      </c>
      <c r="R3466" s="13">
        <v>0</v>
      </c>
      <c r="S3466" s="13">
        <v>5</v>
      </c>
      <c r="T3466" s="23">
        <v>46247.828796296293</v>
      </c>
      <c r="U3466" s="55">
        <f t="shared" si="162"/>
        <v>0.66666666666666663</v>
      </c>
      <c r="V3466" s="55">
        <f t="shared" si="163"/>
        <v>0</v>
      </c>
      <c r="W3466" s="56">
        <f t="shared" si="164"/>
        <v>4070</v>
      </c>
    </row>
    <row r="3467" spans="1:23" x14ac:dyDescent="0.3">
      <c r="A3467" s="13" t="str" cm="1">
        <f t="array" ref="A3467:B3467">INDEX(BenchmarkResults!$B$1:$D$35,SUMPRODUCT((T3467&gt;=BenchmarkResults!$F$3:$F$35)*(mongodb_hardware_log!T3467&lt;BenchmarkResults!$G$3:$G$35)*ROW(BenchmarkResults!$F$3:$F$35)),{1,3})</f>
        <v>q6_inactive_customers</v>
      </c>
      <c r="B3467">
        <v>3</v>
      </c>
      <c r="C3467" s="13">
        <v>1</v>
      </c>
      <c r="D3467" s="13">
        <v>0</v>
      </c>
      <c r="E3467" s="13">
        <v>179968</v>
      </c>
      <c r="F3467" s="13">
        <v>159348</v>
      </c>
      <c r="G3467" s="13">
        <v>12916</v>
      </c>
      <c r="H3467" s="13">
        <v>2238176</v>
      </c>
      <c r="I3467" s="13">
        <v>0</v>
      </c>
      <c r="J3467" s="13">
        <v>0</v>
      </c>
      <c r="K3467" s="13">
        <v>4134</v>
      </c>
      <c r="L3467" s="13">
        <v>31</v>
      </c>
      <c r="M3467" s="13">
        <v>1662</v>
      </c>
      <c r="N3467" s="13">
        <v>527</v>
      </c>
      <c r="O3467" s="13">
        <v>16</v>
      </c>
      <c r="P3467" s="13">
        <v>4</v>
      </c>
      <c r="Q3467" s="13">
        <v>80</v>
      </c>
      <c r="R3467" s="13">
        <v>0</v>
      </c>
      <c r="S3467" s="13">
        <v>1</v>
      </c>
      <c r="T3467" s="23">
        <v>46247.828900462962</v>
      </c>
      <c r="U3467" s="55">
        <f t="shared" si="162"/>
        <v>0.66666666666666663</v>
      </c>
      <c r="V3467" s="55">
        <f t="shared" si="163"/>
        <v>0</v>
      </c>
      <c r="W3467" s="56">
        <f t="shared" si="164"/>
        <v>4052.6666666666665</v>
      </c>
    </row>
    <row r="3468" spans="1:23" x14ac:dyDescent="0.3">
      <c r="A3468" s="13" t="str" cm="1">
        <f t="array" ref="A3468:B3468">INDEX(BenchmarkResults!$B$1:$D$35,SUMPRODUCT((T3468&gt;=BenchmarkResults!$F$3:$F$35)*(mongodb_hardware_log!T3468&lt;BenchmarkResults!$G$3:$G$35)*ROW(BenchmarkResults!$F$3:$F$35)),{1,3})</f>
        <v>q6_inactive_customers</v>
      </c>
      <c r="B3468">
        <v>3</v>
      </c>
      <c r="C3468" s="13">
        <v>1</v>
      </c>
      <c r="D3468" s="13">
        <v>0</v>
      </c>
      <c r="E3468" s="13">
        <v>179968</v>
      </c>
      <c r="F3468" s="13">
        <v>150804</v>
      </c>
      <c r="G3468" s="13">
        <v>12924</v>
      </c>
      <c r="H3468" s="13">
        <v>2245652</v>
      </c>
      <c r="I3468" s="13">
        <v>0</v>
      </c>
      <c r="J3468" s="13">
        <v>0</v>
      </c>
      <c r="K3468" s="13">
        <v>3942</v>
      </c>
      <c r="L3468" s="13">
        <v>32</v>
      </c>
      <c r="M3468" s="13">
        <v>1616</v>
      </c>
      <c r="N3468" s="13">
        <v>508</v>
      </c>
      <c r="O3468" s="13">
        <v>15</v>
      </c>
      <c r="P3468" s="13">
        <v>4</v>
      </c>
      <c r="Q3468" s="13">
        <v>80</v>
      </c>
      <c r="R3468" s="13">
        <v>0</v>
      </c>
      <c r="S3468" s="13">
        <v>1</v>
      </c>
      <c r="T3468" s="23">
        <v>46247.828912037039</v>
      </c>
      <c r="U3468" s="55">
        <f t="shared" si="162"/>
        <v>0.66666666666666663</v>
      </c>
      <c r="V3468" s="55">
        <f t="shared" si="163"/>
        <v>0</v>
      </c>
      <c r="W3468" s="56">
        <f t="shared" si="164"/>
        <v>3988.5</v>
      </c>
    </row>
    <row r="3469" spans="1:23" x14ac:dyDescent="0.3">
      <c r="A3469" s="13" t="str" cm="1">
        <f t="array" ref="A3469:B3469">INDEX(BenchmarkResults!$B$1:$D$35,SUMPRODUCT((T3469&gt;=BenchmarkResults!$F$3:$F$35)*(mongodb_hardware_log!T3469&lt;BenchmarkResults!$G$3:$G$35)*ROW(BenchmarkResults!$F$3:$F$35)),{1,3})</f>
        <v>q6_inactive_customers</v>
      </c>
      <c r="B3469">
        <v>3</v>
      </c>
      <c r="C3469" s="13">
        <v>0</v>
      </c>
      <c r="D3469" s="13">
        <v>0</v>
      </c>
      <c r="E3469" s="13">
        <v>179968</v>
      </c>
      <c r="F3469" s="13">
        <v>161556</v>
      </c>
      <c r="G3469" s="13">
        <v>12940</v>
      </c>
      <c r="H3469" s="13">
        <v>2236672</v>
      </c>
      <c r="I3469" s="13">
        <v>0</v>
      </c>
      <c r="J3469" s="13">
        <v>0</v>
      </c>
      <c r="K3469" s="13">
        <v>4326</v>
      </c>
      <c r="L3469" s="13">
        <v>23</v>
      </c>
      <c r="M3469" s="13">
        <v>1658</v>
      </c>
      <c r="N3469" s="13">
        <v>517</v>
      </c>
      <c r="O3469" s="13">
        <v>16</v>
      </c>
      <c r="P3469" s="13">
        <v>4</v>
      </c>
      <c r="Q3469" s="13">
        <v>79</v>
      </c>
      <c r="R3469" s="13">
        <v>0</v>
      </c>
      <c r="S3469" s="13">
        <v>1</v>
      </c>
      <c r="T3469" s="23">
        <v>46247.829016203701</v>
      </c>
      <c r="U3469" s="55">
        <f t="shared" si="162"/>
        <v>0.33333333333333331</v>
      </c>
      <c r="V3469" s="55">
        <f t="shared" si="163"/>
        <v>0</v>
      </c>
      <c r="W3469" s="56">
        <f t="shared" si="164"/>
        <v>3981.8333333333335</v>
      </c>
    </row>
    <row r="3470" spans="1:23" x14ac:dyDescent="0.3">
      <c r="A3470" s="13" t="str" cm="1">
        <f t="array" ref="A3470:B3470">INDEX(BenchmarkResults!$B$1:$D$35,SUMPRODUCT((T3470&gt;=BenchmarkResults!$F$3:$F$35)*(mongodb_hardware_log!T3470&lt;BenchmarkResults!$G$3:$G$35)*ROW(BenchmarkResults!$F$3:$F$35)),{1,3})</f>
        <v>q6_inactive_customers</v>
      </c>
      <c r="B3470">
        <v>3</v>
      </c>
      <c r="C3470" s="13">
        <v>1</v>
      </c>
      <c r="D3470" s="13">
        <v>0</v>
      </c>
      <c r="E3470" s="13">
        <v>179968</v>
      </c>
      <c r="F3470" s="13">
        <v>151468</v>
      </c>
      <c r="G3470" s="13">
        <v>12940</v>
      </c>
      <c r="H3470" s="13">
        <v>2244772</v>
      </c>
      <c r="I3470" s="13">
        <v>0</v>
      </c>
      <c r="J3470" s="13">
        <v>0</v>
      </c>
      <c r="K3470" s="13">
        <v>4390</v>
      </c>
      <c r="L3470" s="13">
        <v>20</v>
      </c>
      <c r="M3470" s="13">
        <v>1666</v>
      </c>
      <c r="N3470" s="13">
        <v>522</v>
      </c>
      <c r="O3470" s="13">
        <v>16</v>
      </c>
      <c r="P3470" s="13">
        <v>4</v>
      </c>
      <c r="Q3470" s="13">
        <v>79</v>
      </c>
      <c r="R3470" s="13">
        <v>0</v>
      </c>
      <c r="S3470" s="13">
        <v>1</v>
      </c>
      <c r="T3470" s="23">
        <v>46247.829027777778</v>
      </c>
      <c r="U3470" s="55">
        <f t="shared" si="162"/>
        <v>0.5</v>
      </c>
      <c r="V3470" s="55">
        <f t="shared" si="163"/>
        <v>0</v>
      </c>
      <c r="W3470" s="56">
        <f t="shared" si="164"/>
        <v>4022</v>
      </c>
    </row>
    <row r="3471" spans="1:23" x14ac:dyDescent="0.3">
      <c r="A3471" s="13" t="str" cm="1">
        <f t="array" ref="A3471:B3471">INDEX(BenchmarkResults!$B$1:$D$35,SUMPRODUCT((T3471&gt;=BenchmarkResults!$F$3:$F$35)*(mongodb_hardware_log!T3471&lt;BenchmarkResults!$G$3:$G$35)*ROW(BenchmarkResults!$F$3:$F$35)),{1,3})</f>
        <v>q6_inactive_customers</v>
      </c>
      <c r="B3471">
        <v>3</v>
      </c>
      <c r="C3471" s="13">
        <v>0</v>
      </c>
      <c r="D3471" s="13">
        <v>0</v>
      </c>
      <c r="E3471" s="13">
        <v>179968</v>
      </c>
      <c r="F3471" s="13">
        <v>118964</v>
      </c>
      <c r="G3471" s="13">
        <v>12964</v>
      </c>
      <c r="H3471" s="13">
        <v>2279384</v>
      </c>
      <c r="I3471" s="13">
        <v>1</v>
      </c>
      <c r="J3471" s="13">
        <v>0</v>
      </c>
      <c r="K3471" s="13">
        <v>4263</v>
      </c>
      <c r="L3471" s="13">
        <v>32</v>
      </c>
      <c r="M3471" s="13">
        <v>1634</v>
      </c>
      <c r="N3471" s="13">
        <v>519</v>
      </c>
      <c r="O3471" s="13">
        <v>16</v>
      </c>
      <c r="P3471" s="13">
        <v>4</v>
      </c>
      <c r="Q3471" s="13">
        <v>80</v>
      </c>
      <c r="R3471" s="13">
        <v>0</v>
      </c>
      <c r="S3471" s="13">
        <v>0</v>
      </c>
      <c r="T3471" s="23">
        <v>46247.829131944447</v>
      </c>
      <c r="U3471" s="55">
        <f t="shared" si="162"/>
        <v>0.5</v>
      </c>
      <c r="V3471" s="55">
        <f t="shared" si="163"/>
        <v>0</v>
      </c>
      <c r="W3471" s="56">
        <f t="shared" si="164"/>
        <v>4147.5</v>
      </c>
    </row>
    <row r="3472" spans="1:23" x14ac:dyDescent="0.3">
      <c r="A3472" s="13" t="str" cm="1">
        <f t="array" ref="A3472:B3472">INDEX(BenchmarkResults!$B$1:$D$35,SUMPRODUCT((T3472&gt;=BenchmarkResults!$F$3:$F$35)*(mongodb_hardware_log!T3472&lt;BenchmarkResults!$G$3:$G$35)*ROW(BenchmarkResults!$F$3:$F$35)),{1,3})</f>
        <v>q6_inactive_customers</v>
      </c>
      <c r="B3472">
        <v>3</v>
      </c>
      <c r="C3472" s="13">
        <v>0</v>
      </c>
      <c r="D3472" s="13">
        <v>0</v>
      </c>
      <c r="E3472" s="13">
        <v>179968</v>
      </c>
      <c r="F3472" s="13">
        <v>150612</v>
      </c>
      <c r="G3472" s="13">
        <v>12964</v>
      </c>
      <c r="H3472" s="13">
        <v>2244292</v>
      </c>
      <c r="I3472" s="13">
        <v>1</v>
      </c>
      <c r="J3472" s="13">
        <v>0</v>
      </c>
      <c r="K3472" s="13">
        <v>4389</v>
      </c>
      <c r="L3472" s="13">
        <v>38</v>
      </c>
      <c r="M3472" s="13">
        <v>1643</v>
      </c>
      <c r="N3472" s="13">
        <v>532</v>
      </c>
      <c r="O3472" s="13">
        <v>15</v>
      </c>
      <c r="P3472" s="13">
        <v>4</v>
      </c>
      <c r="Q3472" s="13">
        <v>81</v>
      </c>
      <c r="R3472" s="13">
        <v>0</v>
      </c>
      <c r="S3472" s="13">
        <v>0</v>
      </c>
      <c r="T3472" s="23">
        <v>46247.829143518517</v>
      </c>
      <c r="U3472" s="55">
        <f t="shared" si="162"/>
        <v>0.5</v>
      </c>
      <c r="V3472" s="55">
        <f t="shared" si="163"/>
        <v>0</v>
      </c>
      <c r="W3472" s="56">
        <f t="shared" si="164"/>
        <v>4240.666666666667</v>
      </c>
    </row>
    <row r="3473" spans="1:23" x14ac:dyDescent="0.3">
      <c r="A3473" s="13" t="str" cm="1">
        <f t="array" ref="A3473:B3473">INDEX(BenchmarkResults!$B$1:$D$35,SUMPRODUCT((T3473&gt;=BenchmarkResults!$F$3:$F$35)*(mongodb_hardware_log!T3473&lt;BenchmarkResults!$G$3:$G$35)*ROW(BenchmarkResults!$F$3:$F$35)),{1,3})</f>
        <v>q6_inactive_customers</v>
      </c>
      <c r="B3473">
        <v>3</v>
      </c>
      <c r="C3473" s="13">
        <v>0</v>
      </c>
      <c r="D3473" s="13">
        <v>0</v>
      </c>
      <c r="E3473" s="13">
        <v>179968</v>
      </c>
      <c r="F3473" s="13">
        <v>165680</v>
      </c>
      <c r="G3473" s="13">
        <v>12988</v>
      </c>
      <c r="H3473" s="13">
        <v>2232764</v>
      </c>
      <c r="I3473" s="13">
        <v>1</v>
      </c>
      <c r="J3473" s="13">
        <v>0</v>
      </c>
      <c r="K3473" s="13">
        <v>4572</v>
      </c>
      <c r="L3473" s="13">
        <v>34</v>
      </c>
      <c r="M3473" s="13">
        <v>1715</v>
      </c>
      <c r="N3473" s="13">
        <v>533</v>
      </c>
      <c r="O3473" s="13">
        <v>15</v>
      </c>
      <c r="P3473" s="13">
        <v>3</v>
      </c>
      <c r="Q3473" s="13">
        <v>81</v>
      </c>
      <c r="R3473" s="13">
        <v>0</v>
      </c>
      <c r="S3473" s="13">
        <v>0</v>
      </c>
      <c r="T3473" s="23">
        <v>46247.829247685186</v>
      </c>
      <c r="U3473" s="55">
        <f t="shared" si="162"/>
        <v>0.33333333333333331</v>
      </c>
      <c r="V3473" s="55">
        <f t="shared" si="163"/>
        <v>0</v>
      </c>
      <c r="W3473" s="56">
        <f t="shared" si="164"/>
        <v>4313.666666666667</v>
      </c>
    </row>
    <row r="3474" spans="1:23" x14ac:dyDescent="0.3">
      <c r="A3474" s="13" t="str" cm="1">
        <f t="array" ref="A3474:B3474">INDEX(BenchmarkResults!$B$1:$D$35,SUMPRODUCT((T3474&gt;=BenchmarkResults!$F$3:$F$35)*(mongodb_hardware_log!T3474&lt;BenchmarkResults!$G$3:$G$35)*ROW(BenchmarkResults!$F$3:$F$35)),{1,3})</f>
        <v>q6_inactive_customers</v>
      </c>
      <c r="B3474">
        <v>3</v>
      </c>
      <c r="C3474" s="13">
        <v>0</v>
      </c>
      <c r="D3474" s="13">
        <v>0</v>
      </c>
      <c r="E3474" s="13">
        <v>179968</v>
      </c>
      <c r="F3474" s="13">
        <v>142056</v>
      </c>
      <c r="G3474" s="13">
        <v>12988</v>
      </c>
      <c r="H3474" s="13">
        <v>2247876</v>
      </c>
      <c r="I3474" s="13">
        <v>1</v>
      </c>
      <c r="J3474" s="13">
        <v>0</v>
      </c>
      <c r="K3474" s="13">
        <v>5138</v>
      </c>
      <c r="L3474" s="13">
        <v>30</v>
      </c>
      <c r="M3474" s="13">
        <v>1768</v>
      </c>
      <c r="N3474" s="13">
        <v>542</v>
      </c>
      <c r="O3474" s="13">
        <v>16</v>
      </c>
      <c r="P3474" s="13">
        <v>4</v>
      </c>
      <c r="Q3474" s="13">
        <v>80</v>
      </c>
      <c r="R3474" s="13">
        <v>1</v>
      </c>
      <c r="S3474" s="13">
        <v>0</v>
      </c>
      <c r="T3474" s="23">
        <v>46247.829259259262</v>
      </c>
      <c r="U3474" s="55">
        <f t="shared" si="162"/>
        <v>0.16666666666666666</v>
      </c>
      <c r="V3474" s="55">
        <f t="shared" si="163"/>
        <v>0</v>
      </c>
      <c r="W3474" s="56">
        <f t="shared" si="164"/>
        <v>4513</v>
      </c>
    </row>
    <row r="3475" spans="1:23" x14ac:dyDescent="0.3">
      <c r="A3475" s="13" t="str" cm="1">
        <f t="array" ref="A3475:B3475">INDEX(BenchmarkResults!$B$1:$D$35,SUMPRODUCT((T3475&gt;=BenchmarkResults!$F$3:$F$35)*(mongodb_hardware_log!T3475&lt;BenchmarkResults!$G$3:$G$35)*ROW(BenchmarkResults!$F$3:$F$35)),{1,3})</f>
        <v>q6_inactive_customers</v>
      </c>
      <c r="B3475">
        <v>3</v>
      </c>
      <c r="C3475" s="13">
        <v>0</v>
      </c>
      <c r="D3475" s="13">
        <v>0</v>
      </c>
      <c r="E3475" s="13">
        <v>179968</v>
      </c>
      <c r="F3475" s="13">
        <v>159368</v>
      </c>
      <c r="G3475" s="13">
        <v>13036</v>
      </c>
      <c r="H3475" s="13">
        <v>2238868</v>
      </c>
      <c r="I3475" s="13">
        <v>0</v>
      </c>
      <c r="J3475" s="13">
        <v>0</v>
      </c>
      <c r="K3475" s="13">
        <v>5395</v>
      </c>
      <c r="L3475" s="13">
        <v>43</v>
      </c>
      <c r="M3475" s="13">
        <v>1807</v>
      </c>
      <c r="N3475" s="13">
        <v>567</v>
      </c>
      <c r="O3475" s="13">
        <v>16</v>
      </c>
      <c r="P3475" s="13">
        <v>4</v>
      </c>
      <c r="Q3475" s="13">
        <v>79</v>
      </c>
      <c r="R3475" s="13">
        <v>1</v>
      </c>
      <c r="S3475" s="13">
        <v>0</v>
      </c>
      <c r="T3475" s="23">
        <v>46247.829363425924</v>
      </c>
      <c r="U3475" s="55">
        <f t="shared" si="162"/>
        <v>0.16666666666666666</v>
      </c>
      <c r="V3475" s="55">
        <f t="shared" si="163"/>
        <v>0</v>
      </c>
      <c r="W3475" s="56">
        <f t="shared" si="164"/>
        <v>4691.166666666667</v>
      </c>
    </row>
    <row r="3476" spans="1:23" x14ac:dyDescent="0.3">
      <c r="A3476" s="13" t="str" cm="1">
        <f t="array" ref="A3476:B3476">INDEX(BenchmarkResults!$B$1:$D$35,SUMPRODUCT((T3476&gt;=BenchmarkResults!$F$3:$F$35)*(mongodb_hardware_log!T3476&lt;BenchmarkResults!$G$3:$G$35)*ROW(BenchmarkResults!$F$3:$F$35)),{1,3})</f>
        <v>q6_inactive_customers</v>
      </c>
      <c r="B3476">
        <v>3</v>
      </c>
      <c r="C3476" s="13">
        <v>1</v>
      </c>
      <c r="D3476" s="13">
        <v>0</v>
      </c>
      <c r="E3476" s="13">
        <v>179968</v>
      </c>
      <c r="F3476" s="13">
        <v>150976</v>
      </c>
      <c r="G3476" s="13">
        <v>13044</v>
      </c>
      <c r="H3476" s="13">
        <v>2247752</v>
      </c>
      <c r="I3476" s="13">
        <v>0</v>
      </c>
      <c r="J3476" s="13">
        <v>0</v>
      </c>
      <c r="K3476" s="13">
        <v>4766</v>
      </c>
      <c r="L3476" s="13">
        <v>45</v>
      </c>
      <c r="M3476" s="13">
        <v>1762</v>
      </c>
      <c r="N3476" s="13">
        <v>550</v>
      </c>
      <c r="O3476" s="13">
        <v>16</v>
      </c>
      <c r="P3476" s="13">
        <v>4</v>
      </c>
      <c r="Q3476" s="13">
        <v>80</v>
      </c>
      <c r="R3476" s="13">
        <v>0</v>
      </c>
      <c r="S3476" s="13">
        <v>0</v>
      </c>
      <c r="T3476" s="23">
        <v>46247.829375000001</v>
      </c>
      <c r="U3476" s="55">
        <f t="shared" si="162"/>
        <v>0.16666666666666666</v>
      </c>
      <c r="V3476" s="55">
        <f t="shared" si="163"/>
        <v>0</v>
      </c>
      <c r="W3476" s="56">
        <f t="shared" si="164"/>
        <v>4753.833333333333</v>
      </c>
    </row>
  </sheetData>
  <mergeCells count="8">
    <mergeCell ref="U1:W1"/>
    <mergeCell ref="O1:S1"/>
    <mergeCell ref="A1:B1"/>
    <mergeCell ref="C1:D1"/>
    <mergeCell ref="E1:H1"/>
    <mergeCell ref="I1:J1"/>
    <mergeCell ref="K1:L1"/>
    <mergeCell ref="M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581488-4B56-4035-AEDA-FD4648A4AD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</vt:lpstr>
      <vt:lpstr>CalculatedMetrics</vt:lpstr>
      <vt:lpstr>BenchmarkResults</vt:lpstr>
      <vt:lpstr>mysql_hardware_log</vt:lpstr>
      <vt:lpstr>mongodb_hardware_log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Watson</dc:creator>
  <cp:lastModifiedBy>Ben Watson</cp:lastModifiedBy>
  <dcterms:created xsi:type="dcterms:W3CDTF">2026-08-16T13:03:42Z</dcterms:created>
  <dcterms:modified xsi:type="dcterms:W3CDTF">2026-08-23T21:38:16Z</dcterms:modified>
</cp:coreProperties>
</file>